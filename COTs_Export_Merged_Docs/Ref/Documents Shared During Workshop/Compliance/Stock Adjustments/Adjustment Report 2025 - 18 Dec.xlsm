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tables/table2.xml" ContentType="application/vnd.openxmlformats-officedocument.spreadsheetml.table+xml"/>
  <Override PartName="/xl/pivotTables/pivotTable3.xml" ContentType="application/vnd.openxmlformats-officedocument.spreadsheetml.pivotTable+xml"/>
  <Override PartName="/xl/tables/table3.xml" ContentType="application/vnd.openxmlformats-officedocument.spreadsheetml.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5.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arahman.khalid\Desktop\"/>
    </mc:Choice>
  </mc:AlternateContent>
  <xr:revisionPtr revIDLastSave="0" documentId="13_ncr:1_{ACB6F460-C9C5-44BC-8FCF-475FF5B5FCAA}" xr6:coauthVersionLast="47" xr6:coauthVersionMax="47" xr10:uidLastSave="{00000000-0000-0000-0000-000000000000}"/>
  <bookViews>
    <workbookView xWindow="-120" yWindow="-120" windowWidth="20730" windowHeight="11040" tabRatio="615" firstSheet="3" activeTab="6" xr2:uid="{00000000-000D-0000-FFFF-FFFF00000000}"/>
  </bookViews>
  <sheets>
    <sheet name="Volumes 24" sheetId="16" state="hidden" r:id="rId1"/>
    <sheet name="Export volumes 25" sheetId="18" state="hidden" r:id="rId2"/>
    <sheet name="Import Volumes 25" sheetId="15" state="hidden" r:id="rId3"/>
    <sheet name="Notes" sheetId="10" r:id="rId4"/>
    <sheet name="Summary" sheetId="5" r:id="rId5"/>
    <sheet name="Adjustment Status" sheetId="11" r:id="rId6"/>
    <sheet name="Adjustments Details" sheetId="9" r:id="rId7"/>
    <sheet name="Sheet1" sheetId="19" state="hidden" r:id="rId8"/>
    <sheet name="Data" sheetId="2" r:id="rId9"/>
    <sheet name="Ref" sheetId="13" state="hidden" r:id="rId10"/>
  </sheets>
  <externalReferences>
    <externalReference r:id="rId11"/>
  </externalReferences>
  <definedNames>
    <definedName name="CurrentStock">#REF!</definedName>
    <definedName name="dffddd">#REF!</definedName>
    <definedName name="Facility">'[1]Define '!$A$1:$B$84</definedName>
    <definedName name="InTransit">#REF!</definedName>
    <definedName name="Losses">#REF!</definedName>
    <definedName name="Reserved">#REF!</definedName>
    <definedName name="Sales">#REF!</definedName>
    <definedName name="Slicer_Adj_Type">#N/A</definedName>
    <definedName name="Slicer_Compensation_Status">#N/A</definedName>
    <definedName name="Slicer_Compensation_Status1">#N/A</definedName>
    <definedName name="Slicer_Month">#N/A</definedName>
    <definedName name="Slicer_Product_Type">#N/A</definedName>
    <definedName name="Slicer_Product_Type1">#N/A</definedName>
    <definedName name="Slicer_Stream">#N/A</definedName>
    <definedName name="Slicer_Stream1">#N/A</definedName>
    <definedName name="Slicer_Stream2">#N/A</definedName>
    <definedName name="TransitLosses">#REF!</definedName>
    <definedName name="Vessel">#REF!</definedName>
  </definedNames>
  <calcPr calcId="191029"/>
  <pivotCaches>
    <pivotCache cacheId="295" r:id="rId12"/>
    <pivotCache cacheId="300" r:id="rId13"/>
    <pivotCache cacheId="304" r:id="rId14"/>
    <pivotCache cacheId="317"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207" i="2" l="1"/>
  <c r="S1208" i="2"/>
  <c r="S1209" i="2"/>
  <c r="S1210" i="2"/>
  <c r="S1211" i="2"/>
  <c r="S1212" i="2"/>
  <c r="S1213" i="2"/>
  <c r="S1214" i="2"/>
  <c r="S1215" i="2"/>
  <c r="S1216" i="2"/>
  <c r="S1217" i="2"/>
  <c r="S1218" i="2"/>
  <c r="S1219" i="2"/>
  <c r="S1220" i="2"/>
  <c r="S1221" i="2"/>
  <c r="S1222" i="2"/>
  <c r="AB1207" i="2"/>
  <c r="AB1208" i="2"/>
  <c r="AB1209" i="2"/>
  <c r="AB1210" i="2"/>
  <c r="AB1211" i="2"/>
  <c r="AB1212" i="2"/>
  <c r="AB1213" i="2"/>
  <c r="AB1214" i="2"/>
  <c r="AB1215" i="2"/>
  <c r="AB1216" i="2"/>
  <c r="AB1217" i="2"/>
  <c r="AB1218" i="2"/>
  <c r="AB1219" i="2"/>
  <c r="AB1220" i="2"/>
  <c r="AB1221" i="2"/>
  <c r="AB1222" i="2"/>
  <c r="H1207" i="2"/>
  <c r="H1208" i="2"/>
  <c r="H1209" i="2"/>
  <c r="H1210" i="2"/>
  <c r="H1211" i="2"/>
  <c r="H1212" i="2"/>
  <c r="H1213" i="2"/>
  <c r="H1214" i="2"/>
  <c r="H1215" i="2"/>
  <c r="H1216" i="2"/>
  <c r="H1217" i="2"/>
  <c r="H1218" i="2"/>
  <c r="H1219" i="2"/>
  <c r="H1220" i="2"/>
  <c r="H1221" i="2"/>
  <c r="H1222" i="2"/>
  <c r="F1207" i="2"/>
  <c r="F1208" i="2"/>
  <c r="F1209" i="2"/>
  <c r="F1210" i="2"/>
  <c r="F1211" i="2"/>
  <c r="F1212" i="2"/>
  <c r="F1213" i="2"/>
  <c r="F1214" i="2"/>
  <c r="F1215" i="2"/>
  <c r="F1216" i="2"/>
  <c r="F1217" i="2"/>
  <c r="F1218" i="2"/>
  <c r="F1219" i="2"/>
  <c r="F1220" i="2"/>
  <c r="F1221" i="2"/>
  <c r="F1222" i="2"/>
  <c r="A1216" i="2"/>
  <c r="A1217" i="2"/>
  <c r="A1218" i="2"/>
  <c r="A1219" i="2"/>
  <c r="A1220" i="2"/>
  <c r="A1221" i="2"/>
  <c r="A1222" i="2"/>
  <c r="D1216" i="2"/>
  <c r="D1217" i="2"/>
  <c r="D1218" i="2"/>
  <c r="D1219" i="2"/>
  <c r="D1220" i="2"/>
  <c r="D1221" i="2"/>
  <c r="D1222" i="2"/>
  <c r="G1216" i="2"/>
  <c r="G1217" i="2"/>
  <c r="G1218" i="2"/>
  <c r="G1219" i="2"/>
  <c r="G1220" i="2"/>
  <c r="G1221" i="2"/>
  <c r="G1222" i="2"/>
  <c r="A1213" i="2"/>
  <c r="A1214" i="2"/>
  <c r="A1215" i="2"/>
  <c r="D1213" i="2"/>
  <c r="D1214" i="2"/>
  <c r="D1215" i="2"/>
  <c r="G1213" i="2"/>
  <c r="G1214" i="2"/>
  <c r="G1215" i="2"/>
  <c r="A1212" i="2"/>
  <c r="D1212" i="2"/>
  <c r="G1212" i="2"/>
  <c r="A1211" i="2"/>
  <c r="D1211" i="2"/>
  <c r="G1211" i="2"/>
  <c r="A1209" i="2"/>
  <c r="A1210" i="2"/>
  <c r="D1209" i="2"/>
  <c r="D1210" i="2"/>
  <c r="G1209" i="2"/>
  <c r="G1210" i="2"/>
  <c r="A1207" i="2"/>
  <c r="A1208" i="2"/>
  <c r="D1207" i="2"/>
  <c r="D1208" i="2"/>
  <c r="G1207" i="2"/>
  <c r="G1208" i="2"/>
  <c r="F1032" i="2"/>
  <c r="F1033" i="2"/>
  <c r="F1034" i="2"/>
  <c r="F1035" i="2"/>
  <c r="F1036" i="2"/>
  <c r="F1037" i="2"/>
  <c r="F1038" i="2"/>
  <c r="F1039" i="2"/>
  <c r="F1040" i="2"/>
  <c r="F1041" i="2"/>
  <c r="F1042" i="2"/>
  <c r="F1043" i="2"/>
  <c r="F1044" i="2"/>
  <c r="F1045" i="2"/>
  <c r="F1046" i="2"/>
  <c r="F1047" i="2"/>
  <c r="F1048" i="2"/>
  <c r="F1049" i="2"/>
  <c r="F1050" i="2"/>
  <c r="F1051" i="2"/>
  <c r="F1052" i="2"/>
  <c r="F1053" i="2"/>
  <c r="F1054" i="2"/>
  <c r="F1055" i="2"/>
  <c r="F1056" i="2"/>
  <c r="F1057" i="2"/>
  <c r="F1058" i="2"/>
  <c r="F1059" i="2"/>
  <c r="F1060" i="2"/>
  <c r="F1061" i="2"/>
  <c r="F1062" i="2"/>
  <c r="F1063" i="2"/>
  <c r="F1064" i="2"/>
  <c r="F1065" i="2"/>
  <c r="F1066" i="2"/>
  <c r="F1067" i="2"/>
  <c r="F1068" i="2"/>
  <c r="F1069" i="2"/>
  <c r="F1070" i="2"/>
  <c r="F1071" i="2"/>
  <c r="F1072" i="2"/>
  <c r="F1073" i="2"/>
  <c r="F1074" i="2"/>
  <c r="F1075" i="2"/>
  <c r="F1076" i="2"/>
  <c r="F1077" i="2"/>
  <c r="F1078" i="2"/>
  <c r="F1079" i="2"/>
  <c r="F1080" i="2"/>
  <c r="F1081" i="2"/>
  <c r="F1082" i="2"/>
  <c r="F1083" i="2"/>
  <c r="F1084" i="2"/>
  <c r="F1085" i="2"/>
  <c r="F1086" i="2"/>
  <c r="F1087" i="2"/>
  <c r="F1088" i="2"/>
  <c r="F1089" i="2"/>
  <c r="F1090" i="2"/>
  <c r="F1091" i="2"/>
  <c r="F1092" i="2"/>
  <c r="F1093" i="2"/>
  <c r="F1094" i="2"/>
  <c r="F1095" i="2"/>
  <c r="F1096" i="2"/>
  <c r="F1097" i="2"/>
  <c r="F1098" i="2"/>
  <c r="F1099" i="2"/>
  <c r="F1100" i="2"/>
  <c r="F1101" i="2"/>
  <c r="F1102" i="2"/>
  <c r="F1103" i="2"/>
  <c r="F1104" i="2"/>
  <c r="F1105" i="2"/>
  <c r="F1106" i="2"/>
  <c r="F1107" i="2"/>
  <c r="F1108" i="2"/>
  <c r="F1109" i="2"/>
  <c r="F1110" i="2"/>
  <c r="F1111" i="2"/>
  <c r="F1112" i="2"/>
  <c r="F1113" i="2"/>
  <c r="F1114" i="2"/>
  <c r="F1115" i="2"/>
  <c r="F1116" i="2"/>
  <c r="F1117" i="2"/>
  <c r="F1118" i="2"/>
  <c r="F1119" i="2"/>
  <c r="F1120" i="2"/>
  <c r="F1121" i="2"/>
  <c r="F1122" i="2"/>
  <c r="F1123" i="2"/>
  <c r="F1124" i="2"/>
  <c r="F1125" i="2"/>
  <c r="F1126" i="2"/>
  <c r="F1127" i="2"/>
  <c r="F1128" i="2"/>
  <c r="F1129" i="2"/>
  <c r="F1130" i="2"/>
  <c r="F1131" i="2"/>
  <c r="F1132" i="2"/>
  <c r="F1133" i="2"/>
  <c r="F1134" i="2"/>
  <c r="F1135" i="2"/>
  <c r="F1136" i="2"/>
  <c r="F1137" i="2"/>
  <c r="F1138" i="2"/>
  <c r="F1139" i="2"/>
  <c r="F1140" i="2"/>
  <c r="F1141" i="2"/>
  <c r="F1142" i="2"/>
  <c r="F1143" i="2"/>
  <c r="F1144" i="2"/>
  <c r="F1145" i="2"/>
  <c r="F1146" i="2"/>
  <c r="F1147" i="2"/>
  <c r="F1148" i="2"/>
  <c r="F1149" i="2"/>
  <c r="F1150" i="2"/>
  <c r="F1151" i="2"/>
  <c r="F1152" i="2"/>
  <c r="F1153" i="2"/>
  <c r="F1154" i="2"/>
  <c r="F1155" i="2"/>
  <c r="F1156" i="2"/>
  <c r="F1157" i="2"/>
  <c r="F1158" i="2"/>
  <c r="F1159" i="2"/>
  <c r="F1160" i="2"/>
  <c r="F1161" i="2"/>
  <c r="F1162" i="2"/>
  <c r="F1163" i="2"/>
  <c r="F1164" i="2"/>
  <c r="F1165" i="2"/>
  <c r="F1166" i="2"/>
  <c r="F1167" i="2"/>
  <c r="F1168" i="2"/>
  <c r="F1169" i="2"/>
  <c r="F1170" i="2"/>
  <c r="F1171" i="2"/>
  <c r="F1172" i="2"/>
  <c r="F1173" i="2"/>
  <c r="F1174" i="2"/>
  <c r="F1175" i="2"/>
  <c r="F1176" i="2"/>
  <c r="F1177" i="2"/>
  <c r="F1178" i="2"/>
  <c r="F1179" i="2"/>
  <c r="F1180" i="2"/>
  <c r="F1181" i="2"/>
  <c r="F1182" i="2"/>
  <c r="F1183" i="2"/>
  <c r="F1184" i="2"/>
  <c r="F1185" i="2"/>
  <c r="F1186" i="2"/>
  <c r="F1187" i="2"/>
  <c r="F1188" i="2"/>
  <c r="F1189" i="2"/>
  <c r="F1190" i="2"/>
  <c r="F1191" i="2"/>
  <c r="F1192" i="2"/>
  <c r="F1193" i="2"/>
  <c r="F1194" i="2"/>
  <c r="F1195" i="2"/>
  <c r="F1196" i="2"/>
  <c r="F1197" i="2"/>
  <c r="F1198" i="2"/>
  <c r="F1199" i="2"/>
  <c r="F1200" i="2"/>
  <c r="F1201" i="2"/>
  <c r="F1202" i="2"/>
  <c r="F1203" i="2"/>
  <c r="F1204" i="2"/>
  <c r="F1205" i="2"/>
  <c r="F1206" i="2"/>
  <c r="F1027" i="2"/>
  <c r="F1028" i="2"/>
  <c r="F1029" i="2"/>
  <c r="F1030" i="2"/>
  <c r="F1031" i="2"/>
  <c r="S1130" i="2" l="1"/>
  <c r="S1131" i="2"/>
  <c r="S1132" i="2"/>
  <c r="S1133" i="2"/>
  <c r="S1134" i="2"/>
  <c r="S1135" i="2"/>
  <c r="S1136" i="2"/>
  <c r="S1137" i="2"/>
  <c r="S1138" i="2"/>
  <c r="S1139" i="2"/>
  <c r="S1140" i="2"/>
  <c r="S1141" i="2"/>
  <c r="S1142" i="2"/>
  <c r="S1143" i="2"/>
  <c r="S1144" i="2"/>
  <c r="S1145" i="2"/>
  <c r="S1146" i="2"/>
  <c r="S1147" i="2"/>
  <c r="S1148" i="2"/>
  <c r="S1149" i="2"/>
  <c r="S1150" i="2"/>
  <c r="S1151" i="2"/>
  <c r="S1152" i="2"/>
  <c r="S1153" i="2"/>
  <c r="S1154" i="2"/>
  <c r="S1155" i="2"/>
  <c r="S1156" i="2"/>
  <c r="S1157" i="2"/>
  <c r="S1158" i="2"/>
  <c r="S1159" i="2"/>
  <c r="S1160" i="2"/>
  <c r="S1161" i="2"/>
  <c r="S1162" i="2"/>
  <c r="S1163" i="2"/>
  <c r="S1164" i="2"/>
  <c r="S1165" i="2"/>
  <c r="S1166" i="2"/>
  <c r="S1167" i="2"/>
  <c r="S1168" i="2"/>
  <c r="S1169" i="2"/>
  <c r="S1170" i="2"/>
  <c r="S1171" i="2"/>
  <c r="S1172" i="2"/>
  <c r="S1173" i="2"/>
  <c r="S1174" i="2"/>
  <c r="S1175" i="2"/>
  <c r="S1176" i="2"/>
  <c r="S1177" i="2"/>
  <c r="S1178" i="2"/>
  <c r="S1179" i="2"/>
  <c r="S1180" i="2"/>
  <c r="S1181" i="2"/>
  <c r="S1182" i="2"/>
  <c r="S1183" i="2"/>
  <c r="S1184" i="2"/>
  <c r="S1185" i="2"/>
  <c r="S1186" i="2"/>
  <c r="S1187" i="2"/>
  <c r="S1188" i="2"/>
  <c r="S1189" i="2"/>
  <c r="S1190" i="2"/>
  <c r="S1191" i="2"/>
  <c r="S1192" i="2"/>
  <c r="S1193" i="2"/>
  <c r="S1194" i="2"/>
  <c r="S1195" i="2"/>
  <c r="S1196" i="2"/>
  <c r="S1197" i="2"/>
  <c r="S1198" i="2"/>
  <c r="S1199" i="2"/>
  <c r="S1200" i="2"/>
  <c r="S1201" i="2"/>
  <c r="S1202" i="2"/>
  <c r="S1203" i="2"/>
  <c r="S1204" i="2"/>
  <c r="S1205" i="2"/>
  <c r="S1206" i="2"/>
  <c r="AB1130" i="2"/>
  <c r="AB1131" i="2"/>
  <c r="AB1132" i="2"/>
  <c r="AB1133" i="2"/>
  <c r="AB1134" i="2"/>
  <c r="AB1135" i="2"/>
  <c r="AB1136" i="2"/>
  <c r="AB1137" i="2"/>
  <c r="AB1138" i="2"/>
  <c r="AB1139" i="2"/>
  <c r="AB1140" i="2"/>
  <c r="AB1141" i="2"/>
  <c r="AB1142" i="2"/>
  <c r="AB1143" i="2"/>
  <c r="AB1144" i="2"/>
  <c r="AB1145" i="2"/>
  <c r="AB1146" i="2"/>
  <c r="AB1147" i="2"/>
  <c r="AB1148" i="2"/>
  <c r="AB1149" i="2"/>
  <c r="AB1150" i="2"/>
  <c r="AB1151" i="2"/>
  <c r="AB1152" i="2"/>
  <c r="AB1153" i="2"/>
  <c r="AB1154" i="2"/>
  <c r="AB1155" i="2"/>
  <c r="AB1156" i="2"/>
  <c r="AB1157" i="2"/>
  <c r="AB1158" i="2"/>
  <c r="AB1159" i="2"/>
  <c r="AB1160" i="2"/>
  <c r="AB1161" i="2"/>
  <c r="AB1162" i="2"/>
  <c r="AB1163" i="2"/>
  <c r="AB1164" i="2"/>
  <c r="AB1165" i="2"/>
  <c r="AB1166" i="2"/>
  <c r="AB1167" i="2"/>
  <c r="AB1168" i="2"/>
  <c r="AB1169" i="2"/>
  <c r="AB1170" i="2"/>
  <c r="AB1171" i="2"/>
  <c r="AB1172" i="2"/>
  <c r="AB1173" i="2"/>
  <c r="AB1174" i="2"/>
  <c r="AB1175" i="2"/>
  <c r="AB1176" i="2"/>
  <c r="AB1177" i="2"/>
  <c r="AB1178" i="2"/>
  <c r="AB1179" i="2"/>
  <c r="AB1180" i="2"/>
  <c r="AB1181" i="2"/>
  <c r="AB1182" i="2"/>
  <c r="AB1183" i="2"/>
  <c r="AB1184" i="2"/>
  <c r="AB1185" i="2"/>
  <c r="AB1186" i="2"/>
  <c r="AB1187" i="2"/>
  <c r="AB1188" i="2"/>
  <c r="AB1189" i="2"/>
  <c r="AB1190" i="2"/>
  <c r="AB1191" i="2"/>
  <c r="AB1192" i="2"/>
  <c r="AB1193" i="2"/>
  <c r="AB1194" i="2"/>
  <c r="AB1195" i="2"/>
  <c r="AB1196" i="2"/>
  <c r="AB1197" i="2"/>
  <c r="AB1198" i="2"/>
  <c r="AB1199" i="2"/>
  <c r="AB1200" i="2"/>
  <c r="AB1201" i="2"/>
  <c r="AB1202" i="2"/>
  <c r="AB1203" i="2"/>
  <c r="AB1204" i="2"/>
  <c r="AB1205" i="2"/>
  <c r="AB1206"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A1194" i="2"/>
  <c r="A1195" i="2"/>
  <c r="A1196" i="2"/>
  <c r="A1197" i="2"/>
  <c r="A1198" i="2"/>
  <c r="A1199" i="2"/>
  <c r="A1200" i="2"/>
  <c r="A1201" i="2"/>
  <c r="A1202" i="2"/>
  <c r="A1203" i="2"/>
  <c r="A1204" i="2"/>
  <c r="A1205" i="2"/>
  <c r="A1206" i="2"/>
  <c r="D1194" i="2"/>
  <c r="D1195" i="2"/>
  <c r="D1196" i="2"/>
  <c r="D1197" i="2"/>
  <c r="D1198" i="2"/>
  <c r="D1199" i="2"/>
  <c r="D1200" i="2"/>
  <c r="D1201" i="2"/>
  <c r="D1202" i="2"/>
  <c r="D1203" i="2"/>
  <c r="D1204" i="2"/>
  <c r="D1205" i="2"/>
  <c r="D1206" i="2"/>
  <c r="G1194" i="2"/>
  <c r="G1195" i="2"/>
  <c r="G1196" i="2"/>
  <c r="G1197" i="2"/>
  <c r="G1198" i="2"/>
  <c r="G1199" i="2"/>
  <c r="G1200" i="2"/>
  <c r="G1201" i="2"/>
  <c r="G1202" i="2"/>
  <c r="G1203" i="2"/>
  <c r="G1204" i="2"/>
  <c r="G1205" i="2"/>
  <c r="G1206" i="2"/>
  <c r="A1187" i="2"/>
  <c r="A1188" i="2"/>
  <c r="A1189" i="2"/>
  <c r="A1190" i="2"/>
  <c r="A1191" i="2"/>
  <c r="A1192" i="2"/>
  <c r="A1193" i="2"/>
  <c r="D1187" i="2"/>
  <c r="D1188" i="2"/>
  <c r="D1189" i="2"/>
  <c r="D1190" i="2"/>
  <c r="D1191" i="2"/>
  <c r="D1192" i="2"/>
  <c r="D1193" i="2"/>
  <c r="G1187" i="2"/>
  <c r="G1188" i="2"/>
  <c r="G1189" i="2"/>
  <c r="G1190" i="2"/>
  <c r="G1191" i="2"/>
  <c r="G1192" i="2"/>
  <c r="G1193" i="2"/>
  <c r="A1185" i="2"/>
  <c r="A1186" i="2"/>
  <c r="D1185" i="2"/>
  <c r="D1186" i="2"/>
  <c r="G1185" i="2"/>
  <c r="G1186" i="2"/>
  <c r="A1184" i="2"/>
  <c r="D1184" i="2"/>
  <c r="G1184" i="2"/>
  <c r="A1183" i="2"/>
  <c r="D1183" i="2"/>
  <c r="G1183" i="2"/>
  <c r="A1181" i="2"/>
  <c r="A1182" i="2"/>
  <c r="D1181" i="2"/>
  <c r="D1182" i="2"/>
  <c r="G1181" i="2"/>
  <c r="G1182" i="2"/>
  <c r="A1180" i="2"/>
  <c r="D1180" i="2"/>
  <c r="G1180" i="2"/>
  <c r="A1176" i="2"/>
  <c r="A1177" i="2"/>
  <c r="A1178" i="2"/>
  <c r="A1179" i="2"/>
  <c r="D1176" i="2"/>
  <c r="D1177" i="2"/>
  <c r="D1178" i="2"/>
  <c r="D1179" i="2"/>
  <c r="G1176" i="2"/>
  <c r="G1177" i="2"/>
  <c r="G1178" i="2"/>
  <c r="G1179" i="2"/>
  <c r="A1174" i="2"/>
  <c r="A1175" i="2"/>
  <c r="D1174" i="2"/>
  <c r="D1175" i="2"/>
  <c r="G1174" i="2"/>
  <c r="G1175" i="2"/>
  <c r="A1172" i="2"/>
  <c r="A1173" i="2"/>
  <c r="D1172" i="2"/>
  <c r="D1173" i="2"/>
  <c r="G1172" i="2"/>
  <c r="G1173" i="2"/>
  <c r="A1160" i="2"/>
  <c r="A1161" i="2"/>
  <c r="A1162" i="2"/>
  <c r="A1163" i="2"/>
  <c r="A1164" i="2"/>
  <c r="A1165" i="2"/>
  <c r="A1166" i="2"/>
  <c r="A1167" i="2"/>
  <c r="A1168" i="2"/>
  <c r="A1169" i="2"/>
  <c r="A1170" i="2"/>
  <c r="A1171" i="2"/>
  <c r="D1160" i="2"/>
  <c r="D1161" i="2"/>
  <c r="D1162" i="2"/>
  <c r="D1163" i="2"/>
  <c r="D1164" i="2"/>
  <c r="D1165" i="2"/>
  <c r="D1166" i="2"/>
  <c r="D1167" i="2"/>
  <c r="D1168" i="2"/>
  <c r="D1169" i="2"/>
  <c r="D1170" i="2"/>
  <c r="D1171" i="2"/>
  <c r="G1160" i="2"/>
  <c r="G1161" i="2"/>
  <c r="G1162" i="2"/>
  <c r="G1163" i="2"/>
  <c r="G1164" i="2"/>
  <c r="G1165" i="2"/>
  <c r="G1166" i="2"/>
  <c r="G1167" i="2"/>
  <c r="G1168" i="2"/>
  <c r="G1169" i="2"/>
  <c r="G1170" i="2"/>
  <c r="G1171" i="2"/>
  <c r="A1157" i="2"/>
  <c r="A1158" i="2"/>
  <c r="A1159" i="2"/>
  <c r="D1157" i="2"/>
  <c r="D1158" i="2"/>
  <c r="D1159" i="2"/>
  <c r="G1157" i="2"/>
  <c r="G1158" i="2"/>
  <c r="G1159" i="2"/>
  <c r="A1151" i="2"/>
  <c r="A1152" i="2"/>
  <c r="A1153" i="2"/>
  <c r="A1154" i="2"/>
  <c r="A1155" i="2"/>
  <c r="A1156" i="2"/>
  <c r="D1151" i="2"/>
  <c r="D1152" i="2"/>
  <c r="D1153" i="2"/>
  <c r="D1154" i="2"/>
  <c r="D1155" i="2"/>
  <c r="D1156" i="2"/>
  <c r="G1151" i="2"/>
  <c r="G1152" i="2"/>
  <c r="G1153" i="2"/>
  <c r="G1154" i="2"/>
  <c r="G1155" i="2"/>
  <c r="G1156" i="2"/>
  <c r="A1147" i="2"/>
  <c r="A1148" i="2"/>
  <c r="A1149" i="2"/>
  <c r="A1150" i="2"/>
  <c r="D1147" i="2"/>
  <c r="D1148" i="2"/>
  <c r="D1149" i="2"/>
  <c r="D1150" i="2"/>
  <c r="G1147" i="2"/>
  <c r="G1148" i="2"/>
  <c r="G1149" i="2"/>
  <c r="G1150" i="2"/>
  <c r="A1146" i="2"/>
  <c r="D1146" i="2"/>
  <c r="G1146" i="2"/>
  <c r="A1140" i="2"/>
  <c r="A1141" i="2"/>
  <c r="A1142" i="2"/>
  <c r="A1143" i="2"/>
  <c r="A1144" i="2"/>
  <c r="A1145" i="2"/>
  <c r="D1140" i="2"/>
  <c r="D1141" i="2"/>
  <c r="D1142" i="2"/>
  <c r="D1143" i="2"/>
  <c r="D1144" i="2"/>
  <c r="D1145" i="2"/>
  <c r="G1140" i="2"/>
  <c r="G1141" i="2"/>
  <c r="G1142" i="2"/>
  <c r="G1143" i="2"/>
  <c r="G1144" i="2"/>
  <c r="G1145" i="2"/>
  <c r="A1133" i="2"/>
  <c r="A1134" i="2"/>
  <c r="A1135" i="2"/>
  <c r="A1136" i="2"/>
  <c r="A1137" i="2"/>
  <c r="A1138" i="2"/>
  <c r="A1139" i="2"/>
  <c r="D1133" i="2"/>
  <c r="D1134" i="2"/>
  <c r="D1135" i="2"/>
  <c r="D1136" i="2"/>
  <c r="D1137" i="2"/>
  <c r="D1138" i="2"/>
  <c r="D1139" i="2"/>
  <c r="G1133" i="2"/>
  <c r="G1134" i="2"/>
  <c r="G1135" i="2"/>
  <c r="G1136" i="2"/>
  <c r="G1137" i="2"/>
  <c r="G1138" i="2"/>
  <c r="G1139" i="2"/>
  <c r="A1130" i="2"/>
  <c r="A1131" i="2"/>
  <c r="A1132" i="2"/>
  <c r="D1130" i="2"/>
  <c r="D1131" i="2"/>
  <c r="D1132" i="2"/>
  <c r="G1130" i="2"/>
  <c r="G1131" i="2"/>
  <c r="G1132" i="2"/>
  <c r="AB1032" i="2" l="1"/>
  <c r="AB1033" i="2"/>
  <c r="AB1034" i="2"/>
  <c r="AB1035" i="2"/>
  <c r="AB1036" i="2"/>
  <c r="AB1037" i="2"/>
  <c r="AB1038" i="2"/>
  <c r="AB1039" i="2"/>
  <c r="AB1040" i="2"/>
  <c r="AB1041" i="2"/>
  <c r="AB1042" i="2"/>
  <c r="AB1043" i="2"/>
  <c r="AB1044" i="2"/>
  <c r="AB1045" i="2"/>
  <c r="AB1046" i="2"/>
  <c r="AB1047" i="2"/>
  <c r="AB1048" i="2"/>
  <c r="AB1049" i="2"/>
  <c r="AB1050" i="2"/>
  <c r="AB1051" i="2"/>
  <c r="AB1052" i="2"/>
  <c r="AB1053" i="2"/>
  <c r="AB1054" i="2"/>
  <c r="AB1055" i="2"/>
  <c r="AB1056" i="2"/>
  <c r="AB1057" i="2"/>
  <c r="AB1058" i="2"/>
  <c r="AB1059" i="2"/>
  <c r="AB1060" i="2"/>
  <c r="AB1061" i="2"/>
  <c r="AB1062" i="2"/>
  <c r="AB1063" i="2"/>
  <c r="AB1064" i="2"/>
  <c r="AB1065" i="2"/>
  <c r="AB1066" i="2"/>
  <c r="AB1067" i="2"/>
  <c r="AB1068" i="2"/>
  <c r="AB1069" i="2"/>
  <c r="AB1070" i="2"/>
  <c r="AB1071" i="2"/>
  <c r="AB1072" i="2"/>
  <c r="AB1073" i="2"/>
  <c r="AB1074" i="2"/>
  <c r="AB1075" i="2"/>
  <c r="AB1076" i="2"/>
  <c r="AB1077" i="2"/>
  <c r="AB1078" i="2"/>
  <c r="AB1079" i="2"/>
  <c r="AB1080" i="2"/>
  <c r="AB1081" i="2"/>
  <c r="AB1082" i="2"/>
  <c r="AB1083" i="2"/>
  <c r="AB1084" i="2"/>
  <c r="AB1085" i="2"/>
  <c r="AB1086" i="2"/>
  <c r="AB1087" i="2"/>
  <c r="AB1088" i="2"/>
  <c r="AB1089" i="2"/>
  <c r="AB1090" i="2"/>
  <c r="AB1091" i="2"/>
  <c r="AB1092" i="2"/>
  <c r="AB1093" i="2"/>
  <c r="AB1094" i="2"/>
  <c r="AB1095" i="2"/>
  <c r="AB1096" i="2"/>
  <c r="AB1097" i="2"/>
  <c r="AB1098" i="2"/>
  <c r="AB1099" i="2"/>
  <c r="AB1100" i="2"/>
  <c r="AB1101" i="2"/>
  <c r="AB1102" i="2"/>
  <c r="AB1103" i="2"/>
  <c r="AB1104" i="2"/>
  <c r="AB1105" i="2"/>
  <c r="AB1106" i="2"/>
  <c r="AB1107" i="2"/>
  <c r="AB1108" i="2"/>
  <c r="AB1109" i="2"/>
  <c r="AB1110" i="2"/>
  <c r="AB1111" i="2"/>
  <c r="AB1112" i="2"/>
  <c r="AB1113" i="2"/>
  <c r="AB1114" i="2"/>
  <c r="AB1115" i="2"/>
  <c r="AB1116" i="2"/>
  <c r="AB1117" i="2"/>
  <c r="AB1118" i="2"/>
  <c r="AB1119" i="2"/>
  <c r="AB1120" i="2"/>
  <c r="AB1121" i="2"/>
  <c r="AB1122" i="2"/>
  <c r="AB1123" i="2"/>
  <c r="AB1124" i="2"/>
  <c r="AB1125" i="2"/>
  <c r="AB1126" i="2"/>
  <c r="AB1127" i="2"/>
  <c r="AB1128" i="2"/>
  <c r="AB1129" i="2"/>
  <c r="S1032" i="2"/>
  <c r="S1033" i="2"/>
  <c r="S1034" i="2"/>
  <c r="S1035" i="2"/>
  <c r="S1036" i="2"/>
  <c r="S1037" i="2"/>
  <c r="S1038" i="2"/>
  <c r="S1039" i="2"/>
  <c r="S1040" i="2"/>
  <c r="S1041" i="2"/>
  <c r="S1042" i="2"/>
  <c r="S1043" i="2"/>
  <c r="S1044" i="2"/>
  <c r="S1045" i="2"/>
  <c r="S1046" i="2"/>
  <c r="S1047" i="2"/>
  <c r="S1048" i="2"/>
  <c r="S1049" i="2"/>
  <c r="S1050" i="2"/>
  <c r="S1051" i="2"/>
  <c r="S1052" i="2"/>
  <c r="S1053" i="2"/>
  <c r="S1054" i="2"/>
  <c r="S1055" i="2"/>
  <c r="S1056" i="2"/>
  <c r="S1057" i="2"/>
  <c r="S1058" i="2"/>
  <c r="S1059" i="2"/>
  <c r="S1060" i="2"/>
  <c r="S1061" i="2"/>
  <c r="S1062" i="2"/>
  <c r="S1063" i="2"/>
  <c r="S1064" i="2"/>
  <c r="S1065" i="2"/>
  <c r="S1066" i="2"/>
  <c r="S1067" i="2"/>
  <c r="S1068" i="2"/>
  <c r="S1069" i="2"/>
  <c r="S1070" i="2"/>
  <c r="S1071" i="2"/>
  <c r="S1072" i="2"/>
  <c r="S1073" i="2"/>
  <c r="S1074" i="2"/>
  <c r="S1075" i="2"/>
  <c r="S1076" i="2"/>
  <c r="S1077" i="2"/>
  <c r="S1078" i="2"/>
  <c r="S1079" i="2"/>
  <c r="S1080" i="2"/>
  <c r="S1081" i="2"/>
  <c r="S1082" i="2"/>
  <c r="S1083" i="2"/>
  <c r="S1084" i="2"/>
  <c r="S1085" i="2"/>
  <c r="S1086" i="2"/>
  <c r="S1087" i="2"/>
  <c r="S1088" i="2"/>
  <c r="S1089" i="2"/>
  <c r="S1090" i="2"/>
  <c r="S1091" i="2"/>
  <c r="S1092" i="2"/>
  <c r="S1093" i="2"/>
  <c r="S1094" i="2"/>
  <c r="S1095" i="2"/>
  <c r="S1096" i="2"/>
  <c r="S1097" i="2"/>
  <c r="S1098" i="2"/>
  <c r="S1099" i="2"/>
  <c r="S1100" i="2"/>
  <c r="S1101" i="2"/>
  <c r="S1102" i="2"/>
  <c r="S1103" i="2"/>
  <c r="S1104" i="2"/>
  <c r="S1105" i="2"/>
  <c r="S1106" i="2"/>
  <c r="S1107" i="2"/>
  <c r="S1108" i="2"/>
  <c r="S1109" i="2"/>
  <c r="S1110" i="2"/>
  <c r="S1111" i="2"/>
  <c r="S1112" i="2"/>
  <c r="S1113" i="2"/>
  <c r="S1114" i="2"/>
  <c r="S1115" i="2"/>
  <c r="S1116" i="2"/>
  <c r="S1117" i="2"/>
  <c r="S1118" i="2"/>
  <c r="S1119" i="2"/>
  <c r="S1120" i="2"/>
  <c r="S1121" i="2"/>
  <c r="S1122" i="2"/>
  <c r="S1123" i="2"/>
  <c r="S1124" i="2"/>
  <c r="S1125" i="2"/>
  <c r="S1126" i="2"/>
  <c r="S1127" i="2"/>
  <c r="S1128" i="2"/>
  <c r="S1129"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D1032" i="2"/>
  <c r="D1033" i="2"/>
  <c r="D1034" i="2"/>
  <c r="D1035" i="2"/>
  <c r="D1036" i="2"/>
  <c r="D1037" i="2"/>
  <c r="D1038" i="2"/>
  <c r="D1039" i="2"/>
  <c r="D1040" i="2"/>
  <c r="D1041" i="2"/>
  <c r="D1042" i="2"/>
  <c r="D1043" i="2"/>
  <c r="D1044" i="2"/>
  <c r="D1045" i="2"/>
  <c r="D1046" i="2"/>
  <c r="D1047" i="2"/>
  <c r="D1048"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F6" i="19" l="1"/>
  <c r="E6" i="19"/>
  <c r="AB1031" i="2" l="1"/>
  <c r="S1031" i="2"/>
  <c r="H1031" i="2"/>
  <c r="G1031" i="2"/>
  <c r="D1031" i="2"/>
  <c r="A1031" i="2"/>
  <c r="AB1030" i="2"/>
  <c r="S1030" i="2"/>
  <c r="H1030" i="2"/>
  <c r="G1030" i="2"/>
  <c r="D1030" i="2"/>
  <c r="A1030" i="2"/>
  <c r="AB1029" i="2"/>
  <c r="S1029" i="2"/>
  <c r="H1029" i="2"/>
  <c r="G1029" i="2"/>
  <c r="D1029" i="2"/>
  <c r="A1029" i="2"/>
  <c r="AB223" i="2" l="1"/>
  <c r="AB224" i="2"/>
  <c r="AA275" i="2"/>
  <c r="S223" i="2"/>
  <c r="S224" i="2"/>
  <c r="H223" i="2"/>
  <c r="H224" i="2"/>
  <c r="F223" i="2"/>
  <c r="F224" i="2"/>
  <c r="A223" i="2"/>
  <c r="D223" i="2"/>
  <c r="G223" i="2"/>
  <c r="A224" i="2"/>
  <c r="D224" i="2"/>
  <c r="G224" i="2"/>
  <c r="AB1010" i="2"/>
  <c r="AB363" i="2"/>
  <c r="AB364" i="2"/>
  <c r="AB365" i="2"/>
  <c r="AB366" i="2"/>
  <c r="AB277" i="2"/>
  <c r="AB278" i="2"/>
  <c r="AB279" i="2"/>
  <c r="AB280" i="2"/>
  <c r="AB281" i="2"/>
  <c r="AB225" i="2"/>
  <c r="AB367" i="2"/>
  <c r="AB368" i="2"/>
  <c r="AB282" i="2"/>
  <c r="AB283" i="2"/>
  <c r="AB226" i="2"/>
  <c r="S1010" i="2"/>
  <c r="S363" i="2"/>
  <c r="S364" i="2"/>
  <c r="S365" i="2"/>
  <c r="S366" i="2"/>
  <c r="S277" i="2"/>
  <c r="S278" i="2"/>
  <c r="S279" i="2"/>
  <c r="S280" i="2"/>
  <c r="S281" i="2"/>
  <c r="S225" i="2"/>
  <c r="S367" i="2"/>
  <c r="S368" i="2"/>
  <c r="S282" i="2"/>
  <c r="S283" i="2"/>
  <c r="S226" i="2"/>
  <c r="H1010" i="2"/>
  <c r="H363" i="2"/>
  <c r="H364" i="2"/>
  <c r="H365" i="2"/>
  <c r="H366" i="2"/>
  <c r="H277" i="2"/>
  <c r="H278" i="2"/>
  <c r="H279" i="2"/>
  <c r="H280" i="2"/>
  <c r="H281" i="2"/>
  <c r="H225" i="2"/>
  <c r="H367" i="2"/>
  <c r="H368" i="2"/>
  <c r="H282" i="2"/>
  <c r="H283" i="2"/>
  <c r="H226" i="2"/>
  <c r="F1010" i="2"/>
  <c r="F363" i="2"/>
  <c r="F364" i="2"/>
  <c r="F365" i="2"/>
  <c r="F366" i="2"/>
  <c r="F277" i="2"/>
  <c r="F278" i="2"/>
  <c r="F279" i="2"/>
  <c r="F280" i="2"/>
  <c r="F281" i="2"/>
  <c r="F225" i="2"/>
  <c r="F367" i="2"/>
  <c r="F368" i="2"/>
  <c r="F282" i="2"/>
  <c r="F283" i="2"/>
  <c r="F226" i="2"/>
  <c r="A282" i="2"/>
  <c r="A283" i="2"/>
  <c r="A226" i="2"/>
  <c r="D282" i="2"/>
  <c r="D283" i="2"/>
  <c r="D226" i="2"/>
  <c r="G282" i="2"/>
  <c r="G283" i="2"/>
  <c r="G226" i="2"/>
  <c r="A225" i="2"/>
  <c r="A367" i="2"/>
  <c r="A368" i="2"/>
  <c r="D225" i="2"/>
  <c r="D367" i="2"/>
  <c r="D368" i="2"/>
  <c r="G225" i="2"/>
  <c r="G367" i="2"/>
  <c r="G368" i="2"/>
  <c r="A281" i="2"/>
  <c r="D281" i="2"/>
  <c r="G281" i="2"/>
  <c r="A280" i="2"/>
  <c r="D280" i="2"/>
  <c r="G280" i="2"/>
  <c r="A366" i="2"/>
  <c r="A277" i="2"/>
  <c r="A278" i="2"/>
  <c r="A279" i="2"/>
  <c r="D366" i="2"/>
  <c r="D277" i="2"/>
  <c r="D278" i="2"/>
  <c r="D279" i="2"/>
  <c r="G366" i="2"/>
  <c r="G277" i="2"/>
  <c r="G278" i="2"/>
  <c r="G279" i="2"/>
  <c r="A1010" i="2"/>
  <c r="A363" i="2"/>
  <c r="A364" i="2"/>
  <c r="A365" i="2"/>
  <c r="D1010" i="2"/>
  <c r="D363" i="2"/>
  <c r="D364" i="2"/>
  <c r="D365" i="2"/>
  <c r="G1010" i="2"/>
  <c r="G363" i="2"/>
  <c r="G364" i="2"/>
  <c r="G365" i="2"/>
  <c r="F5" i="2"/>
  <c r="F265" i="2"/>
  <c r="F266" i="2"/>
  <c r="F267" i="2"/>
  <c r="F268" i="2"/>
  <c r="F269" i="2"/>
  <c r="F358" i="2"/>
  <c r="F359" i="2"/>
  <c r="F360" i="2"/>
  <c r="F361" i="2"/>
  <c r="F362" i="2"/>
  <c r="F270" i="2"/>
  <c r="F271" i="2"/>
  <c r="F272" i="2"/>
  <c r="F273" i="2"/>
  <c r="F274" i="2"/>
  <c r="F275" i="2"/>
  <c r="F276" i="2"/>
  <c r="F260" i="2"/>
  <c r="F261" i="2"/>
  <c r="F262" i="2"/>
  <c r="F263" i="2"/>
  <c r="F264" i="2"/>
  <c r="F357" i="2"/>
  <c r="F1009" i="2"/>
  <c r="F1008" i="2"/>
  <c r="F1007" i="2"/>
  <c r="F1006" i="2"/>
  <c r="F1005" i="2"/>
  <c r="F1004" i="2"/>
  <c r="F1003" i="2"/>
  <c r="F1002" i="2"/>
  <c r="F1001" i="2"/>
  <c r="F1000" i="2"/>
  <c r="F999" i="2"/>
  <c r="F998" i="2"/>
  <c r="F997" i="2"/>
  <c r="F996" i="2"/>
  <c r="F995" i="2"/>
  <c r="F994" i="2"/>
  <c r="F993" i="2"/>
  <c r="F992" i="2"/>
  <c r="AB260" i="2"/>
  <c r="AB261" i="2"/>
  <c r="AB262" i="2"/>
  <c r="AB263" i="2"/>
  <c r="AB264" i="2"/>
  <c r="AB992" i="2"/>
  <c r="AB993" i="2"/>
  <c r="AB994" i="2"/>
  <c r="AB995" i="2"/>
  <c r="AB996" i="2"/>
  <c r="AB997" i="2"/>
  <c r="AB998" i="2"/>
  <c r="AB999" i="2"/>
  <c r="AB1000" i="2"/>
  <c r="AB1001" i="2"/>
  <c r="AB1002" i="2"/>
  <c r="AB1003" i="2"/>
  <c r="AB1004" i="2"/>
  <c r="AB1005" i="2"/>
  <c r="AB1006" i="2"/>
  <c r="AB1007" i="2"/>
  <c r="AB1008" i="2"/>
  <c r="AB265" i="2"/>
  <c r="AB266" i="2"/>
  <c r="AB267" i="2"/>
  <c r="AB268" i="2"/>
  <c r="AB269" i="2"/>
  <c r="AB358" i="2"/>
  <c r="AB359" i="2"/>
  <c r="AB360" i="2"/>
  <c r="AB361" i="2"/>
  <c r="AB362" i="2"/>
  <c r="AB270" i="2"/>
  <c r="AB271" i="2"/>
  <c r="AB272" i="2"/>
  <c r="AB273" i="2"/>
  <c r="AB274" i="2"/>
  <c r="AB275" i="2"/>
  <c r="AB276" i="2"/>
  <c r="AB1009" i="2"/>
  <c r="AB5" i="2"/>
  <c r="S260" i="2"/>
  <c r="S261" i="2"/>
  <c r="S262" i="2"/>
  <c r="S263" i="2"/>
  <c r="S264" i="2"/>
  <c r="S992" i="2"/>
  <c r="S993" i="2"/>
  <c r="S994" i="2"/>
  <c r="S995" i="2"/>
  <c r="S996" i="2"/>
  <c r="S997" i="2"/>
  <c r="S998" i="2"/>
  <c r="S999" i="2"/>
  <c r="S1000" i="2"/>
  <c r="S1001" i="2"/>
  <c r="S1002" i="2"/>
  <c r="S1003" i="2"/>
  <c r="S1004" i="2"/>
  <c r="S1005" i="2"/>
  <c r="S1006" i="2"/>
  <c r="S1007" i="2"/>
  <c r="S1008" i="2"/>
  <c r="S265" i="2"/>
  <c r="S266" i="2"/>
  <c r="S267" i="2"/>
  <c r="S268" i="2"/>
  <c r="S269" i="2"/>
  <c r="S358" i="2"/>
  <c r="S359" i="2"/>
  <c r="S360" i="2"/>
  <c r="S361" i="2"/>
  <c r="S362" i="2"/>
  <c r="S270" i="2"/>
  <c r="S271" i="2"/>
  <c r="S272" i="2"/>
  <c r="S273" i="2"/>
  <c r="S274" i="2"/>
  <c r="S275" i="2"/>
  <c r="S276" i="2"/>
  <c r="S1009" i="2"/>
  <c r="S5" i="2"/>
  <c r="H260" i="2"/>
  <c r="H261" i="2"/>
  <c r="H262" i="2"/>
  <c r="H263" i="2"/>
  <c r="H264" i="2"/>
  <c r="H992" i="2"/>
  <c r="H993" i="2"/>
  <c r="H994" i="2"/>
  <c r="H995" i="2"/>
  <c r="H996" i="2"/>
  <c r="H997" i="2"/>
  <c r="H998" i="2"/>
  <c r="H999" i="2"/>
  <c r="H1000" i="2"/>
  <c r="H1001" i="2"/>
  <c r="H1002" i="2"/>
  <c r="H1003" i="2"/>
  <c r="H1004" i="2"/>
  <c r="H1005" i="2"/>
  <c r="H1006" i="2"/>
  <c r="H1007" i="2"/>
  <c r="H1008" i="2"/>
  <c r="H265" i="2"/>
  <c r="H266" i="2"/>
  <c r="H267" i="2"/>
  <c r="H268" i="2"/>
  <c r="H269" i="2"/>
  <c r="H358" i="2"/>
  <c r="H359" i="2"/>
  <c r="H360" i="2"/>
  <c r="H361" i="2"/>
  <c r="H362" i="2"/>
  <c r="H270" i="2"/>
  <c r="H271" i="2"/>
  <c r="H272" i="2"/>
  <c r="H273" i="2"/>
  <c r="H274" i="2"/>
  <c r="H275" i="2"/>
  <c r="H276" i="2"/>
  <c r="H1009" i="2"/>
  <c r="H5" i="2"/>
  <c r="A1009" i="2"/>
  <c r="A5" i="2"/>
  <c r="D1009" i="2"/>
  <c r="D5" i="2"/>
  <c r="G1009" i="2"/>
  <c r="G5" i="2"/>
  <c r="A274" i="2"/>
  <c r="A275" i="2"/>
  <c r="A276" i="2"/>
  <c r="D274" i="2"/>
  <c r="D275" i="2"/>
  <c r="D276" i="2"/>
  <c r="G274" i="2"/>
  <c r="G275" i="2"/>
  <c r="G276" i="2"/>
  <c r="A1006" i="2"/>
  <c r="A1007" i="2"/>
  <c r="A1008" i="2"/>
  <c r="A265" i="2"/>
  <c r="A266" i="2"/>
  <c r="A267" i="2"/>
  <c r="A268" i="2"/>
  <c r="A269" i="2"/>
  <c r="A358" i="2"/>
  <c r="A359" i="2"/>
  <c r="A360" i="2"/>
  <c r="A361" i="2"/>
  <c r="A362" i="2"/>
  <c r="A270" i="2"/>
  <c r="A271" i="2"/>
  <c r="A272" i="2"/>
  <c r="A273" i="2"/>
  <c r="D1006" i="2"/>
  <c r="D1007" i="2"/>
  <c r="D1008" i="2"/>
  <c r="D265" i="2"/>
  <c r="D266" i="2"/>
  <c r="D267" i="2"/>
  <c r="D268" i="2"/>
  <c r="D269" i="2"/>
  <c r="D358" i="2"/>
  <c r="D359" i="2"/>
  <c r="D360" i="2"/>
  <c r="D361" i="2"/>
  <c r="D362" i="2"/>
  <c r="D270" i="2"/>
  <c r="D271" i="2"/>
  <c r="D272" i="2"/>
  <c r="D273" i="2"/>
  <c r="G1006" i="2"/>
  <c r="G1007" i="2"/>
  <c r="G1008" i="2"/>
  <c r="G265" i="2"/>
  <c r="G266" i="2"/>
  <c r="G267" i="2"/>
  <c r="G268" i="2"/>
  <c r="G269" i="2"/>
  <c r="G358" i="2"/>
  <c r="G359" i="2"/>
  <c r="G360" i="2"/>
  <c r="G361" i="2"/>
  <c r="G362" i="2"/>
  <c r="G270" i="2"/>
  <c r="G271" i="2"/>
  <c r="G272" i="2"/>
  <c r="G273" i="2"/>
  <c r="A994" i="2"/>
  <c r="A995" i="2"/>
  <c r="A996" i="2"/>
  <c r="A997" i="2"/>
  <c r="A998" i="2"/>
  <c r="A999" i="2"/>
  <c r="A1000" i="2"/>
  <c r="A1001" i="2"/>
  <c r="A1002" i="2"/>
  <c r="A1003" i="2"/>
  <c r="A1004" i="2"/>
  <c r="A1005" i="2"/>
  <c r="D994" i="2"/>
  <c r="D995" i="2"/>
  <c r="D996" i="2"/>
  <c r="D997" i="2"/>
  <c r="D998" i="2"/>
  <c r="D999" i="2"/>
  <c r="D1000" i="2"/>
  <c r="D1001" i="2"/>
  <c r="D1002" i="2"/>
  <c r="D1003" i="2"/>
  <c r="D1004" i="2"/>
  <c r="D1005" i="2"/>
  <c r="G994" i="2"/>
  <c r="G995" i="2"/>
  <c r="G996" i="2"/>
  <c r="G997" i="2"/>
  <c r="G998" i="2"/>
  <c r="G999" i="2"/>
  <c r="G1000" i="2"/>
  <c r="G1001" i="2"/>
  <c r="G1002" i="2"/>
  <c r="G1003" i="2"/>
  <c r="G1004" i="2"/>
  <c r="G1005" i="2"/>
  <c r="A993" i="2"/>
  <c r="D993" i="2"/>
  <c r="G993" i="2"/>
  <c r="A262" i="2"/>
  <c r="A263" i="2"/>
  <c r="A264" i="2"/>
  <c r="A992" i="2"/>
  <c r="D262" i="2"/>
  <c r="D263" i="2"/>
  <c r="D264" i="2"/>
  <c r="D992" i="2"/>
  <c r="G262" i="2"/>
  <c r="G263" i="2"/>
  <c r="G264" i="2"/>
  <c r="G992" i="2"/>
  <c r="A261" i="2"/>
  <c r="D261" i="2"/>
  <c r="G261" i="2"/>
  <c r="A260" i="2"/>
  <c r="D260" i="2"/>
  <c r="G260" i="2"/>
  <c r="S99" i="2"/>
  <c r="S100" i="2"/>
  <c r="S50" i="2"/>
  <c r="S51" i="2"/>
  <c r="S52" i="2"/>
  <c r="S53" i="2"/>
  <c r="S918" i="2"/>
  <c r="S919" i="2"/>
  <c r="S350" i="2"/>
  <c r="S920" i="2"/>
  <c r="S921" i="2"/>
  <c r="S922" i="2"/>
  <c r="S923" i="2"/>
  <c r="S924" i="2"/>
  <c r="S925" i="2"/>
  <c r="S926" i="2"/>
  <c r="S927" i="2"/>
  <c r="S928" i="2"/>
  <c r="S929" i="2"/>
  <c r="S930" i="2"/>
  <c r="S931" i="2"/>
  <c r="S932" i="2"/>
  <c r="S351" i="2"/>
  <c r="S352" i="2"/>
  <c r="S101" i="2"/>
  <c r="S102" i="2"/>
  <c r="S103" i="2"/>
  <c r="S104" i="2"/>
  <c r="S105" i="2"/>
  <c r="S106" i="2"/>
  <c r="S107" i="2"/>
  <c r="S933" i="2"/>
  <c r="S934" i="2"/>
  <c r="S935" i="2"/>
  <c r="S353" i="2"/>
  <c r="S108" i="2"/>
  <c r="S109" i="2"/>
  <c r="S169" i="2"/>
  <c r="S110" i="2"/>
  <c r="S111" i="2"/>
  <c r="S354" i="2"/>
  <c r="S355" i="2"/>
  <c r="S356" i="2"/>
  <c r="S112" i="2"/>
  <c r="S113" i="2"/>
  <c r="S114" i="2"/>
  <c r="S115" i="2"/>
  <c r="S116" i="2"/>
  <c r="S117" i="2"/>
  <c r="S118" i="2"/>
  <c r="S119" i="2"/>
  <c r="S936" i="2"/>
  <c r="S937" i="2"/>
  <c r="S938" i="2"/>
  <c r="S125" i="2"/>
  <c r="S126" i="2"/>
  <c r="S127" i="2"/>
  <c r="S128" i="2"/>
  <c r="S129" i="2"/>
  <c r="S130" i="2"/>
  <c r="S939" i="2"/>
  <c r="S940" i="2"/>
  <c r="S941" i="2"/>
  <c r="S942" i="2"/>
  <c r="S943" i="2"/>
  <c r="S944" i="2"/>
  <c r="S945" i="2"/>
  <c r="S946" i="2"/>
  <c r="S947" i="2"/>
  <c r="S948" i="2"/>
  <c r="S949" i="2"/>
  <c r="S950" i="2"/>
  <c r="S951" i="2"/>
  <c r="S952" i="2"/>
  <c r="S953" i="2"/>
  <c r="S954" i="2"/>
  <c r="S955" i="2"/>
  <c r="S956" i="2"/>
  <c r="S957" i="2"/>
  <c r="S958" i="2"/>
  <c r="S959" i="2"/>
  <c r="S960" i="2"/>
  <c r="S961" i="2"/>
  <c r="S962" i="2"/>
  <c r="S963" i="2"/>
  <c r="S964" i="2"/>
  <c r="S965" i="2"/>
  <c r="S357" i="2"/>
  <c r="S966" i="2"/>
  <c r="S967" i="2"/>
  <c r="S968" i="2"/>
  <c r="S969" i="2"/>
  <c r="S970" i="2"/>
  <c r="S971" i="2"/>
  <c r="S972" i="2"/>
  <c r="S973" i="2"/>
  <c r="S974" i="2"/>
  <c r="S975" i="2"/>
  <c r="S976" i="2"/>
  <c r="S977" i="2"/>
  <c r="S978" i="2"/>
  <c r="S979" i="2"/>
  <c r="S980" i="2"/>
  <c r="S981" i="2"/>
  <c r="S982" i="2"/>
  <c r="S983" i="2"/>
  <c r="S984" i="2"/>
  <c r="S985" i="2"/>
  <c r="S986" i="2"/>
  <c r="S987" i="2"/>
  <c r="S988" i="2"/>
  <c r="S989" i="2"/>
  <c r="S990" i="2"/>
  <c r="S991" i="2"/>
  <c r="AB99" i="2"/>
  <c r="AB100" i="2"/>
  <c r="AB50" i="2"/>
  <c r="AB51" i="2"/>
  <c r="AB52" i="2"/>
  <c r="AB53" i="2"/>
  <c r="AB918" i="2"/>
  <c r="AB919" i="2"/>
  <c r="AB350" i="2"/>
  <c r="AB920" i="2"/>
  <c r="AB921" i="2"/>
  <c r="AB922" i="2"/>
  <c r="AB923" i="2"/>
  <c r="AB924" i="2"/>
  <c r="AB925" i="2"/>
  <c r="AB926" i="2"/>
  <c r="AB927" i="2"/>
  <c r="AB928" i="2"/>
  <c r="AB929" i="2"/>
  <c r="AB930" i="2"/>
  <c r="AB931" i="2"/>
  <c r="AB932" i="2"/>
  <c r="AB351" i="2"/>
  <c r="AB352" i="2"/>
  <c r="AB101" i="2"/>
  <c r="AB102" i="2"/>
  <c r="AB103" i="2"/>
  <c r="AB104" i="2"/>
  <c r="AB105" i="2"/>
  <c r="AB106" i="2"/>
  <c r="AB107" i="2"/>
  <c r="AB933" i="2"/>
  <c r="AB934" i="2"/>
  <c r="AB935" i="2"/>
  <c r="AB353" i="2"/>
  <c r="AB108" i="2"/>
  <c r="AB109" i="2"/>
  <c r="AB169" i="2"/>
  <c r="AB110" i="2"/>
  <c r="AB111" i="2"/>
  <c r="AB354" i="2"/>
  <c r="AB355" i="2"/>
  <c r="AB356" i="2"/>
  <c r="AB112" i="2"/>
  <c r="AB113" i="2"/>
  <c r="AB114" i="2"/>
  <c r="AB115" i="2"/>
  <c r="AB116" i="2"/>
  <c r="AB117" i="2"/>
  <c r="AB118" i="2"/>
  <c r="AB119" i="2"/>
  <c r="AB936" i="2"/>
  <c r="AB937" i="2"/>
  <c r="AB938" i="2"/>
  <c r="AB125" i="2"/>
  <c r="AB126" i="2"/>
  <c r="AB127" i="2"/>
  <c r="AB128" i="2"/>
  <c r="AB129" i="2"/>
  <c r="AB130" i="2"/>
  <c r="AB939" i="2"/>
  <c r="AB940" i="2"/>
  <c r="AB941" i="2"/>
  <c r="AB942" i="2"/>
  <c r="AB943" i="2"/>
  <c r="AB944" i="2"/>
  <c r="AB945" i="2"/>
  <c r="AB946" i="2"/>
  <c r="AB947" i="2"/>
  <c r="AB948" i="2"/>
  <c r="AB949" i="2"/>
  <c r="AB950" i="2"/>
  <c r="AB951" i="2"/>
  <c r="AB952" i="2"/>
  <c r="AB953" i="2"/>
  <c r="AB954" i="2"/>
  <c r="AB955" i="2"/>
  <c r="AB956" i="2"/>
  <c r="AB957" i="2"/>
  <c r="AB958" i="2"/>
  <c r="AB959" i="2"/>
  <c r="AB960" i="2"/>
  <c r="AB961" i="2"/>
  <c r="AB962" i="2"/>
  <c r="AB963" i="2"/>
  <c r="AB964" i="2"/>
  <c r="AB965" i="2"/>
  <c r="AB357" i="2"/>
  <c r="AB966" i="2"/>
  <c r="AB967" i="2"/>
  <c r="AB968" i="2"/>
  <c r="AB969" i="2"/>
  <c r="AB970" i="2"/>
  <c r="AB971" i="2"/>
  <c r="AB972" i="2"/>
  <c r="AB973" i="2"/>
  <c r="AB974" i="2"/>
  <c r="AB975" i="2"/>
  <c r="AB976" i="2"/>
  <c r="AB977" i="2"/>
  <c r="AB978" i="2"/>
  <c r="AB979" i="2"/>
  <c r="AB980" i="2"/>
  <c r="AB981" i="2"/>
  <c r="AB982" i="2"/>
  <c r="AB983" i="2"/>
  <c r="AB984" i="2"/>
  <c r="AB985" i="2"/>
  <c r="AB986" i="2"/>
  <c r="AB987" i="2"/>
  <c r="AB988" i="2"/>
  <c r="AB989" i="2"/>
  <c r="AB990" i="2"/>
  <c r="AB991" i="2"/>
  <c r="H99" i="2"/>
  <c r="H100" i="2"/>
  <c r="H50" i="2"/>
  <c r="H51" i="2"/>
  <c r="H52" i="2"/>
  <c r="H53" i="2"/>
  <c r="H918" i="2"/>
  <c r="H919" i="2"/>
  <c r="H350" i="2"/>
  <c r="H920" i="2"/>
  <c r="H921" i="2"/>
  <c r="H922" i="2"/>
  <c r="H923" i="2"/>
  <c r="H924" i="2"/>
  <c r="H925" i="2"/>
  <c r="H926" i="2"/>
  <c r="H927" i="2"/>
  <c r="H928" i="2"/>
  <c r="H929" i="2"/>
  <c r="H930" i="2"/>
  <c r="H931" i="2"/>
  <c r="H932" i="2"/>
  <c r="H351" i="2"/>
  <c r="H352" i="2"/>
  <c r="H101" i="2"/>
  <c r="H102" i="2"/>
  <c r="H103" i="2"/>
  <c r="H104" i="2"/>
  <c r="H105" i="2"/>
  <c r="H106" i="2"/>
  <c r="H107" i="2"/>
  <c r="H933" i="2"/>
  <c r="H934" i="2"/>
  <c r="H935" i="2"/>
  <c r="H353" i="2"/>
  <c r="H108" i="2"/>
  <c r="H109" i="2"/>
  <c r="H169" i="2"/>
  <c r="H110" i="2"/>
  <c r="H111" i="2"/>
  <c r="H354" i="2"/>
  <c r="H355" i="2"/>
  <c r="H356" i="2"/>
  <c r="H112" i="2"/>
  <c r="H113" i="2"/>
  <c r="H114" i="2"/>
  <c r="H115" i="2"/>
  <c r="H116" i="2"/>
  <c r="H117" i="2"/>
  <c r="H118" i="2"/>
  <c r="H119" i="2"/>
  <c r="H936" i="2"/>
  <c r="H937" i="2"/>
  <c r="H938" i="2"/>
  <c r="H125" i="2"/>
  <c r="H126" i="2"/>
  <c r="H127" i="2"/>
  <c r="H128" i="2"/>
  <c r="H129" i="2"/>
  <c r="H130"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357"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F99" i="2"/>
  <c r="F100" i="2"/>
  <c r="F50" i="2"/>
  <c r="F51" i="2"/>
  <c r="F52" i="2"/>
  <c r="F53" i="2"/>
  <c r="F918" i="2"/>
  <c r="F919" i="2"/>
  <c r="F350" i="2"/>
  <c r="F920" i="2"/>
  <c r="F921" i="2"/>
  <c r="F922" i="2"/>
  <c r="F923" i="2"/>
  <c r="F924" i="2"/>
  <c r="F925" i="2"/>
  <c r="F926" i="2"/>
  <c r="F927" i="2"/>
  <c r="F928" i="2"/>
  <c r="F929" i="2"/>
  <c r="F930" i="2"/>
  <c r="F931" i="2"/>
  <c r="F932" i="2"/>
  <c r="F351" i="2"/>
  <c r="F352" i="2"/>
  <c r="F101" i="2"/>
  <c r="F102" i="2"/>
  <c r="F103" i="2"/>
  <c r="F104" i="2"/>
  <c r="F105" i="2"/>
  <c r="F106" i="2"/>
  <c r="F107" i="2"/>
  <c r="F933" i="2"/>
  <c r="F934" i="2"/>
  <c r="F935" i="2"/>
  <c r="F353" i="2"/>
  <c r="F108" i="2"/>
  <c r="F109" i="2"/>
  <c r="F169" i="2"/>
  <c r="F110" i="2"/>
  <c r="F111" i="2"/>
  <c r="F354" i="2"/>
  <c r="F355" i="2"/>
  <c r="F356" i="2"/>
  <c r="F112" i="2"/>
  <c r="F113" i="2"/>
  <c r="F114" i="2"/>
  <c r="F115" i="2"/>
  <c r="F116" i="2"/>
  <c r="F117" i="2"/>
  <c r="F118" i="2"/>
  <c r="F119" i="2"/>
  <c r="F936" i="2"/>
  <c r="F937" i="2"/>
  <c r="F938" i="2"/>
  <c r="F125" i="2"/>
  <c r="F126" i="2"/>
  <c r="F127" i="2"/>
  <c r="F128" i="2"/>
  <c r="F129" i="2"/>
  <c r="F130" i="2"/>
  <c r="F939" i="2"/>
  <c r="F940" i="2"/>
  <c r="F941" i="2"/>
  <c r="F942" i="2"/>
  <c r="F943" i="2"/>
  <c r="F944" i="2"/>
  <c r="F945" i="2"/>
  <c r="F946" i="2"/>
  <c r="F947" i="2"/>
  <c r="F948" i="2"/>
  <c r="F949" i="2"/>
  <c r="F950" i="2"/>
  <c r="F951" i="2"/>
  <c r="F952" i="2"/>
  <c r="F953" i="2"/>
  <c r="F954" i="2"/>
  <c r="F955" i="2"/>
  <c r="F956" i="2"/>
  <c r="F957" i="2"/>
  <c r="F958" i="2"/>
  <c r="F959" i="2"/>
  <c r="F960" i="2"/>
  <c r="F961" i="2"/>
  <c r="F962" i="2"/>
  <c r="F963" i="2"/>
  <c r="F964" i="2"/>
  <c r="F965" i="2"/>
  <c r="F966" i="2"/>
  <c r="F967" i="2"/>
  <c r="F968" i="2"/>
  <c r="F969" i="2"/>
  <c r="F970" i="2"/>
  <c r="F971" i="2"/>
  <c r="F972" i="2"/>
  <c r="F973" i="2"/>
  <c r="F974" i="2"/>
  <c r="F975" i="2"/>
  <c r="F976" i="2"/>
  <c r="F977" i="2"/>
  <c r="F978" i="2"/>
  <c r="F979" i="2"/>
  <c r="F980" i="2"/>
  <c r="F981" i="2"/>
  <c r="F982" i="2"/>
  <c r="F983" i="2"/>
  <c r="F984" i="2"/>
  <c r="F985" i="2"/>
  <c r="F986" i="2"/>
  <c r="F987" i="2"/>
  <c r="F988" i="2"/>
  <c r="F989" i="2"/>
  <c r="F990" i="2"/>
  <c r="F991" i="2"/>
  <c r="A991" i="2"/>
  <c r="D991" i="2"/>
  <c r="G991" i="2"/>
  <c r="A973" i="2"/>
  <c r="A974" i="2"/>
  <c r="A975" i="2"/>
  <c r="A976" i="2"/>
  <c r="A977" i="2"/>
  <c r="A978" i="2"/>
  <c r="A979" i="2"/>
  <c r="A980" i="2"/>
  <c r="A981" i="2"/>
  <c r="A982" i="2"/>
  <c r="A983" i="2"/>
  <c r="A984" i="2"/>
  <c r="A985" i="2"/>
  <c r="A986" i="2"/>
  <c r="A987" i="2"/>
  <c r="A988" i="2"/>
  <c r="A989" i="2"/>
  <c r="A990" i="2"/>
  <c r="D973" i="2"/>
  <c r="D974" i="2"/>
  <c r="D975" i="2"/>
  <c r="D976" i="2"/>
  <c r="D977" i="2"/>
  <c r="D978" i="2"/>
  <c r="D979" i="2"/>
  <c r="D980" i="2"/>
  <c r="D981" i="2"/>
  <c r="D982" i="2"/>
  <c r="D983" i="2"/>
  <c r="D984" i="2"/>
  <c r="D985" i="2"/>
  <c r="D986" i="2"/>
  <c r="D987" i="2"/>
  <c r="D988" i="2"/>
  <c r="D989" i="2"/>
  <c r="D990" i="2"/>
  <c r="G973" i="2"/>
  <c r="G974" i="2"/>
  <c r="G975" i="2"/>
  <c r="G976" i="2"/>
  <c r="G977" i="2"/>
  <c r="G978" i="2"/>
  <c r="G979" i="2"/>
  <c r="G980" i="2"/>
  <c r="G981" i="2"/>
  <c r="G982" i="2"/>
  <c r="G983" i="2"/>
  <c r="G984" i="2"/>
  <c r="G985" i="2"/>
  <c r="G986" i="2"/>
  <c r="G987" i="2"/>
  <c r="G988" i="2"/>
  <c r="G989" i="2"/>
  <c r="G990" i="2"/>
  <c r="A953" i="2"/>
  <c r="A954" i="2"/>
  <c r="A955" i="2"/>
  <c r="A956" i="2"/>
  <c r="A957" i="2"/>
  <c r="A958" i="2"/>
  <c r="A959" i="2"/>
  <c r="A960" i="2"/>
  <c r="A961" i="2"/>
  <c r="A962" i="2"/>
  <c r="A963" i="2"/>
  <c r="A964" i="2"/>
  <c r="A965" i="2"/>
  <c r="A357" i="2"/>
  <c r="A966" i="2"/>
  <c r="A967" i="2"/>
  <c r="A968" i="2"/>
  <c r="A969" i="2"/>
  <c r="A970" i="2"/>
  <c r="A971" i="2"/>
  <c r="A972" i="2"/>
  <c r="D953" i="2"/>
  <c r="D954" i="2"/>
  <c r="D955" i="2"/>
  <c r="D956" i="2"/>
  <c r="D957" i="2"/>
  <c r="D958" i="2"/>
  <c r="D959" i="2"/>
  <c r="D960" i="2"/>
  <c r="D961" i="2"/>
  <c r="D962" i="2"/>
  <c r="D963" i="2"/>
  <c r="D964" i="2"/>
  <c r="D965" i="2"/>
  <c r="D357" i="2"/>
  <c r="D966" i="2"/>
  <c r="D967" i="2"/>
  <c r="D968" i="2"/>
  <c r="D969" i="2"/>
  <c r="D970" i="2"/>
  <c r="D971" i="2"/>
  <c r="D972" i="2"/>
  <c r="G953" i="2"/>
  <c r="G954" i="2"/>
  <c r="G955" i="2"/>
  <c r="G956" i="2"/>
  <c r="G957" i="2"/>
  <c r="G958" i="2"/>
  <c r="G959" i="2"/>
  <c r="G960" i="2"/>
  <c r="G961" i="2"/>
  <c r="G962" i="2"/>
  <c r="G963" i="2"/>
  <c r="G964" i="2"/>
  <c r="G965" i="2"/>
  <c r="G357" i="2"/>
  <c r="G966" i="2"/>
  <c r="G967" i="2"/>
  <c r="G968" i="2"/>
  <c r="G969" i="2"/>
  <c r="G970" i="2"/>
  <c r="G971" i="2"/>
  <c r="G972" i="2"/>
  <c r="A50" i="2"/>
  <c r="A51" i="2"/>
  <c r="A52" i="2"/>
  <c r="A53" i="2"/>
  <c r="A918" i="2"/>
  <c r="A919" i="2"/>
  <c r="A350" i="2"/>
  <c r="A920" i="2"/>
  <c r="A921" i="2"/>
  <c r="A922" i="2"/>
  <c r="A923" i="2"/>
  <c r="A924" i="2"/>
  <c r="A925" i="2"/>
  <c r="A926" i="2"/>
  <c r="A927" i="2"/>
  <c r="A928" i="2"/>
  <c r="A929" i="2"/>
  <c r="A930" i="2"/>
  <c r="A931" i="2"/>
  <c r="A932" i="2"/>
  <c r="A351" i="2"/>
  <c r="A352" i="2"/>
  <c r="A101" i="2"/>
  <c r="A102" i="2"/>
  <c r="A103" i="2"/>
  <c r="A104" i="2"/>
  <c r="A105" i="2"/>
  <c r="A106" i="2"/>
  <c r="A107" i="2"/>
  <c r="A933" i="2"/>
  <c r="A934" i="2"/>
  <c r="A935" i="2"/>
  <c r="A353" i="2"/>
  <c r="A108" i="2"/>
  <c r="A109" i="2"/>
  <c r="A169" i="2"/>
  <c r="A110" i="2"/>
  <c r="A111" i="2"/>
  <c r="A354" i="2"/>
  <c r="A355" i="2"/>
  <c r="A356" i="2"/>
  <c r="A112" i="2"/>
  <c r="A113" i="2"/>
  <c r="A114" i="2"/>
  <c r="A115" i="2"/>
  <c r="A116" i="2"/>
  <c r="A117" i="2"/>
  <c r="A118" i="2"/>
  <c r="A119" i="2"/>
  <c r="A936" i="2"/>
  <c r="A937" i="2"/>
  <c r="A938" i="2"/>
  <c r="A125" i="2"/>
  <c r="A126" i="2"/>
  <c r="A127" i="2"/>
  <c r="A128" i="2"/>
  <c r="A129" i="2"/>
  <c r="A130" i="2"/>
  <c r="A939" i="2"/>
  <c r="A940" i="2"/>
  <c r="A941" i="2"/>
  <c r="A942" i="2"/>
  <c r="A943" i="2"/>
  <c r="A944" i="2"/>
  <c r="A945" i="2"/>
  <c r="A946" i="2"/>
  <c r="A947" i="2"/>
  <c r="A948" i="2"/>
  <c r="A949" i="2"/>
  <c r="A950" i="2"/>
  <c r="A951" i="2"/>
  <c r="A952" i="2"/>
  <c r="D50" i="2"/>
  <c r="D51" i="2"/>
  <c r="D52" i="2"/>
  <c r="D53" i="2"/>
  <c r="D918" i="2"/>
  <c r="D919" i="2"/>
  <c r="D350" i="2"/>
  <c r="D920" i="2"/>
  <c r="D921" i="2"/>
  <c r="D922" i="2"/>
  <c r="D923" i="2"/>
  <c r="D924" i="2"/>
  <c r="D925" i="2"/>
  <c r="D926" i="2"/>
  <c r="D927" i="2"/>
  <c r="D928" i="2"/>
  <c r="D929" i="2"/>
  <c r="D930" i="2"/>
  <c r="D931" i="2"/>
  <c r="D932" i="2"/>
  <c r="D351" i="2"/>
  <c r="D352" i="2"/>
  <c r="D101" i="2"/>
  <c r="D102" i="2"/>
  <c r="D103" i="2"/>
  <c r="D104" i="2"/>
  <c r="D105" i="2"/>
  <c r="D106" i="2"/>
  <c r="D107" i="2"/>
  <c r="D933" i="2"/>
  <c r="D934" i="2"/>
  <c r="D935" i="2"/>
  <c r="D353" i="2"/>
  <c r="D108" i="2"/>
  <c r="D109" i="2"/>
  <c r="D169" i="2"/>
  <c r="D110" i="2"/>
  <c r="D111" i="2"/>
  <c r="D354" i="2"/>
  <c r="D355" i="2"/>
  <c r="D356" i="2"/>
  <c r="D112" i="2"/>
  <c r="D113" i="2"/>
  <c r="D114" i="2"/>
  <c r="D115" i="2"/>
  <c r="D116" i="2"/>
  <c r="D117" i="2"/>
  <c r="D118" i="2"/>
  <c r="D119" i="2"/>
  <c r="D936" i="2"/>
  <c r="D937" i="2"/>
  <c r="D938" i="2"/>
  <c r="D125" i="2"/>
  <c r="D126" i="2"/>
  <c r="D127" i="2"/>
  <c r="D128" i="2"/>
  <c r="D129" i="2"/>
  <c r="D130" i="2"/>
  <c r="D939" i="2"/>
  <c r="D940" i="2"/>
  <c r="D941" i="2"/>
  <c r="D942" i="2"/>
  <c r="D943" i="2"/>
  <c r="D944" i="2"/>
  <c r="D945" i="2"/>
  <c r="D946" i="2"/>
  <c r="D947" i="2"/>
  <c r="D948" i="2"/>
  <c r="D949" i="2"/>
  <c r="D950" i="2"/>
  <c r="D951" i="2"/>
  <c r="D952" i="2"/>
  <c r="G50" i="2"/>
  <c r="G51" i="2"/>
  <c r="G52" i="2"/>
  <c r="G53" i="2"/>
  <c r="G918" i="2"/>
  <c r="G919" i="2"/>
  <c r="G350" i="2"/>
  <c r="G920" i="2"/>
  <c r="G921" i="2"/>
  <c r="G922" i="2"/>
  <c r="G923" i="2"/>
  <c r="G924" i="2"/>
  <c r="G925" i="2"/>
  <c r="G926" i="2"/>
  <c r="G927" i="2"/>
  <c r="G928" i="2"/>
  <c r="G929" i="2"/>
  <c r="G930" i="2"/>
  <c r="G931" i="2"/>
  <c r="G932" i="2"/>
  <c r="G351" i="2"/>
  <c r="G352" i="2"/>
  <c r="G101" i="2"/>
  <c r="G102" i="2"/>
  <c r="G103" i="2"/>
  <c r="G104" i="2"/>
  <c r="G105" i="2"/>
  <c r="G106" i="2"/>
  <c r="G107" i="2"/>
  <c r="G933" i="2"/>
  <c r="G934" i="2"/>
  <c r="G935" i="2"/>
  <c r="G353" i="2"/>
  <c r="G108" i="2"/>
  <c r="G109" i="2"/>
  <c r="G169" i="2"/>
  <c r="G110" i="2"/>
  <c r="G111" i="2"/>
  <c r="G354" i="2"/>
  <c r="G355" i="2"/>
  <c r="G356" i="2"/>
  <c r="G112" i="2"/>
  <c r="G113" i="2"/>
  <c r="G114" i="2"/>
  <c r="G115" i="2"/>
  <c r="G116" i="2"/>
  <c r="G117" i="2"/>
  <c r="G118" i="2"/>
  <c r="G119" i="2"/>
  <c r="G936" i="2"/>
  <c r="G937" i="2"/>
  <c r="G938" i="2"/>
  <c r="G125" i="2"/>
  <c r="G126" i="2"/>
  <c r="G127" i="2"/>
  <c r="G128" i="2"/>
  <c r="G129" i="2"/>
  <c r="G130" i="2"/>
  <c r="G939" i="2"/>
  <c r="G940" i="2"/>
  <c r="G941" i="2"/>
  <c r="G942" i="2"/>
  <c r="G943" i="2"/>
  <c r="G944" i="2"/>
  <c r="G945" i="2"/>
  <c r="G946" i="2"/>
  <c r="G947" i="2"/>
  <c r="G948" i="2"/>
  <c r="G949" i="2"/>
  <c r="G950" i="2"/>
  <c r="G951" i="2"/>
  <c r="G952" i="2"/>
  <c r="A99" i="2"/>
  <c r="A100" i="2"/>
  <c r="D99" i="2"/>
  <c r="D100" i="2"/>
  <c r="G99" i="2"/>
  <c r="G100" i="2"/>
  <c r="AA203" i="2"/>
  <c r="R203" i="2"/>
  <c r="AB166" i="2"/>
  <c r="S166" i="2"/>
  <c r="H166" i="2"/>
  <c r="G166" i="2"/>
  <c r="F166" i="2"/>
  <c r="D166" i="2"/>
  <c r="A166" i="2"/>
  <c r="A2" i="2"/>
  <c r="A3"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120" i="2"/>
  <c r="A121"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70" i="2"/>
  <c r="A171" i="2"/>
  <c r="A87" i="2"/>
  <c r="A172" i="2"/>
  <c r="A173" i="2"/>
  <c r="A174" i="2"/>
  <c r="A175" i="2"/>
  <c r="A176" i="2"/>
  <c r="A177" i="2"/>
  <c r="A178" i="2"/>
  <c r="A179" i="2"/>
  <c r="A180" i="2"/>
  <c r="A181" i="2"/>
  <c r="A182" i="2"/>
  <c r="A183" i="2"/>
  <c r="A184" i="2"/>
  <c r="A185" i="2"/>
  <c r="A186" i="2"/>
  <c r="A187" i="2"/>
  <c r="A188"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69" i="2"/>
  <c r="A370" i="2"/>
  <c r="A1011" i="2"/>
  <c r="A1012"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1013" i="2"/>
  <c r="A1014" i="2"/>
  <c r="A1015" i="2"/>
  <c r="A1016" i="2"/>
  <c r="A1017" i="2"/>
  <c r="A1018" i="2"/>
  <c r="A1019" i="2"/>
  <c r="A1020" i="2"/>
  <c r="A1021" i="2"/>
  <c r="A1022" i="2"/>
  <c r="A1023" i="2"/>
  <c r="A1024" i="2"/>
  <c r="A1025" i="2"/>
  <c r="A1027" i="2"/>
  <c r="A1028"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329" i="2"/>
  <c r="A782" i="2"/>
  <c r="A783" i="2"/>
  <c r="A784" i="2"/>
  <c r="A785" i="2"/>
  <c r="A786" i="2"/>
  <c r="A787" i="2"/>
  <c r="A788" i="2"/>
  <c r="A789" i="2"/>
  <c r="A790" i="2"/>
  <c r="A791" i="2"/>
  <c r="A1026"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330"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331" i="2"/>
  <c r="A371" i="2"/>
  <c r="A372" i="2"/>
  <c r="A373" i="2"/>
  <c r="A374" i="2"/>
  <c r="A122" i="2"/>
  <c r="A123" i="2"/>
  <c r="A124" i="2"/>
  <c r="A198" i="2"/>
  <c r="A199" i="2"/>
  <c r="A200" i="2"/>
  <c r="A201" i="2"/>
  <c r="A202" i="2"/>
  <c r="A203" i="2"/>
  <c r="A204" i="2"/>
  <c r="A259" i="2"/>
  <c r="A887" i="2"/>
  <c r="A888" i="2"/>
  <c r="A889" i="2"/>
  <c r="A890" i="2"/>
  <c r="A891" i="2"/>
  <c r="A892" i="2"/>
  <c r="A97" i="2"/>
  <c r="A47" i="2"/>
  <c r="A48" i="2"/>
  <c r="A49" i="2"/>
  <c r="A98" i="2"/>
  <c r="A205" i="2"/>
  <c r="A206" i="2"/>
  <c r="A207" i="2"/>
  <c r="A208" i="2"/>
  <c r="A209" i="2"/>
  <c r="A210" i="2"/>
  <c r="A211" i="2"/>
  <c r="A212" i="2"/>
  <c r="A213" i="2"/>
  <c r="A214" i="2"/>
  <c r="A215" i="2"/>
  <c r="A216" i="2"/>
  <c r="A217" i="2"/>
  <c r="A167" i="2"/>
  <c r="A168" i="2"/>
  <c r="A218" i="2"/>
  <c r="A219" i="2"/>
  <c r="A893" i="2"/>
  <c r="A894" i="2"/>
  <c r="A895" i="2"/>
  <c r="A896" i="2"/>
  <c r="A897" i="2"/>
  <c r="A898" i="2"/>
  <c r="A899" i="2"/>
  <c r="A900" i="2"/>
  <c r="A220" i="2"/>
  <c r="A221" i="2"/>
  <c r="A222" i="2"/>
  <c r="A901" i="2"/>
  <c r="A902" i="2"/>
  <c r="A903" i="2"/>
  <c r="A904" i="2"/>
  <c r="A905" i="2"/>
  <c r="A906" i="2"/>
  <c r="A907" i="2"/>
  <c r="A908" i="2"/>
  <c r="A343" i="2"/>
  <c r="A866" i="2"/>
  <c r="A867" i="2"/>
  <c r="A868" i="2"/>
  <c r="A344" i="2"/>
  <c r="A345" i="2"/>
  <c r="A346" i="2"/>
  <c r="A347" i="2"/>
  <c r="A190" i="2"/>
  <c r="A191" i="2"/>
  <c r="A869" i="2"/>
  <c r="A870" i="2"/>
  <c r="A348" i="2"/>
  <c r="A349" i="2"/>
  <c r="A192" i="2"/>
  <c r="A193" i="2"/>
  <c r="A194" i="2"/>
  <c r="A195" i="2"/>
  <c r="A196" i="2"/>
  <c r="A197" i="2"/>
  <c r="A871" i="2"/>
  <c r="A872" i="2"/>
  <c r="A873" i="2"/>
  <c r="A874" i="2"/>
  <c r="A875" i="2"/>
  <c r="A876" i="2"/>
  <c r="A877" i="2"/>
  <c r="A878" i="2"/>
  <c r="A879" i="2"/>
  <c r="A880" i="2"/>
  <c r="A881" i="2"/>
  <c r="A882" i="2"/>
  <c r="A883" i="2"/>
  <c r="A884" i="2"/>
  <c r="A885" i="2"/>
  <c r="A886" i="2"/>
  <c r="A909" i="2"/>
  <c r="A910" i="2"/>
  <c r="A911" i="2"/>
  <c r="A912" i="2"/>
  <c r="A913" i="2"/>
  <c r="A914" i="2"/>
  <c r="A915" i="2"/>
  <c r="A916" i="2"/>
  <c r="A917" i="2"/>
  <c r="A88" i="2"/>
  <c r="A89" i="2"/>
  <c r="A90" i="2"/>
  <c r="A91" i="2"/>
  <c r="A92" i="2"/>
  <c r="A93" i="2"/>
  <c r="A94" i="2"/>
  <c r="A95" i="2"/>
  <c r="A96" i="2"/>
  <c r="A44" i="2"/>
  <c r="A45" i="2"/>
  <c r="A46" i="2"/>
  <c r="A189" i="2"/>
  <c r="A858" i="2"/>
  <c r="A859" i="2"/>
  <c r="A332" i="2"/>
  <c r="A333" i="2"/>
  <c r="A860" i="2"/>
  <c r="A334" i="2"/>
  <c r="A861" i="2"/>
  <c r="A335" i="2"/>
  <c r="A862" i="2"/>
  <c r="A863" i="2"/>
  <c r="A336" i="2"/>
  <c r="A337" i="2"/>
  <c r="A338" i="2"/>
  <c r="A339" i="2"/>
  <c r="A340" i="2"/>
  <c r="A341" i="2"/>
  <c r="A342" i="2"/>
  <c r="A864" i="2"/>
  <c r="A865" i="2"/>
  <c r="A4" i="2"/>
  <c r="AB88" i="2"/>
  <c r="AB89" i="2"/>
  <c r="AB90" i="2"/>
  <c r="AB91" i="2"/>
  <c r="AB92" i="2"/>
  <c r="AB93" i="2"/>
  <c r="AB94" i="2"/>
  <c r="AB95" i="2"/>
  <c r="AB96" i="2"/>
  <c r="AB44" i="2"/>
  <c r="AB45" i="2"/>
  <c r="AB46" i="2"/>
  <c r="AB189" i="2"/>
  <c r="AB858" i="2"/>
  <c r="AB859" i="2"/>
  <c r="AB332" i="2"/>
  <c r="AB333" i="2"/>
  <c r="AB860" i="2"/>
  <c r="AB334" i="2"/>
  <c r="AB861" i="2"/>
  <c r="AB335" i="2"/>
  <c r="AB862" i="2"/>
  <c r="AB863" i="2"/>
  <c r="AB336" i="2"/>
  <c r="AB337" i="2"/>
  <c r="AB338" i="2"/>
  <c r="AB339" i="2"/>
  <c r="AB340" i="2"/>
  <c r="AB341" i="2"/>
  <c r="AB342" i="2"/>
  <c r="AB864" i="2"/>
  <c r="AB865" i="2"/>
  <c r="AB4" i="2"/>
  <c r="S88" i="2"/>
  <c r="S89" i="2"/>
  <c r="S90" i="2"/>
  <c r="S91" i="2"/>
  <c r="S92" i="2"/>
  <c r="S93" i="2"/>
  <c r="S94" i="2"/>
  <c r="S95" i="2"/>
  <c r="S96" i="2"/>
  <c r="S44" i="2"/>
  <c r="S45" i="2"/>
  <c r="S46" i="2"/>
  <c r="S189" i="2"/>
  <c r="S858" i="2"/>
  <c r="S859" i="2"/>
  <c r="S332" i="2"/>
  <c r="S333" i="2"/>
  <c r="S860" i="2"/>
  <c r="S334" i="2"/>
  <c r="S861" i="2"/>
  <c r="S335" i="2"/>
  <c r="S862" i="2"/>
  <c r="S863" i="2"/>
  <c r="S336" i="2"/>
  <c r="S337" i="2"/>
  <c r="S338" i="2"/>
  <c r="S339" i="2"/>
  <c r="S340" i="2"/>
  <c r="S341" i="2"/>
  <c r="S342" i="2"/>
  <c r="S864" i="2"/>
  <c r="S865" i="2"/>
  <c r="S4" i="2"/>
  <c r="F88" i="2"/>
  <c r="F89" i="2"/>
  <c r="F90" i="2"/>
  <c r="F91" i="2"/>
  <c r="F92" i="2"/>
  <c r="F93" i="2"/>
  <c r="F94" i="2"/>
  <c r="F95" i="2"/>
  <c r="F96" i="2"/>
  <c r="F44" i="2"/>
  <c r="F45" i="2"/>
  <c r="F46" i="2"/>
  <c r="F189" i="2"/>
  <c r="F858" i="2"/>
  <c r="F859" i="2"/>
  <c r="F332" i="2"/>
  <c r="F333" i="2"/>
  <c r="F860" i="2"/>
  <c r="F334" i="2"/>
  <c r="F861" i="2"/>
  <c r="F335" i="2"/>
  <c r="F862" i="2"/>
  <c r="F863" i="2"/>
  <c r="F336" i="2"/>
  <c r="F337" i="2"/>
  <c r="F338" i="2"/>
  <c r="F339" i="2"/>
  <c r="F340" i="2"/>
  <c r="F341" i="2"/>
  <c r="F342" i="2"/>
  <c r="F864" i="2"/>
  <c r="F865" i="2"/>
  <c r="F4" i="2"/>
  <c r="H865" i="2"/>
  <c r="H4" i="2"/>
  <c r="H88" i="2"/>
  <c r="H89" i="2"/>
  <c r="H90" i="2"/>
  <c r="H91" i="2"/>
  <c r="H92" i="2"/>
  <c r="H93" i="2"/>
  <c r="H94" i="2"/>
  <c r="H95" i="2"/>
  <c r="H96" i="2"/>
  <c r="H44" i="2"/>
  <c r="H45" i="2"/>
  <c r="H46" i="2"/>
  <c r="H189" i="2"/>
  <c r="H858" i="2"/>
  <c r="H859" i="2"/>
  <c r="H332" i="2"/>
  <c r="H333" i="2"/>
  <c r="H860" i="2"/>
  <c r="H334" i="2"/>
  <c r="H861" i="2"/>
  <c r="H335" i="2"/>
  <c r="H862" i="2"/>
  <c r="H863" i="2"/>
  <c r="H336" i="2"/>
  <c r="H337" i="2"/>
  <c r="H338" i="2"/>
  <c r="H339" i="2"/>
  <c r="H340" i="2"/>
  <c r="H341" i="2"/>
  <c r="H342" i="2"/>
  <c r="H864" i="2"/>
  <c r="D88" i="2"/>
  <c r="D89" i="2"/>
  <c r="D90" i="2"/>
  <c r="D91" i="2"/>
  <c r="D92" i="2"/>
  <c r="D93" i="2"/>
  <c r="D94" i="2"/>
  <c r="D95" i="2"/>
  <c r="D96" i="2"/>
  <c r="D44" i="2"/>
  <c r="D45" i="2"/>
  <c r="D46" i="2"/>
  <c r="D189" i="2"/>
  <c r="D858" i="2"/>
  <c r="D859" i="2"/>
  <c r="D332" i="2"/>
  <c r="D333" i="2"/>
  <c r="D860" i="2"/>
  <c r="D334" i="2"/>
  <c r="D861" i="2"/>
  <c r="D335" i="2"/>
  <c r="D862" i="2"/>
  <c r="D863" i="2"/>
  <c r="D336" i="2"/>
  <c r="D337" i="2"/>
  <c r="D338" i="2"/>
  <c r="D339" i="2"/>
  <c r="D340" i="2"/>
  <c r="D341" i="2"/>
  <c r="D342" i="2"/>
  <c r="D864" i="2"/>
  <c r="D865" i="2"/>
  <c r="D4" i="2"/>
  <c r="G88" i="2"/>
  <c r="G89" i="2"/>
  <c r="G90" i="2"/>
  <c r="G91" i="2"/>
  <c r="G92" i="2"/>
  <c r="G93" i="2"/>
  <c r="G94" i="2"/>
  <c r="G95" i="2"/>
  <c r="G96" i="2"/>
  <c r="G44" i="2"/>
  <c r="G45" i="2"/>
  <c r="G46" i="2"/>
  <c r="G189" i="2"/>
  <c r="G858" i="2"/>
  <c r="G859" i="2"/>
  <c r="G332" i="2"/>
  <c r="G333" i="2"/>
  <c r="G860" i="2"/>
  <c r="G334" i="2"/>
  <c r="G861" i="2"/>
  <c r="G335" i="2"/>
  <c r="G862" i="2"/>
  <c r="G863" i="2"/>
  <c r="G336" i="2"/>
  <c r="G337" i="2"/>
  <c r="G338" i="2"/>
  <c r="G339" i="2"/>
  <c r="G340" i="2"/>
  <c r="G341" i="2"/>
  <c r="G342" i="2"/>
  <c r="G864" i="2"/>
  <c r="G865" i="2"/>
  <c r="G4" i="2"/>
  <c r="AA190" i="2"/>
  <c r="AA191" i="2"/>
  <c r="S123" i="2"/>
  <c r="S124" i="2"/>
  <c r="S198" i="2"/>
  <c r="S199" i="2"/>
  <c r="S200" i="2"/>
  <c r="S201" i="2"/>
  <c r="S202" i="2"/>
  <c r="S203" i="2"/>
  <c r="S204" i="2"/>
  <c r="S259" i="2"/>
  <c r="S887" i="2"/>
  <c r="S888" i="2"/>
  <c r="S889" i="2"/>
  <c r="S890" i="2"/>
  <c r="S891" i="2"/>
  <c r="S892" i="2"/>
  <c r="S97" i="2"/>
  <c r="S47" i="2"/>
  <c r="S48" i="2"/>
  <c r="S49" i="2"/>
  <c r="S98" i="2"/>
  <c r="S205" i="2"/>
  <c r="S206" i="2"/>
  <c r="S207" i="2"/>
  <c r="S208" i="2"/>
  <c r="S209" i="2"/>
  <c r="S210" i="2"/>
  <c r="S211" i="2"/>
  <c r="S212" i="2"/>
  <c r="S213" i="2"/>
  <c r="S214" i="2"/>
  <c r="S215" i="2"/>
  <c r="S216" i="2"/>
  <c r="S217" i="2"/>
  <c r="S167" i="2"/>
  <c r="S168" i="2"/>
  <c r="S218" i="2"/>
  <c r="S219" i="2"/>
  <c r="S893" i="2"/>
  <c r="S894" i="2"/>
  <c r="S895" i="2"/>
  <c r="S896" i="2"/>
  <c r="S897" i="2"/>
  <c r="S898" i="2"/>
  <c r="S899" i="2"/>
  <c r="S900" i="2"/>
  <c r="S220" i="2"/>
  <c r="S221" i="2"/>
  <c r="S222" i="2"/>
  <c r="S901" i="2"/>
  <c r="S902" i="2"/>
  <c r="S903" i="2"/>
  <c r="S904" i="2"/>
  <c r="S905" i="2"/>
  <c r="S906" i="2"/>
  <c r="S907" i="2"/>
  <c r="S908" i="2"/>
  <c r="S343" i="2"/>
  <c r="S866" i="2"/>
  <c r="S867" i="2"/>
  <c r="S868" i="2"/>
  <c r="S344" i="2"/>
  <c r="S345" i="2"/>
  <c r="S346" i="2"/>
  <c r="S347" i="2"/>
  <c r="S190" i="2"/>
  <c r="S191" i="2"/>
  <c r="S869" i="2"/>
  <c r="S870" i="2"/>
  <c r="S348" i="2"/>
  <c r="S349" i="2"/>
  <c r="S192" i="2"/>
  <c r="S193" i="2"/>
  <c r="S194" i="2"/>
  <c r="S195" i="2"/>
  <c r="S196" i="2"/>
  <c r="S197" i="2"/>
  <c r="S871" i="2"/>
  <c r="S872" i="2"/>
  <c r="S873" i="2"/>
  <c r="S874" i="2"/>
  <c r="S875" i="2"/>
  <c r="S876" i="2"/>
  <c r="S877" i="2"/>
  <c r="S878" i="2"/>
  <c r="S879" i="2"/>
  <c r="S880" i="2"/>
  <c r="S881" i="2"/>
  <c r="S882" i="2"/>
  <c r="S883" i="2"/>
  <c r="S884" i="2"/>
  <c r="S885" i="2"/>
  <c r="S886" i="2"/>
  <c r="S909" i="2"/>
  <c r="S910" i="2"/>
  <c r="S911" i="2"/>
  <c r="S912" i="2"/>
  <c r="S913" i="2"/>
  <c r="S914" i="2"/>
  <c r="S915" i="2"/>
  <c r="S916" i="2"/>
  <c r="S917" i="2"/>
  <c r="S2" i="2"/>
  <c r="S3"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120" i="2"/>
  <c r="S121"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70" i="2"/>
  <c r="S171" i="2"/>
  <c r="S87" i="2"/>
  <c r="S172" i="2"/>
  <c r="S173" i="2"/>
  <c r="S174" i="2"/>
  <c r="S175" i="2"/>
  <c r="S176" i="2"/>
  <c r="S177" i="2"/>
  <c r="S178" i="2"/>
  <c r="S179" i="2"/>
  <c r="S180" i="2"/>
  <c r="S181" i="2"/>
  <c r="S182" i="2"/>
  <c r="S183" i="2"/>
  <c r="S184" i="2"/>
  <c r="S185" i="2"/>
  <c r="S186" i="2"/>
  <c r="S187" i="2"/>
  <c r="S188"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69" i="2"/>
  <c r="S370" i="2"/>
  <c r="S1011" i="2"/>
  <c r="S1012"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594" i="2"/>
  <c r="S595" i="2"/>
  <c r="S596" i="2"/>
  <c r="S597" i="2"/>
  <c r="S598" i="2"/>
  <c r="S599" i="2"/>
  <c r="S600" i="2"/>
  <c r="S601" i="2"/>
  <c r="S602" i="2"/>
  <c r="S603" i="2"/>
  <c r="S604" i="2"/>
  <c r="S605" i="2"/>
  <c r="S606" i="2"/>
  <c r="S607" i="2"/>
  <c r="S608" i="2"/>
  <c r="S609" i="2"/>
  <c r="S610" i="2"/>
  <c r="S611" i="2"/>
  <c r="S612" i="2"/>
  <c r="S613" i="2"/>
  <c r="S614" i="2"/>
  <c r="S615" i="2"/>
  <c r="S616" i="2"/>
  <c r="S617" i="2"/>
  <c r="S618" i="2"/>
  <c r="S619" i="2"/>
  <c r="S620" i="2"/>
  <c r="S621" i="2"/>
  <c r="S622" i="2"/>
  <c r="S623" i="2"/>
  <c r="S624" i="2"/>
  <c r="S625" i="2"/>
  <c r="S626" i="2"/>
  <c r="S627" i="2"/>
  <c r="S628" i="2"/>
  <c r="S629" i="2"/>
  <c r="S630" i="2"/>
  <c r="S631" i="2"/>
  <c r="S632" i="2"/>
  <c r="S633" i="2"/>
  <c r="S634" i="2"/>
  <c r="S635" i="2"/>
  <c r="S636" i="2"/>
  <c r="S637" i="2"/>
  <c r="S638" i="2"/>
  <c r="S639" i="2"/>
  <c r="S640" i="2"/>
  <c r="S641" i="2"/>
  <c r="S642" i="2"/>
  <c r="S643" i="2"/>
  <c r="S644" i="2"/>
  <c r="S645" i="2"/>
  <c r="S646" i="2"/>
  <c r="S647" i="2"/>
  <c r="S648" i="2"/>
  <c r="S649" i="2"/>
  <c r="S650" i="2"/>
  <c r="S651" i="2"/>
  <c r="S652" i="2"/>
  <c r="S653" i="2"/>
  <c r="S654" i="2"/>
  <c r="S655" i="2"/>
  <c r="S656" i="2"/>
  <c r="S657" i="2"/>
  <c r="S658" i="2"/>
  <c r="S659" i="2"/>
  <c r="S660" i="2"/>
  <c r="S661" i="2"/>
  <c r="S662" i="2"/>
  <c r="S663" i="2"/>
  <c r="S664" i="2"/>
  <c r="S665" i="2"/>
  <c r="S666" i="2"/>
  <c r="S667" i="2"/>
  <c r="S668" i="2"/>
  <c r="S669" i="2"/>
  <c r="S670" i="2"/>
  <c r="S671" i="2"/>
  <c r="S672" i="2"/>
  <c r="S673" i="2"/>
  <c r="S674" i="2"/>
  <c r="S675" i="2"/>
  <c r="S676" i="2"/>
  <c r="S677" i="2"/>
  <c r="S678" i="2"/>
  <c r="S679" i="2"/>
  <c r="S680" i="2"/>
  <c r="S681" i="2"/>
  <c r="S682" i="2"/>
  <c r="S683" i="2"/>
  <c r="S684" i="2"/>
  <c r="S685" i="2"/>
  <c r="S686" i="2"/>
  <c r="S687" i="2"/>
  <c r="S688" i="2"/>
  <c r="S689" i="2"/>
  <c r="S690" i="2"/>
  <c r="S691" i="2"/>
  <c r="S692" i="2"/>
  <c r="S693" i="2"/>
  <c r="S694" i="2"/>
  <c r="S695" i="2"/>
  <c r="S696" i="2"/>
  <c r="S697" i="2"/>
  <c r="S698" i="2"/>
  <c r="S699" i="2"/>
  <c r="S700" i="2"/>
  <c r="S701" i="2"/>
  <c r="S702" i="2"/>
  <c r="S703" i="2"/>
  <c r="S704" i="2"/>
  <c r="S705" i="2"/>
  <c r="S706" i="2"/>
  <c r="S707" i="2"/>
  <c r="S708" i="2"/>
  <c r="S709" i="2"/>
  <c r="S710" i="2"/>
  <c r="S711" i="2"/>
  <c r="S712" i="2"/>
  <c r="S713" i="2"/>
  <c r="S714" i="2"/>
  <c r="S715" i="2"/>
  <c r="S716" i="2"/>
  <c r="S717" i="2"/>
  <c r="S718" i="2"/>
  <c r="S719" i="2"/>
  <c r="S720" i="2"/>
  <c r="S721" i="2"/>
  <c r="S722" i="2"/>
  <c r="S723" i="2"/>
  <c r="S724" i="2"/>
  <c r="S725" i="2"/>
  <c r="S726" i="2"/>
  <c r="S727" i="2"/>
  <c r="S728" i="2"/>
  <c r="S729" i="2"/>
  <c r="S730" i="2"/>
  <c r="S731" i="2"/>
  <c r="S732" i="2"/>
  <c r="S733" i="2"/>
  <c r="S734" i="2"/>
  <c r="S735" i="2"/>
  <c r="S736" i="2"/>
  <c r="S737" i="2"/>
  <c r="S738" i="2"/>
  <c r="S739" i="2"/>
  <c r="S740" i="2"/>
  <c r="S741" i="2"/>
  <c r="S742" i="2"/>
  <c r="S743" i="2"/>
  <c r="S744" i="2"/>
  <c r="S745" i="2"/>
  <c r="S746" i="2"/>
  <c r="S747" i="2"/>
  <c r="S748" i="2"/>
  <c r="S749" i="2"/>
  <c r="S750" i="2"/>
  <c r="S751" i="2"/>
  <c r="S752" i="2"/>
  <c r="S753" i="2"/>
  <c r="S754" i="2"/>
  <c r="S755" i="2"/>
  <c r="S1013" i="2"/>
  <c r="S1014" i="2"/>
  <c r="S1015" i="2"/>
  <c r="S1016" i="2"/>
  <c r="S1017" i="2"/>
  <c r="S1018" i="2"/>
  <c r="S1019" i="2"/>
  <c r="S1020" i="2"/>
  <c r="S1021" i="2"/>
  <c r="S1022" i="2"/>
  <c r="S1023" i="2"/>
  <c r="S1024" i="2"/>
  <c r="S1025" i="2"/>
  <c r="S1027" i="2"/>
  <c r="S1028" i="2"/>
  <c r="S756" i="2"/>
  <c r="S757" i="2"/>
  <c r="S758" i="2"/>
  <c r="S759" i="2"/>
  <c r="S760" i="2"/>
  <c r="S761" i="2"/>
  <c r="S762" i="2"/>
  <c r="S763" i="2"/>
  <c r="S764" i="2"/>
  <c r="S765" i="2"/>
  <c r="S766" i="2"/>
  <c r="S767" i="2"/>
  <c r="S768" i="2"/>
  <c r="S769" i="2"/>
  <c r="S770" i="2"/>
  <c r="S771" i="2"/>
  <c r="S772" i="2"/>
  <c r="S773" i="2"/>
  <c r="S774" i="2"/>
  <c r="S775" i="2"/>
  <c r="S776" i="2"/>
  <c r="S777" i="2"/>
  <c r="S778" i="2"/>
  <c r="S779" i="2"/>
  <c r="S780" i="2"/>
  <c r="S781" i="2"/>
  <c r="S329" i="2"/>
  <c r="S782" i="2"/>
  <c r="S783" i="2"/>
  <c r="S784" i="2"/>
  <c r="S785" i="2"/>
  <c r="S786" i="2"/>
  <c r="S787" i="2"/>
  <c r="S788" i="2"/>
  <c r="S789" i="2"/>
  <c r="S790" i="2"/>
  <c r="S791" i="2"/>
  <c r="S1026" i="2"/>
  <c r="S792" i="2"/>
  <c r="S793" i="2"/>
  <c r="S794" i="2"/>
  <c r="S795" i="2"/>
  <c r="S796" i="2"/>
  <c r="S797" i="2"/>
  <c r="S798" i="2"/>
  <c r="S799" i="2"/>
  <c r="S800" i="2"/>
  <c r="S801" i="2"/>
  <c r="S802" i="2"/>
  <c r="S803" i="2"/>
  <c r="S804" i="2"/>
  <c r="S805" i="2"/>
  <c r="S806" i="2"/>
  <c r="S807" i="2"/>
  <c r="S808" i="2"/>
  <c r="S809" i="2"/>
  <c r="S810" i="2"/>
  <c r="S811" i="2"/>
  <c r="S812" i="2"/>
  <c r="S813" i="2"/>
  <c r="S814" i="2"/>
  <c r="S815" i="2"/>
  <c r="S816" i="2"/>
  <c r="S817" i="2"/>
  <c r="S818" i="2"/>
  <c r="S819" i="2"/>
  <c r="S820" i="2"/>
  <c r="S821" i="2"/>
  <c r="S822" i="2"/>
  <c r="S823" i="2"/>
  <c r="S824" i="2"/>
  <c r="S330" i="2"/>
  <c r="S825" i="2"/>
  <c r="S826" i="2"/>
  <c r="S827" i="2"/>
  <c r="S828" i="2"/>
  <c r="S829" i="2"/>
  <c r="S830" i="2"/>
  <c r="S831" i="2"/>
  <c r="S832" i="2"/>
  <c r="S833" i="2"/>
  <c r="S834" i="2"/>
  <c r="S835" i="2"/>
  <c r="S836" i="2"/>
  <c r="S837" i="2"/>
  <c r="S838" i="2"/>
  <c r="S839" i="2"/>
  <c r="S840" i="2"/>
  <c r="S841" i="2"/>
  <c r="S842" i="2"/>
  <c r="S843" i="2"/>
  <c r="S844" i="2"/>
  <c r="S845" i="2"/>
  <c r="S846" i="2"/>
  <c r="S847" i="2"/>
  <c r="S848" i="2"/>
  <c r="S849" i="2"/>
  <c r="S850" i="2"/>
  <c r="S851" i="2"/>
  <c r="S852" i="2"/>
  <c r="S853" i="2"/>
  <c r="S854" i="2"/>
  <c r="S855" i="2"/>
  <c r="S856" i="2"/>
  <c r="S857" i="2"/>
  <c r="S331" i="2"/>
  <c r="S371" i="2"/>
  <c r="S372" i="2"/>
  <c r="S373" i="2"/>
  <c r="S374" i="2"/>
  <c r="S122" i="2"/>
  <c r="AB122" i="2"/>
  <c r="AB123" i="2"/>
  <c r="AB124" i="2"/>
  <c r="AB198" i="2"/>
  <c r="AB199" i="2"/>
  <c r="AB200" i="2"/>
  <c r="AB201" i="2"/>
  <c r="AB202" i="2"/>
  <c r="AB203" i="2"/>
  <c r="AB204" i="2"/>
  <c r="AB259" i="2"/>
  <c r="AB887" i="2"/>
  <c r="AB888" i="2"/>
  <c r="AB889" i="2"/>
  <c r="AB890" i="2"/>
  <c r="AB891" i="2"/>
  <c r="AB892" i="2"/>
  <c r="AB97" i="2"/>
  <c r="AB47" i="2"/>
  <c r="AB48" i="2"/>
  <c r="AB49" i="2"/>
  <c r="AB98" i="2"/>
  <c r="AB205" i="2"/>
  <c r="AB206" i="2"/>
  <c r="AB207" i="2"/>
  <c r="AB208" i="2"/>
  <c r="AB209" i="2"/>
  <c r="AB210" i="2"/>
  <c r="AB211" i="2"/>
  <c r="AB212" i="2"/>
  <c r="AB213" i="2"/>
  <c r="AB214" i="2"/>
  <c r="AB215" i="2"/>
  <c r="AB216" i="2"/>
  <c r="AB217" i="2"/>
  <c r="AB167" i="2"/>
  <c r="AB168" i="2"/>
  <c r="AB218" i="2"/>
  <c r="AB219" i="2"/>
  <c r="AB893" i="2"/>
  <c r="AB894" i="2"/>
  <c r="AB895" i="2"/>
  <c r="AB896" i="2"/>
  <c r="AB897" i="2"/>
  <c r="AB898" i="2"/>
  <c r="AB899" i="2"/>
  <c r="AB900" i="2"/>
  <c r="AB220" i="2"/>
  <c r="AB221" i="2"/>
  <c r="AB222" i="2"/>
  <c r="AB901" i="2"/>
  <c r="AB902" i="2"/>
  <c r="AB903" i="2"/>
  <c r="AB904" i="2"/>
  <c r="AB905" i="2"/>
  <c r="AB906" i="2"/>
  <c r="AB907" i="2"/>
  <c r="AB908" i="2"/>
  <c r="AB343" i="2"/>
  <c r="AB866" i="2"/>
  <c r="AB867" i="2"/>
  <c r="AB868" i="2"/>
  <c r="AB344" i="2"/>
  <c r="AB345" i="2"/>
  <c r="AB346" i="2"/>
  <c r="AB347" i="2"/>
  <c r="AB190" i="2"/>
  <c r="AB191" i="2"/>
  <c r="AB869" i="2"/>
  <c r="AB870" i="2"/>
  <c r="AB348" i="2"/>
  <c r="AB349" i="2"/>
  <c r="AB192" i="2"/>
  <c r="AB193" i="2"/>
  <c r="AB194" i="2"/>
  <c r="AB195" i="2"/>
  <c r="AB196" i="2"/>
  <c r="AB197" i="2"/>
  <c r="AB871" i="2"/>
  <c r="AB872" i="2"/>
  <c r="AB873" i="2"/>
  <c r="AB874" i="2"/>
  <c r="AB875" i="2"/>
  <c r="AB876" i="2"/>
  <c r="AB877" i="2"/>
  <c r="AB878" i="2"/>
  <c r="AB879" i="2"/>
  <c r="AB880" i="2"/>
  <c r="AB881" i="2"/>
  <c r="AB882" i="2"/>
  <c r="AB883" i="2"/>
  <c r="AB884" i="2"/>
  <c r="AB885" i="2"/>
  <c r="AB886" i="2"/>
  <c r="AB909" i="2"/>
  <c r="AB910" i="2"/>
  <c r="AB911" i="2"/>
  <c r="AB912" i="2"/>
  <c r="AB913" i="2"/>
  <c r="AB914" i="2"/>
  <c r="AB915" i="2"/>
  <c r="AB916" i="2"/>
  <c r="AB917" i="2"/>
  <c r="H122" i="2"/>
  <c r="H123" i="2"/>
  <c r="H124" i="2"/>
  <c r="H198" i="2"/>
  <c r="H199" i="2"/>
  <c r="H200" i="2"/>
  <c r="H201" i="2"/>
  <c r="H202" i="2"/>
  <c r="H203" i="2"/>
  <c r="H204" i="2"/>
  <c r="H259" i="2"/>
  <c r="H887" i="2"/>
  <c r="H888" i="2"/>
  <c r="H889" i="2"/>
  <c r="H890" i="2"/>
  <c r="H891" i="2"/>
  <c r="H892" i="2"/>
  <c r="H97" i="2"/>
  <c r="H47" i="2"/>
  <c r="H48" i="2"/>
  <c r="H49" i="2"/>
  <c r="H98" i="2"/>
  <c r="H205" i="2"/>
  <c r="H206" i="2"/>
  <c r="H207" i="2"/>
  <c r="H208" i="2"/>
  <c r="H209" i="2"/>
  <c r="H210" i="2"/>
  <c r="H211" i="2"/>
  <c r="H212" i="2"/>
  <c r="H213" i="2"/>
  <c r="H214" i="2"/>
  <c r="H215" i="2"/>
  <c r="H216" i="2"/>
  <c r="H217" i="2"/>
  <c r="H167" i="2"/>
  <c r="H168" i="2"/>
  <c r="H218" i="2"/>
  <c r="H219" i="2"/>
  <c r="H893" i="2"/>
  <c r="H894" i="2"/>
  <c r="H895" i="2"/>
  <c r="H896" i="2"/>
  <c r="H897" i="2"/>
  <c r="H898" i="2"/>
  <c r="H899" i="2"/>
  <c r="H900" i="2"/>
  <c r="H220" i="2"/>
  <c r="H221" i="2"/>
  <c r="H222" i="2"/>
  <c r="H901" i="2"/>
  <c r="H902" i="2"/>
  <c r="H903" i="2"/>
  <c r="H904" i="2"/>
  <c r="H905" i="2"/>
  <c r="H906" i="2"/>
  <c r="H907" i="2"/>
  <c r="H908" i="2"/>
  <c r="H343" i="2"/>
  <c r="H866" i="2"/>
  <c r="H867" i="2"/>
  <c r="H868" i="2"/>
  <c r="H344" i="2"/>
  <c r="H345" i="2"/>
  <c r="H346" i="2"/>
  <c r="H347" i="2"/>
  <c r="H190" i="2"/>
  <c r="H191" i="2"/>
  <c r="H869" i="2"/>
  <c r="H870" i="2"/>
  <c r="H348" i="2"/>
  <c r="H349" i="2"/>
  <c r="H192" i="2"/>
  <c r="H193" i="2"/>
  <c r="H194" i="2"/>
  <c r="H195" i="2"/>
  <c r="H196" i="2"/>
  <c r="H197" i="2"/>
  <c r="H871" i="2"/>
  <c r="H872" i="2"/>
  <c r="H873" i="2"/>
  <c r="H874" i="2"/>
  <c r="H875" i="2"/>
  <c r="H876" i="2"/>
  <c r="H877" i="2"/>
  <c r="H878" i="2"/>
  <c r="H879" i="2"/>
  <c r="H880" i="2"/>
  <c r="H881" i="2"/>
  <c r="H882" i="2"/>
  <c r="H883" i="2"/>
  <c r="H884" i="2"/>
  <c r="H885" i="2"/>
  <c r="H886" i="2"/>
  <c r="H909" i="2"/>
  <c r="H910" i="2"/>
  <c r="H911" i="2"/>
  <c r="H912" i="2"/>
  <c r="H913" i="2"/>
  <c r="H914" i="2"/>
  <c r="H915" i="2"/>
  <c r="H916" i="2"/>
  <c r="H917" i="2"/>
  <c r="F122" i="2"/>
  <c r="F123" i="2"/>
  <c r="F124" i="2"/>
  <c r="F198" i="2"/>
  <c r="F199" i="2"/>
  <c r="F200" i="2"/>
  <c r="F201" i="2"/>
  <c r="F202" i="2"/>
  <c r="F203" i="2"/>
  <c r="F204" i="2"/>
  <c r="F259" i="2"/>
  <c r="F887" i="2"/>
  <c r="F888" i="2"/>
  <c r="F889" i="2"/>
  <c r="F890" i="2"/>
  <c r="F891" i="2"/>
  <c r="F892" i="2"/>
  <c r="F97" i="2"/>
  <c r="F47" i="2"/>
  <c r="F48" i="2"/>
  <c r="F49" i="2"/>
  <c r="F98" i="2"/>
  <c r="F205" i="2"/>
  <c r="F206" i="2"/>
  <c r="F207" i="2"/>
  <c r="F208" i="2"/>
  <c r="F209" i="2"/>
  <c r="F210" i="2"/>
  <c r="F211" i="2"/>
  <c r="F212" i="2"/>
  <c r="F213" i="2"/>
  <c r="F214" i="2"/>
  <c r="F215" i="2"/>
  <c r="F216" i="2"/>
  <c r="F217" i="2"/>
  <c r="F167" i="2"/>
  <c r="F168" i="2"/>
  <c r="F218" i="2"/>
  <c r="F219" i="2"/>
  <c r="F893" i="2"/>
  <c r="F894" i="2"/>
  <c r="F895" i="2"/>
  <c r="F896" i="2"/>
  <c r="F897" i="2"/>
  <c r="F898" i="2"/>
  <c r="F899" i="2"/>
  <c r="F900" i="2"/>
  <c r="F220" i="2"/>
  <c r="F221" i="2"/>
  <c r="F222" i="2"/>
  <c r="F901" i="2"/>
  <c r="F902" i="2"/>
  <c r="F903" i="2"/>
  <c r="F904" i="2"/>
  <c r="F905" i="2"/>
  <c r="F906" i="2"/>
  <c r="F907" i="2"/>
  <c r="F908" i="2"/>
  <c r="F343" i="2"/>
  <c r="F866" i="2"/>
  <c r="F867" i="2"/>
  <c r="F868" i="2"/>
  <c r="F344" i="2"/>
  <c r="F345" i="2"/>
  <c r="F346" i="2"/>
  <c r="F347" i="2"/>
  <c r="F190" i="2"/>
  <c r="F191" i="2"/>
  <c r="F869" i="2"/>
  <c r="F870" i="2"/>
  <c r="F348" i="2"/>
  <c r="F349" i="2"/>
  <c r="F192" i="2"/>
  <c r="F193" i="2"/>
  <c r="F194" i="2"/>
  <c r="F195" i="2"/>
  <c r="F196" i="2"/>
  <c r="F197" i="2"/>
  <c r="F871" i="2"/>
  <c r="F872" i="2"/>
  <c r="F873" i="2"/>
  <c r="F874" i="2"/>
  <c r="F875" i="2"/>
  <c r="F876" i="2"/>
  <c r="F877" i="2"/>
  <c r="F878" i="2"/>
  <c r="F879" i="2"/>
  <c r="F880" i="2"/>
  <c r="F881" i="2"/>
  <c r="F882" i="2"/>
  <c r="F883" i="2"/>
  <c r="F884" i="2"/>
  <c r="F885" i="2"/>
  <c r="F886" i="2"/>
  <c r="F909" i="2"/>
  <c r="F910" i="2"/>
  <c r="F911" i="2"/>
  <c r="F912" i="2"/>
  <c r="F913" i="2"/>
  <c r="F914" i="2"/>
  <c r="F915" i="2"/>
  <c r="F916" i="2"/>
  <c r="F917" i="2"/>
  <c r="F374" i="2"/>
  <c r="D122" i="2"/>
  <c r="D123" i="2"/>
  <c r="D124" i="2"/>
  <c r="D198" i="2"/>
  <c r="D199" i="2"/>
  <c r="D200" i="2"/>
  <c r="D201" i="2"/>
  <c r="D202" i="2"/>
  <c r="D203" i="2"/>
  <c r="D204" i="2"/>
  <c r="D259" i="2"/>
  <c r="D887" i="2"/>
  <c r="D888" i="2"/>
  <c r="D889" i="2"/>
  <c r="D890" i="2"/>
  <c r="D891" i="2"/>
  <c r="D892" i="2"/>
  <c r="D97" i="2"/>
  <c r="D47" i="2"/>
  <c r="D48" i="2"/>
  <c r="D49" i="2"/>
  <c r="D98" i="2"/>
  <c r="D205" i="2"/>
  <c r="D206" i="2"/>
  <c r="D207" i="2"/>
  <c r="D208" i="2"/>
  <c r="D209" i="2"/>
  <c r="D210" i="2"/>
  <c r="D211" i="2"/>
  <c r="D212" i="2"/>
  <c r="D213" i="2"/>
  <c r="D214" i="2"/>
  <c r="D215" i="2"/>
  <c r="D216" i="2"/>
  <c r="D217" i="2"/>
  <c r="D167" i="2"/>
  <c r="D168" i="2"/>
  <c r="D218" i="2"/>
  <c r="D219" i="2"/>
  <c r="D893" i="2"/>
  <c r="D894" i="2"/>
  <c r="D895" i="2"/>
  <c r="D896" i="2"/>
  <c r="D897" i="2"/>
  <c r="D898" i="2"/>
  <c r="D899" i="2"/>
  <c r="D900" i="2"/>
  <c r="D220" i="2"/>
  <c r="D221" i="2"/>
  <c r="D222" i="2"/>
  <c r="D901" i="2"/>
  <c r="D902" i="2"/>
  <c r="D903" i="2"/>
  <c r="D904" i="2"/>
  <c r="D905" i="2"/>
  <c r="D906" i="2"/>
  <c r="D907" i="2"/>
  <c r="D908" i="2"/>
  <c r="D343" i="2"/>
  <c r="D866" i="2"/>
  <c r="D867" i="2"/>
  <c r="D868" i="2"/>
  <c r="D344" i="2"/>
  <c r="D345" i="2"/>
  <c r="D346" i="2"/>
  <c r="D347" i="2"/>
  <c r="D190" i="2"/>
  <c r="D191" i="2"/>
  <c r="D869" i="2"/>
  <c r="D870" i="2"/>
  <c r="D348" i="2"/>
  <c r="D349" i="2"/>
  <c r="D192" i="2"/>
  <c r="D193" i="2"/>
  <c r="D194" i="2"/>
  <c r="D195" i="2"/>
  <c r="D196" i="2"/>
  <c r="D197" i="2"/>
  <c r="D871" i="2"/>
  <c r="D872" i="2"/>
  <c r="D873" i="2"/>
  <c r="D874" i="2"/>
  <c r="D875" i="2"/>
  <c r="D876" i="2"/>
  <c r="D877" i="2"/>
  <c r="D878" i="2"/>
  <c r="D879" i="2"/>
  <c r="D880" i="2"/>
  <c r="D881" i="2"/>
  <c r="D882" i="2"/>
  <c r="D883" i="2"/>
  <c r="D884" i="2"/>
  <c r="D885" i="2"/>
  <c r="D886" i="2"/>
  <c r="D909" i="2"/>
  <c r="D910" i="2"/>
  <c r="D911" i="2"/>
  <c r="D912" i="2"/>
  <c r="D913" i="2"/>
  <c r="D914" i="2"/>
  <c r="D915" i="2"/>
  <c r="D916" i="2"/>
  <c r="D917" i="2"/>
  <c r="G122" i="2"/>
  <c r="G123" i="2"/>
  <c r="G124" i="2"/>
  <c r="G198" i="2"/>
  <c r="G199" i="2"/>
  <c r="G200" i="2"/>
  <c r="G201" i="2"/>
  <c r="G202" i="2"/>
  <c r="G203" i="2"/>
  <c r="G204" i="2"/>
  <c r="G259" i="2"/>
  <c r="G887" i="2"/>
  <c r="G888" i="2"/>
  <c r="G889" i="2"/>
  <c r="G890" i="2"/>
  <c r="G891" i="2"/>
  <c r="G892" i="2"/>
  <c r="G97" i="2"/>
  <c r="G47" i="2"/>
  <c r="G48" i="2"/>
  <c r="G49" i="2"/>
  <c r="G98" i="2"/>
  <c r="G205" i="2"/>
  <c r="G206" i="2"/>
  <c r="G207" i="2"/>
  <c r="G208" i="2"/>
  <c r="G209" i="2"/>
  <c r="G210" i="2"/>
  <c r="G211" i="2"/>
  <c r="G212" i="2"/>
  <c r="G213" i="2"/>
  <c r="G214" i="2"/>
  <c r="G215" i="2"/>
  <c r="G216" i="2"/>
  <c r="G217" i="2"/>
  <c r="G167" i="2"/>
  <c r="G168" i="2"/>
  <c r="G218" i="2"/>
  <c r="G219" i="2"/>
  <c r="G893" i="2"/>
  <c r="G894" i="2"/>
  <c r="G895" i="2"/>
  <c r="G896" i="2"/>
  <c r="G897" i="2"/>
  <c r="G898" i="2"/>
  <c r="G899" i="2"/>
  <c r="G900" i="2"/>
  <c r="G220" i="2"/>
  <c r="G221" i="2"/>
  <c r="G222" i="2"/>
  <c r="G901" i="2"/>
  <c r="G902" i="2"/>
  <c r="G903" i="2"/>
  <c r="G904" i="2"/>
  <c r="G905" i="2"/>
  <c r="G906" i="2"/>
  <c r="G907" i="2"/>
  <c r="G908" i="2"/>
  <c r="G343" i="2"/>
  <c r="G866" i="2"/>
  <c r="G867" i="2"/>
  <c r="G868" i="2"/>
  <c r="G344" i="2"/>
  <c r="G345" i="2"/>
  <c r="G346" i="2"/>
  <c r="G347" i="2"/>
  <c r="G190" i="2"/>
  <c r="G191" i="2"/>
  <c r="G869" i="2"/>
  <c r="G870" i="2"/>
  <c r="G348" i="2"/>
  <c r="G349" i="2"/>
  <c r="G192" i="2"/>
  <c r="G193" i="2"/>
  <c r="G194" i="2"/>
  <c r="G195" i="2"/>
  <c r="G196" i="2"/>
  <c r="G197" i="2"/>
  <c r="G871" i="2"/>
  <c r="G872" i="2"/>
  <c r="G873" i="2"/>
  <c r="G874" i="2"/>
  <c r="G875" i="2"/>
  <c r="G876" i="2"/>
  <c r="G877" i="2"/>
  <c r="G878" i="2"/>
  <c r="G879" i="2"/>
  <c r="G880" i="2"/>
  <c r="G881" i="2"/>
  <c r="G882" i="2"/>
  <c r="G883" i="2"/>
  <c r="G884" i="2"/>
  <c r="G885" i="2"/>
  <c r="G886" i="2"/>
  <c r="G909" i="2"/>
  <c r="G910" i="2"/>
  <c r="G911" i="2"/>
  <c r="G912" i="2"/>
  <c r="G913" i="2"/>
  <c r="G914" i="2"/>
  <c r="G915" i="2"/>
  <c r="G916" i="2"/>
  <c r="G917" i="2"/>
  <c r="AB28" i="2"/>
  <c r="AB29" i="2"/>
  <c r="AB30" i="2"/>
  <c r="AB31" i="2"/>
  <c r="AB32" i="2"/>
  <c r="AB33" i="2"/>
  <c r="AB34" i="2"/>
  <c r="AB35" i="2"/>
  <c r="AB36" i="2"/>
  <c r="AB37" i="2"/>
  <c r="AB38" i="2"/>
  <c r="AB39" i="2"/>
  <c r="AB40" i="2"/>
  <c r="AB41" i="2"/>
  <c r="AB42" i="2"/>
  <c r="AB4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120" i="2"/>
  <c r="AB121"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70" i="2"/>
  <c r="AB171" i="2"/>
  <c r="AB87" i="2"/>
  <c r="AB172" i="2"/>
  <c r="AB173" i="2"/>
  <c r="AB174" i="2"/>
  <c r="AB175" i="2"/>
  <c r="AB176" i="2"/>
  <c r="AB177" i="2"/>
  <c r="AB178" i="2"/>
  <c r="AB179" i="2"/>
  <c r="AB180" i="2"/>
  <c r="AB181" i="2"/>
  <c r="AB182" i="2"/>
  <c r="AB183" i="2"/>
  <c r="AB184" i="2"/>
  <c r="AB185" i="2"/>
  <c r="AB186" i="2"/>
  <c r="AB187" i="2"/>
  <c r="AB188"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69" i="2"/>
  <c r="AB370" i="2"/>
  <c r="AB1011" i="2"/>
  <c r="AB1012"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B502" i="2"/>
  <c r="AB503" i="2"/>
  <c r="AB504" i="2"/>
  <c r="AB505" i="2"/>
  <c r="AB506" i="2"/>
  <c r="AB507" i="2"/>
  <c r="AB508" i="2"/>
  <c r="AB509" i="2"/>
  <c r="AB510" i="2"/>
  <c r="AB511" i="2"/>
  <c r="AB512" i="2"/>
  <c r="AB513" i="2"/>
  <c r="AB514" i="2"/>
  <c r="AB515" i="2"/>
  <c r="AB516" i="2"/>
  <c r="AB517" i="2"/>
  <c r="AB518" i="2"/>
  <c r="AB519" i="2"/>
  <c r="AB520" i="2"/>
  <c r="AB521" i="2"/>
  <c r="AB522" i="2"/>
  <c r="AB523" i="2"/>
  <c r="AB524" i="2"/>
  <c r="AB525" i="2"/>
  <c r="AB526" i="2"/>
  <c r="AB527" i="2"/>
  <c r="AB528" i="2"/>
  <c r="AB529" i="2"/>
  <c r="AB530" i="2"/>
  <c r="AB531" i="2"/>
  <c r="AB532" i="2"/>
  <c r="AB533" i="2"/>
  <c r="AB534" i="2"/>
  <c r="AB535" i="2"/>
  <c r="AB536" i="2"/>
  <c r="AB537" i="2"/>
  <c r="AB538" i="2"/>
  <c r="AB539" i="2"/>
  <c r="AB540" i="2"/>
  <c r="AB541" i="2"/>
  <c r="AB542" i="2"/>
  <c r="AB543" i="2"/>
  <c r="AB544" i="2"/>
  <c r="AB545" i="2"/>
  <c r="AB546" i="2"/>
  <c r="AB547" i="2"/>
  <c r="AB548" i="2"/>
  <c r="AB549" i="2"/>
  <c r="AB550" i="2"/>
  <c r="AB551" i="2"/>
  <c r="AB552" i="2"/>
  <c r="AB553" i="2"/>
  <c r="AB554" i="2"/>
  <c r="AB555" i="2"/>
  <c r="AB556" i="2"/>
  <c r="AB557" i="2"/>
  <c r="AB558" i="2"/>
  <c r="AB559" i="2"/>
  <c r="AB560" i="2"/>
  <c r="AB561" i="2"/>
  <c r="AB562" i="2"/>
  <c r="AB563" i="2"/>
  <c r="AB564" i="2"/>
  <c r="AB565" i="2"/>
  <c r="AB566" i="2"/>
  <c r="AB567" i="2"/>
  <c r="AB568" i="2"/>
  <c r="AB569" i="2"/>
  <c r="AB570" i="2"/>
  <c r="AB571" i="2"/>
  <c r="AB572" i="2"/>
  <c r="AB573" i="2"/>
  <c r="AB574" i="2"/>
  <c r="AB575" i="2"/>
  <c r="AB576" i="2"/>
  <c r="AB577" i="2"/>
  <c r="AB578" i="2"/>
  <c r="AB579" i="2"/>
  <c r="AB580" i="2"/>
  <c r="AB581" i="2"/>
  <c r="AB582" i="2"/>
  <c r="AB583" i="2"/>
  <c r="AB584" i="2"/>
  <c r="AB585" i="2"/>
  <c r="AB586" i="2"/>
  <c r="AB587" i="2"/>
  <c r="AB588" i="2"/>
  <c r="AB589" i="2"/>
  <c r="AB590" i="2"/>
  <c r="AB591" i="2"/>
  <c r="AB592" i="2"/>
  <c r="AB593" i="2"/>
  <c r="AB594" i="2"/>
  <c r="AB595" i="2"/>
  <c r="AB596" i="2"/>
  <c r="AB597" i="2"/>
  <c r="AB598" i="2"/>
  <c r="AB599" i="2"/>
  <c r="AB600" i="2"/>
  <c r="AB601" i="2"/>
  <c r="AB602" i="2"/>
  <c r="AB603" i="2"/>
  <c r="AB604" i="2"/>
  <c r="AB605" i="2"/>
  <c r="AB606" i="2"/>
  <c r="AB607" i="2"/>
  <c r="AB608" i="2"/>
  <c r="AB609" i="2"/>
  <c r="AB610" i="2"/>
  <c r="AB611" i="2"/>
  <c r="AB612" i="2"/>
  <c r="AB613" i="2"/>
  <c r="AB614" i="2"/>
  <c r="AB615" i="2"/>
  <c r="AB616" i="2"/>
  <c r="AB617" i="2"/>
  <c r="AB618" i="2"/>
  <c r="AB619" i="2"/>
  <c r="AB620" i="2"/>
  <c r="AB621" i="2"/>
  <c r="AB622" i="2"/>
  <c r="AB623" i="2"/>
  <c r="AB624" i="2"/>
  <c r="AB625" i="2"/>
  <c r="AB626" i="2"/>
  <c r="AB627" i="2"/>
  <c r="AB628" i="2"/>
  <c r="AB629" i="2"/>
  <c r="AB630" i="2"/>
  <c r="AB631" i="2"/>
  <c r="AB632" i="2"/>
  <c r="AB633" i="2"/>
  <c r="AB634" i="2"/>
  <c r="AB635" i="2"/>
  <c r="AB636" i="2"/>
  <c r="AB637" i="2"/>
  <c r="AB638" i="2"/>
  <c r="AB639" i="2"/>
  <c r="AB640" i="2"/>
  <c r="AB641" i="2"/>
  <c r="AB642" i="2"/>
  <c r="AB643" i="2"/>
  <c r="AB644" i="2"/>
  <c r="AB645" i="2"/>
  <c r="AB646" i="2"/>
  <c r="AB647" i="2"/>
  <c r="AB648" i="2"/>
  <c r="AB649" i="2"/>
  <c r="AB650" i="2"/>
  <c r="AB651" i="2"/>
  <c r="AB652" i="2"/>
  <c r="AB653" i="2"/>
  <c r="AB654" i="2"/>
  <c r="AB655" i="2"/>
  <c r="AB656" i="2"/>
  <c r="AB657" i="2"/>
  <c r="AB658" i="2"/>
  <c r="AB659" i="2"/>
  <c r="AB660" i="2"/>
  <c r="AB661" i="2"/>
  <c r="AB662" i="2"/>
  <c r="AB663" i="2"/>
  <c r="AB664" i="2"/>
  <c r="AB665" i="2"/>
  <c r="AB666" i="2"/>
  <c r="AB667" i="2"/>
  <c r="AB668" i="2"/>
  <c r="AB669" i="2"/>
  <c r="AB670" i="2"/>
  <c r="AB671" i="2"/>
  <c r="AB672" i="2"/>
  <c r="AB673" i="2"/>
  <c r="AB674" i="2"/>
  <c r="AB675" i="2"/>
  <c r="AB676" i="2"/>
  <c r="AB677" i="2"/>
  <c r="AB678" i="2"/>
  <c r="AB679" i="2"/>
  <c r="AB680" i="2"/>
  <c r="AB681" i="2"/>
  <c r="AB682" i="2"/>
  <c r="AB683" i="2"/>
  <c r="AB684" i="2"/>
  <c r="AB685" i="2"/>
  <c r="AB686" i="2"/>
  <c r="AB687" i="2"/>
  <c r="AB688" i="2"/>
  <c r="AB689" i="2"/>
  <c r="AB690" i="2"/>
  <c r="AB691" i="2"/>
  <c r="AB692" i="2"/>
  <c r="AB693" i="2"/>
  <c r="AB694" i="2"/>
  <c r="AB695" i="2"/>
  <c r="AB696" i="2"/>
  <c r="AB697" i="2"/>
  <c r="AB698" i="2"/>
  <c r="AB699" i="2"/>
  <c r="AB700" i="2"/>
  <c r="AB701" i="2"/>
  <c r="AB702" i="2"/>
  <c r="AB703" i="2"/>
  <c r="AB704" i="2"/>
  <c r="AB705" i="2"/>
  <c r="AB706" i="2"/>
  <c r="AB707" i="2"/>
  <c r="AB708" i="2"/>
  <c r="AB709" i="2"/>
  <c r="AB710" i="2"/>
  <c r="AB711" i="2"/>
  <c r="AB712" i="2"/>
  <c r="AB713" i="2"/>
  <c r="AB714" i="2"/>
  <c r="AB715" i="2"/>
  <c r="AB716" i="2"/>
  <c r="AB717" i="2"/>
  <c r="AB718" i="2"/>
  <c r="AB719" i="2"/>
  <c r="AB720" i="2"/>
  <c r="AB721" i="2"/>
  <c r="AB722" i="2"/>
  <c r="AB723" i="2"/>
  <c r="AB724" i="2"/>
  <c r="AB725" i="2"/>
  <c r="AB726" i="2"/>
  <c r="AB727" i="2"/>
  <c r="AB728" i="2"/>
  <c r="AB729" i="2"/>
  <c r="AB730" i="2"/>
  <c r="AB731" i="2"/>
  <c r="AB732" i="2"/>
  <c r="AB733" i="2"/>
  <c r="AB734" i="2"/>
  <c r="AB735" i="2"/>
  <c r="AB736" i="2"/>
  <c r="AB737" i="2"/>
  <c r="AB738" i="2"/>
  <c r="AB739" i="2"/>
  <c r="AB740" i="2"/>
  <c r="AB741" i="2"/>
  <c r="AB742" i="2"/>
  <c r="AB743" i="2"/>
  <c r="AB744" i="2"/>
  <c r="AB745" i="2"/>
  <c r="AB746" i="2"/>
  <c r="AB747" i="2"/>
  <c r="AB748" i="2"/>
  <c r="AB749" i="2"/>
  <c r="AB750" i="2"/>
  <c r="AB751" i="2"/>
  <c r="AB752" i="2"/>
  <c r="AB753" i="2"/>
  <c r="AB754" i="2"/>
  <c r="AB755" i="2"/>
  <c r="AB1013" i="2"/>
  <c r="AB1014" i="2"/>
  <c r="AB1015" i="2"/>
  <c r="AB1016" i="2"/>
  <c r="AB1017" i="2"/>
  <c r="AB1018" i="2"/>
  <c r="AB1019" i="2"/>
  <c r="AB1020" i="2"/>
  <c r="AB1021" i="2"/>
  <c r="AB1022" i="2"/>
  <c r="AB1023" i="2"/>
  <c r="AB1024" i="2"/>
  <c r="AB1025" i="2"/>
  <c r="AB1027" i="2"/>
  <c r="AB1028" i="2"/>
  <c r="AB756" i="2"/>
  <c r="AB757" i="2"/>
  <c r="AB758" i="2"/>
  <c r="AB759" i="2"/>
  <c r="AB760" i="2"/>
  <c r="AB761" i="2"/>
  <c r="AB762" i="2"/>
  <c r="AB763" i="2"/>
  <c r="AB764" i="2"/>
  <c r="AB765" i="2"/>
  <c r="AB766" i="2"/>
  <c r="AB767" i="2"/>
  <c r="AB768" i="2"/>
  <c r="AB769" i="2"/>
  <c r="AB770" i="2"/>
  <c r="AB771" i="2"/>
  <c r="AB772" i="2"/>
  <c r="AB773" i="2"/>
  <c r="AB774" i="2"/>
  <c r="AB775" i="2"/>
  <c r="AB776" i="2"/>
  <c r="AB777" i="2"/>
  <c r="AB778" i="2"/>
  <c r="AB779" i="2"/>
  <c r="AB780" i="2"/>
  <c r="AB781" i="2"/>
  <c r="AB329" i="2"/>
  <c r="AB782" i="2"/>
  <c r="AB783" i="2"/>
  <c r="AB784" i="2"/>
  <c r="AB785" i="2"/>
  <c r="AB786" i="2"/>
  <c r="AB787" i="2"/>
  <c r="AB788" i="2"/>
  <c r="AB789" i="2"/>
  <c r="AB790" i="2"/>
  <c r="AB791" i="2"/>
  <c r="AB1026" i="2"/>
  <c r="AB792" i="2"/>
  <c r="AB793" i="2"/>
  <c r="AB794" i="2"/>
  <c r="AB795" i="2"/>
  <c r="AB796" i="2"/>
  <c r="AB797" i="2"/>
  <c r="AB798" i="2"/>
  <c r="AB799" i="2"/>
  <c r="AB800" i="2"/>
  <c r="AB801" i="2"/>
  <c r="AB802" i="2"/>
  <c r="AB803" i="2"/>
  <c r="AB804" i="2"/>
  <c r="AB805" i="2"/>
  <c r="AB806" i="2"/>
  <c r="AB807" i="2"/>
  <c r="AB808" i="2"/>
  <c r="AB809" i="2"/>
  <c r="AB810" i="2"/>
  <c r="AB811" i="2"/>
  <c r="AB812" i="2"/>
  <c r="AB813" i="2"/>
  <c r="AB814" i="2"/>
  <c r="AB815" i="2"/>
  <c r="AB816" i="2"/>
  <c r="AB817" i="2"/>
  <c r="AB818" i="2"/>
  <c r="AB819" i="2"/>
  <c r="AB820" i="2"/>
  <c r="AB821" i="2"/>
  <c r="AB822" i="2"/>
  <c r="AB823" i="2"/>
  <c r="AB824" i="2"/>
  <c r="AB330" i="2"/>
  <c r="AB825" i="2"/>
  <c r="AB826" i="2"/>
  <c r="AB827" i="2"/>
  <c r="AB828" i="2"/>
  <c r="AB829" i="2"/>
  <c r="AB830" i="2"/>
  <c r="AB831" i="2"/>
  <c r="AB832" i="2"/>
  <c r="AB833" i="2"/>
  <c r="AB834" i="2"/>
  <c r="AB835" i="2"/>
  <c r="AB836" i="2"/>
  <c r="AB837" i="2"/>
  <c r="AB838" i="2"/>
  <c r="AB839" i="2"/>
  <c r="AB840" i="2"/>
  <c r="AB841" i="2"/>
  <c r="AB842" i="2"/>
  <c r="AB843" i="2"/>
  <c r="AB844" i="2"/>
  <c r="AB845" i="2"/>
  <c r="AB846" i="2"/>
  <c r="AB847" i="2"/>
  <c r="AB848" i="2"/>
  <c r="AB849" i="2"/>
  <c r="AB850" i="2"/>
  <c r="AB851" i="2"/>
  <c r="AB852" i="2"/>
  <c r="AB853" i="2"/>
  <c r="AB854" i="2"/>
  <c r="AB855" i="2"/>
  <c r="AB856" i="2"/>
  <c r="AB857" i="2"/>
  <c r="AB331" i="2"/>
  <c r="AB371" i="2"/>
  <c r="AB372" i="2"/>
  <c r="AB373" i="2"/>
  <c r="AB374" i="2"/>
  <c r="AB3" i="2"/>
  <c r="AB6" i="2"/>
  <c r="AB7" i="2"/>
  <c r="AB8" i="2"/>
  <c r="AB9" i="2"/>
  <c r="AB10" i="2"/>
  <c r="AB11" i="2"/>
  <c r="AB12" i="2"/>
  <c r="AB13" i="2"/>
  <c r="AB14" i="2"/>
  <c r="AB15" i="2"/>
  <c r="AB16" i="2"/>
  <c r="AB17" i="2"/>
  <c r="AB18" i="2"/>
  <c r="AB19" i="2"/>
  <c r="AB20" i="2"/>
  <c r="AB21" i="2"/>
  <c r="AB22" i="2"/>
  <c r="AB23" i="2"/>
  <c r="AB24" i="2"/>
  <c r="AB25" i="2"/>
  <c r="AB26" i="2"/>
  <c r="AB27" i="2"/>
  <c r="AB2" i="2"/>
  <c r="H163" i="2"/>
  <c r="H164" i="2"/>
  <c r="H165" i="2"/>
  <c r="H170" i="2"/>
  <c r="H171" i="2"/>
  <c r="H87" i="2"/>
  <c r="H172" i="2"/>
  <c r="H173" i="2"/>
  <c r="H174" i="2"/>
  <c r="H175" i="2"/>
  <c r="H176" i="2"/>
  <c r="H177" i="2"/>
  <c r="H178" i="2"/>
  <c r="H179" i="2"/>
  <c r="H180" i="2"/>
  <c r="H181" i="2"/>
  <c r="H182" i="2"/>
  <c r="H183" i="2"/>
  <c r="H184" i="2"/>
  <c r="H185" i="2"/>
  <c r="H186" i="2"/>
  <c r="H187" i="2"/>
  <c r="H188"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69" i="2"/>
  <c r="H370" i="2"/>
  <c r="H1011" i="2"/>
  <c r="H1012"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1013" i="2"/>
  <c r="H1014" i="2"/>
  <c r="H1015" i="2"/>
  <c r="H1016" i="2"/>
  <c r="H1017" i="2"/>
  <c r="H1018" i="2"/>
  <c r="H1019" i="2"/>
  <c r="H1020" i="2"/>
  <c r="H1021" i="2"/>
  <c r="H1022" i="2"/>
  <c r="H1023" i="2"/>
  <c r="H1024" i="2"/>
  <c r="H1025" i="2"/>
  <c r="H1027" i="2"/>
  <c r="H1028"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329" i="2"/>
  <c r="H782" i="2"/>
  <c r="H783" i="2"/>
  <c r="H784" i="2"/>
  <c r="H785" i="2"/>
  <c r="H786" i="2"/>
  <c r="H787" i="2"/>
  <c r="H788" i="2"/>
  <c r="H789" i="2"/>
  <c r="H790" i="2"/>
  <c r="H791" i="2"/>
  <c r="H1026"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330"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331" i="2"/>
  <c r="H371" i="2"/>
  <c r="H372" i="2"/>
  <c r="H373" i="2"/>
  <c r="H374" i="2"/>
  <c r="H3"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120" i="2"/>
  <c r="H121"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2" i="2"/>
  <c r="G3"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120" i="2"/>
  <c r="G121"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70" i="2"/>
  <c r="G171" i="2"/>
  <c r="G87" i="2"/>
  <c r="G172" i="2"/>
  <c r="G173" i="2"/>
  <c r="G174" i="2"/>
  <c r="G175" i="2"/>
  <c r="G176" i="2"/>
  <c r="G177" i="2"/>
  <c r="G178" i="2"/>
  <c r="G179" i="2"/>
  <c r="G180" i="2"/>
  <c r="G181" i="2"/>
  <c r="G182" i="2"/>
  <c r="G183" i="2"/>
  <c r="G184" i="2"/>
  <c r="G185" i="2"/>
  <c r="G186" i="2"/>
  <c r="G187" i="2"/>
  <c r="G188"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69" i="2"/>
  <c r="G370" i="2"/>
  <c r="G1011" i="2"/>
  <c r="G1012"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1013" i="2"/>
  <c r="G1014" i="2"/>
  <c r="G1015" i="2"/>
  <c r="G1016" i="2"/>
  <c r="G1017" i="2"/>
  <c r="G1018" i="2"/>
  <c r="G1019" i="2"/>
  <c r="G1020" i="2"/>
  <c r="G1021" i="2"/>
  <c r="G1022" i="2"/>
  <c r="G1023" i="2"/>
  <c r="G1024" i="2"/>
  <c r="G1025" i="2"/>
  <c r="G1027" i="2"/>
  <c r="G1028"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329" i="2"/>
  <c r="G782" i="2"/>
  <c r="G783" i="2"/>
  <c r="G784" i="2"/>
  <c r="G785" i="2"/>
  <c r="G786" i="2"/>
  <c r="G787" i="2"/>
  <c r="G788" i="2"/>
  <c r="G789" i="2"/>
  <c r="G790" i="2"/>
  <c r="G791" i="2"/>
  <c r="G1026"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330"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331" i="2"/>
  <c r="G371" i="2"/>
  <c r="G372" i="2"/>
  <c r="G373" i="2"/>
  <c r="G374" i="2"/>
  <c r="G2"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69" i="2"/>
  <c r="F370" i="2"/>
  <c r="F1011" i="2"/>
  <c r="F1012" i="2"/>
  <c r="F375" i="2"/>
  <c r="F376" i="2"/>
  <c r="F377" i="2"/>
  <c r="F378" i="2"/>
  <c r="F379" i="2"/>
  <c r="F380" i="2"/>
  <c r="F381" i="2"/>
  <c r="F382" i="2"/>
  <c r="F383" i="2"/>
  <c r="F384" i="2"/>
  <c r="F385" i="2"/>
  <c r="F386" i="2"/>
  <c r="F387" i="2"/>
  <c r="F388" i="2"/>
  <c r="F389" i="2"/>
  <c r="F390" i="2"/>
  <c r="F391" i="2"/>
  <c r="F392" i="2"/>
  <c r="F393" i="2"/>
  <c r="F394" i="2"/>
  <c r="F395" i="2"/>
  <c r="F396" i="2"/>
  <c r="F397" i="2"/>
  <c r="F398" i="2"/>
  <c r="F399" i="2"/>
  <c r="F400" i="2"/>
  <c r="F401" i="2"/>
  <c r="F402" i="2"/>
  <c r="F403" i="2"/>
  <c r="F404" i="2"/>
  <c r="F405" i="2"/>
  <c r="F406" i="2"/>
  <c r="F407" i="2"/>
  <c r="F408" i="2"/>
  <c r="F409" i="2"/>
  <c r="F410" i="2"/>
  <c r="F411" i="2"/>
  <c r="F412" i="2"/>
  <c r="F413" i="2"/>
  <c r="F414" i="2"/>
  <c r="F415" i="2"/>
  <c r="F416" i="2"/>
  <c r="F417" i="2"/>
  <c r="F418" i="2"/>
  <c r="F419" i="2"/>
  <c r="F420" i="2"/>
  <c r="F421" i="2"/>
  <c r="F422" i="2"/>
  <c r="F423" i="2"/>
  <c r="F424" i="2"/>
  <c r="F425" i="2"/>
  <c r="F426" i="2"/>
  <c r="F427" i="2"/>
  <c r="F428" i="2"/>
  <c r="F429" i="2"/>
  <c r="F430" i="2"/>
  <c r="F431" i="2"/>
  <c r="F432" i="2"/>
  <c r="F433" i="2"/>
  <c r="F434" i="2"/>
  <c r="F435" i="2"/>
  <c r="F436" i="2"/>
  <c r="F437" i="2"/>
  <c r="F438" i="2"/>
  <c r="F439" i="2"/>
  <c r="F440" i="2"/>
  <c r="F441" i="2"/>
  <c r="F442" i="2"/>
  <c r="F443" i="2"/>
  <c r="F444" i="2"/>
  <c r="F445" i="2"/>
  <c r="F446" i="2"/>
  <c r="F447" i="2"/>
  <c r="F448" i="2"/>
  <c r="F449" i="2"/>
  <c r="F450" i="2"/>
  <c r="F451" i="2"/>
  <c r="F452" i="2"/>
  <c r="F453" i="2"/>
  <c r="F454" i="2"/>
  <c r="F455" i="2"/>
  <c r="F456" i="2"/>
  <c r="F457" i="2"/>
  <c r="F458" i="2"/>
  <c r="F459" i="2"/>
  <c r="F460" i="2"/>
  <c r="F461"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3" i="2"/>
  <c r="F494" i="2"/>
  <c r="F495" i="2"/>
  <c r="F496" i="2"/>
  <c r="F497" i="2"/>
  <c r="F498" i="2"/>
  <c r="F499" i="2"/>
  <c r="F500" i="2"/>
  <c r="F501" i="2"/>
  <c r="F502" i="2"/>
  <c r="F503" i="2"/>
  <c r="F504" i="2"/>
  <c r="F505" i="2"/>
  <c r="F506" i="2"/>
  <c r="F507" i="2"/>
  <c r="F508" i="2"/>
  <c r="F509" i="2"/>
  <c r="F510" i="2"/>
  <c r="F511" i="2"/>
  <c r="F512" i="2"/>
  <c r="F513" i="2"/>
  <c r="F514" i="2"/>
  <c r="F515" i="2"/>
  <c r="F516" i="2"/>
  <c r="F517" i="2"/>
  <c r="F518" i="2"/>
  <c r="F519" i="2"/>
  <c r="F520" i="2"/>
  <c r="F521" i="2"/>
  <c r="F522" i="2"/>
  <c r="F523" i="2"/>
  <c r="F524" i="2"/>
  <c r="F525" i="2"/>
  <c r="F526" i="2"/>
  <c r="F527" i="2"/>
  <c r="F528" i="2"/>
  <c r="F529" i="2"/>
  <c r="F530" i="2"/>
  <c r="F531" i="2"/>
  <c r="F532" i="2"/>
  <c r="F533" i="2"/>
  <c r="F534" i="2"/>
  <c r="F535" i="2"/>
  <c r="F536" i="2"/>
  <c r="F537" i="2"/>
  <c r="F538" i="2"/>
  <c r="F539" i="2"/>
  <c r="F540" i="2"/>
  <c r="F541" i="2"/>
  <c r="F542" i="2"/>
  <c r="F543" i="2"/>
  <c r="F544" i="2"/>
  <c r="F545" i="2"/>
  <c r="F546" i="2"/>
  <c r="F547" i="2"/>
  <c r="F548" i="2"/>
  <c r="F549" i="2"/>
  <c r="F550" i="2"/>
  <c r="F551" i="2"/>
  <c r="F552" i="2"/>
  <c r="F553" i="2"/>
  <c r="F554" i="2"/>
  <c r="F555" i="2"/>
  <c r="F556" i="2"/>
  <c r="F557" i="2"/>
  <c r="F558" i="2"/>
  <c r="F559" i="2"/>
  <c r="F560" i="2"/>
  <c r="F561" i="2"/>
  <c r="F562" i="2"/>
  <c r="F563" i="2"/>
  <c r="F564" i="2"/>
  <c r="F565" i="2"/>
  <c r="F566" i="2"/>
  <c r="F567" i="2"/>
  <c r="F568" i="2"/>
  <c r="F569" i="2"/>
  <c r="F570" i="2"/>
  <c r="F571" i="2"/>
  <c r="F572" i="2"/>
  <c r="F573" i="2"/>
  <c r="F574" i="2"/>
  <c r="F575" i="2"/>
  <c r="F576" i="2"/>
  <c r="F577" i="2"/>
  <c r="F578" i="2"/>
  <c r="F579" i="2"/>
  <c r="F580" i="2"/>
  <c r="F581" i="2"/>
  <c r="F582" i="2"/>
  <c r="F583" i="2"/>
  <c r="F584" i="2"/>
  <c r="F585" i="2"/>
  <c r="F586" i="2"/>
  <c r="F587" i="2"/>
  <c r="F588" i="2"/>
  <c r="F589" i="2"/>
  <c r="F590" i="2"/>
  <c r="F591" i="2"/>
  <c r="F592" i="2"/>
  <c r="F593" i="2"/>
  <c r="F594" i="2"/>
  <c r="F595" i="2"/>
  <c r="F596" i="2"/>
  <c r="F597" i="2"/>
  <c r="F598" i="2"/>
  <c r="F599" i="2"/>
  <c r="F600" i="2"/>
  <c r="F601" i="2"/>
  <c r="F602" i="2"/>
  <c r="F603" i="2"/>
  <c r="F604" i="2"/>
  <c r="F605" i="2"/>
  <c r="F606" i="2"/>
  <c r="F607" i="2"/>
  <c r="F608" i="2"/>
  <c r="F609" i="2"/>
  <c r="F610" i="2"/>
  <c r="F611" i="2"/>
  <c r="F612" i="2"/>
  <c r="F613" i="2"/>
  <c r="F614" i="2"/>
  <c r="F615" i="2"/>
  <c r="F616" i="2"/>
  <c r="F617" i="2"/>
  <c r="F618" i="2"/>
  <c r="F619" i="2"/>
  <c r="F620" i="2"/>
  <c r="F621" i="2"/>
  <c r="F622" i="2"/>
  <c r="F623" i="2"/>
  <c r="F624" i="2"/>
  <c r="F625" i="2"/>
  <c r="F626" i="2"/>
  <c r="F627" i="2"/>
  <c r="F628" i="2"/>
  <c r="F629" i="2"/>
  <c r="F630" i="2"/>
  <c r="F631" i="2"/>
  <c r="F632" i="2"/>
  <c r="F633" i="2"/>
  <c r="F634" i="2"/>
  <c r="F635" i="2"/>
  <c r="F636" i="2"/>
  <c r="F637" i="2"/>
  <c r="F638" i="2"/>
  <c r="F639" i="2"/>
  <c r="F640" i="2"/>
  <c r="F641" i="2"/>
  <c r="F642" i="2"/>
  <c r="F643" i="2"/>
  <c r="F644" i="2"/>
  <c r="F645" i="2"/>
  <c r="F646" i="2"/>
  <c r="F647" i="2"/>
  <c r="F648" i="2"/>
  <c r="F649" i="2"/>
  <c r="F650" i="2"/>
  <c r="F651" i="2"/>
  <c r="F652" i="2"/>
  <c r="F653" i="2"/>
  <c r="F654" i="2"/>
  <c r="F655" i="2"/>
  <c r="F656" i="2"/>
  <c r="F657" i="2"/>
  <c r="F658" i="2"/>
  <c r="F659" i="2"/>
  <c r="F660" i="2"/>
  <c r="F661" i="2"/>
  <c r="F662" i="2"/>
  <c r="F663" i="2"/>
  <c r="F664" i="2"/>
  <c r="F665" i="2"/>
  <c r="F666" i="2"/>
  <c r="F667" i="2"/>
  <c r="F668" i="2"/>
  <c r="F669" i="2"/>
  <c r="F670" i="2"/>
  <c r="F671" i="2"/>
  <c r="F672" i="2"/>
  <c r="F673" i="2"/>
  <c r="F674" i="2"/>
  <c r="F675" i="2"/>
  <c r="F676" i="2"/>
  <c r="F677" i="2"/>
  <c r="F678" i="2"/>
  <c r="F679" i="2"/>
  <c r="F680" i="2"/>
  <c r="F681" i="2"/>
  <c r="F682" i="2"/>
  <c r="F683" i="2"/>
  <c r="F684" i="2"/>
  <c r="F685" i="2"/>
  <c r="F686" i="2"/>
  <c r="F687" i="2"/>
  <c r="F688" i="2"/>
  <c r="F689" i="2"/>
  <c r="F690" i="2"/>
  <c r="F691" i="2"/>
  <c r="F692" i="2"/>
  <c r="F693" i="2"/>
  <c r="F694" i="2"/>
  <c r="F695" i="2"/>
  <c r="F696" i="2"/>
  <c r="F697" i="2"/>
  <c r="F698" i="2"/>
  <c r="F699" i="2"/>
  <c r="F700" i="2"/>
  <c r="F701" i="2"/>
  <c r="F702" i="2"/>
  <c r="F703" i="2"/>
  <c r="F704" i="2"/>
  <c r="F705" i="2"/>
  <c r="F706" i="2"/>
  <c r="F707" i="2"/>
  <c r="F708" i="2"/>
  <c r="F709" i="2"/>
  <c r="F710" i="2"/>
  <c r="F711" i="2"/>
  <c r="F712" i="2"/>
  <c r="F713" i="2"/>
  <c r="F714" i="2"/>
  <c r="F715" i="2"/>
  <c r="F716" i="2"/>
  <c r="F717" i="2"/>
  <c r="F718" i="2"/>
  <c r="F719" i="2"/>
  <c r="F720" i="2"/>
  <c r="F721" i="2"/>
  <c r="F722" i="2"/>
  <c r="F723" i="2"/>
  <c r="F724" i="2"/>
  <c r="F725" i="2"/>
  <c r="F726" i="2"/>
  <c r="F727" i="2"/>
  <c r="F728" i="2"/>
  <c r="F729" i="2"/>
  <c r="F730" i="2"/>
  <c r="F731" i="2"/>
  <c r="F732" i="2"/>
  <c r="F733" i="2"/>
  <c r="F734" i="2"/>
  <c r="F735" i="2"/>
  <c r="F736" i="2"/>
  <c r="F737" i="2"/>
  <c r="F738" i="2"/>
  <c r="F739" i="2"/>
  <c r="F740" i="2"/>
  <c r="F741" i="2"/>
  <c r="F742" i="2"/>
  <c r="F743" i="2"/>
  <c r="F744" i="2"/>
  <c r="F745" i="2"/>
  <c r="F746" i="2"/>
  <c r="F747" i="2"/>
  <c r="F748" i="2"/>
  <c r="F749" i="2"/>
  <c r="F750" i="2"/>
  <c r="F751" i="2"/>
  <c r="F752" i="2"/>
  <c r="F753" i="2"/>
  <c r="F754" i="2"/>
  <c r="F755" i="2"/>
  <c r="F1013" i="2"/>
  <c r="F1014" i="2"/>
  <c r="F1015" i="2"/>
  <c r="F1016" i="2"/>
  <c r="F1017" i="2"/>
  <c r="F1018" i="2"/>
  <c r="F1019" i="2"/>
  <c r="F1020" i="2"/>
  <c r="F1021" i="2"/>
  <c r="F1022" i="2"/>
  <c r="F1023" i="2"/>
  <c r="F1024" i="2"/>
  <c r="F1025" i="2"/>
  <c r="F756" i="2"/>
  <c r="F757" i="2"/>
  <c r="F758" i="2"/>
  <c r="F759" i="2"/>
  <c r="F760" i="2"/>
  <c r="F761" i="2"/>
  <c r="F762" i="2"/>
  <c r="F763" i="2"/>
  <c r="F764" i="2"/>
  <c r="F765" i="2"/>
  <c r="F766" i="2"/>
  <c r="F767" i="2"/>
  <c r="F768" i="2"/>
  <c r="F769" i="2"/>
  <c r="F770" i="2"/>
  <c r="F771" i="2"/>
  <c r="F772" i="2"/>
  <c r="F773" i="2"/>
  <c r="F774" i="2"/>
  <c r="F775" i="2"/>
  <c r="F776" i="2"/>
  <c r="F777" i="2"/>
  <c r="F778" i="2"/>
  <c r="F779" i="2"/>
  <c r="F780" i="2"/>
  <c r="F781" i="2"/>
  <c r="F329" i="2"/>
  <c r="F782" i="2"/>
  <c r="F783" i="2"/>
  <c r="F784" i="2"/>
  <c r="F785" i="2"/>
  <c r="F786" i="2"/>
  <c r="F787" i="2"/>
  <c r="F788" i="2"/>
  <c r="F789" i="2"/>
  <c r="F790" i="2"/>
  <c r="F791" i="2"/>
  <c r="F1026" i="2"/>
  <c r="F792" i="2"/>
  <c r="F793" i="2"/>
  <c r="F794" i="2"/>
  <c r="F795" i="2"/>
  <c r="F796" i="2"/>
  <c r="F797" i="2"/>
  <c r="F798" i="2"/>
  <c r="F799" i="2"/>
  <c r="F800" i="2"/>
  <c r="F801" i="2"/>
  <c r="F802" i="2"/>
  <c r="F803" i="2"/>
  <c r="F804" i="2"/>
  <c r="F805" i="2"/>
  <c r="F806" i="2"/>
  <c r="F807" i="2"/>
  <c r="F808" i="2"/>
  <c r="F809" i="2"/>
  <c r="F810" i="2"/>
  <c r="F811" i="2"/>
  <c r="F812" i="2"/>
  <c r="F813" i="2"/>
  <c r="F814" i="2"/>
  <c r="F815" i="2"/>
  <c r="F816" i="2"/>
  <c r="F817" i="2"/>
  <c r="F818" i="2"/>
  <c r="F819" i="2"/>
  <c r="F820" i="2"/>
  <c r="F821" i="2"/>
  <c r="F822" i="2"/>
  <c r="F823" i="2"/>
  <c r="F824" i="2"/>
  <c r="F330" i="2"/>
  <c r="F825" i="2"/>
  <c r="F826" i="2"/>
  <c r="F827" i="2"/>
  <c r="F828" i="2"/>
  <c r="F829" i="2"/>
  <c r="F830" i="2"/>
  <c r="F831" i="2"/>
  <c r="F832" i="2"/>
  <c r="F833" i="2"/>
  <c r="F834" i="2"/>
  <c r="F835" i="2"/>
  <c r="F836" i="2"/>
  <c r="F837" i="2"/>
  <c r="F838" i="2"/>
  <c r="F839" i="2"/>
  <c r="F840" i="2"/>
  <c r="F841" i="2"/>
  <c r="F842" i="2"/>
  <c r="F843" i="2"/>
  <c r="F844" i="2"/>
  <c r="F845" i="2"/>
  <c r="F846" i="2"/>
  <c r="F847" i="2"/>
  <c r="F848" i="2"/>
  <c r="F849" i="2"/>
  <c r="F850" i="2"/>
  <c r="F851" i="2"/>
  <c r="F852" i="2"/>
  <c r="F853" i="2"/>
  <c r="F854" i="2"/>
  <c r="F855" i="2"/>
  <c r="F856" i="2"/>
  <c r="F857" i="2"/>
  <c r="F331" i="2"/>
  <c r="F371" i="2"/>
  <c r="F372" i="2"/>
  <c r="F373" i="2"/>
  <c r="F29" i="2"/>
  <c r="F30" i="2"/>
  <c r="F31" i="2"/>
  <c r="F32" i="2"/>
  <c r="F33" i="2"/>
  <c r="F34" i="2"/>
  <c r="F35" i="2"/>
  <c r="F36" i="2"/>
  <c r="F37" i="2"/>
  <c r="F38" i="2"/>
  <c r="F39" i="2"/>
  <c r="F40" i="2"/>
  <c r="F41" i="2"/>
  <c r="F42" i="2"/>
  <c r="F4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120" i="2"/>
  <c r="F121"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70" i="2"/>
  <c r="F171" i="2"/>
  <c r="F87" i="2"/>
  <c r="F172" i="2"/>
  <c r="F173" i="2"/>
  <c r="F174" i="2"/>
  <c r="F175" i="2"/>
  <c r="F176" i="2"/>
  <c r="F177" i="2"/>
  <c r="F178" i="2"/>
  <c r="F179" i="2"/>
  <c r="F180" i="2"/>
  <c r="F181" i="2"/>
  <c r="F182" i="2"/>
  <c r="F183" i="2"/>
  <c r="F184" i="2"/>
  <c r="F185" i="2"/>
  <c r="F186" i="2"/>
  <c r="F187" i="2"/>
  <c r="F188"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84" i="2"/>
  <c r="F285" i="2"/>
  <c r="F286" i="2"/>
  <c r="F287" i="2"/>
  <c r="F288" i="2"/>
  <c r="F289" i="2"/>
  <c r="F290" i="2"/>
  <c r="F291" i="2"/>
  <c r="F292" i="2"/>
  <c r="F293" i="2"/>
  <c r="F294" i="2"/>
  <c r="F295" i="2"/>
  <c r="F296" i="2"/>
  <c r="F297" i="2"/>
  <c r="F298" i="2"/>
  <c r="F299" i="2"/>
  <c r="F3" i="2"/>
  <c r="F6" i="2"/>
  <c r="F7" i="2"/>
  <c r="F8" i="2"/>
  <c r="F9" i="2"/>
  <c r="F10" i="2"/>
  <c r="F11" i="2"/>
  <c r="F12" i="2"/>
  <c r="F13" i="2"/>
  <c r="F14" i="2"/>
  <c r="F15" i="2"/>
  <c r="F16" i="2"/>
  <c r="F17" i="2"/>
  <c r="F18" i="2"/>
  <c r="F19" i="2"/>
  <c r="F20" i="2"/>
  <c r="F21" i="2"/>
  <c r="F22" i="2"/>
  <c r="F23" i="2"/>
  <c r="F24" i="2"/>
  <c r="F25" i="2"/>
  <c r="F26" i="2"/>
  <c r="F27" i="2"/>
  <c r="F28" i="2"/>
  <c r="F2" i="2"/>
  <c r="D3"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120" i="2"/>
  <c r="D121"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70" i="2"/>
  <c r="D171" i="2"/>
  <c r="D87" i="2"/>
  <c r="D172" i="2"/>
  <c r="D173" i="2"/>
  <c r="D174" i="2"/>
  <c r="D175" i="2"/>
  <c r="D176" i="2"/>
  <c r="D177" i="2"/>
  <c r="D178" i="2"/>
  <c r="D179" i="2"/>
  <c r="D180" i="2"/>
  <c r="D181" i="2"/>
  <c r="D182" i="2"/>
  <c r="D183" i="2"/>
  <c r="D184" i="2"/>
  <c r="D185" i="2"/>
  <c r="D186" i="2"/>
  <c r="D187" i="2"/>
  <c r="D188"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69" i="2"/>
  <c r="D370" i="2"/>
  <c r="D1011" i="2"/>
  <c r="D1012"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1013" i="2"/>
  <c r="D1014" i="2"/>
  <c r="D1015" i="2"/>
  <c r="D1016" i="2"/>
  <c r="D1017" i="2"/>
  <c r="D1018" i="2"/>
  <c r="D1019" i="2"/>
  <c r="D1020" i="2"/>
  <c r="D1021" i="2"/>
  <c r="D1022" i="2"/>
  <c r="D1023" i="2"/>
  <c r="D1024" i="2"/>
  <c r="D1025" i="2"/>
  <c r="D1027" i="2"/>
  <c r="D1028"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329" i="2"/>
  <c r="D782" i="2"/>
  <c r="D783" i="2"/>
  <c r="D784" i="2"/>
  <c r="D785" i="2"/>
  <c r="D786" i="2"/>
  <c r="D787" i="2"/>
  <c r="D788" i="2"/>
  <c r="D789" i="2"/>
  <c r="D790" i="2"/>
  <c r="D791" i="2"/>
  <c r="D1026"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330"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331" i="2"/>
  <c r="D371" i="2"/>
  <c r="D372" i="2"/>
  <c r="D373" i="2"/>
  <c r="D374" i="2"/>
  <c r="D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Sara Muhammed Muhammed Alamin</author>
    <author>tc={94474D10-688D-493C-B89E-AE501E5F809D}</author>
    <author>tc={22229C61-6F69-4DEF-9822-37BC7C09171F}</author>
    <author>tc={FD5AB06B-09F9-4E82-80F4-CFBA263BBABC}</author>
    <author>tc={B1EACF9D-3B5F-4410-B6A5-3125A9D91652}</author>
  </authors>
  <commentList>
    <comment ref="AA180" authorId="0" shapeId="0" xr:uid="{00000000-0006-0000-0400-000001000000}">
      <text>
        <r>
          <rPr>
            <b/>
            <sz val="9"/>
            <color indexed="81"/>
            <rFont val="Tahoma"/>
            <family val="2"/>
          </rPr>
          <t>sales value: 185,724,000 SDG</t>
        </r>
      </text>
    </comment>
    <comment ref="P1159" authorId="1" shapeId="0" xr:uid="{94474D10-688D-493C-B89E-AE501E5F809D}">
      <text>
        <t>[Threaded comment]
Your version of Excel allows you to read this threaded comment; however, any edits to it will get removed if the file is opened in a newer version of Excel. Learn more: https://go.microsoft.com/fwlink/?linkid=870924
Comment:
    will be deducted within 4 months(77 M)</t>
      </text>
    </comment>
    <comment ref="P1160" authorId="2" shapeId="0" xr:uid="{22229C61-6F69-4DEF-9822-37BC7C09171F}">
      <text>
        <t>[Threaded comment]
Your version of Excel allows you to read this threaded comment; however, any edits to it will get removed if the file is opened in a newer version of Excel. Learn more: https://go.microsoft.com/fwlink/?linkid=870924
Comment:
    will be deducted within 4 months(77 M)</t>
      </text>
    </comment>
    <comment ref="P1161" authorId="3" shapeId="0" xr:uid="{FD5AB06B-09F9-4E82-80F4-CFBA263BBABC}">
      <text>
        <t>[Threaded comment]
Your version of Excel allows you to read this threaded comment; however, any edits to it will get removed if the file is opened in a newer version of Excel. Learn more: https://go.microsoft.com/fwlink/?linkid=870924
Comment:
    will be deducted within 4 months(77 M)</t>
      </text>
    </comment>
    <comment ref="P1162" authorId="4" shapeId="0" xr:uid="{B1EACF9D-3B5F-4410-B6A5-3125A9D91652}">
      <text>
        <t>[Threaded comment]
Your version of Excel allows you to read this threaded comment; however, any edits to it will get removed if the file is opened in a newer version of Excel. Learn more: https://go.microsoft.com/fwlink/?linkid=870924
Comment:
    will be deducted within 4 months(77 M)</t>
      </text>
    </comment>
  </commentList>
</comments>
</file>

<file path=xl/sharedStrings.xml><?xml version="1.0" encoding="utf-8"?>
<sst xmlns="http://schemas.openxmlformats.org/spreadsheetml/2006/main" count="23034" uniqueCount="3439">
  <si>
    <t>warehouse</t>
  </si>
  <si>
    <t>product</t>
  </si>
  <si>
    <t>dated</t>
  </si>
  <si>
    <t>transaction_type</t>
  </si>
  <si>
    <t>comments</t>
  </si>
  <si>
    <t>user_id</t>
  </si>
  <si>
    <t>movement_quantity</t>
  </si>
  <si>
    <t>movement_cost</t>
  </si>
  <si>
    <t>to_bin_number</t>
  </si>
  <si>
    <t>sequence_no</t>
  </si>
  <si>
    <t>movement_reference</t>
  </si>
  <si>
    <t>movement_source</t>
  </si>
  <si>
    <t>batch_number</t>
  </si>
  <si>
    <t>opening_balance</t>
  </si>
  <si>
    <t xml:space="preserve">Value </t>
  </si>
  <si>
    <t>TK</t>
  </si>
  <si>
    <t>WS0005</t>
  </si>
  <si>
    <t/>
  </si>
  <si>
    <t>000000</t>
  </si>
  <si>
    <t>Q06075</t>
  </si>
  <si>
    <t>XI</t>
  </si>
  <si>
    <t>000001</t>
  </si>
  <si>
    <t>000002</t>
  </si>
  <si>
    <t>000003</t>
  </si>
  <si>
    <t>000004</t>
  </si>
  <si>
    <t>000005</t>
  </si>
  <si>
    <t>000006</t>
  </si>
  <si>
    <t>000007</t>
  </si>
  <si>
    <t>000008</t>
  </si>
  <si>
    <t>000009</t>
  </si>
  <si>
    <t>TF</t>
  </si>
  <si>
    <t>000010</t>
  </si>
  <si>
    <t>000011</t>
  </si>
  <si>
    <t>000013</t>
  </si>
  <si>
    <t>000014</t>
  </si>
  <si>
    <t>000022</t>
  </si>
  <si>
    <t>IF0001</t>
  </si>
  <si>
    <t>Q06007</t>
  </si>
  <si>
    <t>Q05968</t>
  </si>
  <si>
    <t>LE0001</t>
  </si>
  <si>
    <t>XA</t>
  </si>
  <si>
    <t>TF0001</t>
  </si>
  <si>
    <t>NF0001</t>
  </si>
  <si>
    <t>P03658</t>
  </si>
  <si>
    <t>000012</t>
  </si>
  <si>
    <t>RC0006</t>
  </si>
  <si>
    <t>TW</t>
  </si>
  <si>
    <t>RC0004</t>
  </si>
  <si>
    <t>Q05939</t>
  </si>
  <si>
    <t>P03659</t>
  </si>
  <si>
    <t>AG</t>
  </si>
  <si>
    <t>WT0101</t>
  </si>
  <si>
    <t>IS</t>
  </si>
  <si>
    <t>SCRP</t>
  </si>
  <si>
    <t>TRANSPORTATION LOSS - 11814 ANJAL</t>
  </si>
  <si>
    <t>a.bakri</t>
  </si>
  <si>
    <t>X03833</t>
  </si>
  <si>
    <t>Q05953</t>
  </si>
  <si>
    <t>TRANSPORTATION LOSS - 11859 ANJAL</t>
  </si>
  <si>
    <t>X03834</t>
  </si>
  <si>
    <t>TRANSPORTATION LOSS - 11864 ANJAL</t>
  </si>
  <si>
    <t>X03835</t>
  </si>
  <si>
    <t>TRANSPORTATION LOSS - 11937 ANJAL</t>
  </si>
  <si>
    <t>X03836</t>
  </si>
  <si>
    <t>TRANSPORTATION LOSS - 11957 DELTA</t>
  </si>
  <si>
    <t>X03837</t>
  </si>
  <si>
    <t>TRANSPORTATION LOSS - 11959 DELTA</t>
  </si>
  <si>
    <t>X03838</t>
  </si>
  <si>
    <t>TRANSPORTATION LOSS - 11954 BIG BOSS</t>
  </si>
  <si>
    <t>X03839</t>
  </si>
  <si>
    <t>TRANSPORTATION LOSS - 19353 ANJAL</t>
  </si>
  <si>
    <t>X03840</t>
  </si>
  <si>
    <t>WS0001</t>
  </si>
  <si>
    <t>TRANSPORTATION LOSS - 11868 DELTA</t>
  </si>
  <si>
    <t>X03841</t>
  </si>
  <si>
    <t>Q05938</t>
  </si>
  <si>
    <t>NT</t>
  </si>
  <si>
    <t>SM0002</t>
  </si>
  <si>
    <t>TRANSPORTATION LOSS - 694 ALNWA</t>
  </si>
  <si>
    <t>X03842</t>
  </si>
  <si>
    <t>CNC000466</t>
  </si>
  <si>
    <t>TRANSPORTATION LOSS - 11875 ALNAWAH</t>
  </si>
  <si>
    <t>X03843</t>
  </si>
  <si>
    <t>TRANSPORTATION LOSS - 11883 RIBA</t>
  </si>
  <si>
    <t>X03844</t>
  </si>
  <si>
    <t>TRANSPORTATION LOSS - 11921 RIBA</t>
  </si>
  <si>
    <t>X03845</t>
  </si>
  <si>
    <t>TRANSPORTATION LOSS - 11926 ARIF&amp;MUBARK</t>
  </si>
  <si>
    <t>X03846</t>
  </si>
  <si>
    <t>TG</t>
  </si>
  <si>
    <t>SM0101</t>
  </si>
  <si>
    <t>TOLERANCE - 5181 ABURNAT</t>
  </si>
  <si>
    <t>X03847</t>
  </si>
  <si>
    <t>Q06055</t>
  </si>
  <si>
    <t>TRANSPORTATION LOSS - 5181 ABURNAT</t>
  </si>
  <si>
    <t>X03848</t>
  </si>
  <si>
    <t>TJ</t>
  </si>
  <si>
    <t>TRANSPORTATION LOSS - 11665 DARKA</t>
  </si>
  <si>
    <t>X03849</t>
  </si>
  <si>
    <t>TRANSPORTATION LOSS - 11764 BEST</t>
  </si>
  <si>
    <t>X03850</t>
  </si>
  <si>
    <t>TRANSPORTATION LOSS - 11803 RIBA</t>
  </si>
  <si>
    <t>X03851</t>
  </si>
  <si>
    <t>TRANSPORTATION LOSS - 11811 ANJAL</t>
  </si>
  <si>
    <t>X03852</t>
  </si>
  <si>
    <t>TRANSPORTATION LOSS - 11812 ANJAL</t>
  </si>
  <si>
    <t>X03853</t>
  </si>
  <si>
    <t>TRANSPORTATION LOSS - 11815 RIBA</t>
  </si>
  <si>
    <t>X03854</t>
  </si>
  <si>
    <t>TRANSPORTATION LOSS - 11869 DELTA</t>
  </si>
  <si>
    <t>X03855</t>
  </si>
  <si>
    <t>TRANSPORTATION LOSS - 11870 DELTA</t>
  </si>
  <si>
    <t>X03856</t>
  </si>
  <si>
    <t>TRANSPORTATION LOSS - 11909 ARIF&amp;MUBARK</t>
  </si>
  <si>
    <t>X03857</t>
  </si>
  <si>
    <t>TRANSPORTATION LOSS - 11918 RIBA</t>
  </si>
  <si>
    <t>X03859</t>
  </si>
  <si>
    <t>TRANSPORTATION LOSS - 11927 ARIF&amp;MUBARK</t>
  </si>
  <si>
    <t>X03860</t>
  </si>
  <si>
    <t>TRANSPORTATION LOSS - 11946 KHALID AWAD</t>
  </si>
  <si>
    <t>X03861</t>
  </si>
  <si>
    <t>Q06083</t>
  </si>
  <si>
    <t>XA0001</t>
  </si>
  <si>
    <t>NN</t>
  </si>
  <si>
    <t>X03863</t>
  </si>
  <si>
    <t>FJ</t>
  </si>
  <si>
    <t>SM0335</t>
  </si>
  <si>
    <t>ADJ</t>
  </si>
  <si>
    <t>NCR - DOWNGRADE - NC NO.170</t>
  </si>
  <si>
    <t>A00781</t>
  </si>
  <si>
    <t>C02653</t>
  </si>
  <si>
    <t>SM0001</t>
  </si>
  <si>
    <t>JA</t>
  </si>
  <si>
    <t>RC0001</t>
  </si>
  <si>
    <t>IC - TRUCK ACCIDENT -  CR-HDQ-24-2-13</t>
  </si>
  <si>
    <t>X03865</t>
  </si>
  <si>
    <t>Q04843</t>
  </si>
  <si>
    <t>SO0101</t>
  </si>
  <si>
    <t>XP</t>
  </si>
  <si>
    <t>Q06077</t>
  </si>
  <si>
    <t>Q06040</t>
  </si>
  <si>
    <t>TG0001</t>
  </si>
  <si>
    <t>Q06023</t>
  </si>
  <si>
    <t>TJ0001</t>
  </si>
  <si>
    <t>Q06109</t>
  </si>
  <si>
    <t>Q06110</t>
  </si>
  <si>
    <t>SCALE DIFFERENCE</t>
  </si>
  <si>
    <t>X03866</t>
  </si>
  <si>
    <t>TRANSPORTATION LOSS - 5338 ALKASIR</t>
  </si>
  <si>
    <t>Q05990</t>
  </si>
  <si>
    <t>SCALE DIFF - GADARIF 2 PZU</t>
  </si>
  <si>
    <t>A00763</t>
  </si>
  <si>
    <t>C02583</t>
  </si>
  <si>
    <t>IS0001</t>
  </si>
  <si>
    <t>X03715</t>
  </si>
  <si>
    <t>CNC000461</t>
  </si>
  <si>
    <t>XF</t>
  </si>
  <si>
    <t>Q06120</t>
  </si>
  <si>
    <t>TP</t>
  </si>
  <si>
    <t>Q06119</t>
  </si>
  <si>
    <t>Q05963</t>
  </si>
  <si>
    <t>Q05941</t>
  </si>
  <si>
    <t>P03646</t>
  </si>
  <si>
    <t>XP0001</t>
  </si>
  <si>
    <t>TRANSPORTATION LOSS - 5772 NYAS</t>
  </si>
  <si>
    <t>X03718</t>
  </si>
  <si>
    <t>TRANSPORTATION LOSS - 4881 ABURNAT</t>
  </si>
  <si>
    <t>X03719</t>
  </si>
  <si>
    <t>TRANSPORTATION LOSS - 11660 ALTAF</t>
  </si>
  <si>
    <t>X03720</t>
  </si>
  <si>
    <t>TRANSPORTATION LOSS - 14319 PRIVET CONTRACT</t>
  </si>
  <si>
    <t>X03721</t>
  </si>
  <si>
    <t>TRANSPORTATION LOSS - 14323 PRIVET CONTRACT</t>
  </si>
  <si>
    <t>X03722</t>
  </si>
  <si>
    <t>TRANSPORTATION LOSS - 5544 ALWASILA</t>
  </si>
  <si>
    <t>X03723</t>
  </si>
  <si>
    <t>RC9008</t>
  </si>
  <si>
    <t>Q05967</t>
  </si>
  <si>
    <t>TRANSPORTATION LOSS - 14662 ALTAF</t>
  </si>
  <si>
    <t>X03757</t>
  </si>
  <si>
    <t>TRANSPORTATION LOSS - 14590 ALWAHSHAB</t>
  </si>
  <si>
    <t>X03758</t>
  </si>
  <si>
    <t>TRANSPORTATION LOSS - 14698 ANJAL</t>
  </si>
  <si>
    <t>X03759</t>
  </si>
  <si>
    <t>TRANSPORTATION LOSS - 11349 ANJAL</t>
  </si>
  <si>
    <t>X03760</t>
  </si>
  <si>
    <t>TRANSPORTATION LOSS - 5549 YOUSIF ALFAKI</t>
  </si>
  <si>
    <t>X03724</t>
  </si>
  <si>
    <t>TRANSPORTATION LOSS - 7548 PRIVET CONTRACT</t>
  </si>
  <si>
    <t>X03725</t>
  </si>
  <si>
    <t>TRANSPORTATION LOSS - 14671 ALNWA</t>
  </si>
  <si>
    <t>X03755</t>
  </si>
  <si>
    <t>TRANSPORTATION LOSS - 14702 ALKASIR</t>
  </si>
  <si>
    <t>X03756</t>
  </si>
  <si>
    <t>TRANSPORTATION LOSS - 7550 PRIVET CONTRACT</t>
  </si>
  <si>
    <t>X03727</t>
  </si>
  <si>
    <t>TRANSPORTATION LOSS - 11721 ARIF ALMUBARK</t>
  </si>
  <si>
    <t>X03728</t>
  </si>
  <si>
    <t>TRANSPORTATION LOSS - 14302 PRIVET CONTRACT</t>
  </si>
  <si>
    <t>X03729</t>
  </si>
  <si>
    <t>TRANSPORTATION LOSS - 14325 PRIVET CONTRACT</t>
  </si>
  <si>
    <t>X03730</t>
  </si>
  <si>
    <t>TRANSPORTATION LOSS - 11096 ALWAHSHAB</t>
  </si>
  <si>
    <t>X03731</t>
  </si>
  <si>
    <t>TRANSPORTATION LOSS - 10988 ANJAL</t>
  </si>
  <si>
    <t>X03732</t>
  </si>
  <si>
    <t>TRANSPORTATION LOSS - 11004 ANJAL</t>
  </si>
  <si>
    <t>X03733</t>
  </si>
  <si>
    <t>TRANSPORTATION LOSS - 11080 ANJAL</t>
  </si>
  <si>
    <t>X03734</t>
  </si>
  <si>
    <t>TRANSPORTATION LOSS - 679 AZOZ</t>
  </si>
  <si>
    <t>X03735</t>
  </si>
  <si>
    <t>TRANSPORTATION LOSS - 11663 ALKASIR</t>
  </si>
  <si>
    <t>X03736</t>
  </si>
  <si>
    <t>TRANSPORTATION LOSS - 11708 ALWAHSHAB</t>
  </si>
  <si>
    <t>X03737</t>
  </si>
  <si>
    <t>TRANSPORTATION LOSS - 11726 ALTAF</t>
  </si>
  <si>
    <t>X03738</t>
  </si>
  <si>
    <t>TRANSPORTATION LOSS - 11132 ALWAHSHAB</t>
  </si>
  <si>
    <t>X03739</t>
  </si>
  <si>
    <t>TRANSPORTATION LOSS - 10995 ALTARIQ ALZAKI</t>
  </si>
  <si>
    <t>X03740</t>
  </si>
  <si>
    <t>TRANSPORTATION LOSS - 11136 ALWAHSHAB</t>
  </si>
  <si>
    <t>X03741</t>
  </si>
  <si>
    <t>TRANSPORTATION LOSS - 10975 ALASGALANI</t>
  </si>
  <si>
    <t>X03742</t>
  </si>
  <si>
    <t>TRANSPORTATION LOSS - 10983 ANJAL</t>
  </si>
  <si>
    <t>X03743</t>
  </si>
  <si>
    <t>TRANSPORTATION LOSS - 11134 ANJAL</t>
  </si>
  <si>
    <t>X03744</t>
  </si>
  <si>
    <t>TRANSPORTATION LOSS - 14305 PRIVET CONTRACT</t>
  </si>
  <si>
    <t>X03745</t>
  </si>
  <si>
    <t>TRANSPORTATION LOSS - 14308 PRIVET CONTRACT</t>
  </si>
  <si>
    <t>X03746</t>
  </si>
  <si>
    <t>TRANSPORTATION LOSS - 14311 PRIVET CONTRACT</t>
  </si>
  <si>
    <t>X03747</t>
  </si>
  <si>
    <t>TRANSPORTATION LOSS - 9224 AZOZ</t>
  </si>
  <si>
    <t>X03748</t>
  </si>
  <si>
    <t>TRANSPORTATION LOSS - 9215 AZOZ</t>
  </si>
  <si>
    <t>X03749</t>
  </si>
  <si>
    <t>TRANSPORTATION LOSS - 9690 AZOZ</t>
  </si>
  <si>
    <t>X03750</t>
  </si>
  <si>
    <t>TRANSPORTATION LOSS - 6676 AZOZ</t>
  </si>
  <si>
    <t>X03751</t>
  </si>
  <si>
    <t>TRANSPORTATION LOSS - 6960 WADALBALLA</t>
  </si>
  <si>
    <t>X03752</t>
  </si>
  <si>
    <t>TRANSPORTATION LOSS - 1791 WADALBALLA</t>
  </si>
  <si>
    <t>X03753</t>
  </si>
  <si>
    <t>TRANSPORTATION LOSS - 6959  WADALBALLA</t>
  </si>
  <si>
    <t>X03754</t>
  </si>
  <si>
    <t>CNC000479</t>
  </si>
  <si>
    <t>SM0032</t>
  </si>
  <si>
    <t>P03153</t>
  </si>
  <si>
    <t>MV LORD - SHORTLANDED</t>
  </si>
  <si>
    <t>X03761</t>
  </si>
  <si>
    <t>MV LORD - LOST DURING REPACKING</t>
  </si>
  <si>
    <t>X03762</t>
  </si>
  <si>
    <t>MV LORD - SAMPLES</t>
  </si>
  <si>
    <t>X03763</t>
  </si>
  <si>
    <t>NCR - TORN BAGS - HANDLING - NC NO.134</t>
  </si>
  <si>
    <t>X03764</t>
  </si>
  <si>
    <t>Q05961</t>
  </si>
  <si>
    <t>NCR - TORN BAGS - HANDLING - NC NO. 135</t>
  </si>
  <si>
    <t>X03766</t>
  </si>
  <si>
    <t>IC - NCR - REPACKING LOSS - NC NO.170</t>
  </si>
  <si>
    <t>X03767</t>
  </si>
  <si>
    <t>A00766</t>
  </si>
  <si>
    <t>C02607</t>
  </si>
  <si>
    <t>PG</t>
  </si>
  <si>
    <t>PP0101</t>
  </si>
  <si>
    <t>IC - THEFT</t>
  </si>
  <si>
    <t>X03768</t>
  </si>
  <si>
    <t>Q05880</t>
  </si>
  <si>
    <t>Q06126</t>
  </si>
  <si>
    <t>A00779</t>
  </si>
  <si>
    <t>NCR- HANDLING DAMAGE - NC NO.152 , 156 , 160 , 165</t>
  </si>
  <si>
    <t>X03769</t>
  </si>
  <si>
    <t>SM0331</t>
  </si>
  <si>
    <t>NCR-DOWNGRADE- 152,156,160,165</t>
  </si>
  <si>
    <t>A00767</t>
  </si>
  <si>
    <t>C02616</t>
  </si>
  <si>
    <t>SM0332</t>
  </si>
  <si>
    <t>IC - DOWNGRADE - NC NO.168</t>
  </si>
  <si>
    <t>A00768</t>
  </si>
  <si>
    <t>C02617</t>
  </si>
  <si>
    <t>NCR - HANDLING DAMAGE - NC NO.161</t>
  </si>
  <si>
    <t>X03772</t>
  </si>
  <si>
    <t>NCR - DOWNGRADE - NC NO.161</t>
  </si>
  <si>
    <t>A00769</t>
  </si>
  <si>
    <t>C02618</t>
  </si>
  <si>
    <t>IC - NCR - RAIN DAMAGE - NC NO. 167</t>
  </si>
  <si>
    <t>X03770</t>
  </si>
  <si>
    <t>IC - NCR - RAIN DAMAGE - NC NO.168</t>
  </si>
  <si>
    <t>X03771</t>
  </si>
  <si>
    <t>IC - NCR - RAIN DAMAGE - NC NO.169</t>
  </si>
  <si>
    <t>X03774</t>
  </si>
  <si>
    <t>IC - NCR - DOWNGRADE-NC NO.169</t>
  </si>
  <si>
    <t>A00770</t>
  </si>
  <si>
    <t>C02620</t>
  </si>
  <si>
    <t>NCR - HANDLING DAMAGE - NC NO.170</t>
  </si>
  <si>
    <t>X03775</t>
  </si>
  <si>
    <t>NCR - HANDLING DAMAGE - NC NO.170-A</t>
  </si>
  <si>
    <t>X03776</t>
  </si>
  <si>
    <t>NCR - DOWNGRADE - NC NO. 170</t>
  </si>
  <si>
    <t>A00771</t>
  </si>
  <si>
    <t>C02621</t>
  </si>
  <si>
    <t>NCR - DOWNGRADE - NC NO. 170A</t>
  </si>
  <si>
    <t>A00772</t>
  </si>
  <si>
    <t>C02622</t>
  </si>
  <si>
    <t>TRANSPORTATION LOSS - 11717 ARIF&amp;MUBARK</t>
  </si>
  <si>
    <t>X03778</t>
  </si>
  <si>
    <t>TRANSPORTATION LOSS - 11680 DARKA</t>
  </si>
  <si>
    <t>X03779</t>
  </si>
  <si>
    <t>TRANSPORTATION LOSS - 11667 ABURNAT</t>
  </si>
  <si>
    <t>X03780</t>
  </si>
  <si>
    <t>TRANSPORTATION LOSS - 11705 ALNWA</t>
  </si>
  <si>
    <t>X03781</t>
  </si>
  <si>
    <t>TRANSPORTATION LOSS - 11659 ALTAF</t>
  </si>
  <si>
    <t>X03782</t>
  </si>
  <si>
    <t>TRANSPORTATION LOSS - 11699 BEAT</t>
  </si>
  <si>
    <t>X03783</t>
  </si>
  <si>
    <t>TRANSPORTATION LOSS - 11773 ABURNAT</t>
  </si>
  <si>
    <t>X03784</t>
  </si>
  <si>
    <t>TRANSPORTATION LOSS - 11776 ALTAF</t>
  </si>
  <si>
    <t>X03785</t>
  </si>
  <si>
    <t>TRANSPORTATION LOSS - 11777 ALNWA</t>
  </si>
  <si>
    <t>X03786</t>
  </si>
  <si>
    <t>TRANSPORTATION LOSS - 11789 ALWAHSHAB</t>
  </si>
  <si>
    <t>X03787</t>
  </si>
  <si>
    <t>TRANSPORTATION LOSS - 14324 PRIVATE CONTRACT</t>
  </si>
  <si>
    <t>X03788</t>
  </si>
  <si>
    <t>TRANSPORTATION LOSS - 14326 PRIVATE CONTRACT</t>
  </si>
  <si>
    <t>X03789</t>
  </si>
  <si>
    <t>TRANSPORTATION LOSS - 14329 PRIVATE CONTRACT</t>
  </si>
  <si>
    <t>X03790</t>
  </si>
  <si>
    <t>TRANSPORTATION LOSS - 11872 DELTA</t>
  </si>
  <si>
    <t>X03791</t>
  </si>
  <si>
    <t>TRANSPORTATION LOSS - 11087 NYAS</t>
  </si>
  <si>
    <t>X03792</t>
  </si>
  <si>
    <t>TRANSPORTATION LOSS - 10646 KAMAL MAHGOUB</t>
  </si>
  <si>
    <t>X03793</t>
  </si>
  <si>
    <t>RC0303</t>
  </si>
  <si>
    <t>NCR-HANDLING-DOWNGRADE NC.133</t>
  </si>
  <si>
    <t>A00773</t>
  </si>
  <si>
    <t>C02625</t>
  </si>
  <si>
    <t>EXCESS - 11794</t>
  </si>
  <si>
    <t>A00774</t>
  </si>
  <si>
    <t>C02626</t>
  </si>
  <si>
    <t>EXCESS - 11891</t>
  </si>
  <si>
    <t>A00775</t>
  </si>
  <si>
    <t>C02627</t>
  </si>
  <si>
    <t>EXCESS - 14328</t>
  </si>
  <si>
    <t>A00776</t>
  </si>
  <si>
    <t>C02628</t>
  </si>
  <si>
    <t>EXCESS - 11831</t>
  </si>
  <si>
    <t>A00777</t>
  </si>
  <si>
    <t>C02629</t>
  </si>
  <si>
    <t>TRANSPORTATION LOSS - 10640 KAMAL MAHGOUB</t>
  </si>
  <si>
    <t>X03794</t>
  </si>
  <si>
    <t>TRANSPORTATION LOSS - 11867 DELTA</t>
  </si>
  <si>
    <t>X03795</t>
  </si>
  <si>
    <t>TRANSPORTATION LOSS - 11768 ALTAF</t>
  </si>
  <si>
    <t>X03796</t>
  </si>
  <si>
    <t>TRANSPORTATION LOSS - 11775 ALTAF</t>
  </si>
  <si>
    <t>X03797</t>
  </si>
  <si>
    <t>TRANSPORTATION LOSS - 11813 ANJAL</t>
  </si>
  <si>
    <t>X03798</t>
  </si>
  <si>
    <t>TRANSPORTATION LOSS - 11792 DARKA</t>
  </si>
  <si>
    <t>X03799</t>
  </si>
  <si>
    <t>TRANSPORTATION LOSS - 11791 DARKA</t>
  </si>
  <si>
    <t>X03800</t>
  </si>
  <si>
    <t>TRANSPORTATION LOSS - 11852 RIBA</t>
  </si>
  <si>
    <t>X03801</t>
  </si>
  <si>
    <t>TRANSPORTATION LOSS - 11823 ALNAWAH</t>
  </si>
  <si>
    <t>X03802</t>
  </si>
  <si>
    <t>TRANSPORTATION LOSS - 11834 ALWASHAB</t>
  </si>
  <si>
    <t>X03803</t>
  </si>
  <si>
    <t>TRANSPORTATION LOSS - 11846 ANJAL</t>
  </si>
  <si>
    <t>X03804</t>
  </si>
  <si>
    <t>TRANSPORTATION LOSS - 11839 KAMAL ABASS</t>
  </si>
  <si>
    <t>X03805</t>
  </si>
  <si>
    <t>TRANSPORTATION LOSS - 11840 KAMAL ABASS</t>
  </si>
  <si>
    <t>X03806</t>
  </si>
  <si>
    <t>TRANSPORTATION LOSS - 11822 ALNAWAH</t>
  </si>
  <si>
    <t>X03807</t>
  </si>
  <si>
    <t>TRANSPORTATION LOSS - 11697 ALKASIR</t>
  </si>
  <si>
    <t>X03808</t>
  </si>
  <si>
    <t>TRANSPORTATION LOSS - 11698 ALKASIR</t>
  </si>
  <si>
    <t>X03809</t>
  </si>
  <si>
    <t>TRANSPORTATION LOSS - 5160 BIG BOSS</t>
  </si>
  <si>
    <t>X03810</t>
  </si>
  <si>
    <t>NCR - HANDLING DAMAGES - REPACKING LOSS - NC NO.133</t>
  </si>
  <si>
    <t>X03811</t>
  </si>
  <si>
    <t>NCR - HANDLING DAMAGES - REPACKING - NC NO.133</t>
  </si>
  <si>
    <t>X03812</t>
  </si>
  <si>
    <t>Q05924</t>
  </si>
  <si>
    <t>TRANSPORTATION LOSS - 11831 ALWAHSHAB</t>
  </si>
  <si>
    <t>X03813</t>
  </si>
  <si>
    <t>GL</t>
  </si>
  <si>
    <t>CO0102</t>
  </si>
  <si>
    <t>SCALE DIFFERENCE - MOISTURE</t>
  </si>
  <si>
    <t>GL0001</t>
  </si>
  <si>
    <t>A00778</t>
  </si>
  <si>
    <t>C02630</t>
  </si>
  <si>
    <t>P03686</t>
  </si>
  <si>
    <t>A00782</t>
  </si>
  <si>
    <t>C02663</t>
  </si>
  <si>
    <t>TRANSPORTATION LOSS - 5212 ALKASIR</t>
  </si>
  <si>
    <t>X03867</t>
  </si>
  <si>
    <t>SCALE DIFF TOLERANCE - 5212 ALKASIR</t>
  </si>
  <si>
    <t>X03868</t>
  </si>
  <si>
    <t>P03589</t>
  </si>
  <si>
    <t>CO0001</t>
  </si>
  <si>
    <t>IC - ROAD ACCIDENT</t>
  </si>
  <si>
    <t>X03814</t>
  </si>
  <si>
    <t>ROAD ACCIDENT</t>
  </si>
  <si>
    <t>X03815</t>
  </si>
  <si>
    <t>CORRECTION - 5160</t>
  </si>
  <si>
    <t>C02631</t>
  </si>
  <si>
    <t>SCALE DIFFERENCE - GADAFIF 2 PZU</t>
  </si>
  <si>
    <t>X03816</t>
  </si>
  <si>
    <t>SCALE DIFFERENCE -  MOISTURE</t>
  </si>
  <si>
    <t>X03818</t>
  </si>
  <si>
    <t>A00780</t>
  </si>
  <si>
    <t>C02632</t>
  </si>
  <si>
    <t>MV LOTUS/SHORTLANDED</t>
  </si>
  <si>
    <t>X03819</t>
  </si>
  <si>
    <t>MV LOTUS/REPACKING LOSS</t>
  </si>
  <si>
    <t>X03820</t>
  </si>
  <si>
    <t>MV LOTUS/FELL IN SEA</t>
  </si>
  <si>
    <t>X03821</t>
  </si>
  <si>
    <t>MV LOTUS/SAMPLES</t>
  </si>
  <si>
    <t>X03822</t>
  </si>
  <si>
    <t>MV COPERNICO/SHORTLANDED</t>
  </si>
  <si>
    <t>X03823</t>
  </si>
  <si>
    <t>MV COPERNICO/REPACKING LOSS</t>
  </si>
  <si>
    <t>X03824</t>
  </si>
  <si>
    <t>MV COPERNICO/FELL IN SEA</t>
  </si>
  <si>
    <t>X03825</t>
  </si>
  <si>
    <t>MV COPERNICO/SAMPLES</t>
  </si>
  <si>
    <t>X03826</t>
  </si>
  <si>
    <t>MV COPERNICO/REJECTED BY SSMO</t>
  </si>
  <si>
    <t>X03827</t>
  </si>
  <si>
    <t>MV WADI DUKA/SHORTLANDED BL 72425</t>
  </si>
  <si>
    <t>X03828</t>
  </si>
  <si>
    <t>Q05973</t>
  </si>
  <si>
    <t>MV WADI DUKA/REJECTED BY SSMO BL 72425</t>
  </si>
  <si>
    <t>X03829</t>
  </si>
  <si>
    <t>MV WADI DUKA/SHORTLANDED BL 62425</t>
  </si>
  <si>
    <t>X03830</t>
  </si>
  <si>
    <t>MV WADI DUKA/REJECTED BY SSMO BL 62425</t>
  </si>
  <si>
    <t>X03831</t>
  </si>
  <si>
    <t>TRANSPORTATION LOSS - 782 DALTA</t>
  </si>
  <si>
    <t>X03869</t>
  </si>
  <si>
    <t>A00783</t>
  </si>
  <si>
    <t>C02664</t>
  </si>
  <si>
    <t>TRANSPORTATION LOSS - 5230 ALZAHRWAN</t>
  </si>
  <si>
    <t>X03870</t>
  </si>
  <si>
    <t>TRANSPORTATION LOSS - 19433 ANJAL</t>
  </si>
  <si>
    <t>X03884</t>
  </si>
  <si>
    <t>TRANSPORTATION LOSS - 12123 DARKA</t>
  </si>
  <si>
    <t>X03885</t>
  </si>
  <si>
    <t>TRANSPORTATION LOSS - 12146 RIBA</t>
  </si>
  <si>
    <t>X03886</t>
  </si>
  <si>
    <t>TRANSPORTATION LOSS - 12215 RIBA</t>
  </si>
  <si>
    <t>X03887</t>
  </si>
  <si>
    <t>TRANSPORTATION LOSS - 12225 RIBA</t>
  </si>
  <si>
    <t>X03888</t>
  </si>
  <si>
    <t>TRANSPORTATION LOSS - 12228 DELTA</t>
  </si>
  <si>
    <t>X03889</t>
  </si>
  <si>
    <t>EXCESS - 13047 ALTAF</t>
  </si>
  <si>
    <t>A00784</t>
  </si>
  <si>
    <t>C02665</t>
  </si>
  <si>
    <t>EXCESS - 11898 ARIF&amp;ALMUBARK</t>
  </si>
  <si>
    <t>A00785</t>
  </si>
  <si>
    <t>C02666</t>
  </si>
  <si>
    <t>EXCESS - 11829 ANJAL</t>
  </si>
  <si>
    <t>A00786</t>
  </si>
  <si>
    <t>C02667</t>
  </si>
  <si>
    <t>EXCESS - 11828 ANJAL</t>
  </si>
  <si>
    <t>A00787</t>
  </si>
  <si>
    <t>C02668</t>
  </si>
  <si>
    <t>EXCESS - 11826 ANJAL</t>
  </si>
  <si>
    <t>A00788</t>
  </si>
  <si>
    <t>C02669</t>
  </si>
  <si>
    <t>EXCESS - 11816 RIBA</t>
  </si>
  <si>
    <t>A00789</t>
  </si>
  <si>
    <t>C02670</t>
  </si>
  <si>
    <t>TRANSPORTATION LOSS - 11951 DELTA</t>
  </si>
  <si>
    <t>X03871</t>
  </si>
  <si>
    <t>TRANSPORTATION LOSS - 11860 ANJAL</t>
  </si>
  <si>
    <t>X03872</t>
  </si>
  <si>
    <t>TRANSPORTATION LOSS - 14201 privet contract</t>
  </si>
  <si>
    <t>X03873</t>
  </si>
  <si>
    <t>TRANSPORTATION LOSS - 14204 privet contract</t>
  </si>
  <si>
    <t>X03874</t>
  </si>
  <si>
    <t>TRANSPORTATION LOSS - 14217 privet contract</t>
  </si>
  <si>
    <t>X03875</t>
  </si>
  <si>
    <t>TRANSPORTATION LOSS - 14332 privet contract</t>
  </si>
  <si>
    <t>X03876</t>
  </si>
  <si>
    <t>TRANSPORTATION LOSS - 14335 ALOMDA</t>
  </si>
  <si>
    <t>X03877</t>
  </si>
  <si>
    <t>TRANSPORTATION LOSS - 14338 ALOMDA</t>
  </si>
  <si>
    <t>X03878</t>
  </si>
  <si>
    <t>TRANSPORTATION LOSS - 14339 ALOMDA</t>
  </si>
  <si>
    <t>X03879</t>
  </si>
  <si>
    <t>TRANSPORTATION LOSS - 14344 privet contract</t>
  </si>
  <si>
    <t>X03880</t>
  </si>
  <si>
    <t>TRANSPORTATION LOSS - 11897 ARIF&amp;ALMUBARK</t>
  </si>
  <si>
    <t>X03881</t>
  </si>
  <si>
    <t>TRANSPORTATION LOSS - 13129 ABURNAT</t>
  </si>
  <si>
    <t>X03882</t>
  </si>
  <si>
    <t>TRANSPORTATION LOSS - 13144 ALTAF</t>
  </si>
  <si>
    <t>X03883</t>
  </si>
  <si>
    <t>TRANSPORTATION LOSS - 12195 DELTA</t>
  </si>
  <si>
    <t>X03890</t>
  </si>
  <si>
    <t>TRANSPORTATION LOSS - 12176 ALSNOSI</t>
  </si>
  <si>
    <t>X03891</t>
  </si>
  <si>
    <t>TRANSPORTATION LOSS - 11893 RIBA</t>
  </si>
  <si>
    <t>X03892</t>
  </si>
  <si>
    <t>TRANSPORTATION LOSS - 11894 RIBA</t>
  </si>
  <si>
    <t>X03893</t>
  </si>
  <si>
    <t>TRANSPORTATION LOSS - 13058 ANJAL</t>
  </si>
  <si>
    <t>X03894</t>
  </si>
  <si>
    <t>TRANSPORTATION LOSS - 13060 ANJAL</t>
  </si>
  <si>
    <t>X03895</t>
  </si>
  <si>
    <t>TRANSPORTATION LOSS - 13059 ANJAL</t>
  </si>
  <si>
    <t>X03896</t>
  </si>
  <si>
    <t>SCALE DIFF</t>
  </si>
  <si>
    <t>A00790</t>
  </si>
  <si>
    <t>C02671</t>
  </si>
  <si>
    <t>TRANSPORTATION LOSS - 2301 DELTA</t>
  </si>
  <si>
    <t>X03897</t>
  </si>
  <si>
    <t>TRANSPORTATION LOSS - 112 DELTA</t>
  </si>
  <si>
    <t>X03898</t>
  </si>
  <si>
    <t>Adj Type</t>
  </si>
  <si>
    <t>Transport Loss</t>
  </si>
  <si>
    <t>Stuffing Variance</t>
  </si>
  <si>
    <t>Repacking &amp; Reprocessing</t>
  </si>
  <si>
    <t>Non Conformity</t>
  </si>
  <si>
    <t>Insurance Cases</t>
  </si>
  <si>
    <t>Stock Variance - Excess</t>
  </si>
  <si>
    <t>IC - TRUCK ACCEDINT - CR-HDQ-24-2-14.</t>
  </si>
  <si>
    <t>X03982</t>
  </si>
  <si>
    <t>Q04924</t>
  </si>
  <si>
    <t>XG</t>
  </si>
  <si>
    <t>IC - TRUCK ACCEDINT - CR-HDQ-24-2-14 NC NO. 21</t>
  </si>
  <si>
    <t>X03983</t>
  </si>
  <si>
    <t>Q05159</t>
  </si>
  <si>
    <t>WS0011</t>
  </si>
  <si>
    <t>IC - TRUCK ACCEDINT - NC NO 21</t>
  </si>
  <si>
    <t>XG0001</t>
  </si>
  <si>
    <t>A00793</t>
  </si>
  <si>
    <t>C02704</t>
  </si>
  <si>
    <t>EXCESS - 13066 KARKAR</t>
  </si>
  <si>
    <t>TW0001</t>
  </si>
  <si>
    <t>A00792</t>
  </si>
  <si>
    <t>C02693</t>
  </si>
  <si>
    <t>TRANSPORTATION LOSS - 13066 KARKAR</t>
  </si>
  <si>
    <t>X03981</t>
  </si>
  <si>
    <t>TRANSPORTATION LOSS - 17894 ARIF &amp; MUBARK</t>
  </si>
  <si>
    <t>X03966</t>
  </si>
  <si>
    <t>Q06138</t>
  </si>
  <si>
    <t>TRANSPORTATION LOSS - 19493 ANJAL</t>
  </si>
  <si>
    <t>X03967</t>
  </si>
  <si>
    <t>P03679</t>
  </si>
  <si>
    <t>TRANSPORTATION LOSS - 12097 ALASGALANI</t>
  </si>
  <si>
    <t>X03968</t>
  </si>
  <si>
    <t>TRANSPORTATION LOSS - 12142 ALASGALANI</t>
  </si>
  <si>
    <t>X03969</t>
  </si>
  <si>
    <t>TRANSPORTATION LOSS - 12224 RIBA</t>
  </si>
  <si>
    <t>X03970</t>
  </si>
  <si>
    <t>TRANSPORTATION LOSS - 12108 RIBA</t>
  </si>
  <si>
    <t>X03971</t>
  </si>
  <si>
    <t>TRANSPORTATION LOSS - 12105 RIBA</t>
  </si>
  <si>
    <t>X03972</t>
  </si>
  <si>
    <t>TRANSPORTATION LOSS - 18458 ALKHTOT ALSAHLIA</t>
  </si>
  <si>
    <t>X03973</t>
  </si>
  <si>
    <t>TRANSPORTATION LOSS - 18459 ALKHTOT ALSAHLIA</t>
  </si>
  <si>
    <t>X03974</t>
  </si>
  <si>
    <t>TRANSPORTATION LOSS - 5534 S.T</t>
  </si>
  <si>
    <t>X03975</t>
  </si>
  <si>
    <t>Q06086</t>
  </si>
  <si>
    <t>TRANSPORTATION LOSS - 12253 ALASGALANI</t>
  </si>
  <si>
    <t>X03976</t>
  </si>
  <si>
    <t>TRANSPORTATION LOSS - 19335 ARIF &amp; MUBARK</t>
  </si>
  <si>
    <t>X03977</t>
  </si>
  <si>
    <t>Q06133</t>
  </si>
  <si>
    <t>TRANSPORTATION LOSS - 12453 ALKASIR</t>
  </si>
  <si>
    <t>X03978</t>
  </si>
  <si>
    <t>TRANSPORTATION LOSS - 19329 ANJAL</t>
  </si>
  <si>
    <t>X03979</t>
  </si>
  <si>
    <t>TRANSPORTATION LOSS - 19327 RAIBA</t>
  </si>
  <si>
    <t>X03964</t>
  </si>
  <si>
    <t>TRANSPORTATION LOSS - 11686 ALTAF</t>
  </si>
  <si>
    <t>X03965</t>
  </si>
  <si>
    <t>TM</t>
  </si>
  <si>
    <t>TRANSPORTATION LOSS - 13243 ALWASEELA</t>
  </si>
  <si>
    <t>X03960</t>
  </si>
  <si>
    <t>Q06130</t>
  </si>
  <si>
    <t>TRANSPORTATION LOSS - 13242 ALWASEELA</t>
  </si>
  <si>
    <t>X03961</t>
  </si>
  <si>
    <t>TRANSPORTATION LOSS - 13240 ALTAF</t>
  </si>
  <si>
    <t>X03962</t>
  </si>
  <si>
    <t>TRANSPORTATION LOSS - 13241 ALWASEELA</t>
  </si>
  <si>
    <t>X03963</t>
  </si>
  <si>
    <t>SCALE DIFF - PACKAGING</t>
  </si>
  <si>
    <t>X03959</t>
  </si>
  <si>
    <t>Q05945</t>
  </si>
  <si>
    <t>TRANSPORTATION LOSS - 7648 DELTA</t>
  </si>
  <si>
    <t>X03957</t>
  </si>
  <si>
    <t>CNC000738</t>
  </si>
  <si>
    <t>TRANSPORTATION LOSS - 7649 DELTA</t>
  </si>
  <si>
    <t>X03958</t>
  </si>
  <si>
    <t>ACCIDENT - 19574 YASIR HAMZA</t>
  </si>
  <si>
    <t>X03943</t>
  </si>
  <si>
    <t>P03681</t>
  </si>
  <si>
    <t>TRANSPORTATION LOSS - 16024 ARIF ALMUBARK</t>
  </si>
  <si>
    <t>000255</t>
  </si>
  <si>
    <t>X03944</t>
  </si>
  <si>
    <t>TRANSPORTATION LOSS - 15998 ARIF ALMUBARK</t>
  </si>
  <si>
    <t>000256</t>
  </si>
  <si>
    <t>X03945</t>
  </si>
  <si>
    <t>TRANSPORTATION LOSS - 15099 ABURNAT</t>
  </si>
  <si>
    <t>000257</t>
  </si>
  <si>
    <t>X03946</t>
  </si>
  <si>
    <t>TRANSPORTATION LOSS - 13321 ALTAF</t>
  </si>
  <si>
    <t>000037</t>
  </si>
  <si>
    <t>X03947</t>
  </si>
  <si>
    <t>TRANSPORTATION LOSS - 13323 ABURNAT</t>
  </si>
  <si>
    <t>000038</t>
  </si>
  <si>
    <t>X03948</t>
  </si>
  <si>
    <t>TRANSPORTATION LOSS - 13332 ABURNAT</t>
  </si>
  <si>
    <t>000039</t>
  </si>
  <si>
    <t>X03949</t>
  </si>
  <si>
    <t>TRANSPORTATION LOSS - 13364 ABURNAT</t>
  </si>
  <si>
    <t>000040</t>
  </si>
  <si>
    <t>X03950</t>
  </si>
  <si>
    <t>TRANSPORTATION LOSS - 15994 ALWAHSHAB</t>
  </si>
  <si>
    <t>X03951</t>
  </si>
  <si>
    <t>TRANSPORTATION LOSS - 16005 ALASGALANI</t>
  </si>
  <si>
    <t>X03952</t>
  </si>
  <si>
    <t>TU</t>
  </si>
  <si>
    <t>TRANSPORTATION LOSS - 16017 ANJAL</t>
  </si>
  <si>
    <t>X03953</t>
  </si>
  <si>
    <t>TRANSPORTATION LOSS - 16082 ALTAF</t>
  </si>
  <si>
    <t>X03954</t>
  </si>
  <si>
    <t>HANDLING DAMAGE  - 178</t>
  </si>
  <si>
    <t>X03929</t>
  </si>
  <si>
    <t>Q06106</t>
  </si>
  <si>
    <t>HANDLING DAMAGE  - 177</t>
  </si>
  <si>
    <t>X03930</t>
  </si>
  <si>
    <t>HANDLING DAMAGE  - 2</t>
  </si>
  <si>
    <t>X03931</t>
  </si>
  <si>
    <t>HANDLING DAMAGE  - 132A</t>
  </si>
  <si>
    <t>X03932</t>
  </si>
  <si>
    <t>HANDLING DAMAGE  - 3</t>
  </si>
  <si>
    <t>X03933</t>
  </si>
  <si>
    <t>HANDLING DAMAGE  - 130</t>
  </si>
  <si>
    <t>X03934</t>
  </si>
  <si>
    <t>HANDLING DAMAGE  - 176</t>
  </si>
  <si>
    <t>X03935</t>
  </si>
  <si>
    <t>RAIN DAMAGE - NC NO.74</t>
  </si>
  <si>
    <t>X03936</t>
  </si>
  <si>
    <t>DK0101</t>
  </si>
  <si>
    <t>A00791</t>
  </si>
  <si>
    <t>C02672</t>
  </si>
  <si>
    <t>MV ABRAHAM - SHORT LANDED</t>
  </si>
  <si>
    <t>X03937</t>
  </si>
  <si>
    <t>Q06134</t>
  </si>
  <si>
    <t>MV ABRAHAM - REPACKING LOSS</t>
  </si>
  <si>
    <t>X03938</t>
  </si>
  <si>
    <t>MV ABRAHAM - FALL IN  SEA</t>
  </si>
  <si>
    <t>X03939</t>
  </si>
  <si>
    <t>MV ABRAHAM - SAMPLES</t>
  </si>
  <si>
    <t>X03940</t>
  </si>
  <si>
    <t>BK</t>
  </si>
  <si>
    <t>WAREHOUSE DAMAGE - RODENTS</t>
  </si>
  <si>
    <t>X03941</t>
  </si>
  <si>
    <t>Q05346</t>
  </si>
  <si>
    <t>HANDLING DAMAGE - NC NO.174</t>
  </si>
  <si>
    <t>X03942</t>
  </si>
  <si>
    <t>Q05915</t>
  </si>
  <si>
    <t>TRANSPORTATION LOSS - 12427 ANJAL</t>
  </si>
  <si>
    <t>X03899</t>
  </si>
  <si>
    <t>TRANSPORTATION LOSS - 12428 ALNAWAH</t>
  </si>
  <si>
    <t>X03900</t>
  </si>
  <si>
    <t>TRANSPORTATION LOSS - 12465 ALTAF</t>
  </si>
  <si>
    <t>X03901</t>
  </si>
  <si>
    <t>TRANSPORTATION LOSS - 12466 ALTAF</t>
  </si>
  <si>
    <t>X03902</t>
  </si>
  <si>
    <t>TRANSPORTATION LOSS - 15070 ALTAF</t>
  </si>
  <si>
    <t>X03904</t>
  </si>
  <si>
    <t>TRANSPORTATION LOSS - 15080 ALNAWAH</t>
  </si>
  <si>
    <t>X03905</t>
  </si>
  <si>
    <t>TRANSPORTATION LOSS - 15089 ALNAWAH</t>
  </si>
  <si>
    <t>X03906</t>
  </si>
  <si>
    <t>TRANSPORTATION LOSS - 15100 ALNAWAH</t>
  </si>
  <si>
    <t>X03907</t>
  </si>
  <si>
    <t>TRANSPORTATION LOSS - 15901 AlKASIR</t>
  </si>
  <si>
    <t>X03908</t>
  </si>
  <si>
    <t>TRANSPORTATION LOSS - 15084 ALTARIQ ALZAKI</t>
  </si>
  <si>
    <t>X03909</t>
  </si>
  <si>
    <t>TRANSPORTATION LOSS - 13199 ABURNAT</t>
  </si>
  <si>
    <t>X03910</t>
  </si>
  <si>
    <t>Q06122</t>
  </si>
  <si>
    <t>TRANSPORTATION LOSS - 12188 RIBA</t>
  </si>
  <si>
    <t>X03911</t>
  </si>
  <si>
    <t>TRANSPORTATION LOSS - 12190 RIBA</t>
  </si>
  <si>
    <t>X03912</t>
  </si>
  <si>
    <t>TRANSPORTATION LOSS - 12217 RIBA</t>
  </si>
  <si>
    <t>X03913</t>
  </si>
  <si>
    <t>TRANSPORTATION LOSS - 11879 DELTA</t>
  </si>
  <si>
    <t>X03914</t>
  </si>
  <si>
    <t>TRANSPORTATION LOSS - 13188 ALTAF</t>
  </si>
  <si>
    <t>X03915</t>
  </si>
  <si>
    <t>TRANSPORTATION LOSS - 13191 ALTAF</t>
  </si>
  <si>
    <t>X03916</t>
  </si>
  <si>
    <t>TRANSPORTATION LOSS - 19572 Y.HAMZA</t>
  </si>
  <si>
    <t>X03917</t>
  </si>
  <si>
    <t>P03680</t>
  </si>
  <si>
    <t>TRANSPORTATION LOSS - 19542 Y.HAMZA</t>
  </si>
  <si>
    <t>X03918</t>
  </si>
  <si>
    <t>TRANSPORTATION LOSS - 12411 K.AWAD</t>
  </si>
  <si>
    <t>X03919</t>
  </si>
  <si>
    <t>TRANSPORTATION LOSS - 12410 K.AWAD</t>
  </si>
  <si>
    <t>X03920</t>
  </si>
  <si>
    <t>TRANSPORTATION LOSS - 13175 ABURNAT</t>
  </si>
  <si>
    <t>X03921</t>
  </si>
  <si>
    <t>TRANSPORTATION LOSS - 13132 ABURNAT</t>
  </si>
  <si>
    <t>X03922</t>
  </si>
  <si>
    <t>TRANSPORTATION LOSS - 13133 ALASGALANI</t>
  </si>
  <si>
    <t>X03923</t>
  </si>
  <si>
    <t>TRANSPORTATION LOSS - 13167 ALFADNI</t>
  </si>
  <si>
    <t>X03924</t>
  </si>
  <si>
    <t>TRANSPORTATION LOSS - 13165 ALFADNI</t>
  </si>
  <si>
    <t>X03925</t>
  </si>
  <si>
    <t>TRANSPORTATION LOSS - 13162 ALFADNI</t>
  </si>
  <si>
    <t>X03926</t>
  </si>
  <si>
    <t>TRANSPORTATION LOSS - 13161 ALFADNI</t>
  </si>
  <si>
    <t>X03927</t>
  </si>
  <si>
    <t>TRANSPORTATION LOSS - 13062 ANJAL</t>
  </si>
  <si>
    <t>X03928</t>
  </si>
  <si>
    <t>Month</t>
  </si>
  <si>
    <t>Stream</t>
  </si>
  <si>
    <t>Unit</t>
  </si>
  <si>
    <t xml:space="preserve">Cotton - FG </t>
  </si>
  <si>
    <t>Export</t>
  </si>
  <si>
    <t>TON</t>
  </si>
  <si>
    <t>White Cotton Seeds</t>
  </si>
  <si>
    <t>BAG50</t>
  </si>
  <si>
    <t>Gum Hashab Waste</t>
  </si>
  <si>
    <t>Lentil TAT 20KG</t>
  </si>
  <si>
    <t>Import</t>
  </si>
  <si>
    <t>PP0002</t>
  </si>
  <si>
    <t>Gadarif Sesame - FG</t>
  </si>
  <si>
    <t xml:space="preserve">White Sesame Non Gadarif - FG </t>
  </si>
  <si>
    <t>BAG25</t>
  </si>
  <si>
    <t>Gadarif Sesame Raw</t>
  </si>
  <si>
    <t>Sorghum Raw</t>
  </si>
  <si>
    <t>White Sugar</t>
  </si>
  <si>
    <t>WS0008</t>
  </si>
  <si>
    <t>White Crystal Sugar</t>
  </si>
  <si>
    <t>WS0010</t>
  </si>
  <si>
    <t>Caked Sugar</t>
  </si>
  <si>
    <t>White Sugar - Damaged</t>
  </si>
  <si>
    <t>Sorghum FG</t>
  </si>
  <si>
    <t>PP0001</t>
  </si>
  <si>
    <t>product description</t>
  </si>
  <si>
    <t>Remarks</t>
  </si>
  <si>
    <t>Adj. Type</t>
  </si>
  <si>
    <t>Variance Classification</t>
  </si>
  <si>
    <t>Compensation Status</t>
  </si>
  <si>
    <t>Compensation Process</t>
  </si>
  <si>
    <t>QTY -MT</t>
  </si>
  <si>
    <t>Alnajm Flour from Mill 25KG</t>
  </si>
  <si>
    <t>BAG20</t>
  </si>
  <si>
    <t>Non Gadarif Sesame - Colored - Grade 2 5</t>
  </si>
  <si>
    <t>PIGEON PEAS JAZIRA CLEAN RAW MATRIAL</t>
  </si>
  <si>
    <t>White Sesame Gadarif Damage NC 50K</t>
  </si>
  <si>
    <t>White Sesame Non Gadarif Damage NC 50K</t>
  </si>
  <si>
    <t>Non Gadarif Sesame Colored Damage NC 50K</t>
  </si>
  <si>
    <t>Watermelon Seeds Raw</t>
  </si>
  <si>
    <t>Stock Adjustments</t>
  </si>
  <si>
    <t>Stock Losses/Gains</t>
  </si>
  <si>
    <t>Compensated</t>
  </si>
  <si>
    <t>Pending</t>
  </si>
  <si>
    <t>Flour damage by rain in the port from MV NOUR ALhouda and delivered to Animal feed</t>
  </si>
  <si>
    <t>-</t>
  </si>
  <si>
    <t>Truck accident on July 2023 happened in Drdreb area during transit from Omdurman to Gadarif, Police report done and shared , loading Sugar 800 bags 50KG, Truck Head 11897 Traill:7133,  loss of 205 bags (total loss 166 bags, damage 39 bags) , transporter name: Raiba
GTN no 1659, shared liability letter with insurance team on 6 may 2024.</t>
  </si>
  <si>
    <t>SCALE DIFF - GADARIF TO PZU</t>
  </si>
  <si>
    <t>X04034</t>
  </si>
  <si>
    <t>Q06196</t>
  </si>
  <si>
    <t>REPACKING LOSS - NC NO.4</t>
  </si>
  <si>
    <t>X04035</t>
  </si>
  <si>
    <t>CNC000743</t>
  </si>
  <si>
    <t>REPACKING LOSS - NC NO.8</t>
  </si>
  <si>
    <t>X04036</t>
  </si>
  <si>
    <t>REPACKING DAMAGE - NC NO.4</t>
  </si>
  <si>
    <t>A00794</t>
  </si>
  <si>
    <t>C02710</t>
  </si>
  <si>
    <t>TRANSPORTATION LOSS - 16655 ABURNAT</t>
  </si>
  <si>
    <t>X04037</t>
  </si>
  <si>
    <t>Q06155</t>
  </si>
  <si>
    <t>TRANSPORTATION LOSS - 16681 ALHAMADA</t>
  </si>
  <si>
    <t>X04038</t>
  </si>
  <si>
    <t>TRANSPORTATION LOSS - 16688 ALHAMADA</t>
  </si>
  <si>
    <t>X04039</t>
  </si>
  <si>
    <t>TRANSPORTATION LOSS - 18571 ARIF &amp; MUBARK</t>
  </si>
  <si>
    <t>X04040</t>
  </si>
  <si>
    <t>Q05964</t>
  </si>
  <si>
    <t>XQ</t>
  </si>
  <si>
    <t>OVER BL16729 LOT 93</t>
  </si>
  <si>
    <t>XQ0001</t>
  </si>
  <si>
    <t>A00795</t>
  </si>
  <si>
    <t>C02735</t>
  </si>
  <si>
    <t>BG</t>
  </si>
  <si>
    <t>HG1301</t>
  </si>
  <si>
    <t>SORTING - NC NO.38A PC NO.1242</t>
  </si>
  <si>
    <t>X04071</t>
  </si>
  <si>
    <t>A00270</t>
  </si>
  <si>
    <t>TRANSPORTATION LOSS - 17882 ALFADNI</t>
  </si>
  <si>
    <t>X04041</t>
  </si>
  <si>
    <t>TRANSPORTATION LOSS - 16047 ALASGALANI</t>
  </si>
  <si>
    <t>X04042</t>
  </si>
  <si>
    <t>TRANSPORTATION LOSS - 17875 ALASGALANI</t>
  </si>
  <si>
    <t>X04043</t>
  </si>
  <si>
    <t>TRANSPORTATION LOSS - 17878 ALFADNI</t>
  </si>
  <si>
    <t>X04044</t>
  </si>
  <si>
    <t>TRANSPORTATION LOSS - 17883 ALFADNI</t>
  </si>
  <si>
    <t>X04045</t>
  </si>
  <si>
    <t>TRANSPORTATION LOSS - 16039 ALASGALANI</t>
  </si>
  <si>
    <t>X04046</t>
  </si>
  <si>
    <t>Q06185</t>
  </si>
  <si>
    <t>TRANSPORTATION LOSS - 17877 ALASGALANI</t>
  </si>
  <si>
    <t>X04047</t>
  </si>
  <si>
    <t>TRANSPORTATION LOSS - 17874 ALASGALANI</t>
  </si>
  <si>
    <t>X04048</t>
  </si>
  <si>
    <t>TRANSPORTATION LOSS - 16083 ALASGALANI</t>
  </si>
  <si>
    <t>X04049</t>
  </si>
  <si>
    <t>TRANSPORTATION LOSS - 16097 ALASGALANI</t>
  </si>
  <si>
    <t>X04050</t>
  </si>
  <si>
    <t>TRANSPORTATION LOSS - 16096 ALASGALANI</t>
  </si>
  <si>
    <t>X04051</t>
  </si>
  <si>
    <t>TRANSPORTATION LOSS - 19541 Y.HAMZA</t>
  </si>
  <si>
    <t>X04053</t>
  </si>
  <si>
    <t>CNC000741</t>
  </si>
  <si>
    <t>SHOTLANED BL 13C LOT 2</t>
  </si>
  <si>
    <t>X04054</t>
  </si>
  <si>
    <t>Q05966</t>
  </si>
  <si>
    <t>BD</t>
  </si>
  <si>
    <t>DAMAGED BL 13C  LOT 2</t>
  </si>
  <si>
    <t>X04055</t>
  </si>
  <si>
    <t>LE9005</t>
  </si>
  <si>
    <t>SHORTLANDED BL 13B LOT 1</t>
  </si>
  <si>
    <t>X04056</t>
  </si>
  <si>
    <t>Q05965</t>
  </si>
  <si>
    <t>SAMPLE BL 13B LOT 1</t>
  </si>
  <si>
    <t>X04057</t>
  </si>
  <si>
    <t>DAMAGED  BL 13B LOT 1</t>
  </si>
  <si>
    <t>X04058</t>
  </si>
  <si>
    <t>WQ</t>
  </si>
  <si>
    <t>SHORTLANDED BL 15B LOT 4</t>
  </si>
  <si>
    <t>X04059</t>
  </si>
  <si>
    <t>SAMPLE BL 15B LOT 4</t>
  </si>
  <si>
    <t>X04060</t>
  </si>
  <si>
    <t>DAMAGED BL 15B LOT 4</t>
  </si>
  <si>
    <t>X04061</t>
  </si>
  <si>
    <t>TD</t>
  </si>
  <si>
    <t>AFFECTED BY GASOLINE - NC NO. 20</t>
  </si>
  <si>
    <t>X04062</t>
  </si>
  <si>
    <t>Q05946</t>
  </si>
  <si>
    <t>SHORTLANDED BL 15A LOT 3</t>
  </si>
  <si>
    <t>X04063</t>
  </si>
  <si>
    <t>SAMPLE BL 15A LOT 3</t>
  </si>
  <si>
    <t>X04064</t>
  </si>
  <si>
    <t>SHORTLANDED BL 0125-00020 LOT 5</t>
  </si>
  <si>
    <t>X04065</t>
  </si>
  <si>
    <t>SAMPLE BL 0125-00020 LOT 5</t>
  </si>
  <si>
    <t>X04066</t>
  </si>
  <si>
    <t>DAMAGED BL 0125-00020 LOT 5</t>
  </si>
  <si>
    <t>X04067</t>
  </si>
  <si>
    <t>SAMPLE BL16729 LOT 93</t>
  </si>
  <si>
    <t>X04068</t>
  </si>
  <si>
    <t>Q06173</t>
  </si>
  <si>
    <t>SHORTLANDED BL15508 LOT 81</t>
  </si>
  <si>
    <t>X04069</t>
  </si>
  <si>
    <t>SAMPLE BL15508 LOT 81</t>
  </si>
  <si>
    <t>X04070</t>
  </si>
  <si>
    <t>HG0007</t>
  </si>
  <si>
    <t>A00796</t>
  </si>
  <si>
    <t>C02736</t>
  </si>
  <si>
    <t>BD0001</t>
  </si>
  <si>
    <t>A00797</t>
  </si>
  <si>
    <t>C02737</t>
  </si>
  <si>
    <t>LE0303</t>
  </si>
  <si>
    <t>A00798</t>
  </si>
  <si>
    <t>C02738</t>
  </si>
  <si>
    <t>EXCESS - 16684 ALHAMADA</t>
  </si>
  <si>
    <t>A00799</t>
  </si>
  <si>
    <t>C02739</t>
  </si>
  <si>
    <t>EXCESS - 17028 BASHIR KARABAH</t>
  </si>
  <si>
    <t>A00800</t>
  </si>
  <si>
    <t>C02740</t>
  </si>
  <si>
    <t>EXCESS - 12416 ANJAL</t>
  </si>
  <si>
    <t>A00801</t>
  </si>
  <si>
    <t>C02741</t>
  </si>
  <si>
    <t>EXCESS - 14206 Privet co</t>
  </si>
  <si>
    <t>A00802</t>
  </si>
  <si>
    <t>C02742</t>
  </si>
  <si>
    <t>EXCESS - 14207 Privet co.</t>
  </si>
  <si>
    <t>A00803</t>
  </si>
  <si>
    <t>C02743</t>
  </si>
  <si>
    <t>EXCESS - 14220 Privet co.</t>
  </si>
  <si>
    <t>A00804</t>
  </si>
  <si>
    <t>C02744</t>
  </si>
  <si>
    <t>EXCESS - 14227 ALOMDA</t>
  </si>
  <si>
    <t>A00805</t>
  </si>
  <si>
    <t>C02745</t>
  </si>
  <si>
    <t>EXCESS - 14229 ALOMDA</t>
  </si>
  <si>
    <t>A00806</t>
  </si>
  <si>
    <t>C02746</t>
  </si>
  <si>
    <t>EXCESS - 16984 ALTAF</t>
  </si>
  <si>
    <t>A00807</t>
  </si>
  <si>
    <t>C02747</t>
  </si>
  <si>
    <t>EXCESS - 16993 ALTAF</t>
  </si>
  <si>
    <t>A00808</t>
  </si>
  <si>
    <t>C02748</t>
  </si>
  <si>
    <t>EXCESS - 16995 ALTAF</t>
  </si>
  <si>
    <t>A00809</t>
  </si>
  <si>
    <t>C02749</t>
  </si>
  <si>
    <t>EXCESS - 17025 RIBA</t>
  </si>
  <si>
    <t>A00810</t>
  </si>
  <si>
    <t>C02750</t>
  </si>
  <si>
    <t>EXCESS - 17115 ABURNAT</t>
  </si>
  <si>
    <t>A00811</t>
  </si>
  <si>
    <t>C02751</t>
  </si>
  <si>
    <t>EXCESS - 18496 RIBA</t>
  </si>
  <si>
    <t>A00812</t>
  </si>
  <si>
    <t>C02752</t>
  </si>
  <si>
    <t>EXCESS - 18635 ANJAL</t>
  </si>
  <si>
    <t>A00813</t>
  </si>
  <si>
    <t>C02753</t>
  </si>
  <si>
    <t>EXCESS - 19151 ALOMDA</t>
  </si>
  <si>
    <t>A00814</t>
  </si>
  <si>
    <t>C02754</t>
  </si>
  <si>
    <t>EXCESS - 11895 ARIF &amp; MUBARK</t>
  </si>
  <si>
    <t>A00815</t>
  </si>
  <si>
    <t>C02755</t>
  </si>
  <si>
    <t>EXCESS - 13182 ABURNAT</t>
  </si>
  <si>
    <t>A00816</t>
  </si>
  <si>
    <t>C02756</t>
  </si>
  <si>
    <t>EXCESS - 13330 ABURNAT</t>
  </si>
  <si>
    <t>A00817</t>
  </si>
  <si>
    <t>C02757</t>
  </si>
  <si>
    <t>EXCESS - 16658 ABURNAT</t>
  </si>
  <si>
    <t>A00818</t>
  </si>
  <si>
    <t>C02758</t>
  </si>
  <si>
    <t>EXCESS - 17892 ALKASIR</t>
  </si>
  <si>
    <t>A00819</t>
  </si>
  <si>
    <t>C02759</t>
  </si>
  <si>
    <t>EXCESS - 12129 KHALID AWAD</t>
  </si>
  <si>
    <t>A00820</t>
  </si>
  <si>
    <t>C02760</t>
  </si>
  <si>
    <t>EXCESS - 18567 ARIF &amp; MUBARK</t>
  </si>
  <si>
    <t>TK0001</t>
  </si>
  <si>
    <t>A00821</t>
  </si>
  <si>
    <t>C02761</t>
  </si>
  <si>
    <t>EXCESS - 12256 ALASGALANI</t>
  </si>
  <si>
    <t>A00822</t>
  </si>
  <si>
    <t>C02762</t>
  </si>
  <si>
    <t>EXCESS - 19494 ANJAL</t>
  </si>
  <si>
    <t>A00823</t>
  </si>
  <si>
    <t>C02763</t>
  </si>
  <si>
    <t>EXCESS - 16009 ALASGALANI</t>
  </si>
  <si>
    <t>A00824</t>
  </si>
  <si>
    <t>C02764</t>
  </si>
  <si>
    <t>SCALE DIFF - TOLERANCE ALKASIR 5107</t>
  </si>
  <si>
    <t>X03985</t>
  </si>
  <si>
    <t>Q06176</t>
  </si>
  <si>
    <t>TRANSPORTATION LOSS - 5107 ALKASIR</t>
  </si>
  <si>
    <t>X03986</t>
  </si>
  <si>
    <t>SCALE DIFF GADARIF TO PZU</t>
  </si>
  <si>
    <t>X03984</t>
  </si>
  <si>
    <t>REPROCESSING LOSS - NC NO. 22</t>
  </si>
  <si>
    <t>X03988</t>
  </si>
  <si>
    <t>REPROCESSING LOSS - NC NO.21</t>
  </si>
  <si>
    <t>X03989</t>
  </si>
  <si>
    <t>TRANSPORTATION LOSS - 9760 WD ELBLA</t>
  </si>
  <si>
    <t>X03990</t>
  </si>
  <si>
    <t>TRANSPORTATION LOSS - 65614 DALTA</t>
  </si>
  <si>
    <t>X03991</t>
  </si>
  <si>
    <t>TRANSPORTATION LOSS - 15967 ALWAHSHAB</t>
  </si>
  <si>
    <t>000031</t>
  </si>
  <si>
    <t>X03992</t>
  </si>
  <si>
    <t>TRANSPORTATION LOSS - 15991 ALWAHSHAB</t>
  </si>
  <si>
    <t>000032</t>
  </si>
  <si>
    <t>X03993</t>
  </si>
  <si>
    <t>000033</t>
  </si>
  <si>
    <t>TRANSPORTATION LOSS - 12467 ALTAF</t>
  </si>
  <si>
    <t>000034</t>
  </si>
  <si>
    <t>X03994</t>
  </si>
  <si>
    <t>TRANSPORTATION LOSS - 15069 ALTAF</t>
  </si>
  <si>
    <t>000035</t>
  </si>
  <si>
    <t>X03995</t>
  </si>
  <si>
    <t>TRANSPORTATION LOSS - 15083 ALTARIK ALZAKI</t>
  </si>
  <si>
    <t>000036</t>
  </si>
  <si>
    <t>X03996</t>
  </si>
  <si>
    <t>TRANSPORTATION LOSS - 14225 ALOMDA</t>
  </si>
  <si>
    <t>X03997</t>
  </si>
  <si>
    <t>TRANSPORTATION LOSS - 14226 ALOMDA</t>
  </si>
  <si>
    <t>X03998</t>
  </si>
  <si>
    <t>TRANSPORTATION LOSS - 14228 ALOMDA</t>
  </si>
  <si>
    <t>X03999</t>
  </si>
  <si>
    <t>TRANSPORTATION LOSS - 14231 ALOMDA</t>
  </si>
  <si>
    <t>X04000</t>
  </si>
  <si>
    <t>TRANSPORTATION LOSS - 14233 ALOMDA</t>
  </si>
  <si>
    <t>000041</t>
  </si>
  <si>
    <t>X04001</t>
  </si>
  <si>
    <t>TRANSPORTATION LOSS - 14234 ALOMDA</t>
  </si>
  <si>
    <t>000044</t>
  </si>
  <si>
    <t>X04002</t>
  </si>
  <si>
    <t>TRANSPORTATION LOSS - 14240 ALOMDA</t>
  </si>
  <si>
    <t>000047</t>
  </si>
  <si>
    <t>X04003</t>
  </si>
  <si>
    <t>TRANSPORTATION LOSS - 14243 ALOMDA</t>
  </si>
  <si>
    <t>000048</t>
  </si>
  <si>
    <t>X04004</t>
  </si>
  <si>
    <t>TRANSPORTATION LOSS - 14245 ALOMDA</t>
  </si>
  <si>
    <t>000051</t>
  </si>
  <si>
    <t>X04005</t>
  </si>
  <si>
    <t>TRANSPORTATION LOSS - 14247 ALOMDA</t>
  </si>
  <si>
    <t>000054</t>
  </si>
  <si>
    <t>X04006</t>
  </si>
  <si>
    <t>TRANSPORTATION LOSS - 14249 ALOMDA</t>
  </si>
  <si>
    <t>000055</t>
  </si>
  <si>
    <t>X04007</t>
  </si>
  <si>
    <t>TRANSPORTATION LOSS - 15960 ALWASEELA</t>
  </si>
  <si>
    <t>000058</t>
  </si>
  <si>
    <t>X04008</t>
  </si>
  <si>
    <t>TRANSPORTATION LOSS - 15980 K.MAHJOUB</t>
  </si>
  <si>
    <t>000059</t>
  </si>
  <si>
    <t>X04009</t>
  </si>
  <si>
    <t>TRANSPORTATION LOSS - 17888 ALASGALANI</t>
  </si>
  <si>
    <t>000063</t>
  </si>
  <si>
    <t>X04010</t>
  </si>
  <si>
    <t>TRANSPORTATION LOSS - 18472 DLATA</t>
  </si>
  <si>
    <t>000065</t>
  </si>
  <si>
    <t>X04011</t>
  </si>
  <si>
    <t>TRANSPORTATION LOSS - 18474 DALTA</t>
  </si>
  <si>
    <t>000067</t>
  </si>
  <si>
    <t>X04012</t>
  </si>
  <si>
    <t>TRANSPORTATION LOSS - 18477 DALTA</t>
  </si>
  <si>
    <t>000068</t>
  </si>
  <si>
    <t>X04013</t>
  </si>
  <si>
    <t>TRANSPORTATION LOSS - 18478 DALTA</t>
  </si>
  <si>
    <t>000071</t>
  </si>
  <si>
    <t>X04014</t>
  </si>
  <si>
    <t>TRANSPORTATION LOSS - 18618 RIBA</t>
  </si>
  <si>
    <t>000074</t>
  </si>
  <si>
    <t>X04015</t>
  </si>
  <si>
    <t>TRANSPORTATION LOSS - 18482 RIBA</t>
  </si>
  <si>
    <t>000078</t>
  </si>
  <si>
    <t>X04016</t>
  </si>
  <si>
    <t>TRANSPORTATION LOSS - 18499 RIBA</t>
  </si>
  <si>
    <t>000080</t>
  </si>
  <si>
    <t>X04017</t>
  </si>
  <si>
    <t>TRANSPORTATION LOSS - 18500 RIBA</t>
  </si>
  <si>
    <t>000083</t>
  </si>
  <si>
    <t>X04018</t>
  </si>
  <si>
    <t>SCALE DIFF - 1240.2</t>
  </si>
  <si>
    <t>X04019</t>
  </si>
  <si>
    <t>TRANSPORTATION LOSS - 18471 QUICK</t>
  </si>
  <si>
    <t>000139</t>
  </si>
  <si>
    <t>X04020</t>
  </si>
  <si>
    <t>TRANSPORTATION LOSS - 18604 ARIF &amp; MUBARK</t>
  </si>
  <si>
    <t>000140</t>
  </si>
  <si>
    <t>X04021</t>
  </si>
  <si>
    <t>TRANSPORTATION LOSS - 18640 ALTAF</t>
  </si>
  <si>
    <t>000141</t>
  </si>
  <si>
    <t>X04022</t>
  </si>
  <si>
    <t>TRANSPORTATION LOSS - 18641 ALTAF</t>
  </si>
  <si>
    <t>000142</t>
  </si>
  <si>
    <t>X04023</t>
  </si>
  <si>
    <t>TRANSPORTATION LOSS - 18650 ALTAF</t>
  </si>
  <si>
    <t>000143</t>
  </si>
  <si>
    <t>X04024</t>
  </si>
  <si>
    <t>TRANSPORTATION LOSS - 18676 DALTA</t>
  </si>
  <si>
    <t>000144</t>
  </si>
  <si>
    <t>X04025</t>
  </si>
  <si>
    <t>TRANSPORTATION LOSS - 18639 ANJAL</t>
  </si>
  <si>
    <t>000145</t>
  </si>
  <si>
    <t>X04026</t>
  </si>
  <si>
    <t>TRANSPORTATION LOSS - 19152 ALOMDA</t>
  </si>
  <si>
    <t>000146</t>
  </si>
  <si>
    <t>X04027</t>
  </si>
  <si>
    <t>TRANSPORTATION LOSS - 18651 ALTAF</t>
  </si>
  <si>
    <t>000147</t>
  </si>
  <si>
    <t>X04028</t>
  </si>
  <si>
    <t>TRANSPORTATION LOSS - 16654 ABURNAT</t>
  </si>
  <si>
    <t>X04029</t>
  </si>
  <si>
    <t>TRANSPORTATION LOSS - 16657 ABURNAT</t>
  </si>
  <si>
    <t>X04030</t>
  </si>
  <si>
    <t>TRANSPORTATION LOSS - 16659 ABURNAT</t>
  </si>
  <si>
    <t>X04031</t>
  </si>
  <si>
    <t>TRANSPORTATION LOSS - 18565 ALTAF</t>
  </si>
  <si>
    <t>X04032</t>
  </si>
  <si>
    <t>Q05158</t>
  </si>
  <si>
    <t>TRANSPORTATION LOSS - 18557 ARIF &amp; MUBARK</t>
  </si>
  <si>
    <t>X04033</t>
  </si>
  <si>
    <t>Q05930</t>
  </si>
  <si>
    <t>Lentil Elngm 20KG</t>
  </si>
  <si>
    <t>Lentil Damaged 20KG</t>
  </si>
  <si>
    <t>Gum Hashab Dark FG 50KG</t>
  </si>
  <si>
    <t>Imported Vessels Overlanding</t>
  </si>
  <si>
    <t>Grand Total</t>
  </si>
  <si>
    <t>Sum of QTY -MT</t>
  </si>
  <si>
    <t xml:space="preserve">Sum of Value </t>
  </si>
  <si>
    <t>Flour Import Elngm 25Kg</t>
  </si>
  <si>
    <t>Rice Long Grade 1 Elngm 20Kg</t>
  </si>
  <si>
    <t>Rice Long Grade 2 Elngm 20Kg</t>
  </si>
  <si>
    <t>Rice Short Grain Elngm 25Kg</t>
  </si>
  <si>
    <t>Rice Damaged 25KG</t>
  </si>
  <si>
    <t>Short Description</t>
  </si>
  <si>
    <t>Lentils</t>
  </si>
  <si>
    <t>Rice Short Grain</t>
  </si>
  <si>
    <t>Rice Long Grain</t>
  </si>
  <si>
    <t>Flour Damaged (AF) - Ton</t>
  </si>
  <si>
    <t>Flour Al-Nagm (Mill)</t>
  </si>
  <si>
    <t>Flour Al-Nagm (Imported)</t>
  </si>
  <si>
    <t>BS</t>
  </si>
  <si>
    <t>REPACKING LOSS - NC 27</t>
  </si>
  <si>
    <t>X04244</t>
  </si>
  <si>
    <t>TRANSPORTATION LOSS - 16992 ANJAL</t>
  </si>
  <si>
    <t>X04073</t>
  </si>
  <si>
    <t>TRANSPORTATION LOSS - 16999 ANJAL</t>
  </si>
  <si>
    <t>X04074</t>
  </si>
  <si>
    <t>TRANSPORTATION LOSS - 17005 DARKA</t>
  </si>
  <si>
    <t>X04075</t>
  </si>
  <si>
    <t>TRANSPORTATION LOSS - 17010 DARKA</t>
  </si>
  <si>
    <t>X04076</t>
  </si>
  <si>
    <t>TRANSPORTATION LOSS - 17014 DARKA</t>
  </si>
  <si>
    <t>X04077</t>
  </si>
  <si>
    <t>TRANSPORTATION LOSS - 17060 ANJAL</t>
  </si>
  <si>
    <t>X04078</t>
  </si>
  <si>
    <t>TRANSPORTATION LOSS - 17088 ANJAL</t>
  </si>
  <si>
    <t>X04079</t>
  </si>
  <si>
    <t>TRANSPORTATION LOSS - 16973 ALTARIQ ALZAKI</t>
  </si>
  <si>
    <t>X04080</t>
  </si>
  <si>
    <t>TRANSPORTATION LOSS - 16976 ALTARIQ ALZAKI</t>
  </si>
  <si>
    <t>X04081</t>
  </si>
  <si>
    <t>TRANSPORTATION LOSS - 16998 DARKA</t>
  </si>
  <si>
    <t>X04082</t>
  </si>
  <si>
    <t>EXCESS - 17004</t>
  </si>
  <si>
    <t>A00829</t>
  </si>
  <si>
    <t>C02772</t>
  </si>
  <si>
    <t>TRANSPORTATION LOSS - 16975 ALWASEELA</t>
  </si>
  <si>
    <t>000160</t>
  </si>
  <si>
    <t>X04119</t>
  </si>
  <si>
    <t>TRANSPORTATION LOSS - 17009 ABURNAT</t>
  </si>
  <si>
    <t>000161</t>
  </si>
  <si>
    <t>X04120</t>
  </si>
  <si>
    <t>TRANSPORTATION LOSS - 17037 ALWASEELA</t>
  </si>
  <si>
    <t>000162</t>
  </si>
  <si>
    <t>X04121</t>
  </si>
  <si>
    <t>TRANSPORTATION LOSS - 17063 ANJAL</t>
  </si>
  <si>
    <t>000163</t>
  </si>
  <si>
    <t>X04122</t>
  </si>
  <si>
    <t>TRANSPORTATION LOSS - 17070 ALNAWAH</t>
  </si>
  <si>
    <t>000164</t>
  </si>
  <si>
    <t>X04123</t>
  </si>
  <si>
    <t>TRANSPORTATION LOSS - 17086 AlKASIR</t>
  </si>
  <si>
    <t>000165</t>
  </si>
  <si>
    <t>X04124</t>
  </si>
  <si>
    <t>TRANSPORTATION LOSS - 17138 ALTAF</t>
  </si>
  <si>
    <t>000166</t>
  </si>
  <si>
    <t>X04125</t>
  </si>
  <si>
    <t>TRANSPORTATION LOSS - 17173 ANJAL</t>
  </si>
  <si>
    <t>000167</t>
  </si>
  <si>
    <t>X04126</t>
  </si>
  <si>
    <t>TRANSPORTATION LOSS - 17181 RIBA</t>
  </si>
  <si>
    <t>000168</t>
  </si>
  <si>
    <t>X04127</t>
  </si>
  <si>
    <t>TRANSPORTATION LOSS - 17036 ALWASEELA</t>
  </si>
  <si>
    <t>000169</t>
  </si>
  <si>
    <t>X04128</t>
  </si>
  <si>
    <t>TRANSPORTATION LOSS - 17116 ALTAF</t>
  </si>
  <si>
    <t>000170</t>
  </si>
  <si>
    <t>X04129</t>
  </si>
  <si>
    <t>TRANSPORTATION LOSS - 17147 ALTAF</t>
  </si>
  <si>
    <t>000171</t>
  </si>
  <si>
    <t>X04130</t>
  </si>
  <si>
    <t>TRANSPORTATION LOSS - 17154 ALNAWAH</t>
  </si>
  <si>
    <t>000172</t>
  </si>
  <si>
    <t>X04131</t>
  </si>
  <si>
    <t>TRANSPORTATION LOSS - 17251 RIBA</t>
  </si>
  <si>
    <t>000173</t>
  </si>
  <si>
    <t>X04132</t>
  </si>
  <si>
    <t>TRANSPORTATION LOSS - 17265 RIBA</t>
  </si>
  <si>
    <t>000174</t>
  </si>
  <si>
    <t>X04133</t>
  </si>
  <si>
    <t>TRANSPORTATION LOSS - 17273 RIBA</t>
  </si>
  <si>
    <t>000175</t>
  </si>
  <si>
    <t>X04134</t>
  </si>
  <si>
    <t>TRANSPORTATION LOSS - 16910 ALTAF</t>
  </si>
  <si>
    <t>000176</t>
  </si>
  <si>
    <t>X04135</t>
  </si>
  <si>
    <t>TRANSPORTATION LOSS - 17266 RIBA</t>
  </si>
  <si>
    <t>000177</t>
  </si>
  <si>
    <t>X04136</t>
  </si>
  <si>
    <t>TRANSPORTATION LOSS - 17272 RIBA</t>
  </si>
  <si>
    <t>000178</t>
  </si>
  <si>
    <t>X04137</t>
  </si>
  <si>
    <t>TRANSPORTATION LOSS - 17290 ABURNAT</t>
  </si>
  <si>
    <t>000179</t>
  </si>
  <si>
    <t>X04138</t>
  </si>
  <si>
    <t>TRANSPORTATION LOSS - 17372 ANJAL</t>
  </si>
  <si>
    <t>000180</t>
  </si>
  <si>
    <t>X04139</t>
  </si>
  <si>
    <t>TRANSPORTATION LOSS 17253 DELTA</t>
  </si>
  <si>
    <t>X04154</t>
  </si>
  <si>
    <t>Q06188</t>
  </si>
  <si>
    <t>TRANSPORTATION LOSS 17325 DELTA</t>
  </si>
  <si>
    <t>X04155</t>
  </si>
  <si>
    <t>TRANSPORTATION LOSS 17326 DELTA</t>
  </si>
  <si>
    <t>X04156</t>
  </si>
  <si>
    <t>TRANSPORTATION LOSS 17338 Y.HAMZA</t>
  </si>
  <si>
    <t>X04158</t>
  </si>
  <si>
    <t>TRANSPORTATION LOSS 17344 ALWASEELA</t>
  </si>
  <si>
    <t>X04159</t>
  </si>
  <si>
    <t>TRANSPORTATION LOSS 20271 DELTA</t>
  </si>
  <si>
    <t>X04160</t>
  </si>
  <si>
    <t>TRANSPORTATION LOSS 21316 ANJAL</t>
  </si>
  <si>
    <t>X04161</t>
  </si>
  <si>
    <t>TRANSPORTATION LOSS 21335 ANJAL</t>
  </si>
  <si>
    <t>X04162</t>
  </si>
  <si>
    <t>TRANSPORTATION LOSS 21368 B.KADABA</t>
  </si>
  <si>
    <t>X04163</t>
  </si>
  <si>
    <t>TRANSPORTATION LOSS 17356 DELTA</t>
  </si>
  <si>
    <t>X04164</t>
  </si>
  <si>
    <t>TRANSPORTATION LOSS 16038 K.MAHJOUB</t>
  </si>
  <si>
    <t>X04165</t>
  </si>
  <si>
    <t>TRANSPORTATION LOSS 13689 ALTAF</t>
  </si>
  <si>
    <t>X04166</t>
  </si>
  <si>
    <t>Q06221</t>
  </si>
  <si>
    <t>TRANSPORTATION LOSS - 22542 ANJAL</t>
  </si>
  <si>
    <t>X04140</t>
  </si>
  <si>
    <t>P03705</t>
  </si>
  <si>
    <t>TRANSPORTATION LOSS 274188 ABUMOMEN</t>
  </si>
  <si>
    <t>X04167</t>
  </si>
  <si>
    <t>P03708</t>
  </si>
  <si>
    <t>TRANSPORTATION LOSS - 17091 B.KARABAH</t>
  </si>
  <si>
    <t>X04084</t>
  </si>
  <si>
    <t>TRANSPORTATION LOSS - 17093 B.KARABAH</t>
  </si>
  <si>
    <t>X04085</t>
  </si>
  <si>
    <t>TRANSPORTATION LOSS - 17095 B.KARABAH</t>
  </si>
  <si>
    <t>X04086</t>
  </si>
  <si>
    <t>TRANSPORTATION LOSS - 18599 ALHAMADA</t>
  </si>
  <si>
    <t>X04087</t>
  </si>
  <si>
    <t>TRANSPORTATION LOSS - 16663 ALKHOTOT ALSAHLIA</t>
  </si>
  <si>
    <t>X04088</t>
  </si>
  <si>
    <t>TRANSPORTATION LOSS - 16666 ALTARIQ ALZAKI</t>
  </si>
  <si>
    <t>X04089</t>
  </si>
  <si>
    <t>TRANSPORTATION LOSS - 16968 ALKHOTOT ALSAHLIA</t>
  </si>
  <si>
    <t>X04090</t>
  </si>
  <si>
    <t>TRANSPORTATION LOSS - 17029 ALKHOTOT ALSAHLIA</t>
  </si>
  <si>
    <t>X04091</t>
  </si>
  <si>
    <t>TRANSPORTATION LOSS - 17203 ANJAL</t>
  </si>
  <si>
    <t>X04092</t>
  </si>
  <si>
    <t>TRANSPORTATION LOSS - 17066 ALASGALANI</t>
  </si>
  <si>
    <t>X04093</t>
  </si>
  <si>
    <t>TRANSPORTATION LOSS - 18584 KHALID AWAD</t>
  </si>
  <si>
    <t>X04094</t>
  </si>
  <si>
    <t>TRANSPORTATION LOSS - 18586 ALKHOTOT ALSAHLIA</t>
  </si>
  <si>
    <t>X04095</t>
  </si>
  <si>
    <t>TRANSPORTATION LOSS - 17235 ALWAHSHAB</t>
  </si>
  <si>
    <t>X04096</t>
  </si>
  <si>
    <t>TRANSPORTATION LOSS - 17202 DELTA</t>
  </si>
  <si>
    <t>X04097</t>
  </si>
  <si>
    <t>TRANSPORTATION LOSS - 16971 ALKHOTOT ALSAHLIA</t>
  </si>
  <si>
    <t>X04098</t>
  </si>
  <si>
    <t>TRANSPORTATION LOSS - 16682 ALHAMADA</t>
  </si>
  <si>
    <t>000015</t>
  </si>
  <si>
    <t>X04106</t>
  </si>
  <si>
    <t>EXCESS - 16682 ALHAMADA</t>
  </si>
  <si>
    <t>A00833</t>
  </si>
  <si>
    <t>C02776</t>
  </si>
  <si>
    <t>TRANSPORTATION LOSS 12318 RIBA</t>
  </si>
  <si>
    <t>X04208</t>
  </si>
  <si>
    <t>Q06225</t>
  </si>
  <si>
    <t>TRANSPORTATION LOSS 17328 DELTA</t>
  </si>
  <si>
    <t>X04209</t>
  </si>
  <si>
    <t>TRANSPORTATION LOSS 17402 RIBA</t>
  </si>
  <si>
    <t>X04210</t>
  </si>
  <si>
    <t>TRANSPORTATION LOSS 17424 RIBA</t>
  </si>
  <si>
    <t>X04211</t>
  </si>
  <si>
    <t>TRANSPORTATION LOSS 17437 RIBA</t>
  </si>
  <si>
    <t>X04212</t>
  </si>
  <si>
    <t>TRANSPORTATION LOSS 21302 DELTA</t>
  </si>
  <si>
    <t>X04213</t>
  </si>
  <si>
    <t>TRANSPORTATION LOSS 21306 ANJAL</t>
  </si>
  <si>
    <t>X04214</t>
  </si>
  <si>
    <t>TRANSPORTATION LOSS 13585 DARKA</t>
  </si>
  <si>
    <t>X04168</t>
  </si>
  <si>
    <t>TRANSPORTATION LOSS 13591 ABURNAT</t>
  </si>
  <si>
    <t>X04169</t>
  </si>
  <si>
    <t>TRANSPORTATION LOSS 13592 ARIF ALMUBARK</t>
  </si>
  <si>
    <t>X04170</t>
  </si>
  <si>
    <t>TRANSPORTATION LOSS 13662 ALKASER</t>
  </si>
  <si>
    <t>X04171</t>
  </si>
  <si>
    <t>TRANSPORTATION LOSS 13670 ABURNAT</t>
  </si>
  <si>
    <t>X04172</t>
  </si>
  <si>
    <t>TRANSPORTATION LOSS 13671 ABURNAT</t>
  </si>
  <si>
    <t>X04173</t>
  </si>
  <si>
    <t>TRANSPORTATION LOSS 13688 ALNAWAH</t>
  </si>
  <si>
    <t>X04174</t>
  </si>
  <si>
    <t>TRANSPORTATION LOSS 13699 ALNAWAH</t>
  </si>
  <si>
    <t>X04175</t>
  </si>
  <si>
    <t>TRANSPORTATION LOSS 16672 ALWASEELA</t>
  </si>
  <si>
    <t>X04176</t>
  </si>
  <si>
    <t>Q06189</t>
  </si>
  <si>
    <t>TRANSPORTATION LOSS 16677 ALWASEELA</t>
  </si>
  <si>
    <t>X04177</t>
  </si>
  <si>
    <t>TRANSPORTATION LOSS 16693 ALASGALANI</t>
  </si>
  <si>
    <t>X04178</t>
  </si>
  <si>
    <t>TRANSPORTATION LOSS 16700 ALASGALANI</t>
  </si>
  <si>
    <t>X04179</t>
  </si>
  <si>
    <t>TRANSPORTATION LOSS 16951 ALASGALANI</t>
  </si>
  <si>
    <t>X04180</t>
  </si>
  <si>
    <t>TRANSPORTATION LOSS 17052 DARKA</t>
  </si>
  <si>
    <t>X04181</t>
  </si>
  <si>
    <t>TRANSPORTATION LOSS 17056 ALASGALANI</t>
  </si>
  <si>
    <t>X04182</t>
  </si>
  <si>
    <t>TRANSPORTATION LOSS 17057 ALWASEELA</t>
  </si>
  <si>
    <t>X04183</t>
  </si>
  <si>
    <t>TRANSPORTATION LOSS 17058 ALWASEELA</t>
  </si>
  <si>
    <t>X04184</t>
  </si>
  <si>
    <t>TRANSPORTATION LOSS 17059 ALWASEELA</t>
  </si>
  <si>
    <t>X04185</t>
  </si>
  <si>
    <t>TRANSPORTATION LOSS 17067 ALASGALANI</t>
  </si>
  <si>
    <t>X04186</t>
  </si>
  <si>
    <t>TRANSPORTATION LOSS 17084 ALTAF</t>
  </si>
  <si>
    <t>X04187</t>
  </si>
  <si>
    <t>TRANSPORTATION LOSS 17085 DARKA</t>
  </si>
  <si>
    <t>X04188</t>
  </si>
  <si>
    <t>TRANSPORTATION LOSS 17125 ALHAMADA</t>
  </si>
  <si>
    <t>X04189</t>
  </si>
  <si>
    <t>TRANSPORTATION LOSS 17128 ALMUAZ</t>
  </si>
  <si>
    <t>X04190</t>
  </si>
  <si>
    <t>TRANSPORTATION LOSS 17129 ALMUAZ</t>
  </si>
  <si>
    <t>X04191</t>
  </si>
  <si>
    <t>TRANSPORTATION LOSS 17170 ALMUAZ</t>
  </si>
  <si>
    <t>000016</t>
  </si>
  <si>
    <t>X04192</t>
  </si>
  <si>
    <t>TRANSPORTATION LOSS 17177 DELTA</t>
  </si>
  <si>
    <t>000017</t>
  </si>
  <si>
    <t>X04193</t>
  </si>
  <si>
    <t>TRANSPORTATION LOSS 17179 RIBA</t>
  </si>
  <si>
    <t>000018</t>
  </si>
  <si>
    <t>X04194</t>
  </si>
  <si>
    <t>TRANSPORTATION LOSS 17193 ALSANOSI</t>
  </si>
  <si>
    <t>000019</t>
  </si>
  <si>
    <t>X04195</t>
  </si>
  <si>
    <t>TRANSPORTATION LOSS 17206 ALTAF</t>
  </si>
  <si>
    <t>000020</t>
  </si>
  <si>
    <t>X04196</t>
  </si>
  <si>
    <t>TRANSPORTATION LOSS 17207 BIG BOSS</t>
  </si>
  <si>
    <t>000021</t>
  </si>
  <si>
    <t>X04197</t>
  </si>
  <si>
    <t>TRANSPORTATION LOSS 17209 BIG BOSS</t>
  </si>
  <si>
    <t>X04198</t>
  </si>
  <si>
    <t>TRANSPORTATION LOSS 17226 ALNAWAH</t>
  </si>
  <si>
    <t>000023</t>
  </si>
  <si>
    <t>X04199</t>
  </si>
  <si>
    <t>TRANSPORTATION LOSS 17239 ALWAHSHAB</t>
  </si>
  <si>
    <t>000024</t>
  </si>
  <si>
    <t>X04200</t>
  </si>
  <si>
    <t>TRANSPORTATION LOSS 18580 ALKHOTOT ALSAHLIA</t>
  </si>
  <si>
    <t>000025</t>
  </si>
  <si>
    <t>X04201</t>
  </si>
  <si>
    <t>TRANSPORTATION LOSS 18600 ALKHOTOT ALSAHLIA</t>
  </si>
  <si>
    <t>000026</t>
  </si>
  <si>
    <t>X04202</t>
  </si>
  <si>
    <t>TRANSPORTATION LOSS 17145 ANJAL</t>
  </si>
  <si>
    <t>X04203</t>
  </si>
  <si>
    <t>TRANSPORTATION LOSS 17172 ANJAL</t>
  </si>
  <si>
    <t>X04204</t>
  </si>
  <si>
    <t>EXCESS - 17144</t>
  </si>
  <si>
    <t>A00839</t>
  </si>
  <si>
    <t>C02784</t>
  </si>
  <si>
    <t>EXCESS - 17114</t>
  </si>
  <si>
    <t>A00840</t>
  </si>
  <si>
    <t>C02785</t>
  </si>
  <si>
    <t>TRANSPORTATION LOSS - 13494 ALTAF</t>
  </si>
  <si>
    <t>X04102</t>
  </si>
  <si>
    <t>TRANSPORTATION LOSS 16893 RIBA</t>
  </si>
  <si>
    <t>X04205</t>
  </si>
  <si>
    <t>P03707</t>
  </si>
  <si>
    <t>TRANSPORTATION LOSS 22546 ANJAL</t>
  </si>
  <si>
    <t>X04206</t>
  </si>
  <si>
    <t>TRANSPORTATION LOSS 18575 ARIF ALMUBARK</t>
  </si>
  <si>
    <t>X04207</t>
  </si>
  <si>
    <t>TRANSPORTATION LOSS - 17031 ALASGALANI</t>
  </si>
  <si>
    <t>X04099</t>
  </si>
  <si>
    <t>TRANSPORTATION LOSS - 17242 RIBA</t>
  </si>
  <si>
    <t>X04100</t>
  </si>
  <si>
    <t>TRANSPORTATION LOSS - 17245 RIBA</t>
  </si>
  <si>
    <t>X04101</t>
  </si>
  <si>
    <t>EXCESS-  17166 Quick</t>
  </si>
  <si>
    <t>A00827</t>
  </si>
  <si>
    <t>C02770</t>
  </si>
  <si>
    <t>EXCESS - 17244 Riaba</t>
  </si>
  <si>
    <t>A00828</t>
  </si>
  <si>
    <t>C02771</t>
  </si>
  <si>
    <t>EXCESS - 12175 ALSANOSI</t>
  </si>
  <si>
    <t>A00825</t>
  </si>
  <si>
    <t>C02767</t>
  </si>
  <si>
    <t>TRANSPORTATION LOSS - 12175 ALSANOSI</t>
  </si>
  <si>
    <t>X04104</t>
  </si>
  <si>
    <t>EXCESS - 17878 ALFADNI</t>
  </si>
  <si>
    <t>TM0001</t>
  </si>
  <si>
    <t>A00826</t>
  </si>
  <si>
    <t>C02768</t>
  </si>
  <si>
    <t>X04105</t>
  </si>
  <si>
    <t>Q06208</t>
  </si>
  <si>
    <t>TRANSPORTATION LOSS - 16095 ALASGALANI</t>
  </si>
  <si>
    <t>X04083</t>
  </si>
  <si>
    <t>EXPIRED - NC NO.30-6</t>
  </si>
  <si>
    <t>X04110</t>
  </si>
  <si>
    <t>DOWNGRADE - NC NO.30-6</t>
  </si>
  <si>
    <t>A00831</t>
  </si>
  <si>
    <t>C02774</t>
  </si>
  <si>
    <t>EXPIRED -DEFECTED- NC 2024 -1</t>
  </si>
  <si>
    <t>X04152</t>
  </si>
  <si>
    <t>Q04594</t>
  </si>
  <si>
    <t>A00587</t>
  </si>
  <si>
    <t>A00838</t>
  </si>
  <si>
    <t>C02783</t>
  </si>
  <si>
    <t>MV HONEST / DOWNGRADE</t>
  </si>
  <si>
    <t>XI0001</t>
  </si>
  <si>
    <t>A00841</t>
  </si>
  <si>
    <t>C02786</t>
  </si>
  <si>
    <t>MV HONEST/SHORT LANDED</t>
  </si>
  <si>
    <t>X04219</t>
  </si>
  <si>
    <t>MV HONEST/ REPACKING LOSS</t>
  </si>
  <si>
    <t>X04220</t>
  </si>
  <si>
    <t>MV HONEST/ FALLEN IN SEA</t>
  </si>
  <si>
    <t>X04221</t>
  </si>
  <si>
    <t>MV HONEST/ SAMPLES</t>
  </si>
  <si>
    <t>X04222</t>
  </si>
  <si>
    <t>MV HONEST/ REJECTED BY SSMO</t>
  </si>
  <si>
    <t>X04223</t>
  </si>
  <si>
    <t>MV Cecella / SHORT LANDED</t>
  </si>
  <si>
    <t>X04224</t>
  </si>
  <si>
    <t>MV Cecella / REPACKING LOSS</t>
  </si>
  <si>
    <t>X04225</t>
  </si>
  <si>
    <t>MV Cecella / SAMPLE</t>
  </si>
  <si>
    <t>X04226</t>
  </si>
  <si>
    <t>MV Cecella / REJECTED BY SSMO</t>
  </si>
  <si>
    <t>X04227</t>
  </si>
  <si>
    <t>MV AMBER / SHORT LANDED</t>
  </si>
  <si>
    <t>X04228</t>
  </si>
  <si>
    <t>MV AMBER / REPACKING LOSS</t>
  </si>
  <si>
    <t>X04229</t>
  </si>
  <si>
    <t>MV AMBER / FALLEN IN SEA</t>
  </si>
  <si>
    <t>X04230</t>
  </si>
  <si>
    <t>MV AMBER / SAMPLE</t>
  </si>
  <si>
    <t>X04231</t>
  </si>
  <si>
    <t>MV AMBER /REJECTED BY SSMO</t>
  </si>
  <si>
    <t>X04232</t>
  </si>
  <si>
    <t>X04233</t>
  </si>
  <si>
    <t>X04234</t>
  </si>
  <si>
    <t>X04235</t>
  </si>
  <si>
    <t>X04239</t>
  </si>
  <si>
    <t>X04240</t>
  </si>
  <si>
    <t>MV Cecella /  SAMPLE</t>
  </si>
  <si>
    <t>X04241</t>
  </si>
  <si>
    <t>MV Cecella /FALLEN IN SEA</t>
  </si>
  <si>
    <t>X04242</t>
  </si>
  <si>
    <t>MV Cecella /REJECTED BY SSMO</t>
  </si>
  <si>
    <t>X04243</t>
  </si>
  <si>
    <t>MV AMBER / OVER LANDED</t>
  </si>
  <si>
    <t>A00842</t>
  </si>
  <si>
    <t>C02787</t>
  </si>
  <si>
    <t>MV LUCKY TRADER /SHORT LANDED</t>
  </si>
  <si>
    <t>X04236</t>
  </si>
  <si>
    <t>MV LUCKY TRADER /REPACKING LOSS</t>
  </si>
  <si>
    <t>X04237</t>
  </si>
  <si>
    <t>MV LUCKY TRADER /SAMPLES</t>
  </si>
  <si>
    <t>X04238</t>
  </si>
  <si>
    <t>MV IMA GLORY /SHORT LANDED</t>
  </si>
  <si>
    <t>X04215</t>
  </si>
  <si>
    <t>MV IMA GLORY /REPACKING LOSS</t>
  </si>
  <si>
    <t>X04216</t>
  </si>
  <si>
    <t>MV IMA GLORY / FALLEN IN SEA</t>
  </si>
  <si>
    <t>X04217</t>
  </si>
  <si>
    <t>MV IMA GLORY /SAMPLES</t>
  </si>
  <si>
    <t>X04218</t>
  </si>
  <si>
    <t>DOWNGRADE &amp; RECOMPRESSION NC NO.222,107</t>
  </si>
  <si>
    <t>X04108</t>
  </si>
  <si>
    <t>P03687</t>
  </si>
  <si>
    <t>CO0301</t>
  </si>
  <si>
    <t>DOWNGRADE - NC NO.222,107</t>
  </si>
  <si>
    <t>A00830</t>
  </si>
  <si>
    <t>C02773</t>
  </si>
  <si>
    <t>CP0001</t>
  </si>
  <si>
    <t>IC - WAREHOUSE DAMADE - RAIN</t>
  </si>
  <si>
    <t>X04112</t>
  </si>
  <si>
    <t>CNC000735</t>
  </si>
  <si>
    <t>CNC000744</t>
  </si>
  <si>
    <t>CP0002</t>
  </si>
  <si>
    <t>IC - WAREHOUSE DAMADE - RAIN NC NO.106,189,6</t>
  </si>
  <si>
    <t>X04142</t>
  </si>
  <si>
    <t>CNC000745</t>
  </si>
  <si>
    <t>CP0051</t>
  </si>
  <si>
    <t>IC - DOWNGRADE-NC NO.106,189,6</t>
  </si>
  <si>
    <t>A00834</t>
  </si>
  <si>
    <t>C02777</t>
  </si>
  <si>
    <t>IC - WAREHOUSE DAMAGE - RAIN - NC NO.142</t>
  </si>
  <si>
    <t>X04145</t>
  </si>
  <si>
    <t>DEFECTED - NC NO.7</t>
  </si>
  <si>
    <t>X04143</t>
  </si>
  <si>
    <t>X04149</t>
  </si>
  <si>
    <t>PP0051</t>
  </si>
  <si>
    <t>DEFECTED - DOWNGRADE - NC NO.7</t>
  </si>
  <si>
    <t>A00835</t>
  </si>
  <si>
    <t>C02778</t>
  </si>
  <si>
    <t>IC -DOWNGRADE- RAIN NC NO.142</t>
  </si>
  <si>
    <t>A00836</t>
  </si>
  <si>
    <t>C02780</t>
  </si>
  <si>
    <t>IC - RAIN DAMAGE</t>
  </si>
  <si>
    <t>X04150</t>
  </si>
  <si>
    <t>CNC000746</t>
  </si>
  <si>
    <t>X04151</t>
  </si>
  <si>
    <t>SM0051</t>
  </si>
  <si>
    <t>IC - DOWNGRADE - RAIN DAMAGE</t>
  </si>
  <si>
    <t>A00837</t>
  </si>
  <si>
    <t>C02781</t>
  </si>
  <si>
    <t>SM0052</t>
  </si>
  <si>
    <t>SO0001</t>
  </si>
  <si>
    <t>IC - REPACKING &amp; WET</t>
  </si>
  <si>
    <t>X04116</t>
  </si>
  <si>
    <t>P03596</t>
  </si>
  <si>
    <t>Q05128</t>
  </si>
  <si>
    <t>REPACKIN LOSS</t>
  </si>
  <si>
    <t>X04118</t>
  </si>
  <si>
    <t>SO0301</t>
  </si>
  <si>
    <t>DOWNGRADE</t>
  </si>
  <si>
    <t>A00832</t>
  </si>
  <si>
    <t>C02775</t>
  </si>
  <si>
    <t>SO0303</t>
  </si>
  <si>
    <t>SHORTAGE / Lot 1,2,3,4,5</t>
  </si>
  <si>
    <t>X04245</t>
  </si>
  <si>
    <t>Q05705</t>
  </si>
  <si>
    <t>SAMPLE / LOT 2,3,5</t>
  </si>
  <si>
    <t>X04246</t>
  </si>
  <si>
    <t>CNC000732</t>
  </si>
  <si>
    <t>Sorghum Waste</t>
  </si>
  <si>
    <t>Sorghum Damage</t>
  </si>
  <si>
    <t>Cotton Waste</t>
  </si>
  <si>
    <t>Chickpeas</t>
  </si>
  <si>
    <t>Chickpeas FG</t>
  </si>
  <si>
    <t>Non Gadarif Sesame Low Grade FG 50KG</t>
  </si>
  <si>
    <t>Gadarif Sesame Low Grade FG 50KG</t>
  </si>
  <si>
    <t>Chickpeas Low Grade FG 50KG</t>
  </si>
  <si>
    <t>Pigeon Peas Low Grade FG 50KG</t>
  </si>
  <si>
    <t>Chickpeas FG - Low Grade</t>
  </si>
  <si>
    <t>Pigeon Peas FG - Low Grade</t>
  </si>
  <si>
    <t>Chickpeas FG 50KG</t>
  </si>
  <si>
    <t>Sorghum FG 50 KG</t>
  </si>
  <si>
    <t>Gadarif Sesame FG - Low Grade</t>
  </si>
  <si>
    <t>Non Gadarif Sesame FG - Low Grade</t>
  </si>
  <si>
    <t>Non Gadarif Sesame Colored Damage</t>
  </si>
  <si>
    <t>Non Gadarif Sesame - Damage</t>
  </si>
  <si>
    <t>White Sesame Gadarif - Damage</t>
  </si>
  <si>
    <t>Rice - Damaged</t>
  </si>
  <si>
    <t>Sorghum - Waste</t>
  </si>
  <si>
    <t>Sorghum - Damage</t>
  </si>
  <si>
    <t>Cotton - Waste</t>
  </si>
  <si>
    <t>Flour - Damaged (AF)</t>
  </si>
  <si>
    <t>Gum Hashab Dark FG</t>
  </si>
  <si>
    <t>Lentil - Damaged</t>
  </si>
  <si>
    <t>Imported Shipments Shortages &amp; Rejections</t>
  </si>
  <si>
    <r>
      <t xml:space="preserve">Sorghum qty  have been classified as downgraded stock: </t>
    </r>
    <r>
      <rPr>
        <b/>
        <sz val="11"/>
        <color theme="1"/>
        <rFont val="Calibri"/>
        <family val="2"/>
        <scheme val="minor"/>
      </rPr>
      <t xml:space="preserve">4 bags FG </t>
    </r>
    <r>
      <rPr>
        <sz val="11"/>
        <color theme="1"/>
        <rFont val="Calibri"/>
        <family val="2"/>
        <scheme val="minor"/>
      </rPr>
      <t xml:space="preserve">wet by rain and </t>
    </r>
    <r>
      <rPr>
        <b/>
        <sz val="11"/>
        <color theme="1"/>
        <rFont val="Calibri"/>
        <family val="2"/>
        <scheme val="minor"/>
      </rPr>
      <t>8.66 MT</t>
    </r>
    <r>
      <rPr>
        <sz val="11"/>
        <color theme="1"/>
        <rFont val="Calibri"/>
        <family val="2"/>
        <scheme val="minor"/>
      </rPr>
      <t xml:space="preserve"> raw [consisting of 2.45 MT wet and 6.21 MT waste from repacking and warehouse cleaning] at the PZU warehouses , under NC’s (No. 88,89,89B,13,157,18 and 19). The wet effected stock (4 bags FG, 2.45 MT raw) has been reported to insurance company.  The quantity of raw (8.66 MT)  was sold in the local market at a multiple price of (101,351.35 , 449,880.55 and 600,000 ) SDG Per MT with a total value of 3,842,000 SDG. The quantity of 4 bags was sold in the local market at a price of 25.000 SDG Per MT, with a total value of 100,000 SDG.</t>
    </r>
  </si>
  <si>
    <t>_report_modif.</t>
  </si>
  <si>
    <t xml:space="preserve">3.915 bags of Pigeon Peas FG 50KG  stock located at the Khabier 47 warehouse in PZU, was classified as deteriorated due to damage by long storage. Related NCs No 7. Local sales at unit price of 76,000 SDG per bag, amounting to a total value of 297,540,000 SDG. </t>
  </si>
  <si>
    <t>Loss</t>
  </si>
  <si>
    <t>Accumulative WH Variance</t>
  </si>
  <si>
    <t>Pigeon Peas</t>
  </si>
  <si>
    <t>Pigeon Peas Raw</t>
  </si>
  <si>
    <t>Pigeon Peas New Halfa FG</t>
  </si>
  <si>
    <t>Pigeon Peas Jazira FG</t>
  </si>
  <si>
    <t>Pigeon Peas FG</t>
  </si>
  <si>
    <t>Gain</t>
  </si>
  <si>
    <t>Gum Arabic hashab quantity previously classified as waste of repacking has been exported (PC No 1242), the nature of the product is gum Arabic hashab dark color. The quantity was a result of repacking operation in 2022 done for old gum arabic stock stored in PZU warehouse (In: 13,459 Bags, output 10,178 Bags, losses 312 Bags, waste 2,969 Bags ). The color of the gum arabic changes after long storage period. 2750 bags (138.78MT) have been exported of the total 2969 bags (148.45MT)</t>
  </si>
  <si>
    <t>Transport Scale Variance</t>
  </si>
  <si>
    <t>Waiting Claim Settlement</t>
  </si>
  <si>
    <t>Waiting Credit Note</t>
  </si>
  <si>
    <t>Waiting Invictus Feedback</t>
  </si>
  <si>
    <t>QTY (MT)</t>
  </si>
  <si>
    <t>Product Type</t>
  </si>
  <si>
    <t>Cotton</t>
  </si>
  <si>
    <t>Rice</t>
  </si>
  <si>
    <t>Gum Arabic</t>
  </si>
  <si>
    <t>Sesame Gadarif</t>
  </si>
  <si>
    <t>Sesame Non Gadarif</t>
  </si>
  <si>
    <t>Sorghum</t>
  </si>
  <si>
    <t>Sugar</t>
  </si>
  <si>
    <t>Flour</t>
  </si>
  <si>
    <t>Watermelon</t>
  </si>
  <si>
    <t>33 bags of KSA sugar defected and with torned sewing at Shandi warehouse. has been reweighed and repacked resulted in (32 bags sound, 1 bag loss). Related NC no 27.</t>
  </si>
  <si>
    <t>Imported Shipments Discharge Losses</t>
  </si>
  <si>
    <t>Road shipment from Egypt, White Sugar Lot 1,2,3,4,5 Shortage 65 bags and 8 bags sample . The short quantities raised to Invictus, no compensation received for over a year</t>
  </si>
  <si>
    <t xml:space="preserve">MV Cecella - BL QTY 240,000 bags, Received sound 239,758 bags - SHORT LANDED 58 bags / REJECTED BY SSMO 37 bags - Repacking Loss 107 bags, Sayga Sample 33 bags, SSMO Sample 5 bags, Fallen in Sea 2 bags  - Compensation of 388.5 USD Amount will be settled in Dubai Office for rejected QTY </t>
  </si>
  <si>
    <t>MV Lucky Trader - BL QTY 242,600 bags, Received sound 242,324 bags - SHORT LANDED 114 bags - Repacking Loss 155 bags, SSMO Sample 7 bags  - compensation for the shortage with amount 3,705 USD will be settled in Dubai Office</t>
  </si>
  <si>
    <t xml:space="preserve">MV Amber - BL QTY 100,000 bags, Received sound 99,966 bags - Over Landed 45 bags - Repacking Loss 56 bags, Sayga Sample 10 bags, SSMO Sample 5 bags, Fallen in Sea 8 bags </t>
  </si>
  <si>
    <t>MV Amber - BL QTY 200,000 bags, Received sound 199,765 bags - Short Landed 14 bags, SSMO Rejection 42 bags - Repacking Loss 127 bags, Sayga Sample 34 bags, SSMO Sample 17 bags, Fallen in Sea 1 bags. Compensation of 588 USD Amount will be settled in Dubai Office</t>
  </si>
  <si>
    <t>MV Honest 1 - BL QTY 240,000 bags, Received sound 239,274 bags - Short Landed 69 bags, SSMO Rejection 479 bags - Repacking Loss 128 bags, Sayga Sample 26 bags, SSMO Sample 16 bags, Fallen in Sea 8 bags.  Rejected by SSMO QTY 479 bags has been delivered to Animal feed. The rejection due to rain when the product loaded to trucks but not covered in the port.</t>
  </si>
  <si>
    <t xml:space="preserve">Truck Waybill 5107, loading sesame from Gadarif to Portsudan (550 raw bags, received 549 bags), in MT (loaded 51.58 MT, received 51.34 MT, variance 0.24 MT, tolerance 0.146 MT, loss 0.094 MT). </t>
  </si>
  <si>
    <t>White Sesame Gadarif FG torn during handling, repacking results ( 242 bags , sound 233 bags, and 9 bags classified as waste, should be sold as locally ) in PZU warehouse E3. Related NC No 4. (SMA Stocks)</t>
  </si>
  <si>
    <t>White Sesame Non-Gadarif FG torn during handling, repacking results  (17 bags, sound 16 bags, 1 bag with a loss of 37 kg, 13 kg remaining) in the stuffing yard. Related NC no 8. (SMA Stocks)</t>
  </si>
  <si>
    <t>Weight variance of 45 trucks received at the sifter (Balaji-1 and Balaji-2) in PZU from the Gadarif warehouse. All bags were received completely at the sifters</t>
  </si>
  <si>
    <t xml:space="preserve">Packing weight adjustment in stuffing warehouse for Cotton shipment PC 1240.2 </t>
  </si>
  <si>
    <t>Packing weight adjustment in stuffing warehouse for Cotton shipment PC 1240.1</t>
  </si>
  <si>
    <t>Weight scale difference ( Gain ) for one truck received in PZU from Gadarif ginning ( Al-hori ), all bales received complete at the warehouse. Waybill 5242, Plate 32248 (Loaded 128 bales / 23.36 MT, Received 128 bales/ 23.46 MT, Variance 0.1 MT )</t>
  </si>
  <si>
    <t xml:space="preserve">Truck Waybill 5212, loading sesame from Gadarif to Portsudan (550 raw bags, received 550 bags), in MT (loaded 48.34 MT, received 47.82 MT, variance 0.52 MT, tolerance 0.35 MT, loss 0.17 MT). </t>
  </si>
  <si>
    <t>Difference of scale appeared after sales delivery for White cotton seeds RM quantity stored in MSG Ginning New Halfa ( GL ). The total quantity delivered is 191.95 MT. Since the seeds were transferred and stored during the rainy season, it's likely they absorbed moisture over time, which accounts for the weight difference between the received and delivered quantities.</t>
  </si>
  <si>
    <t>Difference of scale appeared after sales delivery for White cotton seeds RM quantity stored in Gadarif warehouse ( AG ). The total quantity delivered is 198.26 MT.</t>
  </si>
  <si>
    <t xml:space="preserve">Truck Waybill 5181, loading sesame from Gadarif to Portsudan (550 raw bags, received 550 bags), in MT (loaded 51.58 MT, received 50.8 MT, variance 0.78 MT, tolerance 0.35 MT, loss 0.43 MT). </t>
  </si>
  <si>
    <t>White Sesame non Gadarif FG, 253 bags defected during loading and offloading, the result of repacking ( 253 bags , output 249 bags, downgrade 4 bags classified as waste, should be sold as locally ) in PZU warehouse. Related NC No 170A.</t>
  </si>
  <si>
    <t>White Sesame non Gadarif FG, 67 bags torn during loading and offloading, the result of repacking ( 67 bags , output 62 bags, loss 2 bags and downgrade 3 bags classified as waste, should be sold as locally ) in PZU warehouse. Related NC No 161.</t>
  </si>
  <si>
    <t>Quantity of 28 bags pigeon peas were reported stolen from the Gadarif warehouse. The case details and police report submitted to insurance, compensation of 2,957.14 USD received from insurance company.</t>
  </si>
  <si>
    <t xml:space="preserve">Value (SDG) </t>
  </si>
  <si>
    <t xml:space="preserve">1513 bags rice short grain damage at warehouse due to bad roof and considered as animal feed by SSMO. This QTY has been expired since sep-24. Sold as downgrade in local market with total value 37,825,000 SDG. </t>
  </si>
  <si>
    <t>This defected Quantity(192 bags) was part of a total of 26,892 bags received in the Kh48, from PO 1627. the result of repacking (sound =166 bags/ bags/ loss = 26 bags) NC No 134</t>
  </si>
  <si>
    <t>This defected Quantity (40 bags) was part of a total of 21,949  bags received in the Kh48, from PO 1656. the result of repacking (sound =37 bags/ bags/ loss = 3 bags) NC 135</t>
  </si>
  <si>
    <t>This defected Quantity (317 bags) was part of a total of 26,726 bags received in the Kh48, from PO 1626. the result of repacking (sound =269 bags/downgrade =9 bags/ loss = 39bags). NC No 133</t>
  </si>
  <si>
    <t>4 bags Eliminated  QTY due to damage by mouse/rodent in Kassala warehouse, NC No 1</t>
  </si>
  <si>
    <t xml:space="preserve">Crystal sugar stock qty  has been expired and found caked at Portsudan warehouse, quality recommendation is to sell as downgrade and considered as animal feed by SSMO. The quantity of 2,412 bags was sold in the local market at a unit price of 77,000 SDG Per bag with a total value of 185,724,000 SDG. </t>
  </si>
  <si>
    <t>3900 bags of Chick Peas FG 50KG  stock located at the Khabier 47 warehouse in PZU, was classified as deteriorated due to long storage. Related NCs No 6. Local sales at a unit price of SDG 85,000 per bag. The total sales value amounts to SDG 331,500,000.</t>
  </si>
  <si>
    <t>White Sesame Gadarif FG, effected during loading and offloading, the result of repacking ( 436 bags , output 416 bags, loss 16 bags and downgrade 4 bags classified as waste, should be sold as locally ) in PZU warehouse.</t>
  </si>
  <si>
    <t>Defected quantity (30 bags) torn during offloading of containers was part of a total of 75,000 bags received in the E2, from PO 1573 the result of repacking (sound =25 bags/ loss =5 bags). Related NC No 174</t>
  </si>
  <si>
    <t>Defected QTY (24) bags, it was part of 12,500 bags received in Al Dabba from PO 1657. The result of repacking  (Sound=23 bags/ loss=1 bags/ waste= 0 bag). Related NC No 22</t>
  </si>
  <si>
    <t>White Sesame Gadarif FG, 488 bags defected during loading and offloading, the result of repacking ( 488 bags , output 479 bags, downgrade 9 bags classified as waste ) in PZU warehouse. Related NC No 170.</t>
  </si>
  <si>
    <t>Weight variance of 23 trucks received at sifter in PZU from Gadarif warehouse, all bags received completely in sifter with 2 bags excess in truck 10331. (Loaded 11,744 bags / 1020.98 MT, Received 11,746 bags / 1024.2 MT, Variance 2 bags / 3.22 MT gain)</t>
  </si>
  <si>
    <t>Weight variance of 29 trucks received at sifter ( Balaji ) in PZU from Gadarif warehouse, all bags received completely in sifter (Loaded 15,550 bags / 1,409.3 MT, Received 15,550 bags / 1,408.84 MT)</t>
  </si>
  <si>
    <t>Weigh variance of 3 trucks 1.01 MT received in PZU from Gadarif metalic silo to PZU ( Animal feed ). Loaded 3000 bags / 152.57 MT, Received 3000 bags, 153.58 MT, Variance 1.01 MT gain</t>
  </si>
  <si>
    <t>Weight scale difference ( Gain ) for one truck received in PZU sifter Balaji from Gadarif. Waybill 5223, Plate 13825 (Loaded 142 bags/13.916 MT, Received 142 bags/14.02 MT, Variance 0.104 MT)</t>
  </si>
  <si>
    <t>Weight scale difference ( Loss ) of 2 trucks received in PZU facility ( Balaji ) from Gadarif. (Loaded 800 bags / 74.82 MT, Received 800 bags / 74.68 MT, Variance 0.14 MT )</t>
  </si>
  <si>
    <t>Truck, waybill 5230, loading sesame from Gadarif to PZU has 9 bags rejected by quality as it has been mixed with gasoline. Loaded 500 bags/44.06 MT, Received 491 bags/43.12 MT, losses 9 bags to be deducted 0.94 MT.</t>
  </si>
  <si>
    <t xml:space="preserve">Truck Waybill 5338, loading sesame from Gadarif to Portsudan (550 raw bags, received 548 bags), in MT (loaded 48.56 MT, received 48.32 MT, loss 0.24 MT). </t>
  </si>
  <si>
    <t>Transportion losses as per waybill</t>
  </si>
  <si>
    <t>Transportation excess bags received as per waybill</t>
  </si>
  <si>
    <t>The truck transporting Wheat Flour Elnagm from Portsudan to Kosti was involved in an accident, Driver name: Ibrahim Abdulla Truck Number:25613 BL:19574, cross-loading to truck No. 14803, compensated by insurance 16,142.71 USD.</t>
  </si>
  <si>
    <t>Flour barge shipment from Eqypt, BL 16729  lot 93, Over landed qty 27 bags - Sample 7 bags</t>
  </si>
  <si>
    <t>Flour barge shipment from Eqypt, BL 15508 lot 81, Short landed qty 5 bags - Sample 6 bags</t>
  </si>
  <si>
    <t>MV Cecella - BL QTY 240,000 bags, Received sound 239,447 bags - SHORT LANDED 364 bags / REJECTED BY SSMO 51 bags - Repacking Loss 111 bags, Sayga Sample 22 bags, SSMO Sample 5 bags. Vessel released and no compensation expected for this loss</t>
  </si>
  <si>
    <t>MV COPERNICO - BL QTY 200,000 bags, Received sound 199,785 bags - SHORT LANDED 64 bags / REJECTED BY SSMO 16 bags - Repacking Loss 89 bags, Sayga Sample 19 bags, SSMO Sample 19 bags fallen in Sea 8 bags. REJECTED BY SSMO will be compensated in Dubai office, no compensation for shortlanded qty</t>
  </si>
  <si>
    <t xml:space="preserve">MV ABRAHAM - BL QTY 140,000 bags, Received sound 139,566 bags - SHORT LANDED 272 bags - Repacking Loss 152 bags, SSMO Sample 7 bags, Fallen In Sea 3 bags. Compensation of 8000 USD Amount will be settled in Dubai Office </t>
  </si>
  <si>
    <t>Rice Road Shipment, BL 15A Lot 3, Short landed 108 bags - Sample 2 bags - Damage 103 bags. Damage bags have been received at warehouse waiting collection by transporter. Quantities short and damage raised to Invictus waiting compensation.</t>
  </si>
  <si>
    <t>Rice Road Shipment, BL 0125-00020 Lot 5, Short landed 118 bags - Damage 161 bags. Damage bags returned with the truck. The short and damage quantities raised to Invictus, compensation of 5,973.96 AED received.</t>
  </si>
  <si>
    <t>Rice Road Shipment, BL 15B Lot 4, Short landed 4 bags - Sample 4 bags - Damage 169 bags. Damage bags returned with the truck. The short and damage quantities raised to Invictus, compensation of 5,303.45 AED received.</t>
  </si>
  <si>
    <t>MV Wadi Duka, containerized shipemnt, 2 BLs: (1) BL XERNSAPSZU147/2425 QTY 13,500 bags, Received sound 13,332 bags, Torn 25 bags, Wet 110 bags - Short Landed 22 bags / Rejected by SSMO 11 bags. (2) BL BL XERNSAPSZU146/2425 QTY 13,500 bags, Received sound 13,462 bags, Torn 15 bags, Wet 5 bags - Short Landed 4 bags / Rejected by SSMO 14 bags. The short is less than tolerance 0.5%, no compensation will be received.</t>
  </si>
  <si>
    <t>MV IMA GLORY - BL QTY 150,000 bags, Received sound 149,814 bags - Short Landed 88 bags - Repacking Loss 86 bags, SSMO Sample 11 bags, Fallen in Sea 1 bags. The vessel has been released, no compensation for the rejected and the shortage</t>
  </si>
  <si>
    <t>MV Lotus - BL Alnajm QTY 200,000 bags, Received sound 199,808 bags - Short Landed 63 bags - Repacking Loss 85 bags, Sayga Sample 25 bags, SSMO Sample 12 bags, Fallen in Sea 7 bags. No compensation received for this shipment.</t>
  </si>
  <si>
    <t>MV LORD H - BL QTY 100,000 bags, Received sound 99,935 bags - SHORT LANDED 19 bags - Repacking Loss 42 bags, SSMO Sample 4 bags. No compensation received for this shipment.</t>
  </si>
  <si>
    <t>Repacking/Reprocessing</t>
  </si>
  <si>
    <t>Transportation Losses</t>
  </si>
  <si>
    <t>Adjustment Type</t>
  </si>
  <si>
    <t>Description</t>
  </si>
  <si>
    <t>Losses reported as a result of repacking or reprocessing operation of damaged bags in warehouses. For exports repacking was needed for bags torned during loading and offloading at warehouse. For imports most repacking is done at the warehouse for bags received torned from containers shipments offloading operation.</t>
  </si>
  <si>
    <t>These are the lossesas a result of the cotton exported shipments packaging weight variance. Inventory apply the gross weight in stock transfer to XF "Stuffing warehouse" and the confirmation is based on surveyors report which using the net weight (the gross minus the standard packing weight). 
NOTE: the packaging adjustment is considered in the purchasing, so these are not real losses. Currently the stock in Portsudan is Invictus SMA stock, the variances are reversed from sales and written off from PZU main warehouse (XP).</t>
  </si>
  <si>
    <t>Non conformity reports was mostly due to defects during storage.</t>
  </si>
  <si>
    <t>Variances related to transportaion excess: adjustment to correct the excess stock received at destination compared to documented loaded quantity from source location. This happens mainly for trucks loaded from vessel to warehouse.</t>
  </si>
  <si>
    <t>Accumulative weight variances after the receiving and loading operations completed at the warehouse and stock reached zero level. Excess or short quantity appear in the system warehouse, it is reviewed against the reports and weight slips before adjustment is done.</t>
  </si>
  <si>
    <t>Losses caused by accidents, theft or weather conditions, raised to insurance for compensation as per the agreed insurance policy requirements. The claim of the case related to rain damage of 2024 rainy season has been completed and submitted to Insurance waiting their final claim settlement (reprocessing operations and local sales completed and all related expenses of loading and processing costs included in the claim value).</t>
  </si>
  <si>
    <t>Excess quantity received for imorted shipments compared to BL quantity</t>
  </si>
  <si>
    <t>Transportation losses as per waybills. All quantity compensated using the market value at time of the loss. For raw material stocks or FG monitored in tonnage like cotton the deduction is for any quantity over weight tolerance or if any bags/bales recorded short.</t>
  </si>
  <si>
    <t xml:space="preserve">Transportation Scale difference within tolerance between loading and destination scales for raw materials: sesame, sorghum and watermelon transported from Gadarif to PZU and Cotton bales loaded from New Halfa to PZU. </t>
  </si>
  <si>
    <t>Stock Losses/Gains Total</t>
  </si>
  <si>
    <t>Non-Recoverable</t>
  </si>
  <si>
    <t>1. In this report the value for low grade and damaged products write on is based on sales value rather than system std value. It has been modified to reflect the actual loss amount.</t>
  </si>
  <si>
    <t>2. The below table shows detailed description of the adjustment categories used in this report:</t>
  </si>
  <si>
    <t>Insurance Cases Total</t>
  </si>
  <si>
    <t>Non Conformity Total</t>
  </si>
  <si>
    <t>Repacking &amp; Reprocessing Total</t>
  </si>
  <si>
    <t>Transport Loss Total</t>
  </si>
  <si>
    <t>Accepted Variance</t>
  </si>
  <si>
    <t>Unreal Loss</t>
  </si>
  <si>
    <t>Reviewed Variance</t>
  </si>
  <si>
    <t>Short landing quantity and SSMO rejected from imported shipments (PZU vessels and containers shipment, road shipments from Egypt). Compensation have been received for two road shipments, and for vessels comepnsations are pending waiting credit notes from Invictus. A tolerance of 0.5% is applied for imported shipments short compensation.</t>
  </si>
  <si>
    <t>Weight variance of 40 trucks received at the sifter (Balaji-1 and Balaji-2) in PZU from Gadarif warehouse. All bags received complete at the sifter (Loaded 20,800 bags / 1,843.56 MT, Received 20,800 bags / 1,841.50 MT)</t>
  </si>
  <si>
    <t>Transporter Compensation Value</t>
  </si>
  <si>
    <t>Losses during discharge operation of imported shipments, includes bags fallen in sea, repacking of damage as result of handling and samples for both SSMO authority and Sayga quality team. The imported flour and sugar vessels recorded high percentage of discharge losses. For sugar there was issue with packaging that caused this increase in discharge loss.</t>
  </si>
  <si>
    <t>TRANSPORTATION LOSS - 20255 ARIF ALMUBARK</t>
  </si>
  <si>
    <t>X04250</t>
  </si>
  <si>
    <t>TRANSPORTATION LOSS - 20260 AlKASIR</t>
  </si>
  <si>
    <t>X04251</t>
  </si>
  <si>
    <t>TRANSPORTATION LOSS - 20272 DELTA</t>
  </si>
  <si>
    <t>X04252</t>
  </si>
  <si>
    <t>TRANSPORTATION LOSS - 20293 AlKASIR</t>
  </si>
  <si>
    <t>X04253</t>
  </si>
  <si>
    <t>TRANSPORTATION LOSS - 21337 ALWASEELA</t>
  </si>
  <si>
    <t>X04254</t>
  </si>
  <si>
    <t>TRANSPORTATION LOSS - 21352 ANJAL</t>
  </si>
  <si>
    <t>X04255</t>
  </si>
  <si>
    <t>TRANSPORTATION LOSS - 21358 ALFADNI</t>
  </si>
  <si>
    <t>X04256</t>
  </si>
  <si>
    <t>TRANSPORTATION LOSS - 21370 DELTA</t>
  </si>
  <si>
    <t>X04257</t>
  </si>
  <si>
    <t>TRANSPORTATION LOSS - 21510 ARIF ALMUBARK</t>
  </si>
  <si>
    <t>X04258</t>
  </si>
  <si>
    <t>TRANSPORTATION LOSS - 17262 ARIF ALMUBARK</t>
  </si>
  <si>
    <t>X04292</t>
  </si>
  <si>
    <t>TRANSPORTATION LOSS - 21334 ANJAL</t>
  </si>
  <si>
    <t>X04293</t>
  </si>
  <si>
    <t>TRANSPORTATION LOSS - 21427 DELTA</t>
  </si>
  <si>
    <t>X04294</t>
  </si>
  <si>
    <t>TRANSPORTATION LOSS - 21451 ARIF ALMUBARK</t>
  </si>
  <si>
    <t>X04295</t>
  </si>
  <si>
    <t>TRANSPORTATION LOSS - 21454 ARIF ALMUBARK</t>
  </si>
  <si>
    <t>X04296</t>
  </si>
  <si>
    <t>TRANSPORTATION LOSS - 21467 ABURNAT</t>
  </si>
  <si>
    <t>X04297</t>
  </si>
  <si>
    <t>TRANSPORTATION LOSS - 21472 DELTA</t>
  </si>
  <si>
    <t>X04298</t>
  </si>
  <si>
    <t>TRANSPORTATION LOSS - 21479 RIBA</t>
  </si>
  <si>
    <t>X04299</t>
  </si>
  <si>
    <t>TRANSPORTATION LOSS - 21480 ALTAF</t>
  </si>
  <si>
    <t>X04300</t>
  </si>
  <si>
    <t>TRANSPORTATION LOSS - 21485 RIBA</t>
  </si>
  <si>
    <t>X04301</t>
  </si>
  <si>
    <t>TRANSPORTATION LOSS - 21487 DELTA</t>
  </si>
  <si>
    <t>X04302</t>
  </si>
  <si>
    <t>TRANSPORTATION LOSS - 21516 ARIF ALMUBARK</t>
  </si>
  <si>
    <t>X04303</t>
  </si>
  <si>
    <t>TRANSPORTATION LOSS - 21517 ARIF ALMUBARK</t>
  </si>
  <si>
    <t>X04304</t>
  </si>
  <si>
    <t>TRANSPORTATION LOSS - 21524 ALASGALANI</t>
  </si>
  <si>
    <t>X04305</t>
  </si>
  <si>
    <t>TRANSPORTATION LOSS - 21530 ALWASEELA</t>
  </si>
  <si>
    <t>X04306</t>
  </si>
  <si>
    <t>TRANSPORTATION LOSS - 21515 DARKA</t>
  </si>
  <si>
    <t>X04323</t>
  </si>
  <si>
    <t>TRANSPORTATION LOSS - 23525 RIBA</t>
  </si>
  <si>
    <t>X04324</t>
  </si>
  <si>
    <t>EXCESS -21473 RIBA</t>
  </si>
  <si>
    <t>A00847</t>
  </si>
  <si>
    <t>C02802</t>
  </si>
  <si>
    <t>TRANSPORTATION LOSS - 13702 DARKA</t>
  </si>
  <si>
    <t>X04259</t>
  </si>
  <si>
    <t>Q06117</t>
  </si>
  <si>
    <t>TRANSPORTATION LOSS - 23584 RIBA</t>
  </si>
  <si>
    <t>X04325</t>
  </si>
  <si>
    <t>P03713</t>
  </si>
  <si>
    <t>TRANSPORTATION LOSS - 23590 RIBA</t>
  </si>
  <si>
    <t>X04326</t>
  </si>
  <si>
    <t>TRANSPORTATION LOSS - 20286 ARIF ALMUBARK</t>
  </si>
  <si>
    <t>X04260</t>
  </si>
  <si>
    <t>Q05962</t>
  </si>
  <si>
    <t>TRANSPORTATION LOSS - 20284 AlKASIR</t>
  </si>
  <si>
    <t>X04307</t>
  </si>
  <si>
    <t>TRANSPORTATION LOSS - 20658 ABURNAT</t>
  </si>
  <si>
    <t>X04310</t>
  </si>
  <si>
    <t>TRANSPORTATION LOSS - 21547 ALKHTOT ALSAHLIA</t>
  </si>
  <si>
    <t>X04311</t>
  </si>
  <si>
    <t>X04309</t>
  </si>
  <si>
    <t>CORRECTION- 20284 AlKASIR</t>
  </si>
  <si>
    <t>A00843</t>
  </si>
  <si>
    <t>C02798</t>
  </si>
  <si>
    <t>A00844</t>
  </si>
  <si>
    <t>C02799</t>
  </si>
  <si>
    <t>TRANSPORTATION LOSS - 17174 ANJAL</t>
  </si>
  <si>
    <t>X04312</t>
  </si>
  <si>
    <t>TRANSPORTATION LOSS - 17212 RIBA</t>
  </si>
  <si>
    <t>X04261</t>
  </si>
  <si>
    <t>TRANSPORTATION LOSS - 13176 ALTAF</t>
  </si>
  <si>
    <t>X04313</t>
  </si>
  <si>
    <t>Q06198</t>
  </si>
  <si>
    <t>TRANSPORTATION LOSS - 13567 B.KADABA</t>
  </si>
  <si>
    <t>X04262</t>
  </si>
  <si>
    <t>TRANSPORTATION LOSS - 13570 ABURNAT</t>
  </si>
  <si>
    <t>X04263</t>
  </si>
  <si>
    <t>Q06219</t>
  </si>
  <si>
    <t>TRANSPORTATION LOSS - 13575 DARKA</t>
  </si>
  <si>
    <t>X04264</t>
  </si>
  <si>
    <t>TRANSPORTATION LOSS - 13581 ABURNAT</t>
  </si>
  <si>
    <t>X04265</t>
  </si>
  <si>
    <t>TRANSPORTATION LOSS - 13582 ABURNAT</t>
  </si>
  <si>
    <t>X04266</t>
  </si>
  <si>
    <t>TRANSPORTATION LOSS - 13583 DARKA</t>
  </si>
  <si>
    <t>X04267</t>
  </si>
  <si>
    <t>TRANSPORTATION LOSS - 17198 ALTAF</t>
  </si>
  <si>
    <t>X04268</t>
  </si>
  <si>
    <t>TRANSPORTATION LOSS - 17199 ANJAL</t>
  </si>
  <si>
    <t>X04269</t>
  </si>
  <si>
    <t>TRANSPORTATION LOSS - 17048 ALHAMADA</t>
  </si>
  <si>
    <t>X04314</t>
  </si>
  <si>
    <t>TRANSPORTATION LOSS - 21521 DARKA</t>
  </si>
  <si>
    <t>X04270</t>
  </si>
  <si>
    <t>TRANSPORTATION LOSS - 21537 ARIF ALMUBARK</t>
  </si>
  <si>
    <t>X04271</t>
  </si>
  <si>
    <t>TRANSPORTATION LOSS - 21539 ALTAF</t>
  </si>
  <si>
    <t>X04272</t>
  </si>
  <si>
    <t>TRANSPORTATION LOSS - 17416 WAHAG</t>
  </si>
  <si>
    <t>X04327</t>
  </si>
  <si>
    <t>TRANSPORTATION LOSS - 20279 ALFADNI</t>
  </si>
  <si>
    <t>X04328</t>
  </si>
  <si>
    <t>TRANSPORTATION LOSS - 20657 ABURNAT</t>
  </si>
  <si>
    <t>X04329</t>
  </si>
  <si>
    <t>TRANSPORTATION LOSS - 20662 DARKA</t>
  </si>
  <si>
    <t>X04330</t>
  </si>
  <si>
    <t>TRANSPORTATION LOSS - 21424 RIBA</t>
  </si>
  <si>
    <t>X04331</t>
  </si>
  <si>
    <t>TRANSPORTATION LOSS - 21425 Y.HAMZA</t>
  </si>
  <si>
    <t>X04332</t>
  </si>
  <si>
    <t>TRANSPORTATION LOSS - 21441 DARKA</t>
  </si>
  <si>
    <t>X04333</t>
  </si>
  <si>
    <t>TRANSPORTATION LOSS - 21458 QUICK</t>
  </si>
  <si>
    <t>X04334</t>
  </si>
  <si>
    <t>TRANSPORTATION LOSS - 21461 QUICK</t>
  </si>
  <si>
    <t>X04335</t>
  </si>
  <si>
    <t>TRANSPORTATION LOSS - 21465 ALNAWAH</t>
  </si>
  <si>
    <t>X04336</t>
  </si>
  <si>
    <t>TRANSPORTATION LOSS - 21469 ABURNAT</t>
  </si>
  <si>
    <t>X04337</t>
  </si>
  <si>
    <t>TRANSPORTATION LOSS - 21482 QUICK</t>
  </si>
  <si>
    <t>X04338</t>
  </si>
  <si>
    <t>TRANSPORTATION LOSS - 21488 DELTA</t>
  </si>
  <si>
    <t>X04339</t>
  </si>
  <si>
    <t>TRANSPORTATION LOSS - 21522 DARKA</t>
  </si>
  <si>
    <t>X04340</t>
  </si>
  <si>
    <t>TRANSPORTATION LOSS - 21528 ALASGALANI</t>
  </si>
  <si>
    <t>X04341</t>
  </si>
  <si>
    <t>TRANSPORTATION LOSS - 21529 ALASGALANI</t>
  </si>
  <si>
    <t>X04342</t>
  </si>
  <si>
    <t>TRANSPORTATION LOSS - 21546 ALKHTOT ALSAHLIA</t>
  </si>
  <si>
    <t>X04343</t>
  </si>
  <si>
    <t>EXCESS -21462 QICK</t>
  </si>
  <si>
    <t>A00846</t>
  </si>
  <si>
    <t>C02801</t>
  </si>
  <si>
    <t>TRANSPORTATION LOSS - 13587 ALTAF</t>
  </si>
  <si>
    <t>X04315</t>
  </si>
  <si>
    <t>TRANSPORTATION LOSS - 23299 ANJAL</t>
  </si>
  <si>
    <t>X04344</t>
  </si>
  <si>
    <t>P03710</t>
  </si>
  <si>
    <t>TRANSPORTATION LOSS - 23341 ANJAL</t>
  </si>
  <si>
    <t>X04345</t>
  </si>
  <si>
    <t>TRANSPORTATION LOSS - 23348 B.KADABA</t>
  </si>
  <si>
    <t>X04346</t>
  </si>
  <si>
    <t>TRANSPORTATION LOSS - 23419 RIBA</t>
  </si>
  <si>
    <t>X04347</t>
  </si>
  <si>
    <t>TRANSPORTATION LOSS - 17016 Y.HAMZA</t>
  </si>
  <si>
    <t>X04273</t>
  </si>
  <si>
    <t>TRANSPORTATION LOSS - 17032 ALASGALANI</t>
  </si>
  <si>
    <t>X04274</t>
  </si>
  <si>
    <t>TRANSPORTATION LOSS - 17050 ALASGALANI</t>
  </si>
  <si>
    <t>X04275</t>
  </si>
  <si>
    <t>TRANSPORTATION LOSS - 17054 ALASGALANI</t>
  </si>
  <si>
    <t>X04276</t>
  </si>
  <si>
    <t>TRANSPORTATION LOSS - 17075 B.KADABA</t>
  </si>
  <si>
    <t>X04277</t>
  </si>
  <si>
    <t>TRANSPORTATION LOSS - 17076 B.KADABA</t>
  </si>
  <si>
    <t>X04278</t>
  </si>
  <si>
    <t>TRANSPORTATION LOSS - 17077 B.KADABA</t>
  </si>
  <si>
    <t>X04279</t>
  </si>
  <si>
    <t>TRANSPORTATION LOSS - 17080 B.KADABA</t>
  </si>
  <si>
    <t>X04280</t>
  </si>
  <si>
    <t>TRANSPORTATION LOSS - 17106 Y.HAMZA</t>
  </si>
  <si>
    <t>X04281</t>
  </si>
  <si>
    <t>TRANSPORTATION LOSS - 17108 DELTA</t>
  </si>
  <si>
    <t>X04282</t>
  </si>
  <si>
    <t>TRANSPORTATION LOSS - 17135 WAHAG</t>
  </si>
  <si>
    <t>X04283</t>
  </si>
  <si>
    <t>TRANSPORTATION LOSS - 17157 WAHAG</t>
  </si>
  <si>
    <t>X04284</t>
  </si>
  <si>
    <t>TRANSPORTATION LOSS - 17158 ANJAL</t>
  </si>
  <si>
    <t>X04285</t>
  </si>
  <si>
    <t>TRANSPORTATION LOSS - 17160 ALHAMADA</t>
  </si>
  <si>
    <t>X04286</t>
  </si>
  <si>
    <t>TRANSPORTATION LOSS - 17164 ALHAMDA</t>
  </si>
  <si>
    <t>X04287</t>
  </si>
  <si>
    <t>TRANSPORTATION LOSS - 17165 WAHAG</t>
  </si>
  <si>
    <t>X04288</t>
  </si>
  <si>
    <t>TRANSPORTATION LOSS - 17168 QUICK</t>
  </si>
  <si>
    <t>X04289</t>
  </si>
  <si>
    <t>TRANSPORTATION LOSS - 17176 ANJAL</t>
  </si>
  <si>
    <t>X04290</t>
  </si>
  <si>
    <t>TRANSPORTATION LOSS - 17188 WAHAG</t>
  </si>
  <si>
    <t>X04291</t>
  </si>
  <si>
    <t>TRANSPORTATION LOSS - 17123 WAHAG</t>
  </si>
  <si>
    <t>X04316</t>
  </si>
  <si>
    <t>TRANSPORTATION LOSS - 17167 WAHAG</t>
  </si>
  <si>
    <t>X04317</t>
  </si>
  <si>
    <t>TRANSPORTATION LOSS - 17187 WAHAG</t>
  </si>
  <si>
    <t>X04318</t>
  </si>
  <si>
    <t>TRANSPORTATION LOSS - 17047 ALHAMADA</t>
  </si>
  <si>
    <t>X04319</t>
  </si>
  <si>
    <t>TRANSPORTATION LOSS - 17132 WAHAG</t>
  </si>
  <si>
    <t>X04320</t>
  </si>
  <si>
    <t>TRANSPORTATION LOSS - 17163 ALHAMADA</t>
  </si>
  <si>
    <t>X04321</t>
  </si>
  <si>
    <t>TRANSPORTATION LOSS - 17184 ALHAMADA</t>
  </si>
  <si>
    <t>X04322</t>
  </si>
  <si>
    <t>TRANSPORTATION LOSS - 17122 WAHAG</t>
  </si>
  <si>
    <t>X04348</t>
  </si>
  <si>
    <t>TRANSPORTATION LOSS - 17044 ALHAMDA</t>
  </si>
  <si>
    <t>X04349</t>
  </si>
  <si>
    <t>EXCESS - 17111 Y.HAMZA</t>
  </si>
  <si>
    <t>A00845</t>
  </si>
  <si>
    <t>C02800</t>
  </si>
  <si>
    <t>SCALE DIFF - PC 1248-1</t>
  </si>
  <si>
    <t>X04247</t>
  </si>
  <si>
    <t>SCALE DIFF - PC 1240-3</t>
  </si>
  <si>
    <t>X04248</t>
  </si>
  <si>
    <t>CNC000748</t>
  </si>
  <si>
    <t>Packing weight adjustment in stuffing warehouse for Cotton shipment PC 1248.1</t>
  </si>
  <si>
    <t>Packing weight adjustment in stuffing warehouse for Cotton shipment PC 1240.3</t>
  </si>
  <si>
    <t>Weight variance of 20 trucks received at sifter ( Balaji ) in PZU from Gadarif warehouse, reported 2 bags losses in truck 9763, for which a debit note has been issued, the remaining 19 trucks all bags received complete at sifter. (Loaded 10,900 bags / 990.22 MT, Received 10,898 bags / 991.4 MT, Variance 2 bags / 1.18 MT)</t>
  </si>
  <si>
    <t>Weight variance of 9 trucks received at PZU warehouse A13 from Gadarif warehouse, reported 1 bags losses in truck 5121, for which a debit note has been issued, the remaining 8 trucks all bags received complete at warehouse. (Loaded 9000 bags / 449.33 MT, Received 8999 bags / 453.16 MT, Variance 1 bags / 3.83 MT)</t>
  </si>
  <si>
    <t>Transporter Compensation Value Total</t>
  </si>
  <si>
    <t>Stock Adjustments Total</t>
  </si>
  <si>
    <t>The compensation value for imported products transportation loss</t>
  </si>
  <si>
    <t>The compensation value for export commodities transportation loss</t>
  </si>
  <si>
    <t>Truck Accident was Jun 2023 happened in Alagba area during transit from Omdurman to Portsudan, Police report done and shared, loading Rice QTY 2000 bags 25KG, Head; 11834 Trial:11546 PZU, total loss 166 bags, transporter: Rabia , GTN no 1845, shared liability letter with insurance on 6 may 2024. Comepnsation of 4,422.24 USD received from insurance company.</t>
  </si>
  <si>
    <t>Truck transporting sesame from Gadarif to Portsudan was involved in an accident in Khashm Algirba (driver name: Oshik Mohamed, Plate number: 300, Waybill:5341), police report shared, Damage QTY 1.94MT/Loss 0.16MT. Compensation of 3,149.46 USD received from insurance company.</t>
  </si>
  <si>
    <t>Defected QTY (206) bags, and it was part of 20,000 bags received in ALDabba from PO 1648. The result of repacking (Sound=202 bags/ loss=4 bags/ waste= 0 bag). NC NO 21</t>
  </si>
  <si>
    <t>Lentil Road Shipment, BL 13B Lot 1, Short landed 2 bags - Sample 6 bags - Damage 29 bags. The damage rejected bags are received at our warehouses. The quantities raised to Invictus, no compensation received as the claim is less than tolerance (0.5%). Waiting quality recommendation for the damage stock.</t>
  </si>
  <si>
    <t>Rice Road Shipment, BL 13C Lot 2, Short landed 3 bags - Sample 6 bags - Damage 77 bags. The damage bags are received at our warehouses. The quantities raised to Invictus, no compensation received as the claim is less than tolerance (0.5%). Waiting quality recommendation for the damage stock.</t>
  </si>
  <si>
    <t>Repacking loss due to the offloading of containers to warehouse. Total defected QTY 756 bags of lentil was part off 156,400 bags received from multiple shipments. Repacking results (In 756 bags, Sound 677 bags , loss 79 bags). (the percentage of sound QTY/Defected QTY= 90%).</t>
  </si>
  <si>
    <t>MV ZENYEP/BL 9500/OVER LANDED</t>
  </si>
  <si>
    <t>A00848</t>
  </si>
  <si>
    <t>C02823</t>
  </si>
  <si>
    <t>MV ZENYEP/BL 9502/OVER LANDED</t>
  </si>
  <si>
    <t>A00849</t>
  </si>
  <si>
    <t>C02824</t>
  </si>
  <si>
    <t>MV ZENYEP/BL 1700/OVER LANDED</t>
  </si>
  <si>
    <t>A00850</t>
  </si>
  <si>
    <t>C02825</t>
  </si>
  <si>
    <t>XZ</t>
  </si>
  <si>
    <t>EXPIRED &amp; CACKED - NC 23</t>
  </si>
  <si>
    <t>BX0001</t>
  </si>
  <si>
    <t>A00851</t>
  </si>
  <si>
    <t>C02826</t>
  </si>
  <si>
    <t>EXPIRED &amp; CACKED  - NC 2024 -2</t>
  </si>
  <si>
    <t>X04370</t>
  </si>
  <si>
    <t>A00852</t>
  </si>
  <si>
    <t>C02827</t>
  </si>
  <si>
    <t>RAIN DAMAGED  - NC 21/22/23</t>
  </si>
  <si>
    <t>RC0000</t>
  </si>
  <si>
    <t>A00854</t>
  </si>
  <si>
    <t>C02829</t>
  </si>
  <si>
    <t>RAIN DAMAGED - NC 143/29</t>
  </si>
  <si>
    <t>A00855</t>
  </si>
  <si>
    <t>C02830</t>
  </si>
  <si>
    <t>X04378</t>
  </si>
  <si>
    <t>REPACKING LOSS - NC - 13,87,105,157</t>
  </si>
  <si>
    <t>X04380</t>
  </si>
  <si>
    <t>Q05883</t>
  </si>
  <si>
    <t>TRANSPORTATION LOSS - 21452 ARIF ALMUBARK</t>
  </si>
  <si>
    <t>X04382</t>
  </si>
  <si>
    <t>TRANSPORTATION LOSS - 21549 ALKHOTOT ALSAHLIA</t>
  </si>
  <si>
    <t>X04383</t>
  </si>
  <si>
    <t>TRANSPORTATION LOSS - 20157 ALKASIR</t>
  </si>
  <si>
    <t>X04384</t>
  </si>
  <si>
    <t>Q06234</t>
  </si>
  <si>
    <t>TRANSPORTATION LOSS - 20158 ALNWA</t>
  </si>
  <si>
    <t>X04385</t>
  </si>
  <si>
    <t>TRANSPORTATION LOSS - 21254 DELTA</t>
  </si>
  <si>
    <t>X04386</t>
  </si>
  <si>
    <t>TRANSPORTATION LOSS - 21255 RIBA</t>
  </si>
  <si>
    <t>X04387</t>
  </si>
  <si>
    <t>MV COPERNICO/ SHORT LANDED</t>
  </si>
  <si>
    <t>X04360</t>
  </si>
  <si>
    <t>MV COPERNICO / REPACKING LOSS</t>
  </si>
  <si>
    <t>X04361</t>
  </si>
  <si>
    <t>MV COPERNICO /FALLEN IN SEA</t>
  </si>
  <si>
    <t>X04362</t>
  </si>
  <si>
    <t>MV COPERNICO / SAMPLE</t>
  </si>
  <si>
    <t>X04363</t>
  </si>
  <si>
    <t>MV COPERNICO / REJECTED BY SSMO</t>
  </si>
  <si>
    <t>X04364</t>
  </si>
  <si>
    <t>BB</t>
  </si>
  <si>
    <t>PROV - CACKED  - NC 5-1</t>
  </si>
  <si>
    <t>X04365</t>
  </si>
  <si>
    <t>Q04675</t>
  </si>
  <si>
    <t>Q05075</t>
  </si>
  <si>
    <t>PROV - EXPIRED - ELIMINATION NC 1</t>
  </si>
  <si>
    <t>X04366</t>
  </si>
  <si>
    <t>EXPIRED &amp; CACKED - NC 23 A</t>
  </si>
  <si>
    <t>X04367</t>
  </si>
  <si>
    <t>P03709</t>
  </si>
  <si>
    <t>WS0004</t>
  </si>
  <si>
    <t>EXPIRED &amp; CACKED - NC 23 C</t>
  </si>
  <si>
    <t>X04368</t>
  </si>
  <si>
    <t>EXPIRED &amp; CACKED - NC 23 B</t>
  </si>
  <si>
    <t>X04369</t>
  </si>
  <si>
    <t>EXPIRED &amp; CACKED - NC 2024 -3</t>
  </si>
  <si>
    <t>A00853</t>
  </si>
  <si>
    <t>C02828</t>
  </si>
  <si>
    <t>X04374</t>
  </si>
  <si>
    <t>Q04686</t>
  </si>
  <si>
    <t>A00589</t>
  </si>
  <si>
    <t>A00618</t>
  </si>
  <si>
    <t>A00633</t>
  </si>
  <si>
    <t>RAIN DAMAGED - NC 143</t>
  </si>
  <si>
    <t>X04375</t>
  </si>
  <si>
    <t>Q06228</t>
  </si>
  <si>
    <t>RAIN DAMAGED - NC 29</t>
  </si>
  <si>
    <t>X04376</t>
  </si>
  <si>
    <t>X04372</t>
  </si>
  <si>
    <t>TRANSPORTATION LOSS - 21289 RIBA</t>
  </si>
  <si>
    <t>X04388</t>
  </si>
  <si>
    <t>TRANSPORTATION LOSS - 23343 RIBA</t>
  </si>
  <si>
    <t>X04389</t>
  </si>
  <si>
    <t>TRANSPORTATION LOSS - 23486 ANJAL</t>
  </si>
  <si>
    <t>X04390</t>
  </si>
  <si>
    <t>TRANSPORTATION LOSS - 23604 ABERSI</t>
  </si>
  <si>
    <t>X04391</t>
  </si>
  <si>
    <t>TRANSPORTATION LOSS - 23623 ABERSI</t>
  </si>
  <si>
    <t>X04392</t>
  </si>
  <si>
    <t>TRANSPORTATION LOSS - 277463 ALSNOSI</t>
  </si>
  <si>
    <t>X04393</t>
  </si>
  <si>
    <t>TRANSPORTATION LOSS - 17195 DALTA</t>
  </si>
  <si>
    <t>X04394</t>
  </si>
  <si>
    <t>TRANSPORTATION LOSS - 20032 ALKASIR</t>
  </si>
  <si>
    <t>X04395</t>
  </si>
  <si>
    <t>Q06235</t>
  </si>
  <si>
    <t>TRANSPORTATION LOSS - 406 DALTA</t>
  </si>
  <si>
    <t>X04398</t>
  </si>
  <si>
    <t>TRANSPORTATION LOSS - 690 DALTA</t>
  </si>
  <si>
    <t>X04399</t>
  </si>
  <si>
    <t>TRANSPORTATION LOSS - 277442 RIBA</t>
  </si>
  <si>
    <t>X04400</t>
  </si>
  <si>
    <t>P03739</t>
  </si>
  <si>
    <t>TRANSPORTATION LOSS - 277475 ALKHAWAGA</t>
  </si>
  <si>
    <t>X04401</t>
  </si>
  <si>
    <t>TRANSPORTATION LOSS - 277476 ALKHAWAGA</t>
  </si>
  <si>
    <t>X04402</t>
  </si>
  <si>
    <t>TRANSPORTATION LOSS - 277304 ALREKABI</t>
  </si>
  <si>
    <t>X04403</t>
  </si>
  <si>
    <t>P03741</t>
  </si>
  <si>
    <t>TRANSPORTATION LOSS - 401 DALTA</t>
  </si>
  <si>
    <t>X04396</t>
  </si>
  <si>
    <t>TRANSPORTATION LOSS - 403 DALTA</t>
  </si>
  <si>
    <t>X04397</t>
  </si>
  <si>
    <t>EXCESS - 17109 ALFADNI</t>
  </si>
  <si>
    <t>A00858</t>
  </si>
  <si>
    <t>C02833</t>
  </si>
  <si>
    <t>TRANSPORTATION LOSS - 17107 ALSK</t>
  </si>
  <si>
    <t>X04410</t>
  </si>
  <si>
    <t>TRANSPORTATION LOSS - 17055 ALASGALANI</t>
  </si>
  <si>
    <t>X04412</t>
  </si>
  <si>
    <t>A00859</t>
  </si>
  <si>
    <t>EXCESS - 21462 QUICK</t>
  </si>
  <si>
    <t>A00861</t>
  </si>
  <si>
    <t>C02836</t>
  </si>
  <si>
    <t>EXCESS - 17107 ALSK</t>
  </si>
  <si>
    <t>C02834</t>
  </si>
  <si>
    <t>EXCESS - 21473 RIBA</t>
  </si>
  <si>
    <t>A00862</t>
  </si>
  <si>
    <t>C02837</t>
  </si>
  <si>
    <t>CORRECTION - 21462 QUICK</t>
  </si>
  <si>
    <t>X04415</t>
  </si>
  <si>
    <t>XU</t>
  </si>
  <si>
    <t>EXPIRED &amp; CACKED - NC 4</t>
  </si>
  <si>
    <t>XU0001</t>
  </si>
  <si>
    <t>A00856</t>
  </si>
  <si>
    <t>C02831</t>
  </si>
  <si>
    <t>EXPIRED &amp; CACKED - NC 3</t>
  </si>
  <si>
    <t>A00857</t>
  </si>
  <si>
    <t>C02832</t>
  </si>
  <si>
    <t>TRANSPORTATION LOSS - 17109 ALFADNI</t>
  </si>
  <si>
    <t>X04408</t>
  </si>
  <si>
    <t>EXCESS - 17055 ALASGALANI</t>
  </si>
  <si>
    <t>A00860</t>
  </si>
  <si>
    <t>C02835</t>
  </si>
  <si>
    <t>CORRECTION - 21473 RIBA</t>
  </si>
  <si>
    <t>X04414</t>
  </si>
  <si>
    <t>X04405</t>
  </si>
  <si>
    <t>X04406</t>
  </si>
  <si>
    <t>Q04961</t>
  </si>
  <si>
    <t>TRANSPORTATION LOSS - 20199 ALTAF</t>
  </si>
  <si>
    <t>X04416</t>
  </si>
  <si>
    <t>TRANSPORTATION LOSS - 21060 KHUTHBAN</t>
  </si>
  <si>
    <t>X04417</t>
  </si>
  <si>
    <t>P03724</t>
  </si>
  <si>
    <t>TRANSPORTATION LOSS - 21259 ALSNOSI</t>
  </si>
  <si>
    <t>X04418</t>
  </si>
  <si>
    <t>P03750</t>
  </si>
  <si>
    <t>TRANSPORTATION LOSS - 21260 ALWAHSHAB</t>
  </si>
  <si>
    <t>X04419</t>
  </si>
  <si>
    <t>TRANSPORTATION LOSS - 21558 DARKA</t>
  </si>
  <si>
    <t>X04420</t>
  </si>
  <si>
    <t>TRANSPORTATION LOSS - 21560 DARKA</t>
  </si>
  <si>
    <t>X04421</t>
  </si>
  <si>
    <t>TRANSPORTATION LOSS - 21592 QUICK</t>
  </si>
  <si>
    <t>X04422</t>
  </si>
  <si>
    <t>TRANSPORTATION LOSS - 21595 ALNWA</t>
  </si>
  <si>
    <t>X04423</t>
  </si>
  <si>
    <t>TRANSPORTATION LOSS - 23521 ALTAF</t>
  </si>
  <si>
    <t>X04424</t>
  </si>
  <si>
    <t>TRANSPORTATION LOSS - 23522 ALTAF</t>
  </si>
  <si>
    <t>X04425</t>
  </si>
  <si>
    <t>TRANSPORTATION LOSS - 23545 RIBA</t>
  </si>
  <si>
    <t>X04426</t>
  </si>
  <si>
    <t>TRANSPORTATION LOSS - 23548 DELTA</t>
  </si>
  <si>
    <t>X04427</t>
  </si>
  <si>
    <t>TRANSPORTATION LOSS - 277482 RIBA</t>
  </si>
  <si>
    <t>X04428</t>
  </si>
  <si>
    <t>P03745</t>
  </si>
  <si>
    <t>TRANSPORTATION LOSS - 277483 RIBA</t>
  </si>
  <si>
    <t>X04429</t>
  </si>
  <si>
    <t>TRANSPORTATION LOSS - 277492 ALKHAWAJA</t>
  </si>
  <si>
    <t>X04430</t>
  </si>
  <si>
    <t>TRANSPORTATION LOSS - 277496 ALTAF</t>
  </si>
  <si>
    <t>X04431</t>
  </si>
  <si>
    <t>TRANSPORTATION LOSS - 586 GAMEIA</t>
  </si>
  <si>
    <t>X04351</t>
  </si>
  <si>
    <t>TRANSPORTATION LOSS - 7575 DALTA</t>
  </si>
  <si>
    <t>X04352</t>
  </si>
  <si>
    <t>TRANSPORTATION LOSS - 7597 ALNWA</t>
  </si>
  <si>
    <t>X04353</t>
  </si>
  <si>
    <t>TRANSPORTATION LOSS - 7599 DALTA</t>
  </si>
  <si>
    <t>X04354</t>
  </si>
  <si>
    <t>TRANSPORTATION LOSS - 7633 DALTA</t>
  </si>
  <si>
    <t>X04355</t>
  </si>
  <si>
    <t>TRANSPORTATION LOSS - 7634 ALNWA</t>
  </si>
  <si>
    <t>X04356</t>
  </si>
  <si>
    <t>TRANSPORTATION LOSS - 7638 ALNWA</t>
  </si>
  <si>
    <t>X04357</t>
  </si>
  <si>
    <t>TRANSPORTATION LOSS - 7643 ALNWA</t>
  </si>
  <si>
    <t>X04358</t>
  </si>
  <si>
    <t>TRANSPORTATION LOSS - 7649 DALTA</t>
  </si>
  <si>
    <t>X04359</t>
  </si>
  <si>
    <t>Product</t>
  </si>
  <si>
    <t>Product Description</t>
  </si>
  <si>
    <t>Conversion</t>
  </si>
  <si>
    <t>CO0101</t>
  </si>
  <si>
    <t>Cotton Flower Raw</t>
  </si>
  <si>
    <t>CO0104</t>
  </si>
  <si>
    <t>Black Cotton Seeds</t>
  </si>
  <si>
    <t>CO1001</t>
  </si>
  <si>
    <t>Cotton FG</t>
  </si>
  <si>
    <t>GN0001</t>
  </si>
  <si>
    <t>Groundnut Oil</t>
  </si>
  <si>
    <t>Groundnuts</t>
  </si>
  <si>
    <t>GN0003</t>
  </si>
  <si>
    <t>GN0005</t>
  </si>
  <si>
    <t>HPS 50KG</t>
  </si>
  <si>
    <t>GN0007</t>
  </si>
  <si>
    <t>GN0101</t>
  </si>
  <si>
    <t>Groundnuts Seeds Raw</t>
  </si>
  <si>
    <t>GN0103</t>
  </si>
  <si>
    <t>Groundnut Seeds Raw Grade 2</t>
  </si>
  <si>
    <t>GN0301</t>
  </si>
  <si>
    <t xml:space="preserve">Baloza </t>
  </si>
  <si>
    <t>HG0003</t>
  </si>
  <si>
    <t>Gum Hashab Cleaned</t>
  </si>
  <si>
    <t>HG0005</t>
  </si>
  <si>
    <t>HG0201</t>
  </si>
  <si>
    <t>HG0004</t>
  </si>
  <si>
    <t>Gum Hashab Dust</t>
  </si>
  <si>
    <t>HG0009</t>
  </si>
  <si>
    <t>Gum Hashab Sugar</t>
  </si>
  <si>
    <t>HG0301</t>
  </si>
  <si>
    <t>LE0002</t>
  </si>
  <si>
    <t>Lentil Tabagna 20KG</t>
  </si>
  <si>
    <t>LE0003</t>
  </si>
  <si>
    <t>Lentil Armada 20KG</t>
  </si>
  <si>
    <t>Rice Short Grain Dalian</t>
  </si>
  <si>
    <t>RC0002</t>
  </si>
  <si>
    <t>Rice Long Grain Tabagna</t>
  </si>
  <si>
    <t>SH0001</t>
  </si>
  <si>
    <t>Sheep Livestock</t>
  </si>
  <si>
    <t>HEAD</t>
  </si>
  <si>
    <t>Livestock</t>
  </si>
  <si>
    <t>SM0011</t>
  </si>
  <si>
    <t>Red Sesame - FG</t>
  </si>
  <si>
    <t>Sesame Red</t>
  </si>
  <si>
    <t>SM0012</t>
  </si>
  <si>
    <t>Gadarif Sesame 25KG</t>
  </si>
  <si>
    <t>SM0021</t>
  </si>
  <si>
    <t>Mixed Sesame - FG</t>
  </si>
  <si>
    <t>Sesame Mixed</t>
  </si>
  <si>
    <t>TG0004</t>
  </si>
  <si>
    <t>Gum Talha Dust</t>
  </si>
  <si>
    <t>TG0005</t>
  </si>
  <si>
    <t>Gum Talha Cleaned</t>
  </si>
  <si>
    <t>UR0001</t>
  </si>
  <si>
    <t>Urea Fertilizer</t>
  </si>
  <si>
    <t>Urea</t>
  </si>
  <si>
    <t>UR0010</t>
  </si>
  <si>
    <t>Urea Fertilizer Grade 2</t>
  </si>
  <si>
    <t>WS0002</t>
  </si>
  <si>
    <t>White Sugar - Coke Specs</t>
  </si>
  <si>
    <t>SO0003</t>
  </si>
  <si>
    <t>RC0301</t>
  </si>
  <si>
    <t>Rice Waste 50KG</t>
  </si>
  <si>
    <t>Rice - Waste</t>
  </si>
  <si>
    <t>WT0001</t>
  </si>
  <si>
    <t>Watermelon Seeds - FG</t>
  </si>
  <si>
    <t>SM0333</t>
  </si>
  <si>
    <t>Red Sesame Damage NC 50K</t>
  </si>
  <si>
    <t>Red Sesame - Damage</t>
  </si>
  <si>
    <t>SM0334</t>
  </si>
  <si>
    <t>Mixed Sesame Damage NC 50K</t>
  </si>
  <si>
    <t>Mixed Sesame - Damage</t>
  </si>
  <si>
    <t>Imported Shipments Discharge Losses Total</t>
  </si>
  <si>
    <t>This quantity is part of 20,707 bags of sugar evacuated from OMD to Sinnar. 846 bags found cake and expired, 621 out of it has been sold as cake. The Deal amount 49,680,000 SDG with unit price 80,000 per bag. Related NC No 3 and 4.</t>
  </si>
  <si>
    <t>Value</t>
  </si>
  <si>
    <t>Transport Loss Compensation Value</t>
  </si>
  <si>
    <t>MV SHANGAHI/ Rejected SSMO</t>
  </si>
  <si>
    <t>702012</t>
  </si>
  <si>
    <t>X04442</t>
  </si>
  <si>
    <t>MV SHANGAHI/ REPACKING LOSS</t>
  </si>
  <si>
    <t>X04443</t>
  </si>
  <si>
    <t>MV SHANGAHI/ Fallen sea</t>
  </si>
  <si>
    <t>X04444</t>
  </si>
  <si>
    <t>MV SHANGAHI/ sample</t>
  </si>
  <si>
    <t>X04445</t>
  </si>
  <si>
    <t>ZR</t>
  </si>
  <si>
    <t>EXPERIA   ELIMINATION -  NC 6</t>
  </si>
  <si>
    <t>X04446</t>
  </si>
  <si>
    <t>TRANSPORTAION LOSS -  23550  ALTAF</t>
  </si>
  <si>
    <t>X04447</t>
  </si>
  <si>
    <t>P03721</t>
  </si>
  <si>
    <t>TRANSPORTATION  LOSS -   23005  ALTAF</t>
  </si>
  <si>
    <t>X04448</t>
  </si>
  <si>
    <t>P03736</t>
  </si>
  <si>
    <t>DK</t>
  </si>
  <si>
    <t>EXCESS -  20680  - Arif Al Mub</t>
  </si>
  <si>
    <t>DK0001</t>
  </si>
  <si>
    <t>A00874</t>
  </si>
  <si>
    <t>C02863</t>
  </si>
  <si>
    <t>EXCESS - 17122 WAHAG</t>
  </si>
  <si>
    <t>A00872</t>
  </si>
  <si>
    <t>C02859</t>
  </si>
  <si>
    <t>X04441</t>
  </si>
  <si>
    <t>OVER LOADED - 20678-9</t>
  </si>
  <si>
    <t>A00869</t>
  </si>
  <si>
    <t>C02856</t>
  </si>
  <si>
    <t>A00873</t>
  </si>
  <si>
    <t>C02860</t>
  </si>
  <si>
    <t>X04437</t>
  </si>
  <si>
    <t>Q05972</t>
  </si>
  <si>
    <t>CORRECTION 18584 KHALID AWAD</t>
  </si>
  <si>
    <t>X04439</t>
  </si>
  <si>
    <t>A00870</t>
  </si>
  <si>
    <t>C02857</t>
  </si>
  <si>
    <t>EXCESS - 17044 ALHAMDA</t>
  </si>
  <si>
    <t>A00871</t>
  </si>
  <si>
    <t>C02858</t>
  </si>
  <si>
    <t>EXCESS - 13701 ALWASEELA</t>
  </si>
  <si>
    <t>A00863</t>
  </si>
  <si>
    <t>C02839</t>
  </si>
  <si>
    <t>EXCESS - 20165 ALKASIR</t>
  </si>
  <si>
    <t>A00864</t>
  </si>
  <si>
    <t>C02840</t>
  </si>
  <si>
    <t>EXCESS - 20167 ALNWA</t>
  </si>
  <si>
    <t>A00865</t>
  </si>
  <si>
    <t>C02841</t>
  </si>
  <si>
    <t>EXCESS - 21579 ANJAL</t>
  </si>
  <si>
    <t>A00866</t>
  </si>
  <si>
    <t>C02842</t>
  </si>
  <si>
    <t>EXCESS - 21273 ALWAHSHAB</t>
  </si>
  <si>
    <t>A00867</t>
  </si>
  <si>
    <t>C02843</t>
  </si>
  <si>
    <t>EXCESS - 21586 QUICK</t>
  </si>
  <si>
    <t>A00868</t>
  </si>
  <si>
    <t>C02844</t>
  </si>
  <si>
    <t>TRANSPORTATION LOSS  - 19263 ALOMDA</t>
  </si>
  <si>
    <t>X04433</t>
  </si>
  <si>
    <t>Q06230</t>
  </si>
  <si>
    <t>TRANSPORTATION LOSS - 19270 ALOMDA</t>
  </si>
  <si>
    <t>X04434</t>
  </si>
  <si>
    <t>BN</t>
  </si>
  <si>
    <t>SCALE DIFF  - 0.07%</t>
  </si>
  <si>
    <t>X04435</t>
  </si>
  <si>
    <t>A00694</t>
  </si>
  <si>
    <t xml:space="preserve">MV COPERNICO - BL QTY 240,000 bags, Received sound 239,701 bags - SHORT LANDED 74 bags / REJECTED BY SSMO 35 bags - Repacking Loss 139 bags, Sayga Sample 38 bags, SSMO Sample 7 bags fallen in Sea 6 bags. REJECTED BY SSMO will be compensated in Dubai office (1,144.50 USD) </t>
  </si>
  <si>
    <t xml:space="preserve">MV SHANGAHI - BL QTY 360,000 bags, Received sound 350,577 bags - SHORT LANDED 0 bags / REJECTED BY SSMO 9098 bags - Repacking Loss 272 bags, Sayga Sample 32 bags, SSMO Sample 15 bags fallen in Sea 6 bags. Total value of vessel variance will be compensated in Dubai office (82,451.25 USD) </t>
  </si>
  <si>
    <t>MV ZEYNEP BL 9502 QTY 30,000 bags, Received QTY 30,095 bags, Over landed QTY 95 bags.</t>
  </si>
  <si>
    <t>MV ZEYNEP BL 9500 QTY 28,750 bags, Received QTY 28,903 bags, Over landed QTY 153 bags.</t>
  </si>
  <si>
    <t>MV ZEYNEP BL 1700 QTY 25,000 bags, Received QTY 25,158 bags, Over landed QTY 158 bags.</t>
  </si>
  <si>
    <t>This Quantity was part of a total of 28,000 bags evacuated from OMD to Managil warehous. 249 bags were found caked and torn and eliminated by authorities.</t>
  </si>
  <si>
    <t>This Quantity was part of a total of 91,293 bags received in Rabak warehous. 95 bags were defected by rodent due to lack of rat traps. The quantity was eliminated by authorities. NC NO 6</t>
  </si>
  <si>
    <t>This Quantity was part of a total of 12,500 bags received in Managil warehous. 32 bags were found expired therefore they were eliminated by authorities. NC NO 1</t>
  </si>
  <si>
    <t>This Quantity of 871 bags crystal sugar was part of 22,000 bags evacuated from OMD and received in KH 159 warehouse PZU, and it found caked and torn during storaging. The proposed action made by quality team is to sell it as animal feed. 67,067,000 SDG was the sale price (77,000 SDG/bag). NC NO 2024-3</t>
  </si>
  <si>
    <t>This Quantity of 17 bags from different brands were found caked in Bond area warehouse during storaging. The proposed action made by quality team is to sell it in its current state. 1,309,000 SDG was the sale price (77,000 SDG/bag). NC NO 23 A,B,&amp;C</t>
  </si>
  <si>
    <t>This Quantity 1,700 bags were found wet in Emarat 3 warehouse due to rainwater. The proposed action made by quality team is to sell it as animal feed. 10,200,000 SDG was the sale price (6,000 SDG/bag). Part of this quantity 1468 bags (totaling 88,080,000 SDG) were reported to the insurance. NC NO 143 &amp; 29</t>
  </si>
  <si>
    <t>This Quantity of 2,763 bags was part of 154,000 bags evacuated from OMD and received in KH 159 warehouse PZU, and it found caked and torn during storaging. The proposed action made by quality team is to sell it as animal feed. 212,751,000 SDG was the sale price (77,000 SDG/bag). NC NO 2024-2</t>
  </si>
  <si>
    <t>Weight variance shown in ABS silos after the operations are completed. It might be a result of multiple reasons which are: repacking of 5,497.96MT into 108,739 bags50 at ABS, moisture loss during storage, variance in weight measurements between receipt and dispatch for ABS-AF-Balaji sifter, or variance between the weighbridge of ABS (receive) &amp; Abohashish (release).</t>
  </si>
  <si>
    <t>Compensated by the transporter</t>
  </si>
  <si>
    <t>Accepted variannce as per agreed weight tolerance level for each commodity</t>
  </si>
  <si>
    <t>Compensated by the supplier, shipper, or insurance company subject to terms and conditions of the shipment contract</t>
  </si>
  <si>
    <t>Non recoverable</t>
  </si>
  <si>
    <t>This Quantity of 3,851 bags (White crystal sugar,Indian sugar) was part of 87,000 bags that evacuated from OMD and received in Gadarif warehouse, and it found caked and torn because of its expoture to sunlight and rain. The proposed action made by quality team is to sell it as animal feed. The price per bag was 33,000 SDG upon delivery the weight of trucks was less than the standard weight (variance was eq. to 377 bags) therefore the total value was 114,534,493.7791 SDG. the system sale price was  (29,741.4941 SDG/bag) to account for the weight variance. NC NO 2024-2.</t>
  </si>
  <si>
    <t>132 bags loss out of 1,571 bags of sorghum raw (in 50kg bags) torn during handling in E 6/5 PZU warehouse. they were part of a total of 74,050 bags delivered to Balaji sifter. the result of repacking (in: 1,571 bags, out sound: 1,430 bags, downgrade 7 bags, loss 132 bags, and waste mixed with soil 2 bags. NC No 13,87,105,&amp;157. Waste quantity was adjusted seprately in its actual weight as per weight slip when delivered to local sale.</t>
  </si>
  <si>
    <t>waiting AP feedback</t>
  </si>
  <si>
    <t>Non recoverable for WH oprations damage, however might be recoverable for damage received form external party (supplier, transporter..etc)</t>
  </si>
  <si>
    <t>Unreal loss, as payment to suppliers is based on the net weight (packaging weight is excluded)</t>
  </si>
  <si>
    <t>Reviewed variance: might be gain or loss, this variance is reviewed by case and adjusted accordingly and no compensation as it is weight variances or oprations variances</t>
  </si>
  <si>
    <t>Compensated by insurance company as per their requirements and policies</t>
  </si>
  <si>
    <t>MV AMBER / Fallen sea</t>
  </si>
  <si>
    <t>MV AMBER / sample</t>
  </si>
  <si>
    <t>TRANSPORTAION LOSS   - 19274 -  ALUMDA</t>
  </si>
  <si>
    <t>TRANSPORT EXCESS 19274- Alumda</t>
  </si>
  <si>
    <t>TRANSPORTAION LOSS - 17052 - DARKA</t>
  </si>
  <si>
    <t>TRANSPORTAION LOSS -  21586  - QUICK</t>
  </si>
  <si>
    <t>TRANSPORTAION LOSS -  20187  Al Hamada</t>
  </si>
  <si>
    <t>TRANSPORTAION  LOSS -  20188  Al Hamada</t>
  </si>
  <si>
    <t>TRANSPORTAION LOSS -  20200 -  Darka</t>
  </si>
  <si>
    <t>TRANSPORTAION LOSS  -  21178  Yousif Alfaki</t>
  </si>
  <si>
    <t>Transportation loss -  4804  - Riaba</t>
  </si>
  <si>
    <t>TRANSPORTATION LOSS - 19279 ALOMDA</t>
  </si>
  <si>
    <t>TRANSPORTATION LOSS - 19282 ALOMDA</t>
  </si>
  <si>
    <t>TRANSPORTATION LOSS - 19285 ALOMDA</t>
  </si>
  <si>
    <t>TRANSPORTATION LOSS - 19286 ALOMDA</t>
  </si>
  <si>
    <t>EXCESS - 21155 DARKA</t>
  </si>
  <si>
    <t>EXCESS - 21169 ALTAF</t>
  </si>
  <si>
    <t>SHORTLANDED/BL 12A</t>
  </si>
  <si>
    <t>SHORTLANDED/BL 12B</t>
  </si>
  <si>
    <t>SHORTLANDED/BL 12C</t>
  </si>
  <si>
    <t>SAMPLE/BL 12A</t>
  </si>
  <si>
    <t>SAMPLE/BL 12B</t>
  </si>
  <si>
    <t>SAMPLE/BL 12C</t>
  </si>
  <si>
    <t>TRANSPORTATION LOSS - 19252 ALOMDA</t>
  </si>
  <si>
    <t>TRANSPORTATION LOSS - 19264 ALOMDA</t>
  </si>
  <si>
    <t>TRANSPORTATION LOSS - 19271 ALOMDA</t>
  </si>
  <si>
    <t>EXCESS - 19281 ALOMDA</t>
  </si>
  <si>
    <t>SAMPLE - LOT 1/ BL13A</t>
  </si>
  <si>
    <t>IC WAREHOUSE DAMAGE - RAIN - REPACKING LOSS NC NO.70</t>
  </si>
  <si>
    <t>SHORTLANDED - LOT 1 BL13A</t>
  </si>
  <si>
    <t>OVERLANDED - LOT 1 BL13A</t>
  </si>
  <si>
    <t>EXCESS - 10053 ARIF ALMUBARK</t>
  </si>
  <si>
    <t>CORRECTION - X04490</t>
  </si>
  <si>
    <t>EXCESS - 10053 ARIF &amp; ALMUBARK</t>
  </si>
  <si>
    <t>IC - MV HAIAN GAMA /SHORTAGE  BL4015</t>
  </si>
  <si>
    <t>IC - MV HAIAN GAMA/ SHORTAGE   BL0904</t>
  </si>
  <si>
    <t>IC - MV HAIAN GAMA/SHORTAGE BL2146</t>
  </si>
  <si>
    <t>IC - MV HAIAN GAMA/ SHORTAGE BL9667</t>
  </si>
  <si>
    <t>IC - MAERSK  JABAL/SHORTAGE 3 BL3928</t>
  </si>
  <si>
    <t>IC - MAERSK  JABAL/SHORTAGE BL4161</t>
  </si>
  <si>
    <t>TRANSPORTATION LOSS - 3773 ANJAL</t>
  </si>
  <si>
    <t>TRANSPORTATION LOSS - 3989 DARKA</t>
  </si>
  <si>
    <t>TRANSPORTATION LOSS - 4004 ANJAL</t>
  </si>
  <si>
    <t>MV ZENYEP/BL 7401/OVERLANDED</t>
  </si>
  <si>
    <t>MV ZENYEP/BL 2000/OVERLANDED</t>
  </si>
  <si>
    <t>MV ZENYEP/BL 2001/OVERLANDED</t>
  </si>
  <si>
    <t>MV ZENYEP/BL 2002/OVERLANDED</t>
  </si>
  <si>
    <t>MV ZENYEP/BL 0000/OVERLANDED</t>
  </si>
  <si>
    <t>MV ZENYEP/BL 0001/OVERLANDED</t>
  </si>
  <si>
    <t>TRANSPORTATION LOSS - 4021 ANJAL</t>
  </si>
  <si>
    <t>TRANSPORTATION LOSS - 4031 ALTAF</t>
  </si>
  <si>
    <t>TRANSPORTATION LOSS - 4058 ALNWA</t>
  </si>
  <si>
    <t>TRANSPORTATION LOSS - 4083 ANJAL</t>
  </si>
  <si>
    <t>TRANSPORTATION LOSS - 4085 ALKASIR</t>
  </si>
  <si>
    <t>TRANSPORTATION LOSS - 4729 ANJAL</t>
  </si>
  <si>
    <t>TRANSPORTATION LOSS - 4835 ALNWA</t>
  </si>
  <si>
    <t>TRANSPORTATION LOSS - 4061 RIBA</t>
  </si>
  <si>
    <t>TRANSPORTATION LOSS - 4077 RIBA</t>
  </si>
  <si>
    <t>TRANSPORTATION LOSS - 4079 RIBA</t>
  </si>
  <si>
    <t>TRANSPORTATION LOSS - 3771 ANJAL</t>
  </si>
  <si>
    <t>TRANSPORTATION LOSS - 4048 ANJAL</t>
  </si>
  <si>
    <t>TRANSPORTATION LOSS - 4076 RIBA</t>
  </si>
  <si>
    <t>TRANSPORTATION LOSS - 4082 ANJAL</t>
  </si>
  <si>
    <t>TRANSPORTATION LOSS - 4119 BIG BOSS</t>
  </si>
  <si>
    <t>TRANSPORTATION LOSS - 3797 ALWAHSHAB</t>
  </si>
  <si>
    <t>TRANSPORTATION LOSS - 3798 ALWAHSHAB</t>
  </si>
  <si>
    <t>TRANSPORTATION LOSS - 3799 ALWAHSHAB</t>
  </si>
  <si>
    <t>TRANSPORTATION LOSS - 3801 ALWAHSHAB</t>
  </si>
  <si>
    <t>TRANSPORTATION LOSS - 3821 ALWAHSHAB</t>
  </si>
  <si>
    <t>TRANSPORTATION LOSS - 3823 ALWAHSHAB</t>
  </si>
  <si>
    <t>TRANSPORTATION LOSS - 3824 ANJAL</t>
  </si>
  <si>
    <t>TRANSPORTATION LOSS - 3853 ALKASIR</t>
  </si>
  <si>
    <t>TRANSPORTATION LOSS - 4072 DELTA</t>
  </si>
  <si>
    <t>TRANSPORTATION LOSS - 4094 DARKA</t>
  </si>
  <si>
    <t>TRANSPORTATION LOSS - 3775 ANJAL</t>
  </si>
  <si>
    <t>TRANSPORTATION LOSS - 3808 ANJAL</t>
  </si>
  <si>
    <t>EXCESS</t>
  </si>
  <si>
    <t>TRANSPORTATION LOSS - 6041 ALKASIR</t>
  </si>
  <si>
    <t>TRANSPORTATION LOSS - 976 ABURANAT</t>
  </si>
  <si>
    <t>TRANSPORTATION LOSS - 1765 ABURANAT</t>
  </si>
  <si>
    <t>TRANSPORTATION LOSS - 1791 ABURANAT</t>
  </si>
  <si>
    <t>TRANSPORTATION LOSS - 1815 ABURANAT</t>
  </si>
  <si>
    <t>TRANSPORTATION LOSS - 83884 ABURANAT</t>
  </si>
  <si>
    <t>TRANSPORTATION LOSS - 1752 ABURANAT</t>
  </si>
  <si>
    <t>TRANSPORTATION LOSS - 1875 ABURANAT</t>
  </si>
  <si>
    <t>TRANSPORTATION LOSS - 106757 AHMAD ABDU</t>
  </si>
  <si>
    <t>TRANSPORTATION LOSS - 505 ALASGALANY</t>
  </si>
  <si>
    <t>TRANSPORTATION LOSS - 1842 ALASGALANY</t>
  </si>
  <si>
    <t>TRANSPORTATION LOSS - 1894 Alhamada</t>
  </si>
  <si>
    <t>TRANSPORTATION LOSS - 2099 BIGBOOS</t>
  </si>
  <si>
    <t>TRANSPORTATION LOSS - 963 BIGBOOS</t>
  </si>
  <si>
    <t>TRANSPORTATION LOSS - 1861 DALTA</t>
  </si>
  <si>
    <t>TRANSPORTATION LOSS - 94447 DARKA</t>
  </si>
  <si>
    <t>TRANSPORTATION LOSS - 1871 DARKA</t>
  </si>
  <si>
    <t>TRANSPORTATION LOSS - 1770 RAIBA</t>
  </si>
  <si>
    <t>TRANSPORTATION LOSS - 1808 RAIBA</t>
  </si>
  <si>
    <t>TRANSPORTATION LOSS - 1862 RAIBA</t>
  </si>
  <si>
    <t>TRANSPORTATION LOSS - 1863 RAIBA</t>
  </si>
  <si>
    <t>TRANSPORTATION LOSS - 83879 RAIBA</t>
  </si>
  <si>
    <t>X04449</t>
  </si>
  <si>
    <t>X04450</t>
  </si>
  <si>
    <t>X04451</t>
  </si>
  <si>
    <t>X04452</t>
  </si>
  <si>
    <t>X04454</t>
  </si>
  <si>
    <t>Q06232</t>
  </si>
  <si>
    <t>XJ0001</t>
  </si>
  <si>
    <t>A00875</t>
  </si>
  <si>
    <t>C02864</t>
  </si>
  <si>
    <t>X04455</t>
  </si>
  <si>
    <t>X04456</t>
  </si>
  <si>
    <t>P03770</t>
  </si>
  <si>
    <t>X04461</t>
  </si>
  <si>
    <t>X04462</t>
  </si>
  <si>
    <t>Q06253</t>
  </si>
  <si>
    <t>X04463</t>
  </si>
  <si>
    <t>X04465</t>
  </si>
  <si>
    <t>X04467</t>
  </si>
  <si>
    <t>X04472</t>
  </si>
  <si>
    <t>A00876</t>
  </si>
  <si>
    <t>X04473</t>
  </si>
  <si>
    <t>X04474</t>
  </si>
  <si>
    <t>X04475</t>
  </si>
  <si>
    <t>A00877</t>
  </si>
  <si>
    <t>C02866</t>
  </si>
  <si>
    <t>A00878</t>
  </si>
  <si>
    <t>C02867</t>
  </si>
  <si>
    <t>X04477</t>
  </si>
  <si>
    <t>X04478</t>
  </si>
  <si>
    <t>X04479</t>
  </si>
  <si>
    <t>X04480</t>
  </si>
  <si>
    <t>X04481</t>
  </si>
  <si>
    <t>X04482</t>
  </si>
  <si>
    <t>X04468</t>
  </si>
  <si>
    <t>X04469</t>
  </si>
  <si>
    <t>X04470</t>
  </si>
  <si>
    <t>C02865</t>
  </si>
  <si>
    <t>X04488</t>
  </si>
  <si>
    <t>A00879</t>
  </si>
  <si>
    <t>X04484</t>
  </si>
  <si>
    <t>A00760</t>
  </si>
  <si>
    <t>X04486</t>
  </si>
  <si>
    <t>C02888</t>
  </si>
  <si>
    <t>X04490</t>
  </si>
  <si>
    <t>A00880</t>
  </si>
  <si>
    <t>C02889</t>
  </si>
  <si>
    <t>A00881</t>
  </si>
  <si>
    <t>C02890</t>
  </si>
  <si>
    <t>X04492</t>
  </si>
  <si>
    <t>X04493</t>
  </si>
  <si>
    <t>X04494</t>
  </si>
  <si>
    <t>X04495</t>
  </si>
  <si>
    <t>X04496</t>
  </si>
  <si>
    <t>A00882</t>
  </si>
  <si>
    <t>X04497</t>
  </si>
  <si>
    <t>X04499</t>
  </si>
  <si>
    <t>P03784</t>
  </si>
  <si>
    <t>X04500</t>
  </si>
  <si>
    <t>X04501</t>
  </si>
  <si>
    <t>C02893</t>
  </si>
  <si>
    <t>A00883</t>
  </si>
  <si>
    <t>C02894</t>
  </si>
  <si>
    <t>A00884</t>
  </si>
  <si>
    <t>C02895</t>
  </si>
  <si>
    <t>A00885</t>
  </si>
  <si>
    <t>C02896</t>
  </si>
  <si>
    <t>A00886</t>
  </si>
  <si>
    <t>C02897</t>
  </si>
  <si>
    <t>A00887</t>
  </si>
  <si>
    <t>C02898</t>
  </si>
  <si>
    <t>X04502</t>
  </si>
  <si>
    <t>X04503</t>
  </si>
  <si>
    <t>X04504</t>
  </si>
  <si>
    <t>X04505</t>
  </si>
  <si>
    <t>X04506</t>
  </si>
  <si>
    <t>X04507</t>
  </si>
  <si>
    <t>X04508</t>
  </si>
  <si>
    <t>X04509</t>
  </si>
  <si>
    <t>P03787</t>
  </si>
  <si>
    <t>X04510</t>
  </si>
  <si>
    <t>X04511</t>
  </si>
  <si>
    <t>X04513</t>
  </si>
  <si>
    <t>P03790</t>
  </si>
  <si>
    <t>X04514</t>
  </si>
  <si>
    <t>X04515</t>
  </si>
  <si>
    <t>X04516</t>
  </si>
  <si>
    <t>X04517</t>
  </si>
  <si>
    <t>X04518</t>
  </si>
  <si>
    <t>P03793</t>
  </si>
  <si>
    <t>X04519</t>
  </si>
  <si>
    <t>X04520</t>
  </si>
  <si>
    <t>X04521</t>
  </si>
  <si>
    <t>X04522</t>
  </si>
  <si>
    <t>X04523</t>
  </si>
  <si>
    <t>X04524</t>
  </si>
  <si>
    <t>X04525</t>
  </si>
  <si>
    <t>X04526</t>
  </si>
  <si>
    <t>X04527</t>
  </si>
  <si>
    <t>X04528</t>
  </si>
  <si>
    <t>P03792</t>
  </si>
  <si>
    <t>X04529</t>
  </si>
  <si>
    <t>A00888</t>
  </si>
  <si>
    <t>C02908</t>
  </si>
  <si>
    <t>X04531</t>
  </si>
  <si>
    <t>X04533</t>
  </si>
  <si>
    <t>X04534</t>
  </si>
  <si>
    <t>X04535</t>
  </si>
  <si>
    <t>X04536</t>
  </si>
  <si>
    <t>X04537</t>
  </si>
  <si>
    <t>X04538</t>
  </si>
  <si>
    <t>X04539</t>
  </si>
  <si>
    <t>X04540</t>
  </si>
  <si>
    <t>X04541</t>
  </si>
  <si>
    <t>X04542</t>
  </si>
  <si>
    <t>X04543</t>
  </si>
  <si>
    <t>X04544</t>
  </si>
  <si>
    <t>X04545</t>
  </si>
  <si>
    <t>X04546</t>
  </si>
  <si>
    <t>X04547</t>
  </si>
  <si>
    <t>X04548</t>
  </si>
  <si>
    <t>X04549</t>
  </si>
  <si>
    <t>X04550</t>
  </si>
  <si>
    <t>X04551</t>
  </si>
  <si>
    <t>X04552</t>
  </si>
  <si>
    <t>X04553</t>
  </si>
  <si>
    <t>GN0307</t>
  </si>
  <si>
    <t>XJ</t>
  </si>
  <si>
    <t>FB</t>
  </si>
  <si>
    <t>GROUNDNUT SEEDS HPS DAMAGE 50KG</t>
  </si>
  <si>
    <t>HPS DAMAGE 50KG</t>
  </si>
  <si>
    <t>MV Amber - BL QTY 120,000 bags, Received sound 119,789 bags - Short landed 130 bags - Repacking Loss 52 bags, Sayga Sample 23 bags, SSMO Sample 5 bags, Fallen in Sea 1 bags. Compensation of 1,365 USD will be settled in Dubai office.</t>
  </si>
  <si>
    <t>MV ZEYNEP BL 2000 QTY 15,000 bags, Received QTY 15,015 bags, Over landed QTY 15 bags.</t>
  </si>
  <si>
    <t>MV ZEYNEP BL 2002 QTY 30,000 bags, Received QTY 30,041 bags, Over landed QTY 41 bags.</t>
  </si>
  <si>
    <t>MV ZEYNEP BL 2001 QTY 30,000 bags, Received QTY 30,005 bags, Over landed QTY 5 bags.</t>
  </si>
  <si>
    <t>MV ZEYNEP BL 0000 QTY 25,000 bags, Received QTY 25,207 bags, Over landed QTY 207 bags.</t>
  </si>
  <si>
    <t>MV ZEYNEP BL 0001 QTY 25,000 bags, Received QTY 25,154 bags, Over landed QTY 154 bags.</t>
  </si>
  <si>
    <t>MV ZEYNEP BL 7401 QTY 31,250 bags, Received QTY 31,447 bags, Over landed QTY 197 bags.</t>
  </si>
  <si>
    <t>MV HAIAN GAMA BL 4015 QTY 7,000 bags, Received QTY 6,998 bags, Short landed QTY 2 bags.</t>
  </si>
  <si>
    <t>MV HAIAN GAMA BL 0904 QTY 14,000 bags, Received QTY 13,946 bags, Short landed QTY 54 bags.</t>
  </si>
  <si>
    <t>MV HAIAN GAMA BL 2146 QTY 21,000 bags, Received QTY 20,938 bags, Short landed QTY 62 bags.</t>
  </si>
  <si>
    <t>MV MAERSK JABAL BL 4161 QTY 21,000 bags, Received QTY 20,972 bags, Short landed QTY 28 bags.</t>
  </si>
  <si>
    <t>MV MAERSK JABAL BL 3928 QTY 21,000 bags, Received QTY 20,967 bags, Short landed QTY 33 bags.</t>
  </si>
  <si>
    <t xml:space="preserve">Out of 163,464 bags produced in the facility KH 145, there were 317 bags affected by rain and after sorting 312 bags were found sound and 5 bags were damaged and not fit for export. These 5 bags were directed to be sold in local market however, no bid was received because of their high deterioration. Their condition would not allow to transfer them to another warehouse.The quantity has been reported to insurance and total claim of 173.30 USD was received. </t>
  </si>
  <si>
    <t>Rice Road Shipment, BL 13A Lot 1, BL QTY 20,000 - Received 19,978 Short landed 4 bags - Sample 5 bags - Damage received in warehouse 13 bags . Short landed and damage bags had been reported to Invictus, no compensation will be settled because the quantity is less than tolerance.</t>
  </si>
  <si>
    <t>Flour Road Shipment, BL 12C Lot 83,BL QTY 24,200- Received Sound 24,134- Short landed 1 bags - Sample 8 bags - Damage 57 bags received in Dongola warehouse. Short landed and damage bags had been reported to Invictus. Damage bags had been loaded for recycling at the mill.</t>
  </si>
  <si>
    <t>Flour Road Shipment, BL 12A Lot 82,BL QTY 22,000- Received Sound 21,790- Short landed 16 bags - Sample 6 bags - Damage 188 bags received in Dongola warehouse. Short landed and damage bags had been reported to Invictus. 141 bags out of damage quantity had been eliminated and 47 bags had been loaded for recycling at the mill.</t>
  </si>
  <si>
    <t>Flour Road Shipment, BL 12B Lot 84,BL QTY 22,000- Received Sound 21,955- Short landed 3 bags - Sample 6 bags - Damage 36 bags received in Dongola warehouse. Short landed and damage bags had been reported to Invictus. 12 bags out of damage quantity had been loaded for recycling at the mill and 24 bags had been sold as sound.</t>
  </si>
  <si>
    <t>MV HAIAN GAMA BL 9667 QTY 28,000 bags, Received QTY 27,893 bags, Short landed QTY 107 bags. Compensation amount of 2,142.14 USD had received from Invictus.</t>
  </si>
  <si>
    <t>282 bags rice short grain damage at warehouse due to bad roof and considered as animal feed by SSMO. This QTY has been expired since sep-24. Sold as downgrade in local market with total value 7,050,000 SDG. This is a part of rain damage claim August 2024.</t>
  </si>
  <si>
    <t>This Quantity 1,700 bags were found wet in Emarat 3 warehouse due to rainwater. The proposed action made by quality team is to sell it as animal feed. 10,200,000 SDG was the sale price (6,000 SDG/bag). Part of this quantity 1468 bags (totaling 88,080,000 SDG) were reported to the insurance. NC NO 143 &amp; 29. This is a part of rain damage claim August 2024.</t>
  </si>
  <si>
    <t>White Sesame non Gadarif FG colored grade 2 effected by rain leaked inside the warehouse in PZU, result of repacking ( 332 bags , output 323 bags, loss 3 bags and downgrade 6 bags classified as 5 waste and one bag bad odor, should be sold as locally ) in PZU warehouse. The 6 bags downgrade has been sold at 10,000 SDG per bag, total 60,000 SDG. Related NC No 170. This is a part of rain damage claim 2024.</t>
  </si>
  <si>
    <t>The quantities of wet bags of white sesame Gadarif are effected by rain during storage in the PZU warehouse A13. Transferred for resifting at Balaji, is result of resifting ( input 4589 bags , output 4572 bags, and downgrade 17 bags classified as 12 waste with 5 bags bad odor, should be sold as locally. Related NC No 169. This is a part of rain damage claim 2024.</t>
  </si>
  <si>
    <t>The quantities of wet bags of white sesame Gadarif are effected by rain during storage in the PZU warehouse A13. Transferred for resifting at Balaji, is result of resifting ( input 282 bags , output 281 bags,  downgrade one bags classified as waste, should be sold as locally). Related NC 168. Case reported to insurance. This is a part of rain damage claim 2024.</t>
  </si>
  <si>
    <t>The quantities of wet bags of white sesame Gadarif are effected by rain during storage in the PZU warehouse A13. Transferred for resifting at Balaji, is result of resifting ( input 1873 bags , output 1850 bags, loss 5 bags and downgrade 18 bags classified as 14 waste, with 4 bags bad odor should be sold as locally.) Related NC 167. This is a part of rain damage claim 2024.</t>
  </si>
  <si>
    <r>
      <t xml:space="preserve">Sorghum qty  have been classified as downgraded stock: </t>
    </r>
    <r>
      <rPr>
        <b/>
        <sz val="11"/>
        <color theme="1"/>
        <rFont val="Calibri"/>
        <family val="2"/>
        <scheme val="minor"/>
      </rPr>
      <t xml:space="preserve">4 bags FG </t>
    </r>
    <r>
      <rPr>
        <sz val="11"/>
        <color theme="1"/>
        <rFont val="Calibri"/>
        <family val="2"/>
        <scheme val="minor"/>
      </rPr>
      <t xml:space="preserve">wet by rain and </t>
    </r>
    <r>
      <rPr>
        <b/>
        <sz val="11"/>
        <color theme="1"/>
        <rFont val="Calibri"/>
        <family val="2"/>
        <scheme val="minor"/>
      </rPr>
      <t>8.66 MT</t>
    </r>
    <r>
      <rPr>
        <sz val="11"/>
        <color theme="1"/>
        <rFont val="Calibri"/>
        <family val="2"/>
        <scheme val="minor"/>
      </rPr>
      <t xml:space="preserve"> raw [consisting of 2.45 MT wet and 6.21 MT waste from repacking and warehouse cleaning] at the PZU warehouses , under NC’s (No. 88,89,89B,13,157,18 and 19). The wet effected stock (4 bags FG, 2.45 MT raw) has been reported to insurance company.  The quantity of raw (8.66 MT)  was sold in the local market at a multiple price of (101,351.35 , 449,880.55 and 600,000 ) SDG Per MT with a total value of 3,842,000 SDG. The quantity of 4 bags was sold in the local market at a price of 25.000 SDG Per MT, with a total value of 100,000 SDG. This is a part of rain damage claim 2024.</t>
    </r>
  </si>
  <si>
    <t>A quantity of 947 bags of White sesame Gadarif FG 50KG stock stored in multiple warehouses in PZU was classified as deteriorated due to exposure to heavy rains leaked inside the warehouse. Related NCs No. (98,111A,144,149,159,163 and 111B), it has been sold locally and delivered to the customer at total amount 96,594,000 SDG. This is a part of rain damage claim 2024.</t>
  </si>
  <si>
    <t>A quantity of 174 bags of White sesame Non Gadarif FG 50KG stock stored multiple warehouses in PZU  was classified as deteriorated due to exposure to heavy rain leaked inside the warehouse. Related NC No. (112A,112B and146 ), it has been sold locally and delivered to the customer, with a total value of 17,400,000 SDG. This is a part of rain damage claim 2024.</t>
  </si>
  <si>
    <t>4007 bags of Pigeon Peas FG 50KG stock located at the Khabier 47 warehouse in PZU, was classified as deteriorated due to damage by rain leaked inside the warehouse. Related NCs No 142. Local sales: 1,324 bags were sold locally at a unit price of 105,000 SDG per bag, while the remaining 2,683 bags were sold locally at a unit price of 41,000 SDG per bag, resulting in a total value of 249,023,000 SDG. This is a part of rain damage claim 2024.</t>
  </si>
  <si>
    <t>240 bags of Chick Peas FG 50KG stock located at the Khabier 47 warehouse in PZU, was classified as deteriorated due to damage by rain leaked inside the warehouse. Related NCs No 106, 189. Local sales: 240 bags were sold at a unit price of SDG 121,000 per bag, The total sales value amounts to 29,040,000 SDG. This is a part of rain damage claim 2024.</t>
  </si>
  <si>
    <t>HANDLING DAMAGE - REPACKING - NC NO.16</t>
  </si>
  <si>
    <t>HANDLING DAMAGE - REPACKING - NC NO. 17</t>
  </si>
  <si>
    <t>REPACKING LOSS - NC NO. 16</t>
  </si>
  <si>
    <t>REPACKING LOSS - NC NO. 17</t>
  </si>
  <si>
    <t>TRANSPORTATION LOSS - ALASGALANI 4308</t>
  </si>
  <si>
    <t>TRANSPORTATION LOSS - DARKA 4309</t>
  </si>
  <si>
    <t>TRANSPORTATION LOSS - ALKASIR 6992</t>
  </si>
  <si>
    <t>TRANSPORTATION LOSS - DARKA 6996</t>
  </si>
  <si>
    <t>TRANSPORTATION LOSS - ALNAWA 6999</t>
  </si>
  <si>
    <t>TRANSPORTATION LOSS - 3467 ANJAL</t>
  </si>
  <si>
    <t>TRANSPORTATION LOSS - 3476 ANJAL</t>
  </si>
  <si>
    <t>TRANSPORTATION LOSS - 3602 ANJAL</t>
  </si>
  <si>
    <t>TRANSPORTATION LOSS - 3870 DARKA</t>
  </si>
  <si>
    <t>TRANSPORTATION LOSS - 3872 DARKA</t>
  </si>
  <si>
    <t>TRANSPORTATION LOSS - 3927 ALNWA</t>
  </si>
  <si>
    <t>TRANSPORTATION LOSS - 4047 ANJAL</t>
  </si>
  <si>
    <t>TRANSPORTATION LOSS - 4101 ANJAL</t>
  </si>
  <si>
    <t>TRANSPORTATION LOSS - 4095 ALNWA</t>
  </si>
  <si>
    <t>TRANSPORTATION LOSS - 4098 ALNWA</t>
  </si>
  <si>
    <t>TRANSPORTATION LOSS - 3491 ALNWA</t>
  </si>
  <si>
    <t>REPROCESSING LOSS - NC NO. 11&amp;20</t>
  </si>
  <si>
    <t>REPROCESSING - NC NO. 11&amp;20</t>
  </si>
  <si>
    <t>REPACKING LOSS - NC NO.44</t>
  </si>
  <si>
    <t>REPACKING - NC NO.44</t>
  </si>
  <si>
    <t>RECOMPRESSING - NC NO.222.107</t>
  </si>
  <si>
    <t>EXCESS - 3803</t>
  </si>
  <si>
    <t>EXCESS - 3805</t>
  </si>
  <si>
    <t>EXCESS - 17197</t>
  </si>
  <si>
    <t>EXCESS - 145672</t>
  </si>
  <si>
    <t>EXCESS - 145662</t>
  </si>
  <si>
    <t>REPROCESSING LOSS - NC NO.36</t>
  </si>
  <si>
    <t>REPROCESSING - NC NO.36</t>
  </si>
  <si>
    <t>RECOMPRESSING LOSS - NC NO.222,107</t>
  </si>
  <si>
    <t>REPACKING LOSS - NC NO.37</t>
  </si>
  <si>
    <t>REPACKING - NC NO.37</t>
  </si>
  <si>
    <t>REPACKING LOSS - NC NO.10.11.12.13.14</t>
  </si>
  <si>
    <t>REPACKING-NC NO.10.11.12.13.14</t>
  </si>
  <si>
    <t>TRANSPORTATION LOSS - 23018 ALTAF</t>
  </si>
  <si>
    <t>LE0304</t>
  </si>
  <si>
    <t>DF0301</t>
  </si>
  <si>
    <t>Lentil Damage/waste 50KG</t>
  </si>
  <si>
    <t>WHEAT FLOUR DAMAGED 25KG</t>
  </si>
  <si>
    <t>X04555</t>
  </si>
  <si>
    <t>X04556</t>
  </si>
  <si>
    <t>A00889</t>
  </si>
  <si>
    <t>C02909</t>
  </si>
  <si>
    <t>A00890</t>
  </si>
  <si>
    <t>C02910</t>
  </si>
  <si>
    <t>X04558</t>
  </si>
  <si>
    <t>Q06269</t>
  </si>
  <si>
    <t>X04559</t>
  </si>
  <si>
    <t>X04560</t>
  </si>
  <si>
    <t>X04561</t>
  </si>
  <si>
    <t>X04562</t>
  </si>
  <si>
    <t>X04564</t>
  </si>
  <si>
    <t>P03809</t>
  </si>
  <si>
    <t>X04565</t>
  </si>
  <si>
    <t>X04566</t>
  </si>
  <si>
    <t>X04567</t>
  </si>
  <si>
    <t>X04568</t>
  </si>
  <si>
    <t>X04569</t>
  </si>
  <si>
    <t>X04570</t>
  </si>
  <si>
    <t>X04571</t>
  </si>
  <si>
    <t>X04572</t>
  </si>
  <si>
    <t>P03807</t>
  </si>
  <si>
    <t>X04573</t>
  </si>
  <si>
    <t>X04574</t>
  </si>
  <si>
    <t>X04577</t>
  </si>
  <si>
    <t>Q06200</t>
  </si>
  <si>
    <t>A00897</t>
  </si>
  <si>
    <t>C02937</t>
  </si>
  <si>
    <t>X04578</t>
  </si>
  <si>
    <t>CNC000749</t>
  </si>
  <si>
    <t>A00898</t>
  </si>
  <si>
    <t>C02938</t>
  </si>
  <si>
    <t>A00901</t>
  </si>
  <si>
    <t>C02943</t>
  </si>
  <si>
    <t>A00891</t>
  </si>
  <si>
    <t>C02931</t>
  </si>
  <si>
    <t>A00892</t>
  </si>
  <si>
    <t>C02932</t>
  </si>
  <si>
    <t>A00893</t>
  </si>
  <si>
    <t>C02933</t>
  </si>
  <si>
    <t>A00894</t>
  </si>
  <si>
    <t>C02934</t>
  </si>
  <si>
    <t>A00895</t>
  </si>
  <si>
    <t>C02935</t>
  </si>
  <si>
    <t>X04576</t>
  </si>
  <si>
    <t>Q06064</t>
  </si>
  <si>
    <t>A00896</t>
  </si>
  <si>
    <t>C02936</t>
  </si>
  <si>
    <t>X04582</t>
  </si>
  <si>
    <t>X04579</t>
  </si>
  <si>
    <t>P03715</t>
  </si>
  <si>
    <t>A00899</t>
  </si>
  <si>
    <t>C02939</t>
  </si>
  <si>
    <t>X04580</t>
  </si>
  <si>
    <t>A00900</t>
  </si>
  <si>
    <t>C02941</t>
  </si>
  <si>
    <t>X04584</t>
  </si>
  <si>
    <t>P03821</t>
  </si>
  <si>
    <t>A00902</t>
  </si>
  <si>
    <t>C02944</t>
  </si>
  <si>
    <t>Out of 20,000 bags of Rice were received at warehouse KH48, there were 50 bags found torn because of normal operation loading &amp; offloading, they were repacked and the result was: sound=43 bags/ loss=3 bags / waste= 4 bags (the waste was packed in 2 bag50kg). Waste quantity was sold for (18,000 SDG/bag) total amount of 72,000 SDG.</t>
  </si>
  <si>
    <t>TRANSPORTATION LOSS - 4657 WADALBALLA</t>
  </si>
  <si>
    <t>EXCESS - 7000 ALNWA</t>
  </si>
  <si>
    <t>EXCESS - 6998 ABURNAT</t>
  </si>
  <si>
    <t>EXCESS - 3542 ALKASIR</t>
  </si>
  <si>
    <t>EXCESS - 3693 ANJAL</t>
  </si>
  <si>
    <t>CORRECTION - NC NO.133</t>
  </si>
  <si>
    <t>HANDLING DAMAGE  - NC NO.28</t>
  </si>
  <si>
    <t>HANDLING DAMAE - NC NO. 9 , 15</t>
  </si>
  <si>
    <t>HANDLING DAMAGE - NC NO. 25</t>
  </si>
  <si>
    <t>DOWNGRADE - NC NO.32</t>
  </si>
  <si>
    <t>EXCESS - ALOMDA</t>
  </si>
  <si>
    <t>EXCESS - ANJAL</t>
  </si>
  <si>
    <t>REPROCESSING DAMAGE - NC NO.28</t>
  </si>
  <si>
    <t>REPROCESSING DAMAG-NC NO.9,15</t>
  </si>
  <si>
    <t>RC0304</t>
  </si>
  <si>
    <t>RC0302</t>
  </si>
  <si>
    <t>Rice Long Damaged20</t>
  </si>
  <si>
    <t>Rice Long Damaged50</t>
  </si>
  <si>
    <t>X04586</t>
  </si>
  <si>
    <t>CNC000750</t>
  </si>
  <si>
    <t>A00903</t>
  </si>
  <si>
    <t>C02947</t>
  </si>
  <si>
    <t>A00904</t>
  </si>
  <si>
    <t>C02948</t>
  </si>
  <si>
    <t>A00905</t>
  </si>
  <si>
    <t>C02949</t>
  </si>
  <si>
    <t>A00906</t>
  </si>
  <si>
    <t>C02950</t>
  </si>
  <si>
    <t>A00907</t>
  </si>
  <si>
    <t>C02951</t>
  </si>
  <si>
    <t>X04588</t>
  </si>
  <si>
    <t>X04589</t>
  </si>
  <si>
    <t>X04590</t>
  </si>
  <si>
    <t>X04591</t>
  </si>
  <si>
    <t>X04592</t>
  </si>
  <si>
    <t>Q05844</t>
  </si>
  <si>
    <t>A00911</t>
  </si>
  <si>
    <t>C02962</t>
  </si>
  <si>
    <t>A00912</t>
  </si>
  <si>
    <t>C02963</t>
  </si>
  <si>
    <t>A00908</t>
  </si>
  <si>
    <t>C02959</t>
  </si>
  <si>
    <t>A00909</t>
  </si>
  <si>
    <t>C02960</t>
  </si>
  <si>
    <t>A00910</t>
  </si>
  <si>
    <t>C02961</t>
  </si>
  <si>
    <t>Out of 43,400 bags of Lentil received in warehouse E2 there were 90 bags found torn because of loading &amp; offloading, they were repacked and the result was: sound=83 bags/ loss=7 bags</t>
  </si>
  <si>
    <t>Out of 21,487 bags of sugar there were 98 bags found defected, they were repacked and the result was: sound=61 bags/ loss=9 bags / waste= 28 bags. Waste bags was sold for (41,176.47 SDG/bags) total amount of 1,152,941.176 SDG.</t>
  </si>
  <si>
    <t>Out of 170,590 bags of sugar there were 401 bags found defected, they were repacked and the result was: sound=324 bags/ loss=54 bags / waste= 23 bags. Waste bags were sold for (41,176.47 SDG/bags) total amount of 947,058.82 SDG.</t>
  </si>
  <si>
    <t>Out of 21,949 bags of Rice received in warehouse KH48 there were 284 bags found defected because of normal operations of loading &amp; offloading, they were repacked and the result was: sound=271 bags /loss = 8 bags/ waste= 5 bags. Waste bags were sold for (18,000 SDG/bags) total amount of 90,000 SDG.</t>
  </si>
  <si>
    <t>After 43,400bags of lentils were discharged from containers at warehouse E2, 179 bags were found torn, they were repacked and the result was: sound=147 bags /loss = 12 bags/ waste= 20 bags. Waste bags were sold for (10,000 SDG/bags) total amount of 200,000 SDG. (NC; 9 &amp; 15)</t>
  </si>
  <si>
    <t>After 43,400bags of lentils were discharged from containers at warehouse E2, 383 bags were found torn, they were repacked and the result was: sound=315 bags/ loss=58 bags / waste= 10 bags (the waste was packed in 4 bag50kg). Waste quantity was sold for (10,000 SDG/bag) total amount of 60,000 SDG. (NC;11 &amp;20)</t>
  </si>
  <si>
    <t>Defected Qty of 233 bags sesame was part of 44,252 bags received in warehouse KH39, the reason of defect was normal operations of loading &amp; offloading, the quantity was repacked and the result was: sound=225 bags / waste= 8 bags. Waste bags was sold for (60,000 SDG/bags) total amount of 480,000 SDG. NC;44</t>
  </si>
  <si>
    <t>Out of 281,312 bags old stock of Sugar received at PZU warehouses, a quantity of 17 bags found damaged and decision made was to sell it as it is. It was sold for (41,176.47 SDG/bags) total amount of 700,000 SDG.</t>
  </si>
  <si>
    <t>Flour Damaged 25KG</t>
  </si>
  <si>
    <t xml:space="preserve"> 340 bags were recevied with fingul growth and unfit for human consumption (NC: 13 &amp;14). These 340 bags were sold as animal feed for (12,000 SDG/Bag) total amount of 4,080,000 SDG.</t>
  </si>
  <si>
    <t>Total of 312 bags part of flour road shipments were received in New Halfa with sewing issues and damage due to handling, after sorting and repacking there were 9 bags loss and 21 classfied as wet bags (NC: 10,11,&amp;12).These 21 wet bags were sold as animal feed for (12,000 SDG/Bag) total amount of 252,000 SDG.</t>
  </si>
  <si>
    <t>Weight variance shown in PZU warehouse E 6/5. After loding the last Qty in warehouse the system (XP) reflect 78.91 MT, while physical 97.55 MT has been transported to Animal Feed. It might be a result of multiple reasons;  moisture might led to weight increase, or variance between the weighbridge during loading &amp; offloading using Abohashish weighbridge. Also, there was repacking operation inside warehouse and losses in bags were written off using standard conversion (50KG).</t>
  </si>
  <si>
    <t>Out of 18,063 bags of Sorghum RM received in warehouse E6/5 there were 192 bags found defected because of poor handling (loading &amp; offloading), they were repacked and the result was: sound=187 bags/ loss=4 bags / waste= 1 bag. Waste bag was reported to  committee for selling.</t>
  </si>
  <si>
    <t>Cotton stock (153 bales = 28.92 MT) in multiple warehouses in PZU have been classified as downgraded stock after recompressing operation. Consisting of: 96 wet bales and 57 waste bales, under NC’s (No. 222,107). This quantity in addition to previous recompressing waste of 0.48 MT, total of ( 29.40 MT ) was sold in the local market at a unit price of 1,620,000 SDG per (MT), with a total value of 49,053,600 SDG . After delivery the total was 30.28 MT.</t>
  </si>
  <si>
    <t>Stock Variance - Transport Excess</t>
  </si>
  <si>
    <t>Stock Variance - Transport Excess Total</t>
  </si>
  <si>
    <t>Imported Shipments Shortlanded &amp; Rejections</t>
  </si>
  <si>
    <t>Imported Vessels Overlanded</t>
  </si>
  <si>
    <t>Imported Shipments Shortlanded &amp; Rejections Total</t>
  </si>
  <si>
    <t>Imported Vessels Overlanded Total</t>
  </si>
  <si>
    <t>RECP</t>
  </si>
  <si>
    <t>001686 BL15513 Halfa Barge3</t>
  </si>
  <si>
    <t>wali</t>
  </si>
  <si>
    <t>001688 BL15514 Halfa Barge3</t>
  </si>
  <si>
    <t>001689 BL15512 Halfa Barge3</t>
  </si>
  <si>
    <t>Sum of movement_quantity</t>
  </si>
  <si>
    <t>001682 PO:1682 BL/9667</t>
  </si>
  <si>
    <t>mohamede</t>
  </si>
  <si>
    <t>001682 PO:1682 BL/0255</t>
  </si>
  <si>
    <t>001682 PO:1682 BL/1936</t>
  </si>
  <si>
    <t>PB0240</t>
  </si>
  <si>
    <t>001682 PO:1682 BL/2146</t>
  </si>
  <si>
    <t>001682 PO:1682 BL/20904</t>
  </si>
  <si>
    <t>001681 PO:1681 BL/4015</t>
  </si>
  <si>
    <t>001690 MV AMBER/7500MT</t>
  </si>
  <si>
    <t>ahmedad</t>
  </si>
  <si>
    <t>001682 PO:1682 BL/1429</t>
  </si>
  <si>
    <t>001663 BL7984 PO001663</t>
  </si>
  <si>
    <t>ashraf.s</t>
  </si>
  <si>
    <t>001667 MV Copernico/9/1/25</t>
  </si>
  <si>
    <t>001680 BL 2754 PO1680</t>
  </si>
  <si>
    <t>001663 PO:1663 BL/0297</t>
  </si>
  <si>
    <t>001683 MV ABRAHAM/27/1/25</t>
  </si>
  <si>
    <t>001704 Supplier OVE00520</t>
  </si>
  <si>
    <t>hayder.s</t>
  </si>
  <si>
    <t>001718 Supplier OVE00520</t>
  </si>
  <si>
    <t>001691 BL3021 PO1691</t>
  </si>
  <si>
    <t>001695 Supplier OVE00520</t>
  </si>
  <si>
    <t>001696 Supplier OVE00520</t>
  </si>
  <si>
    <t>001691 BL2423 PO 1691</t>
  </si>
  <si>
    <t>001694 BL3653 PO1694</t>
  </si>
  <si>
    <t>001706 PO:1706 BL/7400</t>
  </si>
  <si>
    <t>001706 PO:1706 BL/7401</t>
  </si>
  <si>
    <t>001712 PO:1712 BL/9501</t>
  </si>
  <si>
    <t>001712 PO:1712 BL/9502</t>
  </si>
  <si>
    <t>001701 B/L7483 Halfa Barge4</t>
  </si>
  <si>
    <t>001699 B/L7484 Halfa Barge4</t>
  </si>
  <si>
    <t>001702 BL7485 HALFA BARGE 4</t>
  </si>
  <si>
    <t>001700 Supplier OVE00520</t>
  </si>
  <si>
    <t>001703 Supplier OVE00520</t>
  </si>
  <si>
    <t>001712 PO:1712 BL/9500</t>
  </si>
  <si>
    <t>001705 Supplier OVE00520</t>
  </si>
  <si>
    <t>001697 BL 4161 PO1697</t>
  </si>
  <si>
    <t>001697 BL 3393 PO 1697</t>
  </si>
  <si>
    <t>001697 BL 3928 PO1697</t>
  </si>
  <si>
    <t>001697 BL3393 PO 1697</t>
  </si>
  <si>
    <t>001697 BL4161 PO 1697</t>
  </si>
  <si>
    <t>001719 Supplier OVE00520</t>
  </si>
  <si>
    <t>001732 PO:1732 BL/10000</t>
  </si>
  <si>
    <t>001732 PO:1732 BL/10001</t>
  </si>
  <si>
    <t>001724 PO:1724 BL/1700</t>
  </si>
  <si>
    <t>001728 EG 00174 Halfa Barge</t>
  </si>
  <si>
    <t>001729 EG17493 Halfa Barge</t>
  </si>
  <si>
    <t>001730 EG17494 Halfa Barge</t>
  </si>
  <si>
    <t>001727 PO:1727 BL/2002</t>
  </si>
  <si>
    <t>001727 PO:1727 BL/2001</t>
  </si>
  <si>
    <t>001727 PO:1727 BL/262000</t>
  </si>
  <si>
    <t>001734 PO:1734 BL/6100</t>
  </si>
  <si>
    <t>001734 PO:1734 BL/6101</t>
  </si>
  <si>
    <t>001742 PO:1742 BL/5382</t>
  </si>
  <si>
    <t>001742 PO:1742 BL/5599</t>
  </si>
  <si>
    <t>001743 PO:1743 BL/6213</t>
  </si>
  <si>
    <t>001743 PO:1743 BL/5490</t>
  </si>
  <si>
    <t>001746 PO:1746 BL/81700</t>
  </si>
  <si>
    <t>001746 PO:1746 BL/81600</t>
  </si>
  <si>
    <t>001744 PO:1744 BL/70094</t>
  </si>
  <si>
    <t>001749 PO:1749 BL/7410</t>
  </si>
  <si>
    <t>001651 INV-10/00013C DABAH</t>
  </si>
  <si>
    <t>001657 INV-10/00013B DABAH</t>
  </si>
  <si>
    <t>001655 PO:1655 BL/2560</t>
  </si>
  <si>
    <t>001655 PO:1655 BL/3107</t>
  </si>
  <si>
    <t>001662 MV Lotus /8/12/24</t>
  </si>
  <si>
    <t>001656 PO:1656 BL/146/2425</t>
  </si>
  <si>
    <t>001654 PO:1654 BL/3124</t>
  </si>
  <si>
    <t>001656 PO:1656 BL/147/24-25</t>
  </si>
  <si>
    <t>001654 PO:1654 BL/2578</t>
  </si>
  <si>
    <t>001661 PO:1661 BL/2856</t>
  </si>
  <si>
    <t>001661 PO:1661 BL/6700</t>
  </si>
  <si>
    <t>001669 16728 Barge 2 Najm</t>
  </si>
  <si>
    <t>001670 16729 Barge 2 Najm</t>
  </si>
  <si>
    <t>001671 16730 Barge 2 Najm</t>
  </si>
  <si>
    <t>001620 15506  Halfa Barge</t>
  </si>
  <si>
    <t>001624 BL15507  Halfa Barge</t>
  </si>
  <si>
    <t>001624 BL15508  Halfa Barge</t>
  </si>
  <si>
    <t>001628 MV AG VALIANT 5000MT</t>
  </si>
  <si>
    <t>001629 MV LORD H 5000 MT</t>
  </si>
  <si>
    <t>001604 PO:1604 BL/1524</t>
  </si>
  <si>
    <t>001604 PO:1604 BL/1424</t>
  </si>
  <si>
    <t>001598 PO:1598 BL/3205</t>
  </si>
  <si>
    <t>001598 PO:1598 BL/3205B</t>
  </si>
  <si>
    <t>001625 INV-09/00012A DONGAL</t>
  </si>
  <si>
    <t>001598 PO:1598 BL/3205A</t>
  </si>
  <si>
    <t>001636 INV-09/00012C Aldabh</t>
  </si>
  <si>
    <t>PB0260</t>
  </si>
  <si>
    <t>001629 MV LORD H/14/10/24</t>
  </si>
  <si>
    <t>001598 PO:1598 BL/3205C</t>
  </si>
  <si>
    <t>001604 PO:1604 BL/1362</t>
  </si>
  <si>
    <t>001637 MVHonest1 10499.8MT</t>
  </si>
  <si>
    <t>001628 MV AG Valiant/5000MT</t>
  </si>
  <si>
    <t>001610 PO:1610 BL/7925</t>
  </si>
  <si>
    <t>001625 INV-09/00012B DONGAL</t>
  </si>
  <si>
    <t>001611 PO:1611 BL/8089</t>
  </si>
  <si>
    <t>001648 INV-10/00013A  Dabah</t>
  </si>
  <si>
    <t>001611 PO:1611 BL/7313</t>
  </si>
  <si>
    <t>001611 PO:1611 BL/8026</t>
  </si>
  <si>
    <t>001627 PO:1627 PO-8424</t>
  </si>
  <si>
    <t>001637 MVHonest/EmptyB 3500</t>
  </si>
  <si>
    <t>001627 PO:1627 BL/7824</t>
  </si>
  <si>
    <t>001623 PO:1623 BL/6111</t>
  </si>
  <si>
    <t>001626 PO:1626 BL/24-25</t>
  </si>
  <si>
    <t>Row Labels</t>
  </si>
  <si>
    <t>001666 FUKNAB AGRICULTURAL-</t>
  </si>
  <si>
    <t>abubakrm</t>
  </si>
  <si>
    <t>001659 FUKNAB AGRICULTURAL-</t>
  </si>
  <si>
    <t>001659 LOC01193</t>
  </si>
  <si>
    <t>001675 FUKNAB AGRICULTURAL-</t>
  </si>
  <si>
    <t>SRET</t>
  </si>
  <si>
    <t>001666 Gadarif</t>
  </si>
  <si>
    <t>HC</t>
  </si>
  <si>
    <t>feras</t>
  </si>
  <si>
    <t>001666 S164940</t>
  </si>
  <si>
    <t>001659 FUKNAB AGRICULTURAL</t>
  </si>
  <si>
    <t>001678 Surg</t>
  </si>
  <si>
    <t>ahmed.am</t>
  </si>
  <si>
    <t>001678 surg</t>
  </si>
  <si>
    <t>001678 FUKNAB AGRICULTURAL-</t>
  </si>
  <si>
    <t>001678 SurGUAM</t>
  </si>
  <si>
    <t>001675 LOC01193</t>
  </si>
  <si>
    <t>001678 silo</t>
  </si>
  <si>
    <t>001678 SURGUAM</t>
  </si>
  <si>
    <t>001678 SURGAUM</t>
  </si>
  <si>
    <t>001678 surgam</t>
  </si>
  <si>
    <t>DA</t>
  </si>
  <si>
    <t>PP0102</t>
  </si>
  <si>
    <t>001722 PP halfa - gornas</t>
  </si>
  <si>
    <t>001678 Sourgam</t>
  </si>
  <si>
    <t>001722 PP.HALFA</t>
  </si>
  <si>
    <t>aaelamin</t>
  </si>
  <si>
    <t>AK</t>
  </si>
  <si>
    <t>HG0101</t>
  </si>
  <si>
    <t>001720 2025</t>
  </si>
  <si>
    <t>b.khamis</t>
  </si>
  <si>
    <t>001722 PP Halfa</t>
  </si>
  <si>
    <t>001722 PP newhalfa</t>
  </si>
  <si>
    <t>001722 PP new halfa</t>
  </si>
  <si>
    <t>001685 B/L12500020 Au Seif</t>
  </si>
  <si>
    <t>001676 ITF-1224 15B OSSIF</t>
  </si>
  <si>
    <t>001668 ITF-1224 15A Au Seif</t>
  </si>
  <si>
    <t>MT</t>
  </si>
  <si>
    <t>Insurance Compensation Value</t>
  </si>
  <si>
    <t>The compensation value for imported shipments shortlanded and SSMO rejections, total amount 7,247 USD</t>
  </si>
  <si>
    <t>Insurance Compensation Value Total</t>
  </si>
  <si>
    <t>I-T-Value</t>
  </si>
  <si>
    <t>E-T-Value</t>
  </si>
  <si>
    <t>E-I-Vvalue</t>
  </si>
  <si>
    <t>I-I-Value</t>
  </si>
  <si>
    <t>I-S-Value</t>
  </si>
  <si>
    <t>Insurance Cases Compensation Value</t>
  </si>
  <si>
    <t>Imported Shipments Compensation Value</t>
  </si>
  <si>
    <t>Imported Shipments Shortlanded &amp; Rejections Compensation Value</t>
  </si>
  <si>
    <t>Imported Shipments Shortlanded &amp; Rejections Compensation Value Total</t>
  </si>
  <si>
    <t>Flour Total</t>
  </si>
  <si>
    <t>Lentils Total</t>
  </si>
  <si>
    <t>Rice Total</t>
  </si>
  <si>
    <t>Sugar Total</t>
  </si>
  <si>
    <t>SDG</t>
  </si>
  <si>
    <t>The compensation value for export commodities insurance cases, total amount  276,358 USD</t>
  </si>
  <si>
    <t>The compensation value for imported products insurance cases, total amount 70,019 USD</t>
  </si>
  <si>
    <t>DAMAGED - NC 1</t>
  </si>
  <si>
    <t>Out of 20,000 bags of rice recevied from road shipment in Pzu warehouse there were 4 bags found wet. They were sold as animal feed for (18,000SDG/bag) total amount of 72,000SDG.</t>
  </si>
  <si>
    <t>DAMAGED  - NC 38</t>
  </si>
  <si>
    <t>Out of 99,875 bags received under different BLs in PZU warehouse, there were 610 wet bags and recommended action was to be sold as animal feed, they were sold for (18,000SDG/bag) total amount of 10,980,000SDG.</t>
  </si>
  <si>
    <t>RAIN DAMAGE - NC 217 B</t>
  </si>
  <si>
    <t xml:space="preserve"> Out of 140,000 bags from MV Lotus shipment received in PZU warehouse there were 754 bags of sugar were effected by rain at the port in 2022 and downgraded according to the QA recommendation. In 2025 the quantity was sized by SSMO then 432 bags found sound and released . 322 bags were sold as animal feed for (100,000SDG/bag) for total amount of 3,220,000SDG.</t>
  </si>
  <si>
    <t>HANDLING DAMAGE - NC 47</t>
  </si>
  <si>
    <t>Out of 356,197 bags of lentil that were offloaded from containers in PZU warehouses, there were 1,716 bags (NC no. 10, 14, 24, &amp; 132, 26, 27, 47, 48, 49, 51, 52, 53, 55, &amp; 175) found defected and need repackging. The result is: sound= 1,395bags - loss=236 bags - waste=55 bags - downgraded=25 bags - Wet=5 bags(downgraded). The waste &amp; downgraded bags were sold for (10,000 SDG/bag)  total amount of 850,000SDG.</t>
  </si>
  <si>
    <t>HANDLING DAMAGE - NC 48</t>
  </si>
  <si>
    <t>HANDLING DAMAGE - NC 51</t>
  </si>
  <si>
    <t>HANDLING DAMAGE - NC 53</t>
  </si>
  <si>
    <t>HANDLING DAMAGE - NC 26</t>
  </si>
  <si>
    <t>HANDLING DAMAGE - NC 27</t>
  </si>
  <si>
    <t>HANDLING DAMAGE - NC 52</t>
  </si>
  <si>
    <t>HANDLING DAMAGE - NC 42</t>
  </si>
  <si>
    <t>HANDLING DAMAGE - NC 49</t>
  </si>
  <si>
    <t>HANDLING DAMAGE - NC 55</t>
  </si>
  <si>
    <t>HANDLING DAMAGE - NC 175</t>
  </si>
  <si>
    <t>DAMAGED- NC 38</t>
  </si>
  <si>
    <t>SWAP - DEAL 3-2025-67</t>
  </si>
  <si>
    <t>1,234 bags had been delivered to Animal Feed under deal number 3-2025-67. Swapping codes and unit of measure from Bag to Ton is required to transfer via intersegment by Ton to comply with the receiving records on Animal Feed.</t>
  </si>
  <si>
    <t>TRANSPORTATION LOSS - 4310 DARKA</t>
  </si>
  <si>
    <t>TRANSPORTATION LOSS - 4412 DARKA</t>
  </si>
  <si>
    <t>TRANSPORTATION LOSS - 3005 ANJAL</t>
  </si>
  <si>
    <t>TRANSPORTATION LOSS - 3008 ANJAL</t>
  </si>
  <si>
    <t>TRANSPORTATION LOSS - 3181 ANJAL</t>
  </si>
  <si>
    <t>TRANSPORTATION LOSS - 3605 ANJAL</t>
  </si>
  <si>
    <t>TRANSPORTATION LOSS - 3690 ANJAL</t>
  </si>
  <si>
    <t>TRANSPORTATION LOSS - 3699 ANJAL</t>
  </si>
  <si>
    <t>TRANSPORTATION LOSS - 279345 ALTAF</t>
  </si>
  <si>
    <t>TRANSPORTATION LOSS - 3421 ANJAL</t>
  </si>
  <si>
    <t>TRANSPORTATION LOSS - 3057 BIG BOSS</t>
  </si>
  <si>
    <t>EXCESS - 3005 ANJAL</t>
  </si>
  <si>
    <t>TRANSPORTATION LOSS - 9154 ALKASIR</t>
  </si>
  <si>
    <t>TRANSPORTATION LOSS - 3223 ARIF ALMUBARK</t>
  </si>
  <si>
    <t>TRANSPORTATION LOSS - 3231 ANJAL</t>
  </si>
  <si>
    <t>TRANSPORTATION LOSS - 3369 ALTAF</t>
  </si>
  <si>
    <t>TRANSPORTATION LOSS - 3378 ANJAL</t>
  </si>
  <si>
    <t>TRANSPORTATION LOSS - 3381 ANJAL</t>
  </si>
  <si>
    <t>TRANSPORTATION LOSS - 4723 ANJAL</t>
  </si>
  <si>
    <t>TRANSPORTATION LOSS - 4728 ANJAL</t>
  </si>
  <si>
    <t>CORRECTION - 4412 DARKA</t>
  </si>
  <si>
    <t>EXCESS - 4412 DARKA</t>
  </si>
  <si>
    <t>MV TORO - SHOTLANDED BL: 2578</t>
  </si>
  <si>
    <t>MV TORO-Lentil Shipment BL 2578 QTY 28,000 bags - Received =27,959 bags-Sound=27,865 bags- Torn= 84bags- Wet=10bags- Short landed 41 bags</t>
  </si>
  <si>
    <t>MV TORO - SHOTLANDED BL 3124</t>
  </si>
  <si>
    <t>MV TORO-Lentil Shipment BL 3124 QTY 12,600 bags - Received=12,591 bags -Sound=12,556 bags- Torn= 35bags- Short landed= 9 bags</t>
  </si>
  <si>
    <t>TRANSPORTATION LOSS - 4416 ANJAL</t>
  </si>
  <si>
    <t>SWAP</t>
  </si>
  <si>
    <t>Swapping 3 bags in Dabba WH from the code of imported flour to the code of local produced in mill. Swapping is required to align the physical stock with system records.</t>
  </si>
  <si>
    <t>MV TORO - SHOTLANDED BL 2560</t>
  </si>
  <si>
    <t>MV TORO-Lentil Shipment BL 2560 QTY 28,000 bags - Received =27,966 bags-Sound=27,923 bags- Torn= 43bags- Short landed 34 bags</t>
  </si>
  <si>
    <t>MV TORO - SHOTLANDED BL 3107</t>
  </si>
  <si>
    <t>MV TORO-Lentil Shipment BL 3107 QTY 28,000 bags - Received=27,938 bags-Sound=27,893 bags- Torn= 34bags- Wet =11bags- Short landed=62 bags</t>
  </si>
  <si>
    <t>MV HAIAN GAMA - SHOTLANDED BL 2856</t>
  </si>
  <si>
    <t>MV HAIAN GAMA-Lentil Shipment BL 2856 QTY 26,600 bags - Received =26,576 bags- Sound=26,463 bags- Wet= 12 bags- Torn= 80bags- Short landed=24 bags - Rejected by SSMO=21 bags</t>
  </si>
  <si>
    <t>MV HAIAN GAMA - SSMO REJECT BL 2856</t>
  </si>
  <si>
    <t>MV HAIAN GAMA - SHOTLANDED BL 7984</t>
  </si>
  <si>
    <t>MV HAIAN GAMA-Lentil Shipment BL 7984 QTY 28,000 bags - Received =27,985 bags- Sound=27,944 bags- Torn= 41bags- Short landed=15 bags</t>
  </si>
  <si>
    <t>MV HAIAN GAMA - SHOTLANDEDBL 0297</t>
  </si>
  <si>
    <t>MV HAIAN GAMA-Lentil Shipment BL 0297 QTY 15,400 bags - Received =15,355 bags- Sound=15,299 bags- Torn= 56bags- Short landed=45bags</t>
  </si>
  <si>
    <t>MV HAIAN GAMA - OVERLANDED BL</t>
  </si>
  <si>
    <t>MV HAIAN GAMA-Lentil Shipment BL 6700 QTY 1,400 bags - Received =1,402 bags- Sound=1,399 bags-Torn= 3 bags- Over landed=2 bags</t>
  </si>
  <si>
    <t>REPACKING LOSS - NC 10</t>
  </si>
  <si>
    <t>REPACKING LOSS - NC 14</t>
  </si>
  <si>
    <t>REPACKING LOSS - NC 132</t>
  </si>
  <si>
    <t>REPACKING LOSS - NC 24</t>
  </si>
  <si>
    <t>REPACKING DAMAGE - NC 24</t>
  </si>
  <si>
    <t>REPACKING DAMAGE - NC 10</t>
  </si>
  <si>
    <t>REPACKING DAMAGE - NC 132</t>
  </si>
  <si>
    <t>TRANSPORTATION LOSS - 4424 DARKA</t>
  </si>
  <si>
    <t>EXCESS - 3363 ALNWA</t>
  </si>
  <si>
    <t>TRANSPORTATION LOSS - 3351  ANJAL</t>
  </si>
  <si>
    <t>TRANSPORTATION LOSS - 3374  ALTAF</t>
  </si>
  <si>
    <t>TRANSPORTATION LOSS - 3375  ALTAF</t>
  </si>
  <si>
    <t>TRANSPORTATION LOSS - 3377  ABURNAT</t>
  </si>
  <si>
    <t>SCALE DIFF - GADARIF TO KHT</t>
  </si>
  <si>
    <t>Weight variance of 20 trucks delivered from Gadarif ABS and received at Khartoum for Animal feed, number of delivered bags was received complete  (Loaded 20,000 bags / 999.62 MT, Received 20,000 bags / 998.79 MT) Variance= 0.83 MT (loss)</t>
  </si>
  <si>
    <t>EXCESS - 4430 ABURNAT</t>
  </si>
  <si>
    <t>RECLASSIFICATION-SORTING-NC100</t>
  </si>
  <si>
    <t>Out of 440 bags of caked sugar in PZU warehouse, there were 41 bags had been reassessed by quality team and classified sound</t>
  </si>
  <si>
    <t>RECLASSIFICATION - SORTING - NC 100</t>
  </si>
  <si>
    <t>MV HAIAN GAMA - SHORTLANDED -  BL2754</t>
  </si>
  <si>
    <t>MV HAIAN GAMA-Lentil Shipment BL 2754 QTY 9,800 bags - Received =9,795 bags- Sound=9,784 bags- Torn= 11bags- Short landed=5bags (less than tolerance)</t>
  </si>
  <si>
    <t>MV HAIAN GAMA - SHORTLANDED -  BL0255</t>
  </si>
  <si>
    <t>MV HAIAN GAMA-Lentil Shipment BL 0255 QTY 28,000 bags - Received =27,945 bags- Sound=27,892 bags- Torn= 51bags- Wet= 2bags- Short landed=55bags. Compensation value of 1101.1 USD had been received for the short landed</t>
  </si>
  <si>
    <t>MV HAIAN GAMA - SHORTLANDED -  BL1429</t>
  </si>
  <si>
    <t>MV HAIAN GAMA-Lentil Shipment BL 1429 QTY 21,000 bags - Received =20,968 bags- Sound=20,933 bags- Torn= 35bags- Short landed=32bags. Compensation value of 604.078 USD will be received for the short landed</t>
  </si>
  <si>
    <t>MV HAIAN GAMA - SHORTLANDED -  BL1936</t>
  </si>
  <si>
    <t>MV HAIAN GAMA-Lentil Shipment BL 1936 QTY 28,000 bags - Received =27,995 bags- Sound=27,935 bags- Torn= 60bags- Short landed=5bags (less than tolerance)</t>
  </si>
  <si>
    <t>CONTAINER DAMAGE - WET - NC 29 A</t>
  </si>
  <si>
    <t>Out of 75,000 bags of lentil recevied from containers shipment in PZU warehouse there were 58 bags found wet, they were reported to supplier. The bags were sold as animal feed for (10,000SDG/bag) total amount of 580,000SDG.</t>
  </si>
  <si>
    <t>DAMAGED - SORTING LOSS  - NC 1</t>
  </si>
  <si>
    <t>Out of 237 bags of damge sugar in Dongola WH that had been sold, there were 2 bags reported as loss (Kunasa) according to the updated NC from. They were eliminated by logistic warehouse.</t>
  </si>
  <si>
    <t>CONTAINER DAMAGE-WET-NC 29A</t>
  </si>
  <si>
    <t>TRANSPORTATION LOSS - 3423 ANJAL</t>
  </si>
  <si>
    <t>TRANSPORTATION LOSS - 8303 RIBA</t>
  </si>
  <si>
    <t>TRANSPORTATION LOSS - 8305 RIBA</t>
  </si>
  <si>
    <t>TRANSPORTATION LOSS - 8327 ANJAL</t>
  </si>
  <si>
    <t>TRANSPORTATION LOSS - 8331 ANJAL</t>
  </si>
  <si>
    <t>TRANSPORTATION LOSS - 8343 RIBA</t>
  </si>
  <si>
    <t>TRANSPORTATION LOSS - 4467 ALKASIR</t>
  </si>
  <si>
    <t>TRANSPORTATION LOSS - 21159 ALKASIR</t>
  </si>
  <si>
    <t>SCALE DIFF WH A1</t>
  </si>
  <si>
    <t>Weight variance of 4 trucks delivered from Kosti warehouse and received at Khartoum-Albagair WH, number of delivered bags was received complete  (Loaded 2,442 bags / 232.858 MT, Received 2,442 bags / 237.308 MT) Variance= 4.45 MT</t>
  </si>
  <si>
    <t>ACCU SCALE DIFFF KOSTI WH</t>
  </si>
  <si>
    <t xml:space="preserve">Weight variance shown in Kosti warehouse (AK). Total received Qty in warehouse is 234.184 MT, Variance is 1.326MT Percentage 0.56%. The physical loaded qty is 232.858 MT has been transported to Khartoum-Albagir. It might be a result of multiple reasons;  moisture loss from commodity might led to weight decrease, or variance between the method used in receiving (manual weighing ) because there was no operating weightbridge at that time, then Mashrega weighbridge starts to operate during delivering and used to weight </t>
  </si>
  <si>
    <t>ELIMINATION - EXPIRED NC: 2</t>
  </si>
  <si>
    <t>Out of 38,520 bags recevied in Dabba warehouse, there were 50 bags part of quantity delivered from PZU mill to customer in Dabba and found cake because of immediate covereing after production and loading. Upon arrival the customer rejected the quantity and returned it to Dabba WH. They were intended to be sold as animal feed, however there was no bidder to buy untill the expiration date. Therefore, they were eliminated.</t>
  </si>
  <si>
    <t>C1</t>
  </si>
  <si>
    <t>ZL</t>
  </si>
  <si>
    <t>A1</t>
  </si>
  <si>
    <t>Product swap</t>
  </si>
  <si>
    <t>Gum Arabic Hashab RM</t>
  </si>
  <si>
    <t>X04594</t>
  </si>
  <si>
    <t>X04595</t>
  </si>
  <si>
    <t>X04596</t>
  </si>
  <si>
    <t>X04597</t>
  </si>
  <si>
    <t>X04598</t>
  </si>
  <si>
    <t>X04599</t>
  </si>
  <si>
    <t>X04600</t>
  </si>
  <si>
    <t>X04601</t>
  </si>
  <si>
    <t>X04602</t>
  </si>
  <si>
    <t>X04603</t>
  </si>
  <si>
    <t>X04604</t>
  </si>
  <si>
    <t>X04605</t>
  </si>
  <si>
    <t>X04606</t>
  </si>
  <si>
    <t>X04607</t>
  </si>
  <si>
    <t>A00914</t>
  </si>
  <si>
    <t>C02966</t>
  </si>
  <si>
    <t>A00915</t>
  </si>
  <si>
    <t>C02967</t>
  </si>
  <si>
    <t>A00916</t>
  </si>
  <si>
    <t>C02968</t>
  </si>
  <si>
    <t>A00917</t>
  </si>
  <si>
    <t>C02969</t>
  </si>
  <si>
    <t>A00918</t>
  </si>
  <si>
    <t>C02970</t>
  </si>
  <si>
    <t>A00919</t>
  </si>
  <si>
    <t>C02971</t>
  </si>
  <si>
    <t>A00913</t>
  </si>
  <si>
    <t>C02964</t>
  </si>
  <si>
    <t>X04609</t>
  </si>
  <si>
    <t>P03620</t>
  </si>
  <si>
    <t>P03635</t>
  </si>
  <si>
    <t>A00920</t>
  </si>
  <si>
    <t>C02972</t>
  </si>
  <si>
    <t>X04611</t>
  </si>
  <si>
    <t>Q06270</t>
  </si>
  <si>
    <t>X04612</t>
  </si>
  <si>
    <t>X04613</t>
  </si>
  <si>
    <t>P03835</t>
  </si>
  <si>
    <t>X04614</t>
  </si>
  <si>
    <t>X04615</t>
  </si>
  <si>
    <t>X04616</t>
  </si>
  <si>
    <t>X04617</t>
  </si>
  <si>
    <t>X04618</t>
  </si>
  <si>
    <t>X04619</t>
  </si>
  <si>
    <t>X04620</t>
  </si>
  <si>
    <t>X04621</t>
  </si>
  <si>
    <t>A00921</t>
  </si>
  <si>
    <t>C02973</t>
  </si>
  <si>
    <t>X04622</t>
  </si>
  <si>
    <t>Q05533</t>
  </si>
  <si>
    <t>X04623</t>
  </si>
  <si>
    <t>X04624</t>
  </si>
  <si>
    <t>X04625</t>
  </si>
  <si>
    <t>X04626</t>
  </si>
  <si>
    <t>X04627</t>
  </si>
  <si>
    <t>X04628</t>
  </si>
  <si>
    <t>X04629</t>
  </si>
  <si>
    <t>A00922</t>
  </si>
  <si>
    <t>C02974</t>
  </si>
  <si>
    <t>A00923</t>
  </si>
  <si>
    <t>C02975</t>
  </si>
  <si>
    <t>X04634</t>
  </si>
  <si>
    <t>Q06277</t>
  </si>
  <si>
    <t>X04635</t>
  </si>
  <si>
    <t>X04631</t>
  </si>
  <si>
    <t>X04632</t>
  </si>
  <si>
    <t>A00924</t>
  </si>
  <si>
    <t>C02976</t>
  </si>
  <si>
    <t>X04636</t>
  </si>
  <si>
    <t>X04637</t>
  </si>
  <si>
    <t>X04638</t>
  </si>
  <si>
    <t>X04639</t>
  </si>
  <si>
    <t>X04640</t>
  </si>
  <si>
    <t>X04641</t>
  </si>
  <si>
    <t>A00925</t>
  </si>
  <si>
    <t>C02977</t>
  </si>
  <si>
    <t>X04643</t>
  </si>
  <si>
    <t>X04644</t>
  </si>
  <si>
    <t>X04645</t>
  </si>
  <si>
    <t>X04646</t>
  </si>
  <si>
    <t>A00926</t>
  </si>
  <si>
    <t>C02978</t>
  </si>
  <si>
    <t>A00927</t>
  </si>
  <si>
    <t>C02979</t>
  </si>
  <si>
    <t>A00928</t>
  </si>
  <si>
    <t>C02980</t>
  </si>
  <si>
    <t>X04647</t>
  </si>
  <si>
    <t>A00929</t>
  </si>
  <si>
    <t>C02981</t>
  </si>
  <si>
    <t>X04648</t>
  </si>
  <si>
    <t>P03847</t>
  </si>
  <si>
    <t>X04649</t>
  </si>
  <si>
    <t>X04650</t>
  </si>
  <si>
    <t>X04651</t>
  </si>
  <si>
    <t>X04652</t>
  </si>
  <si>
    <t>Q06137</t>
  </si>
  <si>
    <t>A00930</t>
  </si>
  <si>
    <t>C03003</t>
  </si>
  <si>
    <t>A00932</t>
  </si>
  <si>
    <t>C03014</t>
  </si>
  <si>
    <t>X04655</t>
  </si>
  <si>
    <t>X04656</t>
  </si>
  <si>
    <t>X04657</t>
  </si>
  <si>
    <t>X04658</t>
  </si>
  <si>
    <t>X04659</t>
  </si>
  <si>
    <t>X04660</t>
  </si>
  <si>
    <t>X04661</t>
  </si>
  <si>
    <t>A00679</t>
  </si>
  <si>
    <t>A00931</t>
  </si>
  <si>
    <t>C03013</t>
  </si>
  <si>
    <t>X04663</t>
  </si>
  <si>
    <t>P03876</t>
  </si>
  <si>
    <t>X04664</t>
  </si>
  <si>
    <t>X04665</t>
  </si>
  <si>
    <t>X04666</t>
  </si>
  <si>
    <t>X04667</t>
  </si>
  <si>
    <t>X04668</t>
  </si>
  <si>
    <t>X04669</t>
  </si>
  <si>
    <t>Q06282</t>
  </si>
  <si>
    <t>X04670</t>
  </si>
  <si>
    <t>Q06276</t>
  </si>
  <si>
    <t>A10001</t>
  </si>
  <si>
    <t>A00933</t>
  </si>
  <si>
    <t>C03015</t>
  </si>
  <si>
    <t>X04672</t>
  </si>
  <si>
    <t>Q06267</t>
  </si>
  <si>
    <t>X04674</t>
  </si>
  <si>
    <t>P03795</t>
  </si>
  <si>
    <t>P03825</t>
  </si>
  <si>
    <t>Product swap Total</t>
  </si>
  <si>
    <t>TRANSPORTATION LOSS - 10386 I.ALMAHDI</t>
  </si>
  <si>
    <t>TRANSPORTATION LOSS - 12867 RIBA</t>
  </si>
  <si>
    <t>TRANSPORTATION LOSS - 12870 ALTAF</t>
  </si>
  <si>
    <t>TRANSPORTATION LOSS - 12872 ALTAF</t>
  </si>
  <si>
    <t>TRANSPORTATION LOSS - 12944 ANJAL</t>
  </si>
  <si>
    <t>TRANSPORTATION LOSS - 12877 ARIF ALMUBARK</t>
  </si>
  <si>
    <t>EXCESS - 8151</t>
  </si>
  <si>
    <t>EXCESS - 8152</t>
  </si>
  <si>
    <t>EXCESS - 8153</t>
  </si>
  <si>
    <t>REPROCESSING DAMAGE - NC NO.68</t>
  </si>
  <si>
    <t>REPROCESSING DAMAGE - NC NO. 68</t>
  </si>
  <si>
    <t>MV SSL BRAHMAPUTRA-BL 0094-SHORTLANDED</t>
  </si>
  <si>
    <t>DWONGRADE - NC NO.33A</t>
  </si>
  <si>
    <t>MV ZENYEP-BL 6100- OVERLANDED</t>
  </si>
  <si>
    <t>MV ZENYEP-BL 6101-OVERLANDED</t>
  </si>
  <si>
    <t>MV ZENYEP-BL 1600-OVERLANDED</t>
  </si>
  <si>
    <t>MV ZENYEP-BL 1700-OVERLANDED</t>
  </si>
  <si>
    <t>RECLASSIFIED - NC NO.33A</t>
  </si>
  <si>
    <t>EXCESS - 279485</t>
  </si>
  <si>
    <t>CORRECTION - 13133 ALASGALANI</t>
  </si>
  <si>
    <t>EXCESS - 279488</t>
  </si>
  <si>
    <t>TRANSPORTATION LOSS - 6916 ALRIKABY</t>
  </si>
  <si>
    <t>EXCESS - ABURNAT 4497</t>
  </si>
  <si>
    <t>EXCESS - 4948 ABURNAT</t>
  </si>
  <si>
    <t>TRANSPORTATION LOSS - 5169 DARKA</t>
  </si>
  <si>
    <t>TRANSPORTATION LOSS - 4877 KOTHBAN</t>
  </si>
  <si>
    <t>HANDLLING DAMAGE - NC NO.3</t>
  </si>
  <si>
    <t>HANDLING DAMAGE - CACKED - NC NO.4</t>
  </si>
  <si>
    <t>TRANSPORTATION LOSS - 4676 AZOZ</t>
  </si>
  <si>
    <t>TRANSPORTATION LOSS - 4677 AZOZ</t>
  </si>
  <si>
    <t>TRANSPORTATION LOSS - 4678 AZOZ</t>
  </si>
  <si>
    <t>TRANSPORTATION LOSS - 4684 AZOZ</t>
  </si>
  <si>
    <t>TRANSPORTATION LOSS - 8166 RIBA</t>
  </si>
  <si>
    <t>TRANSPORTATION LOSS - 6018 ANJAL</t>
  </si>
  <si>
    <t>TRANSPORTATION LOSS - 6021 ANJAL</t>
  </si>
  <si>
    <t>TRANSPORTATION LOSS - 6918 ALRIKABY</t>
  </si>
  <si>
    <t>TRANSPORTATION LOSS - 6919 I.ALMAHDI</t>
  </si>
  <si>
    <t>TRANSPORTATION LOSS - 6009 ALKASIR</t>
  </si>
  <si>
    <t>TRANSPORTATION LOSS - 6039 ANJAL</t>
  </si>
  <si>
    <t>TRANSPORTATION LOSS - 6048 ALNWA</t>
  </si>
  <si>
    <t>TRANSPORTATION LOSS - 6870 KARKAR</t>
  </si>
  <si>
    <t>TRANSPORTATION LOSS - 6922 I.ALMAHDI</t>
  </si>
  <si>
    <t>TRANSPORTATION LOSS - 6074 ALTAF</t>
  </si>
  <si>
    <t>TRANSPORTATION LOSS - 7193 I.ALMAHDI</t>
  </si>
  <si>
    <t>TRANSPORTATION LOSS - 4933 KOTHBAN</t>
  </si>
  <si>
    <t>TRANSPORTATION LOSS - 4934 QUICK</t>
  </si>
  <si>
    <t>TRANSPORTATION LOSS - 4944 QUICK</t>
  </si>
  <si>
    <t>TRANSPORTATION LOSS - 4945 QUICK</t>
  </si>
  <si>
    <t>TRANSPORTATION LOSS - 4908 ABURNAT</t>
  </si>
  <si>
    <t>TRANSPORTATION LOSS - 4946 DARKA</t>
  </si>
  <si>
    <t>TRANSPORTATION LOSS - 4950 ABURNAT</t>
  </si>
  <si>
    <t>TRANSPORTATION LOSS - 4492 ALASGALANI</t>
  </si>
  <si>
    <t>TRANSPORTATION LOSS - 4496 ABURNAT</t>
  </si>
  <si>
    <t>TRANSPORTATION LOSS - 4495 ABURNAT</t>
  </si>
  <si>
    <t>EXCESS - 6909</t>
  </si>
  <si>
    <t>EXCESS - 6032</t>
  </si>
  <si>
    <t>EXCESS - 6200</t>
  </si>
  <si>
    <t>REPACKING LOSS - NC NO. 73</t>
  </si>
  <si>
    <t>MV JPO VENUS-BL 7401-SHORTLANDED</t>
  </si>
  <si>
    <t>MV JPO VENUS-BL 8012-OVERLAND</t>
  </si>
  <si>
    <t>MV JPO VENUS-BL 9778-OVERLAND</t>
  </si>
  <si>
    <t>MV Newstriver-BL 1094EXY-OVER</t>
  </si>
  <si>
    <t>MV Newstriver-BL 1095EXY-OVER</t>
  </si>
  <si>
    <t>MV Newstriver-BL 1096EXY-OVER</t>
  </si>
  <si>
    <t>MV Summit Xiamen-BL 9700-OVER</t>
  </si>
  <si>
    <t>MV ZENYEP-BL 9501-OVERLANDED</t>
  </si>
  <si>
    <t>EXCESS - 5194</t>
  </si>
  <si>
    <t>EXCESS - 6211</t>
  </si>
  <si>
    <t>EXCESS - 6210</t>
  </si>
  <si>
    <t>REPACKING LOSS - NC 70</t>
  </si>
  <si>
    <t>REPACKING LOSS - NC 75</t>
  </si>
  <si>
    <t>REPACKING LOSS - NC 76</t>
  </si>
  <si>
    <t>REPACKING LOSS - NC 84</t>
  </si>
  <si>
    <t>REPACKING LOSS - NC 85</t>
  </si>
  <si>
    <t>REPACKING LOSS - NC 86</t>
  </si>
  <si>
    <t>MV NORDIA-BL 1093-SHORTLANDED</t>
  </si>
  <si>
    <t>SM0003</t>
  </si>
  <si>
    <t>CO0051</t>
  </si>
  <si>
    <t>White Sesame Sorted</t>
  </si>
  <si>
    <t>Sesame Sorted</t>
  </si>
  <si>
    <t>White Sesame Sorted Finished Good 50KG</t>
  </si>
  <si>
    <t>Cotton FG Lower Grade</t>
  </si>
  <si>
    <t>Cotton Low Quality</t>
  </si>
  <si>
    <t>X04676</t>
  </si>
  <si>
    <t>P03894</t>
  </si>
  <si>
    <t>X04677</t>
  </si>
  <si>
    <t>X04678</t>
  </si>
  <si>
    <t>X04679</t>
  </si>
  <si>
    <t>X04680</t>
  </si>
  <si>
    <t>X04681</t>
  </si>
  <si>
    <t>A00934</t>
  </si>
  <si>
    <t>C03016</t>
  </si>
  <si>
    <t>A00935</t>
  </si>
  <si>
    <t>C03017</t>
  </si>
  <si>
    <t>A00936</t>
  </si>
  <si>
    <t>C03018</t>
  </si>
  <si>
    <t>A00937</t>
  </si>
  <si>
    <t>C03019</t>
  </si>
  <si>
    <t>X04684</t>
  </si>
  <si>
    <t>P03884</t>
  </si>
  <si>
    <t>X04685</t>
  </si>
  <si>
    <t>Q06290</t>
  </si>
  <si>
    <t>X04686</t>
  </si>
  <si>
    <t>CNC000751</t>
  </si>
  <si>
    <t>A00939</t>
  </si>
  <si>
    <t>C03043</t>
  </si>
  <si>
    <t>A00940</t>
  </si>
  <si>
    <t>C03044</t>
  </si>
  <si>
    <t>A00941</t>
  </si>
  <si>
    <t>C03045</t>
  </si>
  <si>
    <t>A00942</t>
  </si>
  <si>
    <t>C03048</t>
  </si>
  <si>
    <t>A00943</t>
  </si>
  <si>
    <t>C03049</t>
  </si>
  <si>
    <t>A00946</t>
  </si>
  <si>
    <t>C03055</t>
  </si>
  <si>
    <t>A00944</t>
  </si>
  <si>
    <t>C03050</t>
  </si>
  <si>
    <t>A00945</t>
  </si>
  <si>
    <t>C03052</t>
  </si>
  <si>
    <t>AG0001</t>
  </si>
  <si>
    <t>A00947</t>
  </si>
  <si>
    <t>C03056</t>
  </si>
  <si>
    <t>X04688</t>
  </si>
  <si>
    <t>P03947</t>
  </si>
  <si>
    <t>A00948</t>
  </si>
  <si>
    <t>C03071</t>
  </si>
  <si>
    <t>A00949</t>
  </si>
  <si>
    <t>C03072</t>
  </si>
  <si>
    <t>X04693</t>
  </si>
  <si>
    <t>Q06291</t>
  </si>
  <si>
    <t>X04694</t>
  </si>
  <si>
    <t>X04690</t>
  </si>
  <si>
    <t>X04691</t>
  </si>
  <si>
    <t>X04697</t>
  </si>
  <si>
    <t>CNC000753</t>
  </si>
  <si>
    <t>X04698</t>
  </si>
  <si>
    <t>X04699</t>
  </si>
  <si>
    <t>X04700</t>
  </si>
  <si>
    <t>X04702</t>
  </si>
  <si>
    <t>P03951</t>
  </si>
  <si>
    <t>X04703</t>
  </si>
  <si>
    <t>X04704</t>
  </si>
  <si>
    <t>X04705</t>
  </si>
  <si>
    <t>X04706</t>
  </si>
  <si>
    <t>X04708</t>
  </si>
  <si>
    <t>X04709</t>
  </si>
  <si>
    <t>X04710</t>
  </si>
  <si>
    <t>X04711</t>
  </si>
  <si>
    <t>X04712</t>
  </si>
  <si>
    <t>X04713</t>
  </si>
  <si>
    <t>X04714</t>
  </si>
  <si>
    <t>X04716</t>
  </si>
  <si>
    <t>X04717</t>
  </si>
  <si>
    <t>X04718</t>
  </si>
  <si>
    <t>X04719</t>
  </si>
  <si>
    <t>X04720</t>
  </si>
  <si>
    <t>Q06295</t>
  </si>
  <si>
    <t>X04721</t>
  </si>
  <si>
    <t>X04722</t>
  </si>
  <si>
    <t>X04723</t>
  </si>
  <si>
    <t>X04724</t>
  </si>
  <si>
    <t>X04725</t>
  </si>
  <si>
    <t>A00950</t>
  </si>
  <si>
    <t>C03085</t>
  </si>
  <si>
    <t>A00951</t>
  </si>
  <si>
    <t>C03086</t>
  </si>
  <si>
    <t>A00952</t>
  </si>
  <si>
    <t>C03087</t>
  </si>
  <si>
    <t>X04726</t>
  </si>
  <si>
    <t>CNC000755</t>
  </si>
  <si>
    <t>X04728</t>
  </si>
  <si>
    <t>Q06296</t>
  </si>
  <si>
    <t>A00953</t>
  </si>
  <si>
    <t>C03089</t>
  </si>
  <si>
    <t>A00954</t>
  </si>
  <si>
    <t>C03090</t>
  </si>
  <si>
    <t>A00955</t>
  </si>
  <si>
    <t>C03091</t>
  </si>
  <si>
    <t>A00956</t>
  </si>
  <si>
    <t>C03092</t>
  </si>
  <si>
    <t>A00957</t>
  </si>
  <si>
    <t>C03093</t>
  </si>
  <si>
    <t>A00958</t>
  </si>
  <si>
    <t>C03094</t>
  </si>
  <si>
    <t>A00959</t>
  </si>
  <si>
    <t>C03095</t>
  </si>
  <si>
    <t>A00960</t>
  </si>
  <si>
    <t>C03096</t>
  </si>
  <si>
    <t>A00961</t>
  </si>
  <si>
    <t>C03097</t>
  </si>
  <si>
    <t>A00962</t>
  </si>
  <si>
    <t>C03098</t>
  </si>
  <si>
    <t>X04730</t>
  </si>
  <si>
    <t>X04731</t>
  </si>
  <si>
    <t>X04732</t>
  </si>
  <si>
    <t>X04733</t>
  </si>
  <si>
    <t>X04734</t>
  </si>
  <si>
    <t>Q06280</t>
  </si>
  <si>
    <t>X04735</t>
  </si>
  <si>
    <t>X04736</t>
  </si>
  <si>
    <t>Q06299</t>
  </si>
  <si>
    <t>Out of 25,000 bags of lentil received under BL 6101, there were 60 bags found torn. They were transferred and repacked in warehouse Emarat 2 and the result of repacking is: sound 42 bags - loss 18 bags</t>
  </si>
  <si>
    <t>Out of 28,000 bags of lentil received under BL 5382, there were 40 bags found torn. They were transferred and repacked in warehouse Emarat 2 and the result of repacking is: sound 29 bags - loss 11 bags</t>
  </si>
  <si>
    <t>Out of 19,600 bags of lentil received under BL 5599, there were 31 bags found torn. They were transferred and repacked in warehouse Emarat 2 and the result of repacking is: sound 22 bags - loss 9 bags</t>
  </si>
  <si>
    <t>Out of 25,000 bags of lentil received under BL 1700, there were 41 bags found torn. They were transferred and repacked in warehouse Emarat 2 and the result of repacking is: sound 24 bags - loss 17 bags</t>
  </si>
  <si>
    <t>Out of 27,000 bags of Rice received under BL 0094, there were 6 bags found torn. They were transferred and repacked in warehouse Emarat 2 and the result of repacking is: sound 5 bags - loss 1 bags</t>
  </si>
  <si>
    <t>Out of 14,000 bags of Lentil received under BL 7410, there were 26 bags found torn. They were transferred and repacked in warehouse Emarat 2 and the result of repacking is: sound 20 bags - loss 6 bags</t>
  </si>
  <si>
    <t>Total quantity recived in Gadarif warehouse of sorghum RM is 1,733.428 MT under PO 1678, while the actual quantity delivered to customer is 1,744.56 MT reflecting excess variance of 11.132 MT, due moisture gain and weighbridges variation, Mahjob Awlad weighbridge (receiving) Oraganica and ABS weighbridge (delivering)</t>
  </si>
  <si>
    <t>Accumulative WH Variance Total</t>
  </si>
  <si>
    <t>Stuffing Variance Total</t>
  </si>
  <si>
    <t>Transport Scale Variance Total</t>
  </si>
  <si>
    <t>Out of 8,800 bags of sesame GDP FG received in Balaji form warehouse KH39 for re-sifting, there were 256 bags found torn NC 73. The result of repacking is: sound 253 bags - loss 3 bags</t>
  </si>
  <si>
    <t>MV SSL BRAHMAPUTRA -Rice Shipment BL 0094 QTY 27,000 bags - Received =26,917 bags- Sound=26,873 bags-Wet= 4 bags -Torn= 40bags- Short landed=83bags. The shortlanded and wet bags had been reported to Invictus.</t>
  </si>
  <si>
    <t>MV ZENYEP -Lentil Shipment BL 6100 QTY 25,000 bags - Received =25,109 bags- Sound=25,022 bags-Wet= 7 bags -Torn= 80bags- overlanded=109 bags. The torn bags had been reported to Invictus.</t>
  </si>
  <si>
    <t>MV ZENYEP -Lentil Shipment BL 6101 QTY 25,000 bags - Received =25,099 bags- Sound=25,039 bags -Torn= 60bags- overlanded=99 bags. The torn bags had been reported to Invictus.</t>
  </si>
  <si>
    <t>MV ZENYEP -Lentil Shipment BL 1600 QTY 25,000 bags - Received =25,083 bags- Sound=25,041 bags -Torn= 42bags- overlanded=83 bags. The torn bags had been reported to Invictus.</t>
  </si>
  <si>
    <t>MV ZENYEP -Lentil Shipment BL 1700 QTY 25,000 bags - Received =25,059 bags- Sound=25,018 bags -Torn= 41bags- overlanded=59 bags. The torn bags had been reported to Invictus.</t>
  </si>
  <si>
    <t>MV JPO VENUS -Lentil Shipment BL 7401 QTY 14,000 bags - Received =13,972 bags- Sound=13,954 bags -Torn= 18 bags- shortlanded=28 bags. The shortlanded and torn bags had been reported to Invictus.</t>
  </si>
  <si>
    <t>MV JPO VENUS -Lentil Shipment BL 8012 QTY 28,000 bags - Received =28,019 bags- Sound=27,975 bags -Torn= 44 bags- overlanded=19 bags. The torn bags had been reported to Invictus.</t>
  </si>
  <si>
    <t>MV JPO VENUS -Lentil Shipment BL 9778 QTY 8,400 bags - Received =8,418 bags- Sound=8,395 bags -Torn= 23 bags- overlanded=18 bags. The torn bags had been reported to Invictus.</t>
  </si>
  <si>
    <t>MV Newstriver -Lentil Shipment BL 1094 QTY 25,000 bags - Received =25,019 bags- Sound=24,986 bags -Torn= 33 bags- overlanded=19 bags. The torn bags had been reported to Invictus.</t>
  </si>
  <si>
    <t>MV Newstriver -Lentil Shipment BL 1095 QTY 25,000 bags - Received =25,014 bags- Sound=24,943 bags -Torn= 71 bags- overlanded=14 bags. The torn bags had been reported to Invictus.</t>
  </si>
  <si>
    <t>MV Newstriver -Lentil Shipment BL 1096 QTY 25,000 bags - Received =25,009 bags- Sound=24,925 bags -Torn= 84 bags- overlanded=9 bags. The torn bags had been reported to Invictus.</t>
  </si>
  <si>
    <t>MV Summit Xiamen -Lentil Shipment BL 9700 QTY 25,000 bags - Received =25,076 bags- Sound=25,019 bags -Torn= 57 bags- overlanded=76 bags. The torn bags had been reported to Invictus.</t>
  </si>
  <si>
    <t>MV ZENYEP -Lentil Shipment BL 9501 QTY 28,750 bags - Received =28,869 bags- Sound=28,812 bags -Torn= 57 bags- overlanded=119 bags. The torn bags had been reported to Invictus.</t>
  </si>
  <si>
    <t>MV NORDIA -Rice Shipment BL 1093 QTY 27,000 bags - Received =26,919 bags- Sound=26,742 bags -Torn= 48 bags- Wet= 129 bags - shortlanded=81 bags. The shortlanded and damgaed bags had been reported to Invictus.</t>
  </si>
  <si>
    <t>Pigeon Peas Total</t>
  </si>
  <si>
    <t>Sesame Gadarif Total</t>
  </si>
  <si>
    <t>Sesame Non Gadarif Total</t>
  </si>
  <si>
    <t>Chickpeas Total</t>
  </si>
  <si>
    <t>Cotton Total</t>
  </si>
  <si>
    <t>Gum Arabic Total</t>
  </si>
  <si>
    <t>3915 bags of Pigeon Peas FG 50KG  stock located at the Khabier 47 warehouse in PZU, was classified as deteriorated due to damage by long storage. Related NCs No 7. Local sales at unit price of 76,000 SDG per bag, amounting to a total value of 297,540,000</t>
  </si>
  <si>
    <t>Sorghum qty  have been classified as downgraded stock: 4 bags FG wet by rain and 8.66 MT raw [consisting of 2.45 MT wet and 6.21 MT waste from repacking and warehouse cleaning] at the PZU warehouses , under NC’s (No. 88,89,89B,13,157,18 and 19). The wet effected stock (4 bags FG, 2.45 MT raw) has been reported to insurance company.  The quantity of raw (8.66 MT)  was sold in the local market at a multiple price of (101,351.35 , 449,880.55 and 600,000 ) SDG Per MT with a total value of 3,842,000 SDG. The quantity of 4 bags was sold in the local market at a price of 25.000 SDG Per MT, with a total value of 100,000 SDG.</t>
  </si>
  <si>
    <t>Sorghum qty  have been classified as downgraded stock: 4 bags FG wet by rain and 8.66 MT raw [consisting of 2.45 MT wet and 6.21 MT waste from repacking and warehouse cleaning] at the PZU warehouses , under NC’s (No. 88,89,89B,13,157,18 and 19). The wet effected stock (4 bags FG, 2.45 MT raw) has been reported to insurance company.  The quantity of raw (8.66 MT)  was sold in the local market at a multiple price of (101,351.35 , 449,880.55 and 600,000 ) SDG Per MT with a total value of 3,842,000 SDG. The quantity of 4 bags was sold in the local market at a price of 25.000 SDG Per MT, with a total value of 100,000 SDG. This is a part of rain damage claim 2024.</t>
  </si>
  <si>
    <t>Sorghum Total</t>
  </si>
  <si>
    <t>Watermelon Total</t>
  </si>
  <si>
    <t>Value Total</t>
  </si>
  <si>
    <t>Groundnuts Total</t>
  </si>
  <si>
    <t>After selling the remaing physical stock of Cotton in PZU warehouse (XP) as downgraded product (discolor and high trash because of long storaging), the confirmed delivered quantity to customers was 40.62 MT however, the system was reflecting a balance of 22.531 MT for Cotton FG. The ecxess variance is 18.089 MT and it might be due moisture gain and weighbridge variations - Abo hashish weighbridge (used in receiving and delivering the product across several years). related NC no 33A</t>
  </si>
  <si>
    <t>After delivering all physical stock of sorghum RM in the warehouse E6/5 from total receving of 4,975.60 MT. The system was reflecting a quanitiy of 0.15 MT while there were physical 18 bags (0.69 MT) classified as waste and mixed with soil  during warehouse cleaning (Kunasa)-NC 68. The total waste quntity was sold for (600,000 SDG/TON) total amount of 414,000 SDG.</t>
  </si>
  <si>
    <r>
      <t>Out of 20,707 bags of sugar received in Sinnar warehouse - different brands , there were 349 bags classifed as caked (WS0001) NC 3 and 497 bags (WS0008) NC 4. Quality decision is to be sold as it is, then the decision for 127 bags of crystal sugar ( WS0008) and 98 bags of white sugar (WS0001) was changed to be eleminated due to no selling offer. The percentage of eliminated quantity from total receving is 1.08</t>
    </r>
    <r>
      <rPr>
        <strike/>
        <sz val="11"/>
        <color theme="1"/>
        <rFont val="Calibri"/>
        <family val="2"/>
        <scheme val="minor"/>
      </rPr>
      <t>%</t>
    </r>
  </si>
  <si>
    <t>Out of 20,707 bags of sugar received in Sinnar warehouse - different brands , there were 349 bags classifed as caked (WS0001) NC 3 and 497 bags (WS0008) NC 4. Quality decision is to be sold as it is, then the decision for 127 bags of crystal sugar ( WS0008) and 98 bags of white sugar (WS0001) was changed to be eleminated due to no selling offer. The percentage of eliminated quantity from total receving is 1.08%</t>
  </si>
  <si>
    <t>OPERATIONS MISCOUNTING</t>
  </si>
  <si>
    <t>OPERATIONS MICOUNTING</t>
  </si>
  <si>
    <t>EXPIRED - RECLASSIFIED - NC NO. 64</t>
  </si>
  <si>
    <t>EXPIRED-RECLASSIFIED-NC NO 64</t>
  </si>
  <si>
    <t>TRANSPORTATION LOSS - 5186 DARKA</t>
  </si>
  <si>
    <t>TRANSPORTATION LOSS - 6559 ANJAL</t>
  </si>
  <si>
    <t>TRANSPORTATION LOSS - 6585 ALWAHSHAB</t>
  </si>
  <si>
    <t>TRANSPORTATION LOSS - 6586 ALWAHSHAB</t>
  </si>
  <si>
    <t>TRANSPORTATION LOSS - 6038 ANJAL</t>
  </si>
  <si>
    <t>TRANSPORTATION LOSS - 6131 ALWAHSHAB</t>
  </si>
  <si>
    <t>TRANSPORTATION LOSS - 6125 ANJAL</t>
  </si>
  <si>
    <t>TRANSPORTATION LOSS - 6199 ANJAL</t>
  </si>
  <si>
    <t>TRANSPORTATION LOSS - 9376 I.ALMAHDI</t>
  </si>
  <si>
    <t>TRANSPORTATION LOSS - 6284 ALWAHSHAB</t>
  </si>
  <si>
    <t>TRANSPORTATION LOSS - 7444 NYAS</t>
  </si>
  <si>
    <t>TRANSPORTATION LOSS - 7502 ALTAF</t>
  </si>
  <si>
    <t>SM0053</t>
  </si>
  <si>
    <t>ZS</t>
  </si>
  <si>
    <t>Red Sesame LowQualty</t>
  </si>
  <si>
    <t>Red Sesame FG Lower Grade</t>
  </si>
  <si>
    <t>Bag50</t>
  </si>
  <si>
    <t>Stock Correction</t>
  </si>
  <si>
    <t>ZS0001</t>
  </si>
  <si>
    <t>A00963</t>
  </si>
  <si>
    <t>C03099</t>
  </si>
  <si>
    <t>ZR0001</t>
  </si>
  <si>
    <t>A00964</t>
  </si>
  <si>
    <t>C03100</t>
  </si>
  <si>
    <t>X04738</t>
  </si>
  <si>
    <t>CNC000754</t>
  </si>
  <si>
    <t>A00965</t>
  </si>
  <si>
    <t>C03101</t>
  </si>
  <si>
    <t>X04740</t>
  </si>
  <si>
    <t>X04741</t>
  </si>
  <si>
    <t>X04742</t>
  </si>
  <si>
    <t>X04743</t>
  </si>
  <si>
    <t>X04745</t>
  </si>
  <si>
    <t>P03970</t>
  </si>
  <si>
    <t>X04746</t>
  </si>
  <si>
    <t>X04747</t>
  </si>
  <si>
    <t>X04748</t>
  </si>
  <si>
    <t>X04749</t>
  </si>
  <si>
    <t>X04750</t>
  </si>
  <si>
    <t>X04751</t>
  </si>
  <si>
    <t>X04752</t>
  </si>
  <si>
    <t>Out of 4,838 bags of Red Sesame received In PZU warehouse, there are 315 bags classified as low grade (expired product) due to long storage. They were sold locally for (110,000 SDG/bag) total amount of 34,650,000 SDG</t>
  </si>
  <si>
    <t xml:space="preserve"> Stock variance between physical and system. This variance is a result of receiving excess quantity in the warehouse during offloading operations and was not recorded on that specific time.</t>
  </si>
  <si>
    <t>Stock Correction Total</t>
  </si>
  <si>
    <t>Sesame Red Total</t>
  </si>
  <si>
    <t>Gain / loss</t>
  </si>
  <si>
    <t>Variations reported in the physical warehouse stock against the system stock which found during stocktaking or warehouse cycle count. It might be excess or loss.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</si>
</sst>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0"/>
    <numFmt numFmtId="165" formatCode="dd/mm/yyyy\ h:mm"/>
  </numFmts>
  <fonts count="12"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9"/>
      <color indexed="81"/>
      <name val="Tahoma"/>
      <family val="2"/>
    </font>
    <font>
      <sz val="11"/>
      <color rgb="FF000000"/>
      <name val="Calibri"/>
      <family val="2"/>
      <scheme val="minor"/>
    </font>
    <font>
      <sz val="11"/>
      <name val="Calibri"/>
      <family val="2"/>
      <scheme val="minor"/>
    </font>
    <font>
      <sz val="11"/>
      <name val="Calibri"/>
      <family val="2"/>
      <scheme val="minor"/>
    </font>
    <font>
      <sz val="8"/>
      <name val="Calibri"/>
      <family val="2"/>
      <scheme val="minor"/>
    </font>
    <font>
      <b/>
      <sz val="11"/>
      <color theme="0"/>
      <name val="Calibri"/>
      <family val="2"/>
      <scheme val="minor"/>
    </font>
    <font>
      <sz val="12"/>
      <color theme="1"/>
      <name val="Aptos"/>
      <family val="2"/>
    </font>
    <font>
      <strike/>
      <sz val="11"/>
      <color theme="1"/>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4"/>
        <bgColor theme="4"/>
      </patternFill>
    </fill>
    <fill>
      <patternFill patternType="solid">
        <fgColor theme="4" tint="0.39997558519241921"/>
        <bgColor theme="4" tint="0.39997558519241921"/>
      </patternFill>
    </fill>
  </fills>
  <borders count="9">
    <border>
      <left/>
      <right/>
      <top/>
      <bottom/>
      <diagonal/>
    </border>
    <border>
      <left/>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diagonal/>
    </border>
    <border>
      <left/>
      <right/>
      <top/>
      <bottom style="thin">
        <color theme="4" tint="0.39997558519241921"/>
      </bottom>
      <diagonal/>
    </border>
    <border>
      <left/>
      <right/>
      <top style="thin">
        <color theme="4" tint="0.79998168889431442"/>
      </top>
      <bottom style="thin">
        <color theme="4" tint="0.79998168889431442"/>
      </bottom>
      <diagonal/>
    </border>
  </borders>
  <cellStyleXfs count="2">
    <xf numFmtId="0" fontId="0" fillId="0" borderId="0"/>
    <xf numFmtId="43" fontId="1" fillId="0" borderId="0" applyFont="0" applyFill="0" applyBorder="0" applyAlignment="0" applyProtection="0"/>
  </cellStyleXfs>
  <cellXfs count="84">
    <xf numFmtId="0" fontId="0" fillId="0" borderId="0" xfId="0"/>
    <xf numFmtId="14" fontId="0" fillId="0" borderId="0" xfId="0" applyNumberFormat="1"/>
    <xf numFmtId="43" fontId="0" fillId="0" borderId="0" xfId="1" applyFont="1"/>
    <xf numFmtId="0" fontId="0" fillId="0" borderId="0" xfId="0" pivotButton="1"/>
    <xf numFmtId="43" fontId="2" fillId="0" borderId="0" xfId="1" applyFont="1"/>
    <xf numFmtId="0" fontId="0" fillId="0" borderId="0" xfId="0" applyAlignment="1">
      <alignment vertical="center"/>
    </xf>
    <xf numFmtId="0" fontId="5" fillId="0" borderId="0" xfId="0" applyFont="1"/>
    <xf numFmtId="0" fontId="0" fillId="0" borderId="0" xfId="0" pivotButton="1" applyAlignment="1">
      <alignment vertical="top"/>
    </xf>
    <xf numFmtId="0" fontId="0" fillId="0" borderId="0" xfId="0" applyAlignment="1">
      <alignment vertical="top"/>
    </xf>
    <xf numFmtId="0" fontId="0" fillId="0" borderId="0" xfId="0" applyAlignment="1">
      <alignment vertical="top" wrapText="1"/>
    </xf>
    <xf numFmtId="0" fontId="0" fillId="0" borderId="0" xfId="0" pivotButton="1" applyAlignment="1">
      <alignment vertical="top" wrapText="1"/>
    </xf>
    <xf numFmtId="39" fontId="0" fillId="0" borderId="0" xfId="0" applyNumberFormat="1" applyAlignment="1">
      <alignment vertical="top" wrapText="1"/>
    </xf>
    <xf numFmtId="43" fontId="0" fillId="0" borderId="0" xfId="0" applyNumberFormat="1" applyAlignment="1">
      <alignment vertical="top" wrapText="1"/>
    </xf>
    <xf numFmtId="0" fontId="6" fillId="0" borderId="0" xfId="0" applyFont="1"/>
    <xf numFmtId="39" fontId="0" fillId="0" borderId="0" xfId="0" applyNumberFormat="1"/>
    <xf numFmtId="2" fontId="0" fillId="0" borderId="0" xfId="0" applyNumberFormat="1"/>
    <xf numFmtId="0" fontId="3" fillId="0" borderId="1" xfId="0" applyFont="1" applyBorder="1" applyAlignment="1">
      <alignment vertical="top" wrapText="1"/>
    </xf>
    <xf numFmtId="0" fontId="3" fillId="0" borderId="2" xfId="0" applyFont="1" applyBorder="1" applyAlignment="1">
      <alignment vertical="top" wrapText="1"/>
    </xf>
    <xf numFmtId="0" fontId="0" fillId="0" borderId="2" xfId="0" applyBorder="1" applyAlignment="1">
      <alignment vertical="top" wrapText="1"/>
    </xf>
    <xf numFmtId="0" fontId="2" fillId="0" borderId="0" xfId="0" applyFont="1" applyAlignment="1">
      <alignment vertical="top" wrapText="1"/>
    </xf>
    <xf numFmtId="0" fontId="0" fillId="0" borderId="0" xfId="0" quotePrefix="1"/>
    <xf numFmtId="0" fontId="0" fillId="0" borderId="4" xfId="0" applyBorder="1"/>
    <xf numFmtId="14" fontId="0" fillId="0" borderId="4" xfId="0" applyNumberFormat="1" applyBorder="1"/>
    <xf numFmtId="43" fontId="0" fillId="0" borderId="0" xfId="1" applyFont="1" applyBorder="1"/>
    <xf numFmtId="164" fontId="0" fillId="0" borderId="0" xfId="0" applyNumberFormat="1"/>
    <xf numFmtId="43" fontId="2" fillId="0" borderId="0" xfId="1" applyFont="1" applyBorder="1"/>
    <xf numFmtId="49" fontId="0" fillId="2" borderId="0" xfId="0" applyNumberFormat="1" applyFill="1"/>
    <xf numFmtId="0" fontId="0" fillId="0" borderId="3" xfId="0" applyBorder="1"/>
    <xf numFmtId="49" fontId="0" fillId="0" borderId="0" xfId="0" applyNumberFormat="1"/>
    <xf numFmtId="14" fontId="0" fillId="2" borderId="0" xfId="0" applyNumberFormat="1" applyFill="1"/>
    <xf numFmtId="14" fontId="0" fillId="0" borderId="6" xfId="0" applyNumberFormat="1" applyBorder="1"/>
    <xf numFmtId="0" fontId="0" fillId="0" borderId="6" xfId="0" applyBorder="1"/>
    <xf numFmtId="0" fontId="0" fillId="2" borderId="0" xfId="0" applyFill="1"/>
    <xf numFmtId="43" fontId="0" fillId="0" borderId="0" xfId="0" applyNumberFormat="1"/>
    <xf numFmtId="43" fontId="0" fillId="2" borderId="0" xfId="0" applyNumberFormat="1" applyFill="1"/>
    <xf numFmtId="43" fontId="0" fillId="0" borderId="4" xfId="1" applyFont="1" applyBorder="1"/>
    <xf numFmtId="43" fontId="0" fillId="0" borderId="5" xfId="1" applyFont="1" applyBorder="1"/>
    <xf numFmtId="0" fontId="7" fillId="0" borderId="0" xfId="0" applyFont="1"/>
    <xf numFmtId="0" fontId="0" fillId="3" borderId="0" xfId="0" applyFill="1"/>
    <xf numFmtId="43" fontId="0" fillId="4" borderId="0" xfId="0" applyNumberFormat="1" applyFill="1"/>
    <xf numFmtId="0" fontId="0" fillId="5" borderId="0" xfId="0" applyFill="1"/>
    <xf numFmtId="49" fontId="9" fillId="6" borderId="7" xfId="0" applyNumberFormat="1" applyFont="1" applyFill="1" applyBorder="1"/>
    <xf numFmtId="0" fontId="9" fillId="6" borderId="7" xfId="0" applyFont="1" applyFill="1" applyBorder="1"/>
    <xf numFmtId="43" fontId="9" fillId="6" borderId="7" xfId="0" applyNumberFormat="1" applyFont="1" applyFill="1" applyBorder="1"/>
    <xf numFmtId="49" fontId="0" fillId="2" borderId="4" xfId="0" applyNumberFormat="1" applyFill="1" applyBorder="1"/>
    <xf numFmtId="22" fontId="0" fillId="2" borderId="4" xfId="0" applyNumberFormat="1" applyFill="1" applyBorder="1"/>
    <xf numFmtId="0" fontId="0" fillId="2" borderId="4" xfId="0" applyFill="1" applyBorder="1"/>
    <xf numFmtId="2" fontId="0" fillId="2" borderId="4" xfId="1" applyNumberFormat="1" applyFont="1" applyFill="1" applyBorder="1"/>
    <xf numFmtId="49" fontId="0" fillId="0" borderId="4" xfId="0" applyNumberFormat="1" applyBorder="1"/>
    <xf numFmtId="22" fontId="0" fillId="0" borderId="4" xfId="0" applyNumberFormat="1" applyBorder="1"/>
    <xf numFmtId="2" fontId="0" fillId="0" borderId="4" xfId="1" applyNumberFormat="1" applyFont="1" applyBorder="1"/>
    <xf numFmtId="0" fontId="0" fillId="0" borderId="0" xfId="0" applyAlignment="1">
      <alignment horizontal="left"/>
    </xf>
    <xf numFmtId="43" fontId="0" fillId="2" borderId="4" xfId="1" applyFont="1" applyFill="1" applyBorder="1"/>
    <xf numFmtId="165" fontId="0" fillId="2" borderId="4" xfId="0" applyNumberFormat="1" applyFill="1" applyBorder="1"/>
    <xf numFmtId="165" fontId="0" fillId="0" borderId="4" xfId="0" applyNumberFormat="1" applyBorder="1"/>
    <xf numFmtId="43" fontId="0" fillId="2" borderId="4" xfId="0" applyNumberFormat="1" applyFill="1" applyBorder="1"/>
    <xf numFmtId="43" fontId="0" fillId="0" borderId="4" xfId="0" applyNumberFormat="1" applyBorder="1"/>
    <xf numFmtId="49" fontId="0" fillId="0" borderId="6" xfId="0" applyNumberFormat="1" applyBorder="1"/>
    <xf numFmtId="22" fontId="0" fillId="0" borderId="6" xfId="0" applyNumberFormat="1" applyBorder="1"/>
    <xf numFmtId="43" fontId="0" fillId="0" borderId="6" xfId="0" applyNumberFormat="1" applyBorder="1"/>
    <xf numFmtId="43" fontId="0" fillId="0" borderId="6" xfId="1" applyFont="1" applyBorder="1"/>
    <xf numFmtId="2" fontId="0" fillId="2" borderId="4" xfId="0" applyNumberFormat="1" applyFill="1" applyBorder="1"/>
    <xf numFmtId="2" fontId="0" fillId="0" borderId="4" xfId="0" applyNumberFormat="1" applyBorder="1"/>
    <xf numFmtId="165" fontId="0" fillId="3" borderId="4" xfId="0" applyNumberFormat="1" applyFill="1" applyBorder="1"/>
    <xf numFmtId="49" fontId="0" fillId="2" borderId="6" xfId="0" applyNumberFormat="1" applyFill="1" applyBorder="1"/>
    <xf numFmtId="165" fontId="0" fillId="2" borderId="6" xfId="0" applyNumberFormat="1" applyFill="1" applyBorder="1"/>
    <xf numFmtId="0" fontId="0" fillId="2" borderId="6" xfId="0" applyFill="1" applyBorder="1"/>
    <xf numFmtId="43" fontId="0" fillId="2" borderId="6" xfId="1" applyFont="1" applyFill="1" applyBorder="1"/>
    <xf numFmtId="22" fontId="0" fillId="3" borderId="4" xfId="0" applyNumberFormat="1" applyFill="1" applyBorder="1"/>
    <xf numFmtId="0" fontId="0" fillId="0" borderId="0" xfId="0" applyAlignment="1">
      <alignment horizontal="left" indent="1"/>
    </xf>
    <xf numFmtId="2" fontId="0" fillId="0" borderId="6" xfId="1" applyNumberFormat="1" applyFont="1" applyBorder="1"/>
    <xf numFmtId="43" fontId="0" fillId="0" borderId="4" xfId="1" applyFont="1" applyFill="1" applyBorder="1"/>
    <xf numFmtId="43" fontId="0" fillId="0" borderId="6" xfId="1" applyFont="1" applyFill="1" applyBorder="1"/>
    <xf numFmtId="39" fontId="9" fillId="7" borderId="8" xfId="0" applyNumberFormat="1" applyFont="1" applyFill="1" applyBorder="1" applyAlignment="1">
      <alignment vertical="top" wrapText="1"/>
    </xf>
    <xf numFmtId="43" fontId="9" fillId="7" borderId="8" xfId="0" applyNumberFormat="1" applyFont="1" applyFill="1" applyBorder="1" applyAlignment="1">
      <alignment vertical="top" wrapText="1"/>
    </xf>
    <xf numFmtId="0" fontId="10" fillId="0" borderId="0" xfId="0" applyFont="1"/>
    <xf numFmtId="0" fontId="10" fillId="0" borderId="0" xfId="0" applyFont="1" applyAlignment="1">
      <alignment vertical="center"/>
    </xf>
    <xf numFmtId="14" fontId="0" fillId="3" borderId="0" xfId="0" applyNumberFormat="1" applyFill="1"/>
    <xf numFmtId="43" fontId="1" fillId="0" borderId="0" xfId="1" applyFont="1" applyFill="1"/>
    <xf numFmtId="0" fontId="6" fillId="2" borderId="4" xfId="0" applyFont="1" applyFill="1" applyBorder="1"/>
    <xf numFmtId="43" fontId="0" fillId="0" borderId="0" xfId="1" applyFont="1" applyFill="1"/>
    <xf numFmtId="2" fontId="0" fillId="0" borderId="0" xfId="1" applyNumberFormat="1" applyFont="1" applyFill="1"/>
    <xf numFmtId="0" fontId="0" fillId="2" borderId="4" xfId="0" applyFont="1" applyFill="1" applyBorder="1"/>
    <xf numFmtId="0" fontId="0" fillId="0" borderId="0" xfId="0" applyNumberFormat="1"/>
  </cellXfs>
  <cellStyles count="2">
    <cellStyle name="Comma" xfId="1" builtinId="3"/>
    <cellStyle name="Normal" xfId="0" builtinId="0"/>
  </cellStyles>
  <dxfs count="353">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numFmt numFmtId="0" formatCode="General"/>
    </dxf>
    <dxf>
      <numFmt numFmtId="2" formatCode="0.00"/>
    </dxf>
    <dxf>
      <numFmt numFmtId="19" formatCode="m/d/yyyy"/>
    </dxf>
    <dxf>
      <numFmt numFmtId="0" formatCode="General"/>
    </dxf>
    <dxf>
      <numFmt numFmtId="0" formatCode="General"/>
    </dxf>
    <dxf>
      <numFmt numFmtId="0" formatCode="General"/>
    </dxf>
    <dxf>
      <numFmt numFmtId="0" formatCode="General"/>
    </dxf>
    <dxf>
      <numFmt numFmtId="19" formatCode="m/d/yyyy"/>
    </dxf>
    <dxf>
      <numFmt numFmtId="0" formatCode="General"/>
    </dxf>
    <dxf>
      <alignment wrapText="1"/>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numFmt numFmtId="35" formatCode="_(* #,##0.00_);_(* \(#,##0.00\);_(* &quot;-&quot;??_);_(@_)"/>
      <border diagonalUp="0" diagonalDown="0">
        <left/>
        <right/>
        <top style="thin">
          <color theme="4" tint="0.39997558519241921"/>
        </top>
        <bottom style="thin">
          <color theme="4" tint="0.39997558519241921"/>
        </bottom>
        <vertical/>
        <horizontal/>
      </border>
    </dxf>
    <dxf>
      <numFmt numFmtId="35" formatCode="_(* #,##0.00_);_(* \(#,##0.00\);_(* &quot;-&quot;??_);_(@_)"/>
      <border diagonalUp="0" diagonalDown="0">
        <left/>
        <right/>
        <top style="thin">
          <color theme="4" tint="0.39997558519241921"/>
        </top>
        <bottom style="thin">
          <color theme="4" tint="0.39997558519241921"/>
        </bottom>
        <vertical/>
        <horizontal/>
      </border>
    </dxf>
    <dxf>
      <numFmt numFmtId="30" formatCode="@"/>
      <border diagonalUp="0" diagonalDown="0">
        <left/>
        <right/>
        <top style="thin">
          <color theme="4" tint="0.39997558519241921"/>
        </top>
        <bottom style="thin">
          <color theme="4" tint="0.39997558519241921"/>
        </bottom>
        <vertical/>
        <horizontal/>
      </border>
    </dxf>
    <dxf>
      <numFmt numFmtId="27" formatCode="m/d/yyyy\ h:mm"/>
      <border diagonalUp="0" diagonalDown="0">
        <left/>
        <right/>
        <top style="thin">
          <color theme="4" tint="0.39997558519241921"/>
        </top>
        <bottom style="thin">
          <color theme="4" tint="0.39997558519241921"/>
        </bottom>
        <vertical/>
        <horizontal/>
      </border>
    </dxf>
    <dxf>
      <numFmt numFmtId="30" formatCode="@"/>
      <border diagonalUp="0" diagonalDown="0">
        <left/>
        <right/>
        <top style="thin">
          <color theme="4" tint="0.39997558519241921"/>
        </top>
        <bottom style="thin">
          <color theme="4" tint="0.39997558519241921"/>
        </bottom>
        <vertical/>
        <horizontal/>
      </border>
    </dxf>
    <dxf>
      <numFmt numFmtId="30" formatCode="@"/>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35" formatCode="_(* #,##0.00_);_(* \(#,##0.00\);_(* &quot;-&quot;??_);_(@_)"/>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numFmt numFmtId="35" formatCode="_(* #,##0.00_);_(* \(#,##0.00\);_(* &quot;-&quot;??_);_(@_)"/>
      <border diagonalUp="0" diagonalDown="0">
        <left/>
        <right/>
        <top style="thin">
          <color theme="4" tint="0.39997558519241921"/>
        </top>
        <bottom style="thin">
          <color theme="4" tint="0.39997558519241921"/>
        </bottom>
        <vertical/>
        <horizontal/>
      </border>
    </dxf>
    <dxf>
      <numFmt numFmtId="35" formatCode="_(* #,##0.00_);_(* \(#,##0.00\);_(* &quot;-&quot;??_);_(@_)"/>
      <border diagonalUp="0" diagonalDown="0">
        <left/>
        <right/>
        <top style="thin">
          <color theme="4" tint="0.39997558519241921"/>
        </top>
        <bottom style="thin">
          <color theme="4" tint="0.39997558519241921"/>
        </bottom>
        <vertical/>
        <horizontal/>
      </border>
    </dxf>
    <dxf>
      <numFmt numFmtId="30" formatCode="@"/>
      <border diagonalUp="0" diagonalDown="0">
        <left/>
        <right/>
        <top style="thin">
          <color theme="4" tint="0.39997558519241921"/>
        </top>
        <bottom style="thin">
          <color theme="4" tint="0.39997558519241921"/>
        </bottom>
        <vertical/>
        <horizontal/>
      </border>
    </dxf>
    <dxf>
      <numFmt numFmtId="27" formatCode="m/d/yyyy\ h:mm"/>
      <border diagonalUp="0" diagonalDown="0">
        <left/>
        <right/>
        <top style="thin">
          <color theme="4" tint="0.39997558519241921"/>
        </top>
        <bottom style="thin">
          <color theme="4" tint="0.39997558519241921"/>
        </bottom>
        <vertical/>
        <horizontal/>
      </border>
    </dxf>
    <dxf>
      <numFmt numFmtId="30" formatCode="@"/>
      <border diagonalUp="0" diagonalDown="0">
        <left/>
        <right/>
        <top style="thin">
          <color theme="4" tint="0.39997558519241921"/>
        </top>
        <bottom style="thin">
          <color theme="4" tint="0.39997558519241921"/>
        </bottom>
        <vertical/>
        <horizontal/>
      </border>
    </dxf>
    <dxf>
      <numFmt numFmtId="30" formatCode="@"/>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3.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2.xml"/><Relationship Id="rId25"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microsoft.com/office/2007/relationships/slicerCache" Target="slicerCaches/slicerCache9.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8.xml"/><Relationship Id="rId28" Type="http://schemas.microsoft.com/office/2017/10/relationships/person" Target="persons/person.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7.xml"/><Relationship Id="rId27" Type="http://schemas.openxmlformats.org/officeDocument/2006/relationships/sharedStrings" Target="sharedString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0</xdr:col>
      <xdr:colOff>82551</xdr:colOff>
      <xdr:row>0</xdr:row>
      <xdr:rowOff>12700</xdr:rowOff>
    </xdr:from>
    <xdr:to>
      <xdr:col>1</xdr:col>
      <xdr:colOff>1270000</xdr:colOff>
      <xdr:row>2</xdr:row>
      <xdr:rowOff>71483</xdr:rowOff>
    </xdr:to>
    <mc:AlternateContent xmlns:mc="http://schemas.openxmlformats.org/markup-compatibility/2006" xmlns:a14="http://schemas.microsoft.com/office/drawing/2010/main">
      <mc:Choice Requires="a14">
        <xdr:graphicFrame macro="">
          <xdr:nvGraphicFramePr>
            <xdr:cNvPr id="2" name="Stream">
              <a:extLst>
                <a:ext uri="{FF2B5EF4-FFF2-40B4-BE49-F238E27FC236}">
                  <a16:creationId xmlns:a16="http://schemas.microsoft.com/office/drawing/2014/main" id="{331550C4-686B-661A-B2C9-2F20DA937E78}"/>
                </a:ext>
              </a:extLst>
            </xdr:cNvPr>
            <xdr:cNvGraphicFramePr/>
          </xdr:nvGraphicFramePr>
          <xdr:xfrm>
            <a:off x="0" y="0"/>
            <a:ext cx="0" cy="0"/>
          </xdr:xfrm>
          <a:graphic>
            <a:graphicData uri="http://schemas.microsoft.com/office/drawing/2010/slicer">
              <sle:slicer xmlns:sle="http://schemas.microsoft.com/office/drawing/2010/slicer" name="Stream"/>
            </a:graphicData>
          </a:graphic>
        </xdr:graphicFrame>
      </mc:Choice>
      <mc:Fallback xmlns="">
        <xdr:sp macro="" textlink="">
          <xdr:nvSpPr>
            <xdr:cNvPr id="0" name=""/>
            <xdr:cNvSpPr>
              <a:spLocks noTextEdit="1"/>
            </xdr:cNvSpPr>
          </xdr:nvSpPr>
          <xdr:spPr>
            <a:xfrm>
              <a:off x="82551" y="12700"/>
              <a:ext cx="1606549" cy="64806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948418</xdr:colOff>
      <xdr:row>4</xdr:row>
      <xdr:rowOff>118534</xdr:rowOff>
    </xdr:from>
    <xdr:to>
      <xdr:col>8</xdr:col>
      <xdr:colOff>209550</xdr:colOff>
      <xdr:row>22</xdr:row>
      <xdr:rowOff>2056</xdr:rowOff>
    </xdr:to>
    <mc:AlternateContent xmlns:mc="http://schemas.openxmlformats.org/markup-compatibility/2006" xmlns:a14="http://schemas.microsoft.com/office/drawing/2010/main">
      <mc:Choice Requires="a14">
        <xdr:graphicFrame macro="">
          <xdr:nvGraphicFramePr>
            <xdr:cNvPr id="3" name="Product Type">
              <a:extLst>
                <a:ext uri="{FF2B5EF4-FFF2-40B4-BE49-F238E27FC236}">
                  <a16:creationId xmlns:a16="http://schemas.microsoft.com/office/drawing/2014/main" id="{E31978ED-6BB2-39B2-C203-9E699FF4F2F0}"/>
                </a:ext>
              </a:extLst>
            </xdr:cNvPr>
            <xdr:cNvGraphicFramePr/>
          </xdr:nvGraphicFramePr>
          <xdr:xfrm>
            <a:off x="0" y="0"/>
            <a:ext cx="0" cy="0"/>
          </xdr:xfrm>
          <a:graphic>
            <a:graphicData uri="http://schemas.microsoft.com/office/drawing/2010/slicer">
              <sle:slicer xmlns:sle="http://schemas.microsoft.com/office/drawing/2010/slicer" name="Product Type"/>
            </a:graphicData>
          </a:graphic>
        </xdr:graphicFrame>
      </mc:Choice>
      <mc:Fallback xmlns="">
        <xdr:sp macro="" textlink="">
          <xdr:nvSpPr>
            <xdr:cNvPr id="0" name=""/>
            <xdr:cNvSpPr>
              <a:spLocks noTextEdit="1"/>
            </xdr:cNvSpPr>
          </xdr:nvSpPr>
          <xdr:spPr>
            <a:xfrm>
              <a:off x="9882868" y="1185334"/>
              <a:ext cx="2013857" cy="39602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1412240</xdr:colOff>
      <xdr:row>0</xdr:row>
      <xdr:rowOff>0</xdr:rowOff>
    </xdr:from>
    <xdr:to>
      <xdr:col>7</xdr:col>
      <xdr:colOff>1327785</xdr:colOff>
      <xdr:row>2</xdr:row>
      <xdr:rowOff>71120</xdr:rowOff>
    </xdr:to>
    <mc:AlternateContent xmlns:mc="http://schemas.openxmlformats.org/markup-compatibility/2006" xmlns:a14="http://schemas.microsoft.com/office/drawing/2010/main">
      <mc:Choice Requires="a14">
        <xdr:graphicFrame macro="">
          <xdr:nvGraphicFramePr>
            <xdr:cNvPr id="4" name="Compensation Status">
              <a:extLst>
                <a:ext uri="{FF2B5EF4-FFF2-40B4-BE49-F238E27FC236}">
                  <a16:creationId xmlns:a16="http://schemas.microsoft.com/office/drawing/2014/main" id="{7A725C23-81E5-8E62-4A63-937D2AC97B2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ompensation Status"/>
            </a:graphicData>
          </a:graphic>
        </xdr:graphicFrame>
      </mc:Choice>
      <mc:Fallback xmlns="">
        <xdr:sp macro="" textlink="">
          <xdr:nvSpPr>
            <xdr:cNvPr id="0" name=""/>
            <xdr:cNvSpPr>
              <a:spLocks noTextEdit="1"/>
            </xdr:cNvSpPr>
          </xdr:nvSpPr>
          <xdr:spPr>
            <a:xfrm>
              <a:off x="2021840" y="0"/>
              <a:ext cx="9611360" cy="673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13971</xdr:colOff>
      <xdr:row>0</xdr:row>
      <xdr:rowOff>12700</xdr:rowOff>
    </xdr:from>
    <xdr:to>
      <xdr:col>2</xdr:col>
      <xdr:colOff>118110</xdr:colOff>
      <xdr:row>1</xdr:row>
      <xdr:rowOff>330563</xdr:rowOff>
    </xdr:to>
    <mc:AlternateContent xmlns:mc="http://schemas.openxmlformats.org/markup-compatibility/2006" xmlns:a14="http://schemas.microsoft.com/office/drawing/2010/main">
      <mc:Choice Requires="a14">
        <xdr:graphicFrame macro="">
          <xdr:nvGraphicFramePr>
            <xdr:cNvPr id="2" name="Stream 2">
              <a:extLst>
                <a:ext uri="{FF2B5EF4-FFF2-40B4-BE49-F238E27FC236}">
                  <a16:creationId xmlns:a16="http://schemas.microsoft.com/office/drawing/2014/main" id="{331550C4-686B-661A-B2C9-2F20DA937E78}"/>
                </a:ext>
              </a:extLst>
            </xdr:cNvPr>
            <xdr:cNvGraphicFramePr/>
          </xdr:nvGraphicFramePr>
          <xdr:xfrm>
            <a:off x="0" y="0"/>
            <a:ext cx="0" cy="0"/>
          </xdr:xfrm>
          <a:graphic>
            <a:graphicData uri="http://schemas.microsoft.com/office/drawing/2010/slicer">
              <sle:slicer xmlns:sle="http://schemas.microsoft.com/office/drawing/2010/slicer" name="Stream 2"/>
            </a:graphicData>
          </a:graphic>
        </xdr:graphicFrame>
      </mc:Choice>
      <mc:Fallback xmlns="">
        <xdr:sp macro="" textlink="">
          <xdr:nvSpPr>
            <xdr:cNvPr id="0" name=""/>
            <xdr:cNvSpPr>
              <a:spLocks noTextEdit="1"/>
            </xdr:cNvSpPr>
          </xdr:nvSpPr>
          <xdr:spPr>
            <a:xfrm>
              <a:off x="554991" y="12700"/>
              <a:ext cx="1597659" cy="65314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619760</xdr:colOff>
      <xdr:row>4</xdr:row>
      <xdr:rowOff>91440</xdr:rowOff>
    </xdr:from>
    <xdr:to>
      <xdr:col>9</xdr:col>
      <xdr:colOff>328567</xdr:colOff>
      <xdr:row>21</xdr:row>
      <xdr:rowOff>203562</xdr:rowOff>
    </xdr:to>
    <mc:AlternateContent xmlns:mc="http://schemas.openxmlformats.org/markup-compatibility/2006" xmlns:a14="http://schemas.microsoft.com/office/drawing/2010/main">
      <mc:Choice Requires="a14">
        <xdr:graphicFrame macro="">
          <xdr:nvGraphicFramePr>
            <xdr:cNvPr id="3" name="Product Type 1">
              <a:extLst>
                <a:ext uri="{FF2B5EF4-FFF2-40B4-BE49-F238E27FC236}">
                  <a16:creationId xmlns:a16="http://schemas.microsoft.com/office/drawing/2014/main" id="{E31978ED-6BB2-39B2-C203-9E699FF4F2F0}"/>
                </a:ext>
              </a:extLst>
            </xdr:cNvPr>
            <xdr:cNvGraphicFramePr/>
          </xdr:nvGraphicFramePr>
          <xdr:xfrm>
            <a:off x="0" y="0"/>
            <a:ext cx="0" cy="0"/>
          </xdr:xfrm>
          <a:graphic>
            <a:graphicData uri="http://schemas.microsoft.com/office/drawing/2010/slicer">
              <sle:slicer xmlns:sle="http://schemas.microsoft.com/office/drawing/2010/slicer" name="Product Type 1"/>
            </a:graphicData>
          </a:graphic>
        </xdr:graphicFrame>
      </mc:Choice>
      <mc:Fallback xmlns="">
        <xdr:sp macro="" textlink="">
          <xdr:nvSpPr>
            <xdr:cNvPr id="0" name=""/>
            <xdr:cNvSpPr>
              <a:spLocks noTextEdit="1"/>
            </xdr:cNvSpPr>
          </xdr:nvSpPr>
          <xdr:spPr>
            <a:xfrm>
              <a:off x="10403840" y="1203960"/>
              <a:ext cx="2040527" cy="39526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977900</xdr:colOff>
      <xdr:row>0</xdr:row>
      <xdr:rowOff>0</xdr:rowOff>
    </xdr:from>
    <xdr:to>
      <xdr:col>8</xdr:col>
      <xdr:colOff>410210</xdr:colOff>
      <xdr:row>2</xdr:row>
      <xdr:rowOff>45720</xdr:rowOff>
    </xdr:to>
    <mc:AlternateContent xmlns:mc="http://schemas.openxmlformats.org/markup-compatibility/2006" xmlns:a14="http://schemas.microsoft.com/office/drawing/2010/main">
      <mc:Choice Requires="a14">
        <xdr:graphicFrame macro="">
          <xdr:nvGraphicFramePr>
            <xdr:cNvPr id="4" name="Compensation Status 1">
              <a:extLst>
                <a:ext uri="{FF2B5EF4-FFF2-40B4-BE49-F238E27FC236}">
                  <a16:creationId xmlns:a16="http://schemas.microsoft.com/office/drawing/2014/main" id="{7A725C23-81E5-8E62-4A63-937D2AC97B2D}"/>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ompensation Status 1"/>
            </a:graphicData>
          </a:graphic>
        </xdr:graphicFrame>
      </mc:Choice>
      <mc:Fallback xmlns="">
        <xdr:sp macro="" textlink="">
          <xdr:nvSpPr>
            <xdr:cNvPr id="0" name=""/>
            <xdr:cNvSpPr>
              <a:spLocks noTextEdit="1"/>
            </xdr:cNvSpPr>
          </xdr:nvSpPr>
          <xdr:spPr>
            <a:xfrm>
              <a:off x="3012440" y="0"/>
              <a:ext cx="9437370" cy="746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963083</xdr:colOff>
      <xdr:row>0</xdr:row>
      <xdr:rowOff>31750</xdr:rowOff>
    </xdr:from>
    <xdr:to>
      <xdr:col>8</xdr:col>
      <xdr:colOff>433917</xdr:colOff>
      <xdr:row>1</xdr:row>
      <xdr:rowOff>571500</xdr:rowOff>
    </xdr:to>
    <mc:AlternateContent xmlns:mc="http://schemas.openxmlformats.org/markup-compatibility/2006" xmlns:a14="http://schemas.microsoft.com/office/drawing/2010/main">
      <mc:Choice Requires="a14">
        <xdr:graphicFrame macro="">
          <xdr:nvGraphicFramePr>
            <xdr:cNvPr id="2" name="Adj Type">
              <a:extLst>
                <a:ext uri="{FF2B5EF4-FFF2-40B4-BE49-F238E27FC236}">
                  <a16:creationId xmlns:a16="http://schemas.microsoft.com/office/drawing/2014/main" id="{A61FE856-3354-B594-5817-0EDB25EC045B}"/>
                </a:ext>
              </a:extLst>
            </xdr:cNvPr>
            <xdr:cNvGraphicFramePr/>
          </xdr:nvGraphicFramePr>
          <xdr:xfrm>
            <a:off x="0" y="0"/>
            <a:ext cx="0" cy="0"/>
          </xdr:xfrm>
          <a:graphic>
            <a:graphicData uri="http://schemas.microsoft.com/office/drawing/2010/slicer">
              <sle:slicer xmlns:sle="http://schemas.microsoft.com/office/drawing/2010/slicer" name="Adj Type"/>
            </a:graphicData>
          </a:graphic>
        </xdr:graphicFrame>
      </mc:Choice>
      <mc:Fallback xmlns="">
        <xdr:sp macro="" textlink="">
          <xdr:nvSpPr>
            <xdr:cNvPr id="0" name=""/>
            <xdr:cNvSpPr>
              <a:spLocks noTextEdit="1"/>
            </xdr:cNvSpPr>
          </xdr:nvSpPr>
          <xdr:spPr>
            <a:xfrm>
              <a:off x="2159000" y="31750"/>
              <a:ext cx="9726084"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39853</xdr:colOff>
      <xdr:row>0</xdr:row>
      <xdr:rowOff>116416</xdr:rowOff>
    </xdr:from>
    <xdr:to>
      <xdr:col>2</xdr:col>
      <xdr:colOff>529166</xdr:colOff>
      <xdr:row>1</xdr:row>
      <xdr:rowOff>634999</xdr:rowOff>
    </xdr:to>
    <mc:AlternateContent xmlns:mc="http://schemas.openxmlformats.org/markup-compatibility/2006" xmlns:a14="http://schemas.microsoft.com/office/drawing/2010/main">
      <mc:Choice Requires="a14">
        <xdr:graphicFrame macro="">
          <xdr:nvGraphicFramePr>
            <xdr:cNvPr id="3" name="Stream 1">
              <a:extLst>
                <a:ext uri="{FF2B5EF4-FFF2-40B4-BE49-F238E27FC236}">
                  <a16:creationId xmlns:a16="http://schemas.microsoft.com/office/drawing/2014/main" id="{AFE1C0D9-C081-C245-92B5-70733ACB6136}"/>
                </a:ext>
              </a:extLst>
            </xdr:cNvPr>
            <xdr:cNvGraphicFramePr/>
          </xdr:nvGraphicFramePr>
          <xdr:xfrm>
            <a:off x="0" y="0"/>
            <a:ext cx="0" cy="0"/>
          </xdr:xfrm>
          <a:graphic>
            <a:graphicData uri="http://schemas.microsoft.com/office/drawing/2010/slicer">
              <sle:slicer xmlns:sle="http://schemas.microsoft.com/office/drawing/2010/slicer" name="Stream 1"/>
            </a:graphicData>
          </a:graphic>
        </xdr:graphicFrame>
      </mc:Choice>
      <mc:Fallback xmlns="">
        <xdr:sp macro="" textlink="">
          <xdr:nvSpPr>
            <xdr:cNvPr id="0" name=""/>
            <xdr:cNvSpPr>
              <a:spLocks noTextEdit="1"/>
            </xdr:cNvSpPr>
          </xdr:nvSpPr>
          <xdr:spPr>
            <a:xfrm>
              <a:off x="283270" y="116416"/>
              <a:ext cx="1441813" cy="9313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77259</xdr:colOff>
      <xdr:row>0</xdr:row>
      <xdr:rowOff>66677</xdr:rowOff>
    </xdr:from>
    <xdr:to>
      <xdr:col>11</xdr:col>
      <xdr:colOff>285751</xdr:colOff>
      <xdr:row>2</xdr:row>
      <xdr:rowOff>338667</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131FBA10-066F-74D5-0B74-6399E1F88B7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2639676" y="66677"/>
              <a:ext cx="1436158" cy="136207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fawaz.kabeir/Desktop/All%20Product%20Cod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fine "/>
      <sheetName val="All Products"/>
    </sheetNames>
    <sheetDataSet>
      <sheetData sheetId="0" refreshError="1">
        <row r="1">
          <cell r="A1" t="str">
            <v>warehouse</v>
          </cell>
          <cell r="B1" t="str">
            <v>Location</v>
          </cell>
        </row>
        <row r="2">
          <cell r="A2" t="str">
            <v>AG</v>
          </cell>
          <cell r="B2" t="str">
            <v>Gadarif Warehouse</v>
          </cell>
        </row>
        <row r="3">
          <cell r="A3" t="str">
            <v>CA</v>
          </cell>
          <cell r="B3" t="str">
            <v>Crusher KHA- Other</v>
          </cell>
        </row>
        <row r="4">
          <cell r="A4" t="str">
            <v>CB</v>
          </cell>
          <cell r="B4" t="str">
            <v>Crusher KHN Bitar</v>
          </cell>
        </row>
        <row r="5">
          <cell r="A5" t="str">
            <v>CC</v>
          </cell>
          <cell r="B5" t="str">
            <v>Crusher PZU</v>
          </cell>
        </row>
        <row r="6">
          <cell r="A6" t="str">
            <v>CH</v>
          </cell>
          <cell r="B6" t="str">
            <v>Crusher KHN -ASVOC</v>
          </cell>
        </row>
        <row r="7">
          <cell r="A7" t="str">
            <v>CK</v>
          </cell>
          <cell r="B7" t="str">
            <v>Crusher KHA- SMA</v>
          </cell>
        </row>
        <row r="8">
          <cell r="A8" t="str">
            <v>CM</v>
          </cell>
          <cell r="B8" t="str">
            <v>Crusher OMD -Kambal</v>
          </cell>
        </row>
        <row r="9">
          <cell r="A9" t="str">
            <v>CO</v>
          </cell>
          <cell r="B9" t="str">
            <v>Crusher - OMD -ADEEB</v>
          </cell>
        </row>
        <row r="10">
          <cell r="A10" t="str">
            <v>PA</v>
          </cell>
          <cell r="B10" t="str">
            <v>Packing KHA</v>
          </cell>
        </row>
        <row r="11">
          <cell r="A11" t="str">
            <v>PC</v>
          </cell>
          <cell r="B11" t="str">
            <v>Packing PZU</v>
          </cell>
        </row>
        <row r="12">
          <cell r="A12" t="str">
            <v>SA</v>
          </cell>
          <cell r="B12" t="str">
            <v>Sifter KHA -Alsoug Almahly</v>
          </cell>
        </row>
        <row r="13">
          <cell r="A13" t="str">
            <v>SB</v>
          </cell>
          <cell r="B13" t="str">
            <v>Sifter OMD-ALGOMIA</v>
          </cell>
        </row>
        <row r="14">
          <cell r="A14" t="str">
            <v>SC</v>
          </cell>
          <cell r="B14" t="str">
            <v xml:space="preserve">Sifter PZU - Tabil </v>
          </cell>
        </row>
        <row r="15">
          <cell r="A15" t="str">
            <v>SD</v>
          </cell>
          <cell r="B15" t="str">
            <v>Sifter OMD -Tayba</v>
          </cell>
        </row>
        <row r="16">
          <cell r="A16" t="str">
            <v>SE</v>
          </cell>
          <cell r="B16" t="str">
            <v xml:space="preserve">Sifter PZU ELKHBIER </v>
          </cell>
        </row>
        <row r="17">
          <cell r="A17" t="str">
            <v>SF</v>
          </cell>
          <cell r="B17" t="str">
            <v>Sifter OMD- Khalid</v>
          </cell>
        </row>
        <row r="18">
          <cell r="A18" t="str">
            <v>SG</v>
          </cell>
          <cell r="B18" t="str">
            <v>Sifter Gadarif -Copen</v>
          </cell>
        </row>
        <row r="19">
          <cell r="A19" t="str">
            <v>SK</v>
          </cell>
          <cell r="B19" t="str">
            <v>Sifter KHA -CHU</v>
          </cell>
        </row>
        <row r="20">
          <cell r="A20" t="str">
            <v>SL</v>
          </cell>
          <cell r="B20" t="str">
            <v>Sifter OMD-ALShaikh</v>
          </cell>
        </row>
        <row r="21">
          <cell r="A21" t="str">
            <v>SM</v>
          </cell>
          <cell r="B21" t="str">
            <v xml:space="preserve">Sifter OMD -Alshafie </v>
          </cell>
        </row>
        <row r="22">
          <cell r="A22" t="str">
            <v>SN</v>
          </cell>
          <cell r="B22" t="str">
            <v>Sifter OMD - Alhelaly</v>
          </cell>
        </row>
        <row r="23">
          <cell r="A23" t="str">
            <v>SO</v>
          </cell>
          <cell r="B23" t="str">
            <v>Sifter OMD - Yara</v>
          </cell>
        </row>
        <row r="24">
          <cell r="A24" t="str">
            <v>SP</v>
          </cell>
          <cell r="B24" t="str">
            <v>Sifter PZU-Al Jawhra</v>
          </cell>
        </row>
        <row r="25">
          <cell r="A25" t="str">
            <v>SQ</v>
          </cell>
          <cell r="B25" t="str">
            <v>Sifting OMD - YAGOUB</v>
          </cell>
        </row>
        <row r="26">
          <cell r="A26" t="str">
            <v>SR</v>
          </cell>
          <cell r="B26" t="str">
            <v>Sifter KHA - Globals</v>
          </cell>
        </row>
        <row r="27">
          <cell r="A27" t="str">
            <v>TA</v>
          </cell>
          <cell r="B27" t="str">
            <v>Khartoum In transit</v>
          </cell>
        </row>
        <row r="28">
          <cell r="A28" t="str">
            <v>TC</v>
          </cell>
          <cell r="B28" t="str">
            <v xml:space="preserve">PZU In Transit </v>
          </cell>
        </row>
        <row r="29">
          <cell r="A29" t="str">
            <v>TG</v>
          </cell>
          <cell r="B29" t="str">
            <v xml:space="preserve">Gadarif In Transit </v>
          </cell>
        </row>
        <row r="30">
          <cell r="A30" t="str">
            <v>XF</v>
          </cell>
          <cell r="B30" t="str">
            <v xml:space="preserve">PZU Stuffing Warehouse </v>
          </cell>
        </row>
        <row r="31">
          <cell r="A31" t="str">
            <v>XP</v>
          </cell>
          <cell r="B31" t="str">
            <v>PZU Main Warehouse</v>
          </cell>
        </row>
        <row r="32">
          <cell r="A32" t="str">
            <v>AA</v>
          </cell>
          <cell r="B32" t="str">
            <v xml:space="preserve">Khartoum Main Warehouse </v>
          </cell>
        </row>
        <row r="33">
          <cell r="A33" t="str">
            <v>AC</v>
          </cell>
          <cell r="B33" t="str">
            <v xml:space="preserve">Port Sudan Main Store </v>
          </cell>
        </row>
        <row r="34">
          <cell r="A34" t="str">
            <v>GB</v>
          </cell>
          <cell r="B34" t="str">
            <v>Ginning Bagair</v>
          </cell>
        </row>
        <row r="35">
          <cell r="A35" t="str">
            <v>GH</v>
          </cell>
          <cell r="B35" t="str">
            <v>Ginning Hashisa</v>
          </cell>
        </row>
        <row r="36">
          <cell r="A36" t="str">
            <v>GM</v>
          </cell>
          <cell r="B36" t="str">
            <v>Ginning Madni</v>
          </cell>
        </row>
        <row r="37">
          <cell r="A37" t="str">
            <v>SH</v>
          </cell>
          <cell r="B37" t="str">
            <v xml:space="preserve">Sifter -KHA Mahasilna </v>
          </cell>
        </row>
        <row r="38">
          <cell r="A38" t="str">
            <v>SI</v>
          </cell>
          <cell r="B38" t="str">
            <v>Sifter Bahri-Libyan</v>
          </cell>
        </row>
        <row r="39">
          <cell r="A39" t="str">
            <v>JA</v>
          </cell>
          <cell r="B39" t="str">
            <v xml:space="preserve">W/H Row Khartoum - JV </v>
          </cell>
        </row>
        <row r="40">
          <cell r="A40" t="str">
            <v>JC</v>
          </cell>
          <cell r="B40" t="str">
            <v xml:space="preserve">W/H Row PZU - JV </v>
          </cell>
        </row>
        <row r="41">
          <cell r="A41" t="str">
            <v>JG</v>
          </cell>
          <cell r="B41" t="str">
            <v xml:space="preserve">W/H Row Gadarif - JV </v>
          </cell>
        </row>
        <row r="42">
          <cell r="A42" t="str">
            <v>JN</v>
          </cell>
          <cell r="B42" t="str">
            <v xml:space="preserve">W/H Row Nayala - JV </v>
          </cell>
        </row>
        <row r="43">
          <cell r="A43" t="str">
            <v>A1</v>
          </cell>
          <cell r="B43" t="str">
            <v>Khartoum In Transit PPBags</v>
          </cell>
        </row>
        <row r="44">
          <cell r="A44" t="str">
            <v>G1</v>
          </cell>
          <cell r="B44" t="str">
            <v>Gadarif In Transit PPBags</v>
          </cell>
        </row>
        <row r="45">
          <cell r="A45" t="str">
            <v>C1</v>
          </cell>
          <cell r="B45" t="str">
            <v>Port Sudan Intransit PPBags</v>
          </cell>
        </row>
        <row r="46">
          <cell r="A46" t="str">
            <v>A4</v>
          </cell>
          <cell r="B46" t="str">
            <v xml:space="preserve">Inter Segment Warehouse </v>
          </cell>
        </row>
        <row r="47">
          <cell r="A47" t="str">
            <v>NC</v>
          </cell>
          <cell r="B47" t="str">
            <v xml:space="preserve">NON Conforming </v>
          </cell>
        </row>
        <row r="48">
          <cell r="A48" t="str">
            <v>CT</v>
          </cell>
          <cell r="B48" t="str">
            <v xml:space="preserve">Crusher -KHN-  Al-Teital </v>
          </cell>
        </row>
        <row r="49">
          <cell r="A49" t="str">
            <v>SY</v>
          </cell>
          <cell r="B49" t="str">
            <v xml:space="preserve">Sifter Bayader- OMD </v>
          </cell>
        </row>
        <row r="50">
          <cell r="A50" t="str">
            <v>SZ</v>
          </cell>
          <cell r="B50" t="str">
            <v>Sifter Almarkzi-OMD</v>
          </cell>
        </row>
        <row r="51">
          <cell r="A51" t="str">
            <v>SS</v>
          </cell>
          <cell r="B51" t="str">
            <v>Sifter -Gadrif Organica</v>
          </cell>
        </row>
        <row r="52">
          <cell r="A52" t="str">
            <v>EG</v>
          </cell>
          <cell r="B52" t="str">
            <v>Export Yellow Beans</v>
          </cell>
        </row>
        <row r="53">
          <cell r="A53" t="str">
            <v>SJ</v>
          </cell>
          <cell r="B53" t="str">
            <v xml:space="preserve">New Sifter </v>
          </cell>
        </row>
        <row r="54">
          <cell r="A54" t="str">
            <v>ST</v>
          </cell>
          <cell r="B54" t="str">
            <v xml:space="preserve">Sifter -OMD - KARAR </v>
          </cell>
        </row>
        <row r="55">
          <cell r="A55" t="str">
            <v>CU</v>
          </cell>
          <cell r="B55" t="str">
            <v>Crusher -OMA- Elbalola</v>
          </cell>
        </row>
        <row r="56">
          <cell r="A56" t="str">
            <v>SW</v>
          </cell>
          <cell r="B56" t="str">
            <v>Sifter -KHA Hassabo</v>
          </cell>
        </row>
      </sheetData>
      <sheetData sheetId="1" refreshError="1"/>
    </sheetDataSet>
  </externalBook>
</externalLink>
</file>

<file path=xl/persons/person.xml><?xml version="1.0" encoding="utf-8"?>
<personList xmlns="http://schemas.microsoft.com/office/spreadsheetml/2018/threadedcomments" xmlns:x="http://schemas.openxmlformats.org/spreadsheetml/2006/main">
  <person displayName="Abdelrahman Khalid Abdelrahman" id="{7BA10891-1DAE-48F9-9C92-A59B3B9D7493}" userId="S-1-5-21-1761434112-3299324657-3318246949-2763"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elrahman Khalid Abdelrahman" refreshedDate="46009.761869097223" createdVersion="8" refreshedVersion="8" minRefreshableVersion="3" recordCount="67" xr:uid="{52C67DFA-7A37-4C28-B53E-0F8EB9C98B94}">
  <cacheSource type="worksheet">
    <worksheetSource name="Table1"/>
  </cacheSource>
  <cacheFields count="7">
    <cacheField name="warehouse" numFmtId="49">
      <sharedItems/>
    </cacheField>
    <cacheField name="product" numFmtId="49">
      <sharedItems count="7">
        <s v="IF0001"/>
        <s v="LE0001"/>
        <s v="WS0005"/>
        <s v="WS0001"/>
        <s v="PB0240"/>
        <s v="RC9008"/>
        <s v="RC0006"/>
      </sharedItems>
    </cacheField>
    <cacheField name="dated" numFmtId="0">
      <sharedItems containsSemiMixedTypes="0" containsNonDate="0" containsDate="1" containsString="0" minDate="2025-01-09T00:00:00" maxDate="2025-10-14T00:00:00"/>
    </cacheField>
    <cacheField name="transaction_type" numFmtId="49">
      <sharedItems/>
    </cacheField>
    <cacheField name="comments" numFmtId="0">
      <sharedItems/>
    </cacheField>
    <cacheField name="user_id" numFmtId="0">
      <sharedItems/>
    </cacheField>
    <cacheField name="movement_quantity" numFmtId="0">
      <sharedItems containsSemiMixedTypes="0" containsString="0" containsNumber="1" containsInteger="1" minValue="24" maxValue="360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elrahman Khalid Abdelrahman" refreshedDate="46009.761869675924" createdVersion="8" refreshedVersion="8" minRefreshableVersion="3" recordCount="180" xr:uid="{AB3EB813-9945-4944-AE06-EEBC93161D25}">
  <cacheSource type="worksheet">
    <worksheetSource name="Table5"/>
  </cacheSource>
  <cacheFields count="8">
    <cacheField name="warehouse" numFmtId="49">
      <sharedItems/>
    </cacheField>
    <cacheField name="product" numFmtId="49">
      <sharedItems count="7">
        <s v="HG0101"/>
        <s v="PP0102"/>
        <s v="SM0101"/>
        <s v="SO0101"/>
        <s v="WT0101"/>
        <s v="CO0001" u="1"/>
        <s v="SO0003" u="1"/>
      </sharedItems>
    </cacheField>
    <cacheField name="dated" numFmtId="0">
      <sharedItems containsSemiMixedTypes="0" containsNonDate="0" containsDate="1" containsString="0" minDate="2024-12-16T00:00:00" maxDate="2025-10-06T00:00:00"/>
    </cacheField>
    <cacheField name="transaction_type" numFmtId="49">
      <sharedItems/>
    </cacheField>
    <cacheField name="comments" numFmtId="0">
      <sharedItems count="25">
        <s v="001720 2025"/>
        <s v="001722 PP halfa - gornas"/>
        <s v="001722 PP.HALFA"/>
        <s v="001722 PP Halfa"/>
        <s v="001722 PP newhalfa"/>
        <s v="001722 PP new halfa"/>
        <s v="001666 FUKNAB AGRICULTURAL-"/>
        <s v="001659 FUKNAB AGRICULTURAL-"/>
        <s v="001659 LOC01193"/>
        <s v=""/>
        <s v="001666 Gadarif"/>
        <s v="001666 S164940"/>
        <s v="001659 FUKNAB AGRICULTURAL"/>
        <s v="001678 SurGUAM"/>
        <s v="001678 silo"/>
        <s v="001678 Surg"/>
        <s v="001678 SURGAUM"/>
        <s v="001678 surgam"/>
        <s v="001678 Sourgam"/>
        <s v="001678 FUKNAB AGRICULTURAL-"/>
        <s v="001675 FUKNAB AGRICULTURAL-"/>
        <s v="001675 LOC01193"/>
        <s v="001609 Supplier LOC01884" u="1"/>
        <s v="001589 Sorghum FG" u="1"/>
        <s v="001590 Sorghum RM" u="1"/>
      </sharedItems>
    </cacheField>
    <cacheField name="user_id" numFmtId="0">
      <sharedItems/>
    </cacheField>
    <cacheField name="movement_quantity" numFmtId="0">
      <sharedItems containsSemiMixedTypes="0" containsString="0" containsNumber="1" minValue="-150.28" maxValue="3287.76"/>
    </cacheField>
    <cacheField name="movement_cost" numFmtId="0">
      <sharedItems containsSemiMixedTypes="0" containsString="0" containsNumber="1" minValue="947797.31544000003" maxValue="387046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elrahman Khalid Abdelrahman" refreshedDate="46009.761869907408" createdVersion="8" refreshedVersion="8" minRefreshableVersion="3" recordCount="43" xr:uid="{AD767AC9-AB37-4BE8-9210-436BFFA27170}">
  <cacheSource type="worksheet">
    <worksheetSource name="Table3"/>
  </cacheSource>
  <cacheFields count="7">
    <cacheField name="warehouse" numFmtId="49">
      <sharedItems/>
    </cacheField>
    <cacheField name="product" numFmtId="49">
      <sharedItems count="10">
        <s v="RC0006"/>
        <s v="LE9005"/>
        <s v="LE0001"/>
        <s v="IF0001"/>
        <s v="RC9008"/>
        <s v="WS0001"/>
        <s v="WS0005"/>
        <s v="RC0004"/>
        <s v="PB0260"/>
        <s v="PB0240"/>
      </sharedItems>
    </cacheField>
    <cacheField name="dated" numFmtId="0">
      <sharedItems containsSemiMixedTypes="0" containsNonDate="0" containsDate="1" containsString="0" minDate="2024-10-07T00:00:00" maxDate="2025-01-01T00:00:00"/>
    </cacheField>
    <cacheField name="transaction_type" numFmtId="49">
      <sharedItems/>
    </cacheField>
    <cacheField name="comments" numFmtId="0">
      <sharedItems/>
    </cacheField>
    <cacheField name="user_id" numFmtId="0">
      <sharedItems/>
    </cacheField>
    <cacheField name="movement_quantity" numFmtId="0">
      <sharedItems containsSemiMixedTypes="0" containsString="0" containsNumber="1" containsInteger="1" minValue="932" maxValue="24000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delrahman Khalid Abdelrahman" refreshedDate="46009.76187037037" createdVersion="8" refreshedVersion="8" minRefreshableVersion="3" recordCount="1221" xr:uid="{00000000-000A-0000-FFFF-FFFF6D000000}">
  <cacheSource type="worksheet">
    <worksheetSource name="Table2"/>
  </cacheSource>
  <cacheFields count="28">
    <cacheField name="Month" numFmtId="0">
      <sharedItems count="12">
        <s v="Jan"/>
        <s v="Feb"/>
        <s v="Jul"/>
        <s v="Sep"/>
        <s v="Jun"/>
        <s v="May"/>
        <s v="Mar"/>
        <s v="Aug"/>
        <s v="Apr"/>
        <s v="Oct"/>
        <s v="Nov"/>
        <s v="Dec"/>
      </sharedItems>
    </cacheField>
    <cacheField name="warehouse" numFmtId="0">
      <sharedItems containsBlank="1"/>
    </cacheField>
    <cacheField name="Adj Type" numFmtId="14">
      <sharedItems containsBlank="1" count="25">
        <s v="Accumulative WH Variance"/>
        <s v="Imported Shipments Discharge Losses"/>
        <s v="Imported Shipments Shortlanded &amp; Rejections"/>
        <s v="Imported Vessels Overlanded"/>
        <s v="Insurance Cases"/>
        <s v="Non Conformity"/>
        <s v="Repacking &amp; Reprocessing"/>
        <s v="Stock Variance - Transport Excess"/>
        <s v="Stuffing Variance"/>
        <s v="Transport Loss"/>
        <s v="Transport Scale Variance"/>
        <s v="Transporter Compensation Value"/>
        <s v="Insurance Compensation Value"/>
        <s v="Imported Shipments Shortlanded &amp; Rejections Compensation Value"/>
        <s v="Product swap"/>
        <s v="Stock Correction"/>
        <m u="1"/>
        <s v="Imported Shipments Short &amp; Rejections Compensation Value" u="1"/>
        <s v="Imported Shipments Short Compensation Value" u="1"/>
        <s v="Imported Shipments Compensation Value" u="1"/>
        <s v="Import Shipments Compensation Value" u="1"/>
        <s v="Imported Shipments Shortages &amp; Rejections" u="1"/>
        <s v="Imported Vessels Overlanding" u="1"/>
        <s v="Stock Variance - Excess" u="1"/>
        <s v="Non Conformity/Repacking" u="1"/>
      </sharedItems>
    </cacheField>
    <cacheField name="Product Type" numFmtId="0">
      <sharedItems count="17">
        <s v="Cotton"/>
        <s v="Sorghum"/>
        <s v="Sugar"/>
        <s v="Rice"/>
        <s v="Flour"/>
        <s v="Lentils"/>
        <s v="Sesame Non Gadarif"/>
        <s v="Sesame Gadarif"/>
        <s v="Pigeon Peas"/>
        <s v="Chickpeas"/>
        <s v="Groundnuts"/>
        <s v="Gum Arabic"/>
        <s v="Watermelon"/>
        <s v="Value"/>
        <s v="Sesame Red"/>
        <s v="Sesame Sorted" u="1"/>
        <s v="V" u="1"/>
      </sharedItems>
    </cacheField>
    <cacheField name="product" numFmtId="0">
      <sharedItems/>
    </cacheField>
    <cacheField name="product description" numFmtId="0">
      <sharedItems containsMixedTypes="1" containsNumber="1" containsInteger="1" minValue="0" maxValue="0"/>
    </cacheField>
    <cacheField name="Short Description" numFmtId="0">
      <sharedItems containsMixedTypes="1" containsNumber="1" containsInteger="1" minValue="0" maxValue="0" count="48">
        <s v="White Cotton Seeds"/>
        <s v="Sorghum Raw"/>
        <s v="White Crystal Sugar"/>
        <s v="Rice Short Grain"/>
        <s v="White Sugar"/>
        <s v="Flour Al-Nagm (Imported)"/>
        <s v="Flour - Damaged (AF)"/>
        <s v="Lentils"/>
        <s v="Rice - Damaged"/>
        <s v="Rice Long Grain"/>
        <s v="Lentil - Damaged"/>
        <s v="Non Gadarif Sesame - Colored - Grade 2 5"/>
        <s v="Non Gadarif Sesame Colored Damage"/>
        <s v="Gadarif Sesame Raw"/>
        <s v="White Sugar - Damaged"/>
        <s v="Flour Al-Nagm (Mill)"/>
        <s v="Gadarif Sesame - FG"/>
        <s v="White Sesame Gadarif - Damage"/>
        <s v="White Sesame Non Gadarif - FG "/>
        <s v="Non Gadarif Sesame - Damage"/>
        <s v="Sorghum FG"/>
        <s v="Sorghum - Waste"/>
        <s v="Sorghum - Damage"/>
        <s v="Pigeon Peas Raw"/>
        <s v="Gadarif Sesame FG - Low Grade"/>
        <s v="Non Gadarif Sesame FG - Low Grade"/>
        <s v="Pigeon Peas FG"/>
        <s v="Pigeon Peas FG - Low Grade"/>
        <s v="Chickpeas FG"/>
        <s v="Chickpeas FG - Low Grade"/>
        <s v="HPS DAMAGE 50KG"/>
        <s v="Gum Hashab Waste"/>
        <s v="Gum Hashab Dark FG"/>
        <s v="Caked Sugar"/>
        <s v="Flour Damaged 25KG"/>
        <s v="Cotton - FG "/>
        <s v="Cotton - Waste"/>
        <s v="Rice - Waste"/>
        <s v="Watermelon Seeds Raw"/>
        <s v="Transport Loss Compensation Value"/>
        <s v="Insurance Cases Compensation Value"/>
        <s v="Imported Shipments Compensation Value"/>
        <s v="White Sugar - Coke Specs"/>
        <s v="Gum Arabic Hashab RM"/>
        <s v="Cotton FG Lower Grade"/>
        <s v="Red Sesame - FG"/>
        <s v="Red Sesame FG Lower Grade"/>
        <n v="0" u="1"/>
      </sharedItems>
    </cacheField>
    <cacheField name="Stream" numFmtId="0">
      <sharedItems count="2">
        <s v="Export"/>
        <s v="Import"/>
      </sharedItems>
    </cacheField>
    <cacheField name="dated" numFmtId="14">
      <sharedItems containsNonDate="0" containsDate="1" containsString="0" containsBlank="1" minDate="2025-01-05T00:00:00" maxDate="2025-12-17T00:00:00"/>
    </cacheField>
    <cacheField name="transaction_type" numFmtId="0">
      <sharedItems containsBlank="1"/>
    </cacheField>
    <cacheField name="comments" numFmtId="0">
      <sharedItems containsBlank="1"/>
    </cacheField>
    <cacheField name="Remarks" numFmtId="0">
      <sharedItems containsBlank="1" count="305" longText="1">
        <s v="Difference of scale appeared after sales delivery for White cotton seeds RM quantity stored in MSG Ginning New Halfa ( GL ). The total quantity delivered is 191.95 MT. Since the seeds were transferred and stored during the rainy season, it's likely they absorbed moisture over time, which accounts for the weight difference between the received and delivered quantities."/>
        <s v="Difference of scale appeared after sales delivery for White cotton seeds RM quantity stored in Gadarif warehouse ( AG ). The total quantity delivered is 198.26 MT."/>
        <s v="Weight variance shown in ABS silos after the operations are completed. It might be a result of multiple reasons which are: repacking of 5,497.96MT into 108,739 bags50 at ABS, moisture loss during storage, variance in weight measurements between receipt and dispatch for ABS-AF-Balaji sifter, or variance between the weighbridge of ABS (receive) &amp; Abohashish (release)."/>
        <s v="Weight variance shown in PZU warehouse E 6/5. After loding the last Qty in warehouse the system (XP) reflect 78.91 MT, while physical 97.55 MT has been transported to Animal Feed. It might be a result of multiple reasons;  moisture might led to weight increase, or variance between the weighbridge during loading &amp; offloading using Abohashish weighbridge. Also, there was repacking operation inside warehouse and losses in bags were written off using standard conversion (50KG)."/>
        <s v="Road shipment from Egypt, White Sugar Lot 1,2,3,4,5 Shortage 65 bags and 8 bags sample . The short quantities raised to Invictus, no compensation received for over a year"/>
        <s v="Rice Road Shipment, BL 15B Lot 4, Short landed 4 bags - Sample 4 bags - Damage 169 bags. Damage bags returned with the truck. The short and damage quantities raised to Invictus, compensation of 5,303.45 AED received."/>
        <s v="Rice Road Shipment, BL 15A Lot 3, Short landed 108 bags - Sample 2 bags - Damage 103 bags. Damage bags have been received at warehouse waiting collection by transporter. Quantities short and damage raised to Invictus waiting compensation."/>
        <s v="MV Lucky Trader - BL QTY 242,600 bags, Received sound 242,324 bags - SHORT LANDED 114 bags - Repacking Loss 155 bags, SSMO Sample 7 bags  - compensation for the shortage with amount 3,705 USD will be settled in Dubai Office"/>
        <s v="MV Lotus - BL Alnajm QTY 200,000 bags, Received sound 199,808 bags - Short Landed 63 bags - Repacking Loss 85 bags, Sayga Sample 25 bags, SSMO Sample 12 bags, Fallen in Sea 7 bags. No compensation received for this shipment."/>
        <s v="MV LORD H - BL QTY 100,000 bags, Received sound 99,935 bags - SHORT LANDED 19 bags - Repacking Loss 42 bags, SSMO Sample 4 bags. No compensation received for this shipment."/>
        <s v="MV IMA GLORY - BL QTY 150,000 bags, Received sound 149,814 bags - Short Landed 88 bags - Repacking Loss 86 bags, SSMO Sample 11 bags, Fallen in Sea 1 bags. The vessel has been released, no compensation for the rejected and the shortage"/>
        <s v="MV Honest 1 - BL QTY 240,000 bags, Received sound 239,274 bags - Short Landed 69 bags, SSMO Rejection 479 bags - Repacking Loss 128 bags, Sayga Sample 26 bags, SSMO Sample 16 bags, Fallen in Sea 8 bags.  Rejected by SSMO QTY 479 bags has been delivered to Animal feed. The rejection due to rain when the product loaded to trucks but not covered in the port."/>
        <s v="MV COPERNICO - BL QTY 200,000 bags, Received sound 199,785 bags - SHORT LANDED 64 bags / REJECTED BY SSMO 16 bags - Repacking Loss 89 bags, Sayga Sample 19 bags, SSMO Sample 19 bags fallen in Sea 8 bags. REJECTED BY SSMO will be compensated in Dubai office, no compensation for shortlanded qty"/>
        <s v="MV Cecella - BL QTY 240,000 bags, Received sound 239,758 bags - SHORT LANDED 58 bags / REJECTED BY SSMO 37 bags - Repacking Loss 107 bags, Sayga Sample 33 bags, SSMO Sample 5 bags, Fallen in Sea 2 bags  - Compensation of 388.5 USD Amount will be settled in Dubai Office for rejected QTY "/>
        <s v="MV Cecella - BL QTY 240,000 bags, Received sound 239,447 bags - SHORT LANDED 364 bags / REJECTED BY SSMO 51 bags - Repacking Loss 111 bags, Sayga Sample 22 bags, SSMO Sample 5 bags. Vessel released and no compensation expected for this loss"/>
        <s v="MV Amber - BL QTY 200,000 bags, Received sound 199,765 bags - Short Landed 14 bags, SSMO Rejection 42 bags - Repacking Loss 127 bags, Sayga Sample 34 bags, SSMO Sample 17 bags, Fallen in Sea 1 bags. Compensation of 588 USD Amount will be settled in Dubai Office"/>
        <s v="MV Amber - BL QTY 100,000 bags, Received sound 99,966 bags - Over Landed 45 bags - Repacking Loss 56 bags, Sayga Sample 10 bags, SSMO Sample 5 bags, Fallen in Sea 8 bags "/>
        <s v="MV ABRAHAM - BL QTY 140,000 bags, Received sound 139,566 bags - SHORT LANDED 272 bags - Repacking Loss 152 bags, SSMO Sample 7 bags, Fallen In Sea 3 bags. Compensation of 8000 USD Amount will be settled in Dubai Office "/>
        <s v="Lentil Road Shipment, BL 13B Lot 1, Short landed 2 bags - Sample 6 bags - Damage 29 bags. The damage rejected bags are received at our warehouses. The quantities raised to Invictus, no compensation received as the claim is less than tolerance (0.5%). Waiting quality recommendation for the damage stock."/>
        <s v="Flour barge shipment from Eqypt, BL 16729  lot 93, Over landed qty 27 bags - Sample 7 bags"/>
        <s v="Flour barge shipment from Eqypt, BL 15508 lot 81, Short landed qty 5 bags - Sample 6 bags"/>
        <s v="MV SHANGAHI - BL QTY 360,000 bags, Received sound 350,577 bags - SHORT LANDED 0 bags / REJECTED BY SSMO 9098 bags - Repacking Loss 272 bags, Sayga Sample 32 bags, SSMO Sample 15 bags fallen in Sea 6 bags. Total value of vessel variance will be compensated in Dubai office (82,451.25 USD) "/>
        <s v="MV COPERNICO - BL QTY 240,000 bags, Received sound 239,701 bags - SHORT LANDED 74 bags / REJECTED BY SSMO 35 bags - Repacking Loss 139 bags, Sayga Sample 38 bags, SSMO Sample 7 bags fallen in Sea 6 bags. REJECTED BY SSMO will be compensated in Dubai office (1,144.50 USD) "/>
        <s v="MV Amber - BL QTY 120,000 bags, Received sound 119,789 bags - Short landed 130 bags - Repacking Loss 52 bags, Sayga Sample 23 bags, SSMO Sample 5 bags, Fallen in Sea 1 bags. Compensation of 1,365 USD will be settled in Dubai office."/>
        <s v="Rice Road Shipment, BL 13C Lot 2, Short landed 3 bags - Sample 6 bags - Damage 77 bags. The damage bags are received at our warehouses. The quantities raised to Invictus, no compensation received as the claim is less than tolerance (0.5%). Waiting quality recommendation for the damage stock."/>
        <s v="Rice Road Shipment, BL 0125-00020 Lot 5, Short landed 118 bags - Damage 161 bags. Damage bags returned with the truck. The short and damage quantities raised to Invictus, compensation of 5,973.96 AED received."/>
        <s v="MV Wadi Duka, containerized shipemnt, 2 BLs: (1) BL XERNSAPSZU147/2425 QTY 13,500 bags, Received sound 13,332 bags, Torn 25 bags, Wet 110 bags - Short Landed 22 bags / Rejected by SSMO 11 bags. (2) BL BL XERNSAPSZU146/2425 QTY 13,500 bags, Received sound 13,462 bags, Torn 15 bags, Wet 5 bags - Short Landed 4 bags / Rejected by SSMO 14 bags. The short is less than tolerance 0.5%, no compensation will be received."/>
        <s v="Flour Road Shipment, BL 12A Lot 82,BL QTY 22,000- Received Sound 21,790- Short landed 16 bags - Sample 6 bags - Damage 188 bags received in Dongola warehouse. Short landed and damage bags had been reported to Invictus. 141 bags out of damage quantity had been eliminated and 47 bags had been loaded for recycling at the mill."/>
        <s v="Flour Road Shipment, BL 12B Lot 84,BL QTY 22,000- Received Sound 21,955- Short landed 3 bags - Sample 6 bags - Damage 36 bags received in Dongola warehouse. Short landed and damage bags had been reported to Invictus. 12 bags out of damage quantity had been loaded for recycling at the mill and 24 bags had been sold as sound."/>
        <s v="Flour Road Shipment, BL 12C Lot 83,BL QTY 24,200- Received Sound 24,134- Short landed 1 bags - Sample 8 bags - Damage 57 bags received in Dongola warehouse. Short landed and damage bags had been reported to Invictus. Damage bags had been loaded for recycling at the mill."/>
        <s v="Rice Road Shipment, BL 13A Lot 1, BL QTY 20,000 - Received 19,978 Short landed 4 bags - Sample 5 bags - Damage received in warehouse 13 bags . Short landed and damage bags had been reported to Invictus, no compensation will be settled because the quantity is less than tolerance."/>
        <s v="MV HAIAN GAMA BL 4015 QTY 7,000 bags, Received QTY 6,998 bags, Short landed QTY 2 bags."/>
        <s v="MV HAIAN GAMA BL 0904 QTY 14,000 bags, Received QTY 13,946 bags, Short landed QTY 54 bags."/>
        <s v="MV HAIAN GAMA BL 2146 QTY 21,000 bags, Received QTY 20,938 bags, Short landed QTY 62 bags."/>
        <s v="MV HAIAN GAMA BL 9667 QTY 28,000 bags, Received QTY 27,893 bags, Short landed QTY 107 bags. Compensation amount of 2,142.14 USD had received from Invictus."/>
        <s v="MV MAERSK JABAL BL 3928 QTY 21,000 bags, Received QTY 20,967 bags, Short landed QTY 33 bags."/>
        <s v="MV MAERSK JABAL BL 4161 QTY 21,000 bags, Received QTY 20,972 bags, Short landed QTY 28 bags."/>
        <s v="MV ZEYNEP BL 9500 QTY 28,750 bags, Received QTY 28,903 bags, Over landed QTY 153 bags."/>
        <s v="MV ZEYNEP BL 9502 QTY 30,000 bags, Received QTY 30,095 bags, Over landed QTY 95 bags."/>
        <s v="MV ZEYNEP BL 1700 QTY 25,000 bags, Received QTY 25,158 bags, Over landed QTY 158 bags."/>
        <s v="MV ZEYNEP BL 7401 QTY 31,250 bags, Received QTY 31,447 bags, Over landed QTY 197 bags."/>
        <s v="MV ZEYNEP BL 2000 QTY 15,000 bags, Received QTY 15,015 bags, Over landed QTY 15 bags."/>
        <s v="MV ZEYNEP BL 2001 QTY 30,000 bags, Received QTY 30,005 bags, Over landed QTY 5 bags."/>
        <s v="MV ZEYNEP BL 2002 QTY 30,000 bags, Received QTY 30,041 bags, Over landed QTY 41 bags."/>
        <s v="MV ZEYNEP BL 0000 QTY 25,000 bags, Received QTY 25,207 bags, Over landed QTY 207 bags."/>
        <s v="MV ZEYNEP BL 0001 QTY 25,000 bags, Received QTY 25,154 bags, Over landed QTY 154 bags."/>
        <s v="White Sesame non Gadarif FG colored grade 2 effected by rain leaked inside the warehouse in PZU, result of repacking ( 332 bags , output 323 bags, loss 3 bags and downgrade 6 bags classified as 5 waste and one bag bad odor, should be sold as locally ) in PZU warehouse. The 6 bags downgrade has been sold at 10,000 SDG per bag, total 60,000 SDG. Related NC No 170. This is a part of rain damage claim 2024."/>
        <s v="Truck transporting sesame from Gadarif to Portsudan was involved in an accident in Khashm Algirba (driver name: Oshik Mohamed, Plate number: 300, Waybill:5341), police report shared, Damage QTY 1.94MT/Loss 0.16MT. Compensation of 3,149.46 USD received from insurance company."/>
        <s v="Truck Accident was Jun 2023 happened in Alagba area during transit from Omdurman to Portsudan, Police report done and shared, loading Rice QTY 2000 bags 25KG, Head; 11834 Trial:11546 PZU, total loss 166 bags, transporter: Rabia , GTN no 1845, shared liability letter with insurance on 6 may 2024. Comepnsation of 4,422.24 USD received from insurance company."/>
        <s v="Truck accident on July 2023 happened in Drdreb area during transit from Omdurman to Gadarif, Police report done and shared , loading Sugar 800 bags 50KG, Truck Head 11897 Traill:7133,  loss of 205 bags (total loss 166 bags, damage 39 bags) , transporter name: Raiba_x000a_GTN no 1659, shared liability letter with insurance team on 6 may 2024."/>
        <s v="The truck transporting Wheat Flour Elnagm from Portsudan to Kosti was involved in an accident, Driver name: Ibrahim Abdulla Truck Number:25613 BL:19574, cross-loading to truck No. 14803, compensated by insurance 16,142.71 USD."/>
        <s v="The quantities of wet bags of white sesame Gadarif are effected by rain during storage in the PZU warehouse A13. Transferred for resifting at Balaji, is result of resifting ( input 4589 bags , output 4572 bags, and downgrade 17 bags classified as 12 waste with 5 bags bad odor, should be sold as locally. Related NC No 169. This is a part of rain damage claim 2024."/>
        <s v="The quantities of wet bags of white sesame Gadarif are effected by rain during storage in the PZU warehouse A13. Transferred for resifting at Balaji, is result of resifting ( input 282 bags , output 281 bags,  downgrade one bags classified as waste, should be sold as locally). Related NC 168. Case reported to insurance. This is a part of rain damage claim 2024."/>
        <s v="The quantities of wet bags of white sesame Gadarif are effected by rain during storage in the PZU warehouse A13. Transferred for resifting at Balaji, is result of resifting ( input 1873 bags , output 1850 bags, loss 5 bags and downgrade 18 bags classified as 14 waste, with 4 bags bad odor should be sold as locally.) Related NC 167. This is a part of rain damage claim 2024."/>
        <s v="Sorghum qty  have been classified as downgraded stock: 4 bags FG wet by rain and 8.66 MT raw [consisting of 2.45 MT wet and 6.21 MT waste from repacking and warehouse cleaning] at the PZU warehouses , under NC’s (No. 88,89,89B,13,157,18 and 19). The wet effected stock (4 bags FG, 2.45 MT raw) has been reported to insurance company.  The quantity of raw (8.66 MT)  was sold in the local market at a multiple price of (101,351.35 , 449,880.55 and 600,000 ) SDG Per MT with a total value of 3,842,000 SDG. The quantity of 4 bags was sold in the local market at a price of 25.000 SDG Per MT, with a total value of 100,000 SDG. This is a part of rain damage claim 2024."/>
        <s v="Quantity of 28 bags pigeon peas were reported stolen from the Gadarif warehouse. The case details and police report submitted to insurance, compensation of 2,957.14 USD received from insurance company."/>
        <s v="A quantity of 947 bags of White sesame Gadarif FG 50KG stock stored in multiple warehouses in PZU was classified as deteriorated due to exposure to heavy rains leaked inside the warehouse. Related NCs No. (98,111A,144,149,159,163 and 111B), it has been sold locally and delivered to the customer at total amount 96,594,000 SDG. This is a part of rain damage claim 2024."/>
        <s v="A quantity of 174 bags of White sesame Non Gadarif FG 50KG stock stored multiple warehouses in PZU  was classified as deteriorated due to exposure to heavy rain leaked inside the warehouse. Related NC No. (112A,112B and146 ), it has been sold locally and delivered to the customer, with a total value of 17,400,000 SDG. This is a part of rain damage claim 2024."/>
        <s v="4007 bags of Pigeon Peas FG 50KG stock located at the Khabier 47 warehouse in PZU, was classified as deteriorated due to damage by rain leaked inside the warehouse. Related NCs No 142. Local sales: 1,324 bags were sold locally at a unit price of 105,000 SDG per bag, while the remaining 2,683 bags were sold locally at a unit price of 41,000 SDG per bag, resulting in a total value of 249,023,000 SDG. This is a part of rain damage claim 2024."/>
        <s v="282 bags rice short grain damage at warehouse due to bad roof and considered as animal feed by SSMO. This QTY has been expired since sep-24. Sold as downgrade in local market with total value 7,050,000 SDG. This is a part of rain damage claim August 2024."/>
        <s v="240 bags of Chick Peas FG 50KG stock located at the Khabier 47 warehouse in PZU, was classified as deteriorated due to damage by rain leaked inside the warehouse. Related NCs No 106, 189. Local sales: 240 bags were sold at a unit price of SDG 121,000 per bag, The total sales value amounts to 29,040,000 SDG. This is a part of rain damage claim 2024."/>
        <s v="This Quantity 1,700 bags were found wet in Emarat 3 warehouse due to rainwater. The proposed action made by quality team is to sell it as animal feed. 10,200,000 SDG was the sale price (6,000 SDG/bag). Part of this quantity 1468 bags (totaling 88,080,000 SDG) were reported to the insurance. NC NO 143 &amp; 29. This is a part of rain damage claim August 2024."/>
        <s v="Out of 163,464 bags produced in the facility KH 145, there were 317 bags affected by rain and after sorting 312 bags were found sound and 5 bags were damaged and not fit for export. These 5 bags were directed to be sold in local market however, no bid was received because of their high deterioration. Their condition would not allow to transfer them to another warehouse.The quantity has been reported to insurance and total claim of 173.30 USD was received. "/>
        <s v="Sorghum qty  have been classified as downgraded stock: 4 bags FG wet by rain and 8.66 MT raw [consisting of 2.45 MT wet and 6.21 MT waste from repacking and warehouse cleaning] at the PZU warehouses , under NC’s (No. 88,89,89B,13,157,18 and 19). The wet effected stock (4 bags FG, 2.45 MT raw) has been reported to insurance company.  The quantity of raw (8.66 MT)  was sold in the local market at a multiple price of (101,351.35 , 449,880.55 and 600,000 ) SDG Per MT with a total value of 3,842,000 SDG. The quantity of 4 bags was sold in the local market at a price of 25.000 SDG Per MT, with a total value of 100,000 SDG."/>
        <s v="Gum Arabic hashab quantity previously classified as waste of repacking has been exported (PC No 1242), the nature of the product is gum Arabic hashab dark color. The quantity was a result of repacking operation in 2022 done for old gum arabic stock stored in PZU warehouse (In: 13,459 Bags, output 10,178 Bags, losses 312 Bags, waste 2,969 Bags ). The color of the gum arabic changes after long storage period. 2750 bags (138.78MT) have been exported of the total 2969 bags (148.45MT)"/>
        <s v="Flour damage by rain in the port from MV NOUR ALhouda and delivered to Animal feed"/>
        <s v="Crystal sugar stock qty  has been expired and found caked at Portsudan warehouse, quality recommendation is to sell as downgrade and considered as animal feed by SSMO. The quantity of 2,412 bags was sold in the local market at a unit price of 77,000 SDG Per bag with a total value of 185,724,000 SDG. "/>
        <s v="4 bags Eliminated  QTY due to damage by mouse/rodent in Kassala warehouse, NC No 1"/>
        <s v="3900 bags of Chick Peas FG 50KG  stock located at the Khabier 47 warehouse in PZU, was classified as deteriorated due to long storage. Related NCs No 6. Local sales at a unit price of SDG 85,000 per bag. The total sales value amounts to SDG 331,500,000."/>
        <s v="3.915 bags of Pigeon Peas FG 50KG  stock located at the Khabier 47 warehouse in PZU, was classified as deteriorated due to damage by long storage. Related NCs No 7. Local sales at unit price of 76,000 SDG per bag, amounting to a total value of 297,540,000 SDG. "/>
        <s v="1513 bags rice short grain damage at warehouse due to bad roof and considered as animal feed by SSMO. This QTY has been expired since sep-24. Sold as downgrade in local market with total value 37,825,000 SDG. "/>
        <s v="This Quantity was part of a total of 91,293 bags received in Rabak warehous. 95 bags were defected by rodent due to lack of rat traps. The quantity was eliminated by authorities. NC NO 6"/>
        <s v="This quantity is part of 20,707 bags of sugar evacuated from OMD to Sinnar. 846 bags found cake and expired, 621 out of it has been sold as cake. The Deal amount 49,680,000 SDG with unit price 80,000 per bag. Related NC No 3 and 4."/>
        <s v="This Quantity of 17 bags from different brands were found caked in Bond area warehouse during storaging. The proposed action made by quality team is to sell it in its current state. 1,309,000 SDG was the sale price (77,000 SDG/bag). NC NO 23 A,B,&amp;C"/>
        <s v="This Quantity of 2,763 bags was part of 154,000 bags evacuated from OMD and received in KH 159 warehouse PZU, and it found caked and torn during storaging. The proposed action made by quality team is to sell it as animal feed. 212,751,000 SDG was the sale price (77,000 SDG/bag). NC NO 2024-2"/>
        <s v="This Quantity of 3,851 bags (White crystal sugar,Indian sugar) was part of 87,000 bags that evacuated from OMD and received in Gadarif warehouse, and it found caked and torn because of its expoture to sunlight and rain. The proposed action made by quality team is to sell it as animal feed. The price per bag was 33,000 SDG upon delivery the weight of trucks was less than the standard weight (variance was eq. to 377 bags) therefore the total value was 114,534,493.7791 SDG. the system sale price was  (29,741.4941 SDG/bag) to account for the weight variance. NC NO 2024-2."/>
        <s v="This Quantity 1,700 bags were found wet in Emarat 3 warehouse due to rainwater. The proposed action made by quality team is to sell it as animal feed. 10,200,000 SDG was the sale price (6,000 SDG/bag). Part of this quantity 1468 bags (totaling 88,080,000 SDG) were reported to the insurance. NC NO 143 &amp; 29"/>
        <s v="This Quantity was part of a total of 28,000 bags evacuated from OMD to Managil warehous. 249 bags were found caked and torn and eliminated by authorities."/>
        <s v="This Quantity was part of a total of 12,500 bags received in Managil warehous. 32 bags were found expired therefore they were eliminated by authorities. NC NO 1"/>
        <s v="This Quantity of 871 bags crystal sugar was part of 22,000 bags evacuated from OMD and received in KH 159 warehouse PZU, and it found caked and torn during storaging. The proposed action made by quality team is to sell it as animal feed. 67,067,000 SDG was the sale price (77,000 SDG/bag). NC NO 2024-3"/>
        <s v=" 340 bags were recevied with fingul growth and unfit for human consumption (NC: 13 &amp;14). These 340 bags were sold as animal feed for (12,000 SDG/Bag) total amount of 4,080,000 SDG."/>
        <s v="Out of 281,312 bags old stock of Sugar received at PZU warehouses, a quantity of 17 bags found damaged and decision made was to sell it as it is. It was sold for (41,176.47 SDG/bags) total amount of 700,000 SDG."/>
        <s v="White Sesame Non-Gadarif FG torn during handling, repacking results  (17 bags, sound 16 bags, 1 bag with a loss of 37 kg, 13 kg remaining) in the stuffing yard. Related NC no 8. (SMA Stocks)"/>
        <s v="White Sesame non Gadarif FG, 67 bags torn during loading and offloading, the result of repacking ( 67 bags , output 62 bags, loss 2 bags and downgrade 3 bags classified as waste, should be sold as locally ) in PZU warehouse. Related NC No 161."/>
        <s v="White Sesame non Gadarif FG, 253 bags defected during loading and offloading, the result of repacking ( 253 bags , output 249 bags, downgrade 4 bags classified as waste, should be sold as locally ) in PZU warehouse. Related NC No 170A."/>
        <s v="White Sesame Gadarif FG, effected during loading and offloading, the result of repacking ( 436 bags , output 416 bags, loss 16 bags and downgrade 4 bags classified as waste, should be sold as locally ) in PZU warehouse."/>
        <s v="White Sesame Gadarif FG, 488 bags defected during loading and offloading, the result of repacking ( 488 bags , output 479 bags, downgrade 9 bags classified as waste ) in PZU warehouse. Related NC No 170."/>
        <s v="White Sesame Gadarif FG torn during handling, repacking results ( 242 bags , sound 233 bags, and 9 bags classified as waste, should be sold as locally ) in PZU warehouse E3. Related NC No 4. (SMA Stocks)"/>
        <s v="This defected Quantity(192 bags) was part of a total of 26,892 bags received in the Kh48, from PO 1627. the result of repacking (sound =166 bags/ bags/ loss = 26 bags) NC No 134"/>
        <s v="This defected Quantity (40 bags) was part of a total of 21,949  bags received in the Kh48, from PO 1656. the result of repacking (sound =37 bags/ bags/ loss = 3 bags) NC 135"/>
        <s v="This defected Quantity (317 bags) was part of a total of 26,726 bags received in the Kh48, from PO 1626. the result of repacking (sound =269 bags/downgrade =9 bags/ loss = 39bags). NC No 133"/>
        <s v="Repacking loss due to the offloading of containers to warehouse. Total defected QTY 756 bags of lentil was part off 156,400 bags received from multiple shipments. Repacking results (In 756 bags, Sound 677 bags , loss 79 bags). (the percentage of sound QTY/Defected QTY= 90%)."/>
        <s v="Defected quantity (30 bags) torn during offloading of containers was part of a total of 75,000 bags received in the E2, from PO 1573 the result of repacking (sound =25 bags/ loss =5 bags). Related NC No 174"/>
        <s v="Defected QTY (24) bags, it was part of 12,500 bags received in Al Dabba from PO 1657. The result of repacking  (Sound=23 bags/ loss=1 bags/ waste= 0 bag). Related NC No 22"/>
        <s v="Defected QTY (206) bags, and it was part of 20,000 bags received in ALDabba from PO 1648. The result of repacking (Sound=202 bags/ loss=4 bags/ waste= 0 bag). NC NO 21"/>
        <s v="Cotton stock (153 bales = 28.92 MT) in multiple warehouses in PZU have been classified as downgraded stock after recompressing operation. Consisting of: 96 wet bales and 57 waste bales, under NC’s (No. 222,107). This quantity in addition to previous recompressing waste of 0.48 MT, total of ( 29.40 MT ) was sold in the local market at a unit price of 1,620,000 SDG per (MT), with a total value of 49,053,600 SDG . After delivery the total was 30.28 MT."/>
        <s v="33 bags of KSA sugar defected and with torned sewing at Shandi warehouse. has been reweighed and repacked resulted in (32 bags sound, 1 bag loss). Related NC no 27."/>
        <s v="132 bags loss out of 1,571 bags of sorghum raw (in 50kg bags) torn during handling in E 6/5 PZU warehouse. they were part of a total of 74,050 bags delivered to Balaji sifter. the result of repacking (in: 1,571 bags, out sound: 1,430 bags, downgrade 7 bags, loss 132 bags, and waste mixed with soil 2 bags. NC No 13,87,105,&amp;157. Waste quantity was adjusted seprately in its actual weight as per weight slip when delivered to local sale."/>
        <s v="Out of 170,590 bags of sugar there were 401 bags found defected, they were repacked and the result was: sound=324 bags/ loss=54 bags / waste= 23 bags. Waste bags were sold for (41,176.47 SDG/bags) total amount of 947,058.82 SDG."/>
        <s v="Out of 21,487 bags of sugar there were 98 bags found defected, they were repacked and the result was: sound=61 bags/ loss=9 bags / waste= 28 bags. Waste bags was sold for (41,176.47 SDG/bags) total amount of 1,152,941.176 SDG."/>
        <s v="After 43,400bags of lentils were discharged from containers at warehouse E2, 383 bags were found torn, they were repacked and the result was: sound=315 bags/ loss=58 bags / waste= 10 bags (the waste was packed in 4 bag50kg). Waste quantity was sold for (10,000 SDG/bag) total amount of 60,000 SDG. (NC;11 &amp;20)"/>
        <s v="Defected Qty of 233 bags sesame was part of 44,252 bags received in warehouse KH39, the reason of defect was normal operations of loading &amp; offloading, the quantity was repacked and the result was: sound=225 bags / waste= 8 bags. Waste bags was sold for (60,000 SDG/bags) total amount of 480,000 SDG. NC;44"/>
        <s v="Out of 20,000 bags of Rice were received at warehouse KH48, there were 50 bags found torn because of normal operation loading &amp; offloading, they were repacked and the result was: sound=43 bags/ loss=3 bags / waste= 4 bags (the waste was packed in 2 bag50kg). Waste quantity was sold for (18,000 SDG/bag) total amount of 72,000 SDG."/>
        <s v="Out of 18,063 bags of Sorghum RM received in warehouse E6/5 there were 192 bags found defected because of poor handling (loading &amp; offloading), they were repacked and the result was: sound=187 bags/ loss=4 bags / waste= 1 bag. Waste bag was reported to  committee for selling."/>
        <s v="Total of 312 bags part of flour road shipments were received in New Halfa with sewing issues and damage due to handling, after sorting and repacking there were 9 bags loss and 21 classfied as wet bags (NC: 10,11,&amp;12).These 21 wet bags were sold as animal feed for (12,000 SDG/Bag) total amount of 252,000 SDG."/>
        <s v="Out of 21,949 bags of Rice received in warehouse KH48 there were 284 bags found defected because of normal operations of loading &amp; offloading, they were repacked and the result was: sound=271 bags /loss = 8 bags/ waste= 5 bags. Waste bags were sold for (18,000 SDG/bags) total amount of 90,000 SDG."/>
        <s v="After 43,400bags of lentils were discharged from containers at warehouse E2, 179 bags were found torn, they were repacked and the result was: sound=147 bags /loss = 12 bags/ waste= 20 bags. Waste bags were sold for (10,000 SDG/bags) total amount of 200,000 SDG. (NC; 9 &amp; 15)"/>
        <s v="Out of 43,400 bags of Lentil received in warehouse E2 there were 90 bags found torn because of loading &amp; offloading, they were repacked and the result was: sound=83 bags/ loss=7 bags"/>
        <s v="Transportation excess bags received as per waybill"/>
        <s v="Packing weight adjustment in stuffing warehouse for Cotton shipment PC 1240.2 "/>
        <s v="Packing weight adjustment in stuffing warehouse for Cotton shipment PC 1240.1"/>
        <s v="Packing weight adjustment in stuffing warehouse for Cotton shipment PC 1248.1"/>
        <s v="Packing weight adjustment in stuffing warehouse for Cotton shipment PC 1240.3"/>
        <s v="Truck, waybill 5230, loading sesame from Gadarif to PZU has 9 bags rejected by quality as it has been mixed with gasoline. Loaded 500 bags/44.06 MT, Received 491 bags/43.12 MT, losses 9 bags to be deducted 0.94 MT."/>
        <s v="Truck Waybill 5338, loading sesame from Gadarif to Portsudan (550 raw bags, received 548 bags), in MT (loaded 48.56 MT, received 48.32 MT, loss 0.24 MT). "/>
        <s v="Truck Waybill 5212, loading sesame from Gadarif to Portsudan (550 raw bags, received 550 bags), in MT (loaded 48.34 MT, received 47.82 MT, variance 0.52 MT, tolerance 0.35 MT, loss 0.17 MT). "/>
        <s v="Truck Waybill 5181, loading sesame from Gadarif to Portsudan (550 raw bags, received 550 bags), in MT (loaded 51.58 MT, received 50.8 MT, variance 0.78 MT, tolerance 0.35 MT, loss 0.43 MT). "/>
        <s v="Truck Waybill 5107, loading sesame from Gadarif to Portsudan (550 raw bags, received 549 bags), in MT (loaded 51.58 MT, received 51.34 MT, variance 0.24 MT, tolerance 0.146 MT, loss 0.094 MT). "/>
        <s v="Transportion losses as per waybill"/>
        <s v="Weight variance of 20 trucks received at sifter ( Balaji ) in PZU from Gadarif warehouse, reported 2 bags losses in truck 9763, for which a debit note has been issued, the remaining 19 trucks all bags received complete at sifter. (Loaded 10,900 bags / 990.22 MT, Received 10,898 bags / 991.4 MT, Variance 2 bags / 1.18 MT)"/>
        <s v="Weight variance of 45 trucks received at the sifter (Balaji-1 and Balaji-2) in PZU from the Gadarif warehouse. All bags were received completely at the sifters"/>
        <s v="Weight variance of 40 trucks received at the sifter (Balaji-1 and Balaji-2) in PZU from Gadarif warehouse. All bags received complete at the sifter (Loaded 20,800 bags / 1,843.56 MT, Received 20,800 bags / 1,841.50 MT)"/>
        <s v="Weight variance of 29 trucks received at sifter ( Balaji ) in PZU from Gadarif warehouse, all bags received completely in sifter (Loaded 15,550 bags / 1,409.3 MT, Received 15,550 bags / 1,408.84 MT)"/>
        <s v="Weight variance of 23 trucks received at sifter in PZU from Gadarif warehouse, all bags received completely in sifter with 2 bags excess in truck 10331. (Loaded 11,744 bags / 1020.98 MT, Received 11,746 bags / 1024.2 MT, Variance 2 bags / 3.22 MT gain)"/>
        <s v="Weight scale difference ( Loss ) of 2 trucks received in PZU facility ( Balaji ) from Gadarif. (Loaded 800 bags / 74.82 MT, Received 800 bags / 74.68 MT, Variance 0.14 MT )"/>
        <s v="Weight scale difference ( Gain ) for one truck received in PZU sifter Balaji from Gadarif. Waybill 5223, Plate 13825 (Loaded 142 bags/13.916 MT, Received 142 bags/14.02 MT, Variance 0.104 MT)"/>
        <s v="Weight scale difference ( Gain ) for one truck received in PZU from Gadarif ginning ( Al-hori ), all bales received complete at the warehouse. Waybill 5242, Plate 32248 (Loaded 128 bales / 23.36 MT, Received 128 bales/ 23.46 MT, Variance 0.1 MT )"/>
        <s v="Weigh variance of 3 trucks 1.01 MT received in PZU from Gadarif metalic silo to PZU ( Animal feed ). Loaded 3000 bags / 152.57 MT, Received 3000 bags, 153.58 MT, Variance 1.01 MT gain"/>
        <s v="Weight variance of 9 trucks received at PZU warehouse A13 from Gadarif warehouse, reported 1 bags losses in truck 5121, for which a debit note has been issued, the remaining 8 trucks all bags received complete at warehouse. (Loaded 9000 bags / 449.33 MT, Received 8999 bags / 453.16 MT, Variance 1 bags / 3.83 MT)"/>
        <s v="The compensation value for imported products transportation loss"/>
        <s v="The compensation value for export commodities transportation loss"/>
        <s v="The compensation value for export commodities insurance cases, total amount  276,358 USD"/>
        <s v="The compensation value for imported products insurance cases, total amount 70,019 USD"/>
        <s v="The compensation value for imported shipments shortlanded and SSMO rejections, total amount 7,247 USD"/>
        <s v="Out of 20,000 bags of rice recevied from road shipment in Pzu warehouse there were 4 bags found wet. They were sold as animal feed for (18,000SDG/bag) total amount of 72,000SDG."/>
        <s v="Out of 99,875 bags received under different BLs in PZU warehouse, there were 610 wet bags and recommended action was to be sold as animal feed, they were sold for (18,000SDG/bag) total amount of 10,980,000SDG."/>
        <s v=" Out of 140,000 bags from MV Lotus shipment received in PZU warehouse there were 754 bags of sugar were effected by rain at the port in 2022 and downgraded according to the QA recommendation. In 2025 the quantity was sized by SSMO then 432 bags found sound and released . 322 bags were sold as animal feed for (100,000SDG/bag) for total amount of 3,220,000SDG."/>
        <s v="Out of 356,197 bags of lentil that were offloaded from containers in PZU warehouses, there were 1,716 bags (NC no. 10, 14, 24, &amp; 132, 26, 27, 47, 48, 49, 51, 52, 53, 55, &amp; 175) found defected and need repackging. The result is: sound= 1,395bags - loss=236 bags - waste=55 bags - downgraded=25 bags - Wet=5 bags(downgraded). The waste &amp; downgraded bags were sold for (10,000 SDG/bag)  total amount of 850,000SDG."/>
        <s v="1,234 bags had been delivered to Animal Feed under deal number 3-2025-67. Swapping codes and unit of measure from Bag to Ton is required to transfer via intersegment by Ton to comply with the receiving records on Animal Feed."/>
        <s v="MV TORO-Lentil Shipment BL 2578 QTY 28,000 bags - Received =27,959 bags-Sound=27,865 bags- Torn= 84bags- Wet=10bags- Short landed 41 bags"/>
        <s v="MV TORO-Lentil Shipment BL 3124 QTY 12,600 bags - Received=12,591 bags -Sound=12,556 bags- Torn= 35bags- Short landed= 9 bags"/>
        <s v="Swapping 3 bags in Dabba WH from the code of imported flour to the code of local produced in mill. Swapping is required to align the physical stock with system records."/>
        <s v="MV TORO-Lentil Shipment BL 2560 QTY 28,000 bags - Received =27,966 bags-Sound=27,923 bags- Torn= 43bags- Short landed 34 bags"/>
        <s v="MV TORO-Lentil Shipment BL 3107 QTY 28,000 bags - Received=27,938 bags-Sound=27,893 bags- Torn= 34bags- Wet =11bags- Short landed=62 bags"/>
        <s v="MV HAIAN GAMA-Lentil Shipment BL 2856 QTY 26,600 bags - Received =26,576 bags- Sound=26,463 bags- Wet= 12 bags- Torn= 80bags- Short landed=24 bags - Rejected by SSMO=21 bags"/>
        <s v="MV HAIAN GAMA-Lentil Shipment BL 7984 QTY 28,000 bags - Received =27,985 bags- Sound=27,944 bags- Torn= 41bags- Short landed=15 bags"/>
        <s v="MV HAIAN GAMA-Lentil Shipment BL 0297 QTY 15,400 bags - Received =15,355 bags- Sound=15,299 bags- Torn= 56bags- Short landed=45bags"/>
        <s v="MV HAIAN GAMA-Lentil Shipment BL 6700 QTY 1,400 bags - Received =1,402 bags- Sound=1,399 bags-Torn= 3 bags- Over landed=2 bags"/>
        <s v="Weight variance of 20 trucks delivered from Gadarif ABS and received at Khartoum for Animal feed, number of delivered bags was received complete  (Loaded 20,000 bags / 999.62 MT, Received 20,000 bags / 998.79 MT) Variance= 0.83 MT (loss)"/>
        <s v="Out of 440 bags of caked sugar in PZU warehouse, there were 41 bags had been reassessed by quality team and classified sound"/>
        <s v="MV HAIAN GAMA-Lentil Shipment BL 2754 QTY 9,800 bags - Received =9,795 bags- Sound=9,784 bags- Torn= 11bags- Short landed=5bags (less than tolerance)"/>
        <s v="MV HAIAN GAMA-Lentil Shipment BL 0255 QTY 28,000 bags - Received =27,945 bags- Sound=27,892 bags- Torn= 51bags- Wet= 2bags- Short landed=55bags. Compensation value of 1101.1 USD had been received for the short landed"/>
        <s v="MV HAIAN GAMA-Lentil Shipment BL 1429 QTY 21,000 bags - Received =20,968 bags- Sound=20,933 bags- Torn= 35bags- Short landed=32bags. Compensation value of 604.078 USD will be received for the short landed"/>
        <s v="MV HAIAN GAMA-Lentil Shipment BL 1936 QTY 28,000 bags - Received =27,995 bags- Sound=27,935 bags- Torn= 60bags- Short landed=5bags (less than tolerance)"/>
        <s v="Out of 75,000 bags of lentil recevied from containers shipment in PZU warehouse there were 58 bags found wet, they were reported to supplier. The bags were sold as animal feed for (10,000SDG/bag) total amount of 580,000SDG."/>
        <s v="Out of 237 bags of damge sugar in Dongola WH that had been sold, there were 2 bags reported as loss (Kunasa) according to the updated NC from. They were eliminated by logistic warehouse."/>
        <s v="Weight variance of 4 trucks delivered from Kosti warehouse and received at Khartoum-Albagair WH, number of delivered bags was received complete  (Loaded 2,442 bags / 232.858 MT, Received 2,442 bags / 237.308 MT) Variance= 4.45 MT"/>
        <s v="Weight variance shown in Kosti warehouse (AK). Total received Qty in warehouse is 234.184 MT, Variance is 1.326MT Percentage 0.56%. The physical loaded qty is 232.858 MT has been transported to Khartoum-Albagir. It might be a result of multiple reasons;  moisture loss from commodity might led to weight decrease, or variance between the method used in receiving (manual weighing ) because there was no operating weightbridge at that time, then Mashrega weighbridge starts to operate during delivering and used to weight "/>
        <s v="Out of 38,520 bags recevied in Dabba warehouse, there were 50 bags part of quantity delivered from PZU mill to customer in Dabba and found cake because of immediate covereing after production and loading. Upon arrival the customer rejected the quantity and returned it to Dabba WH. They were intended to be sold as animal feed, however there was no bidder to buy untill the expiration date. Therefore, they were eliminated."/>
        <s v="After delivering all physical stock of sorghum RM in the warehouse E6/5 from total receving of 4,975.60 MT. The system was reflecting a quanitiy of 0.15 MT while there were physical 18 bags (0.69 MT) classified as waste and mixed with soil  during warehouse cleaning (Kunasa)-NC 68. The total waste quntity was sold for (600,000 SDG/TON) total amount of 414,000 SDG."/>
        <s v="MV SSL BRAHMAPUTRA -Rice Shipment BL 0094 QTY 27,000 bags - Received =26,917 bags- Sound=26,873 bags-Wet= 4 bags -Torn= 40bags- Short landed=83bags. The shortlanded and wet bags had been reported to Invictus."/>
        <s v="After selling the remaing physical stock of Cotton in PZU warehouse (XP) as downgraded product (discolor and high trash because of long storaging), the confirmed delivered quantity to customers was 40.62 MT however, the system was reflecting a balance of 22.531 MT for Cotton FG. The ecxess variance is 18.089 MT and it might be due moisture gain and weighbridge variations - Abo hashish weighbridge (used in receiving and delivering the product across several years). related NC no 33A"/>
        <s v="MV ZENYEP -Lentil Shipment BL 6100 QTY 25,000 bags - Received =25,109 bags- Sound=25,022 bags-Wet= 7 bags -Torn= 80bags- overlanded=109 bags. The torn bags had been reported to Invictus."/>
        <s v="MV ZENYEP -Lentil Shipment BL 6101 QTY 25,000 bags - Received =25,099 bags- Sound=25,039 bags -Torn= 60bags- overlanded=99 bags. The torn bags had been reported to Invictus."/>
        <s v="MV ZENYEP -Lentil Shipment BL 1600 QTY 25,000 bags - Received =25,083 bags- Sound=25,041 bags -Torn= 42bags- overlanded=83 bags. The torn bags had been reported to Invictus."/>
        <s v="MV ZENYEP -Lentil Shipment BL 1700 QTY 25,000 bags - Received =25,059 bags- Sound=25,018 bags -Torn= 41bags- overlanded=59 bags. The torn bags had been reported to Invictus."/>
        <s v="Total quantity recived in Gadarif warehouse of sorghum RM is 1,733.428 MT under PO 1678, while the actual quantity delivered to customer is 1,744.56 MT reflecting excess variance of 11.132 MT, due moisture gain and weighbridges variation, Mahjob Awlad weighbridge (receiving) Oraganica and ABS weighbridge (delivering)"/>
        <s v="Out of 20,707 bags of sugar received in Sinnar warehouse - different brands , there were 349 bags classifed as caked (WS0001) NC 3 and 497 bags (WS0008) NC 4. Quality decision is to be sold as it is, then the decision for 127 bags of crystal sugar ( WS0008) and 98 bags of white sugar (WS0001) was changed to be eleminated due to no selling offer. The percentage of eliminated quantity from total receving is 1.08%"/>
        <s v="Out of 8,800 bags of sesame GDP FG received in Balaji form warehouse KH39 for re-sifting, there were 256 bags found torn NC 73. The result of repacking is: sound 253 bags - loss 3 bags"/>
        <s v="MV JPO VENUS -Lentil Shipment BL 7401 QTY 14,000 bags - Received =13,972 bags- Sound=13,954 bags -Torn= 18 bags- shortlanded=28 bags. The shortlanded and torn bags had been reported to Invictus."/>
        <s v="MV JPO VENUS -Lentil Shipment BL 8012 QTY 28,000 bags - Received =28,019 bags- Sound=27,975 bags -Torn= 44 bags- overlanded=19 bags. The torn bags had been reported to Invictus."/>
        <s v="MV JPO VENUS -Lentil Shipment BL 9778 QTY 8,400 bags - Received =8,418 bags- Sound=8,395 bags -Torn= 23 bags- overlanded=18 bags. The torn bags had been reported to Invictus."/>
        <s v="MV Newstriver -Lentil Shipment BL 1094 QTY 25,000 bags - Received =25,019 bags- Sound=24,986 bags -Torn= 33 bags- overlanded=19 bags. The torn bags had been reported to Invictus."/>
        <s v="MV Newstriver -Lentil Shipment BL 1095 QTY 25,000 bags - Received =25,014 bags- Sound=24,943 bags -Torn= 71 bags- overlanded=14 bags. The torn bags had been reported to Invictus."/>
        <s v="MV Newstriver -Lentil Shipment BL 1096 QTY 25,000 bags - Received =25,009 bags- Sound=24,925 bags -Torn= 84 bags- overlanded=9 bags. The torn bags had been reported to Invictus."/>
        <s v="MV Summit Xiamen -Lentil Shipment BL 9700 QTY 25,000 bags - Received =25,076 bags- Sound=25,019 bags -Torn= 57 bags- overlanded=76 bags. The torn bags had been reported to Invictus."/>
        <s v="MV ZENYEP -Lentil Shipment BL 9501 QTY 28,750 bags - Received =28,869 bags- Sound=28,812 bags -Torn= 57 bags- overlanded=119 bags. The torn bags had been reported to Invictus."/>
        <s v="Out of 25,000 bags of lentil received under BL 6101, there were 60 bags found torn. They were transferred and repacked in warehouse Emarat 2 and the result of repacking is: sound 42 bags - loss 18 bags"/>
        <s v="Out of 28,000 bags of lentil received under BL 5382, there were 40 bags found torn. They were transferred and repacked in warehouse Emarat 2 and the result of repacking is: sound 29 bags - loss 11 bags"/>
        <s v="Out of 19,600 bags of lentil received under BL 5599, there were 31 bags found torn. They were transferred and repacked in warehouse Emarat 2 and the result of repacking is: sound 22 bags - loss 9 bags"/>
        <s v="Out of 25,000 bags of lentil received under BL 1700, there were 41 bags found torn. They were transferred and repacked in warehouse Emarat 2 and the result of repacking is: sound 24 bags - loss 17 bags"/>
        <s v="Out of 27,000 bags of Rice received under BL 0094, there were 6 bags found torn. They were transferred and repacked in warehouse Emarat 2 and the result of repacking is: sound 5 bags - loss 1 bags"/>
        <s v="Out of 14,000 bags of Lentil received under BL 7410, there were 26 bags found torn. They were transferred and repacked in warehouse Emarat 2 and the result of repacking is: sound 20 bags - loss 6 bags"/>
        <s v="MV NORDIA -Rice Shipment BL 1093 QTY 27,000 bags - Received =26,919 bags- Sound=26,742 bags -Torn= 48 bags- Wet= 129 bags - shortlanded=81 bags. The shortlanded and damgaed bags had been reported to Invictus."/>
        <s v=" Stock variance between physical and system. This variance is a result of receiving excess quantity in the warehouse during offloading operations and was not recorded on that specific time."/>
        <s v="Out of 4,838 bags of Red Sesame received In PZU warehouse, there are 315 bags classified as low grade (expired product) due to long storage. They were sold locally for (110,000 SDG/bag) total amount of 34,650,000 SDG"/>
        <s v="Out of 20,707 bags of sugar received in Sinnar warehouse - different brands , there were 349 bags classifed as caked (WS0001) NC 3 and 497 bags (WS0008) NC 4. Quality decision is to be sold as it is, then the decision for 127 bags of crystal sugar ( WS0008) and 98 bags of white sugar (WS0001) was changed to be eleminated due to no selling offer." u="1"/>
        <s v="After delivering all physical stock of sorghum RM in the warehouse E6/5 from total receving of 4,975.60 MT, there were 18 bags (0.69 MT) classified as waste and mixed with soil  during warehouse cleaning (Kunasa)-NC 68 while the system was reflecting a quanitiy of 0.15 MT only. The total waste quntity was sold for (600,000 SDG/TON) total amount of 414,000 SDG." u="1"/>
        <s v="After selling all physical stock of Cotton in PZU warehouse (XP) as downgraded product, the confirmed delivered quantity to customers was 40.62 MT however, the system was reflecting a balance of 22.531 MT for Cotton FG. The ecxess variance is 18.089 MT and it might be due moisture gain and weighbridge variations - Abo hashish weighbridge (used in receiving and delivering the product across several years)" u="1"/>
        <s v="After the physical stock of sorghum RM in the warehouse E6/5 is equal to zero from total receiving of 2,691.16 MT, there is remianing stock of 0.15 MT reflected on system which is a part of 18 bags classified as waste and mixed with soil (Kunasa) during warehouse cleaning (0.69 MT) NC 68. Also, there is one bag (0.05 MT) classified as waste from NC 37, the total waste quntity of (0.74 MT) was sold for (600,000 SDG/TON) total amount of 444,000 SDG." u="1"/>
        <s v="The transaction was done by wrong code" u="1"/>
        <s v="MV SSL BRAHMAPUTRA -Rice Shipment BL 0094 QTY 27,000 bags - Received =26,917 bags- Sound=26,873 bags-Wet= 4 bags -Torn= 40bags- Short landed=83bags. The shortlanded and wet bags had been reported to insurance." u="1"/>
        <s v="After the physical stock of Cotton at the PZU warehouse (XP) was zero, the system reflected a balance of 22.531 MT for Cotton FG, this quantity was sold as downgraded. Upon physical verification, it was confirmed that 40.62 MT has been delivered to customers. the ecxess variance is 18.089 MT and it might be due moisture gain and weighbridge variations - Abo hashish weighbridge (receiving and delivering across several years)" u="1"/>
        <s v="MV ZENYEP -Lentil Shipment BL 6100 QTY 25,000 bags - Received =25,109 bags- Sound=25,022 bags-Wet= 7 bags -Torn= 80bags- overlanded=109 bags. The torn bags had been reported to insurance." u="1"/>
        <s v="MV ZENYEP -Lentil Shipment BL 6101 QTY 25,000 bags - Received =25,099 bags- Sound=25,039 bags -Torn= 60bags- overlanded=99 bags. The torn bags had been reported to insurance." u="1"/>
        <s v="MV ZENYEP -Lentil Shipment BL 1600 QTY 25,000 bags - Received =25,083 bags- Sound=25,041 bags -Torn= 42bags- overlanded=83 bags. The torn bags had been reported to insurance." u="1"/>
        <s v="MV ZENYEP -Lentil Shipment BL 1700 QTY 25,000 bags - Received =25,059 bags- Sound=25,018 bags -Torn= 41bags- overlanded=59 bags. The torn bags had been reported to insurance." u="1"/>
        <s v="Out of 20,707 bags of sugar received in Sinnar warehouse - different brands , there were 349 bags classifed as caked (WS0001) NC 3 and 497 bags (WS0008) NC 4. Quality decision is to be sold as it is, total of 621 bags from NC 3 &amp;4 were sold (80,000 SDG/bag) for total amount of 49,680,000 SDG. The decision for the remaing quantity was changed to be eleminated (127 bags WS0008 - 98 bags WS0001)" u="1"/>
        <s v="Out of 8,800 bags of sesame GDP FG received in Balaji form warehouse KH39 there were 256 bags found torn. The result of repacking is: sound 253 bags - loss 3 bags" u="1"/>
        <s v="MV JPO VENUS -Lentil Shipment BL 7401 QTY 14,000 bags - Received =13,972 bags- Sound=13,954 bags -Torn= 18 bags- shortlanded=28 bags. The shortlanded and torn bags had been reported to insurance." u="1"/>
        <s v="MV JPO VENUS -Lentil Shipment BL 8012 QTY 28,000 bags - Received =28,019 bags- Sound=27,975 bags -Torn= 44 bags- overlanded=19 bags. The torn bags had been reported to insurance." u="1"/>
        <s v="MV JPO VENUS -Lentil Shipment BL 9778 QTY 8,400 bags - Received =8,418 bags- Sound=8,395 bags -Torn= 23 bags- overlanded=18 bags. The torn bags had been reported to insurance." u="1"/>
        <s v="MV Newstriver -Lentil Shipment BL 1094 QTY 25,000 bags - Received =25,019 bags- Sound=24,986 bags -Torn= 33 bags- overlanded=19 bags. The torn bags had been reported to insurance." u="1"/>
        <s v="MV Newstriver -Lentil Shipment BL 1095 QTY 25,000 bags - Received =25,014 bags- Sound=24,943 bags -Torn= 71 bags- overlanded=14 bags. The torn bags had been reported to insurance." u="1"/>
        <s v="MV Newstriver -Lentil Shipment BL 1096 QTY 25,000 bags - Received =25,009 bags- Sound=24,925 bags -Torn= 84 bags- overlanded=9 bags. The torn bags had been reported to insurance." u="1"/>
        <s v="MV Summit Xiamen -Lentil Shipment BL 9700 QTY 25,000 bags - Received =25,076 bags- Sound=25,019 bags -Torn= 57 bags- overlanded=76 bags. The torn bags had been reported to insurance." u="1"/>
        <s v="MV ZENYEP -Lentil Shipment BL 9501 QTY 28,750 bags - Received =28,869 bags- Sound=28,812 bags -Torn= 57 bags- overlanded=119 bags. The torn bags had been reported to insurance." u="1"/>
        <s v="MV NORDIA -Rice Shipment BL 1093 QTY 27,000 bags - Received =26,919 bags- Sound=26,742 bags -Torn= 48 bags- Wet= 129 bags - shortlanded=81 bags. The shortlanded and damgaed bags had been reported to insurance." u="1"/>
        <s v="The physical stock of Cotton at the PZU warehouse (XP) is zero, while the system still reflects a balance of 22.531 MT for Cotton FG, this quantity was sold as downgraded. Upon physical verification, it was confirmed that 40.62 MT has been delivered to customers. the ecxess variance is 18.089 MT and it might be due moisture gain and weighbridge variations - Abo hashish weighbridge (receiving and delivering across several years)" u="1"/>
        <s v="The compensation value for export commodities insurance cases, total amount  350,033 USD" u="1"/>
        <s v="The compensation value for imported products insurance cases, total amount 161,982 USD" u="1"/>
        <s v="The compensation value for export commodities insurance cases, total amount  475,250.58 USD" u="1"/>
        <s v="The compensation value for imported products insurance cases, total amount 36,765.08 USD" u="1"/>
        <s v="Cotton stock (153 bales = 28.92 MT) in multiple warehouses in PZU have been classified as downgraded stock after recompressing operation. Consisting of: 96 wet bales and 57 waste bales, under NC’s (No. 222,107). This quantity in addition to previous recompressing waste of 0.48 MT, total of ( 29.40 MT ) was sold in the local market at a unit price of 1,620,000 SDG per (MT), with a total value of 47,628,000 SDG ." u="1"/>
        <s v="Out of 18,063 bags of Sorghum RM received in warehouse E6/5 there were 192 bags found defected because of poor handling (loading &amp; offloading), they were repacked and the result was: sound=187 bags/ loss=4 bags / waste= 1 bags. Waste bag was reported to  committee for selling." u="1"/>
        <s v="Weight variance shown in PZU warehouse E 6/5. Warehouse (XP) reflect 78.91 MT, while physical 97.55 MT has been transported to Animal Feed. It might be a result of multiple reasons which are: UOM conversion - repacking had been done in 50KG bags while the system records in MT, Moisture might led to weight increase, or variance between the weighbridge of ABS in Gadarif which used to dispatch the qtys &amp; Abohashish in PZU used to receive them." u="1"/>
        <s v="Total of 312 bags part of flour road shipments were received in New Halfa with sewing issues and damage due to handling and transportation, after sorting and repacking there were 9 bags loss and 21 classfied as wet bags (NC: 10,11,&amp;12). Also, 340 bags were recevied with fingul growth and unfit for human consumption (NC: 13 &amp;14). These 361 bags were sold as animal feed for (12,000 SDG/Bag) total amount of 4,332,000 SDG." u="1"/>
        <s v="Out of 281,312 bags old stock of Sugar received at PZU warehouses, a quantity of 17 bags found damaged and decision made was to sell it as it is. It was sold for (41,176.47 SDG/bags) total amount of 1,152,941.176 SDG." u="1"/>
        <s v="Out of 281,312 bags old stock of Sugar received at PZU warehouses, a quantity of 17 bags found damaged and decision made was to sell it as it is. It was sold for " u="1"/>
        <s v="Weight variance shown in PZU warehouse. It might be a result of multiple reasons which are: UOM conversion - repacking had been done in 50KG bags while the system records in MT, Moisture might led to weight increase, or variance between the weighbridge of ABS in Gadarif which used to dispatch the qtys &amp; Abohashish in PZU used to receive them." u="1"/>
        <s v="Defected Qty of 233 bags sesame was part of 44,252 bags received in warehouse KH39, the reason of defect was normal operations of loading &amp; offloading, the quatity was repacked and the result was: sound=225 bags / waste= 8 bags. Waste bags was sold for (60,000 SDG/bags) total amount of 480,000 SDG. NC;44" u="1"/>
        <s v="Out of 44,252 bags of Sesame received in warehouse KH39 there were 233 bags found defected because of poor handling (loading &amp; offloading), they were repacked and the result was: sound=225 bags / waste= 8 bags. Waste bags was sold for (60,000 SDG/bags) total amount of 480,000 SDG. NC;44" u="1"/>
        <s v="Out of 44,252 bags of Sesame received in warehouse KH39 there were 233 bags found defected because of poor handling (loading &amp; offloading), they were repacked and the result was: sound=325 bags / waste= 8 bags. Waste bags was sold for (60,000 SDG/bags) total amount of 480,000 SDG." u="1"/>
        <s v="Out of 43,400 bags of Lentil offloaded at warehouse E2 from containers, there were 383 bags found torn, they were repacked and the result was: sound=315 bags/ loss=58 bags / waste= 10 bags (the waste was packed in 4 bag50kg). Waste quantity was sold for (10,000 SDG/bag) total amount of 60,000 SDG." u="1"/>
        <s v="After containers discharging (43,400 bags of lentil) at warehouse E2, there were 179 bags found torn, they were repacked and the result was: sound=147 bags /loss = 12 bags/ waste= 20 bags. Waste bags were sold for (10,000 SDG/bags) total amount of 200,000 SDG. (NC; 9 &amp; 15)" u="1"/>
        <s v="White Sesame non Gadarif FG colored grade 2 effected by rain leaked inside the warehouse in PZU, result of repacking ( 332 bags , output 323 bags, loss 3 bags and downgrade 6 bags classified as 5 waste and one bag bad odor, should be sold as locally ) in PZU warehouse. The 6 bags downgrade has been sold at 10,000 SDG per bag, total 60,000 SDG. Related NC No 170. " u="1"/>
        <s v="The quantities of wet bags of white sesame Gadarif are effected by rain during storage in the PZU warehouse A13. Transferred for resifting at Balaji, is result of resifting ( input 4589 bags , output 4572 bags, and downgrade 17 bags classified as 12 waste with 5 bags bad odor, should be sold as locally. Related NC No 169." u="1"/>
        <s v="The quantities of wet bags of white sesame Gadarif are effected by rain during storage in the PZU warehouse A13. Transferred for resifting at Balaji, is result of resifting ( input 282 bags , output 281 bags,  downgrade one bags classified as waste, should be sold as locally). Related NC 168. Case reported to insurance" u="1"/>
        <s v="The quantities of wet bags of white sesame Gadarif are effected by rain during storage in the PZU warehouse A13. Transferred for resifting at Balaji, is result of resifting ( input 1873 bags , output 1850 bags, loss 5 bags and downgrade 18 bags classified as 14 waste, with 4 bags bad odor should be sold as locally.) Related NC 167. Case reported to insurance" u="1"/>
        <s v="A quantity of 947 bags of White sesame Gadarif FG 50KG stock stored in multiple warehouses in PZU was classified as deteriorated due to exposure to heavy rains leaked inside the warehouse. Related NCs No. (98,111A,144,149,159,163 and 111B), it has been sold locally and delivered to the customer at total amount 96,594,000 SDG." u="1"/>
        <s v="A quantity of 174 bags of White sesame Non Gadarif FG 50KG stock stored multiple warehouses in PZU  was classified as deteriorated due to exposure to heavy rain leaked inside the warehouse. Related NC No. (112A,112B and146 ), it has been sold locally and delivered to the customer, with a total value of 17,400,000 SDG." u="1"/>
        <s v="4007 bags of Pigeon Peas FG 50KG stock located at the Khabier 47 warehouse in PZU, was classified as deteriorated due to damage by rain leaked inside the warehouse. Related NCs No 142. Local sales: 1,324 bags were sold locally at a unit price of 105,000 SDG per bag, while the remaining 2,683 bags were sold locally at a unit price of 41,000 SDG per bag, resulting in a total value of 249,023,000 SDG. Case reported to insurance company" u="1"/>
        <s v="282 bags rice short grain damage at warehouse due to bad roof and considered as animal feed by SSMO. This QTY has been expired since sep-24. Sold as downgrade in local market with total value 7,050,000 SDG. " u="1"/>
        <s v="240 bags of Chick Peas FG 50KG stock located at the Khabier 47 warehouse in PZU, was classified as deteriorated due to damage by rain leaked inside the warehouse. Related NCs No 106, 189. Local sales: 240 bags were sold at a unit price of SDG 121,000 per bag, The total sales value amounts to 29,040,000 SDG. Case reported to insurance company" u="1"/>
        <s v="MV HAIAN GAMA BL 9667 QTY 28,000 bags, Received QTY 27,893 bags, Short landed QTY 107 bags." u="1"/>
        <s v="Road shipment from egypt, BL 12A Lot 82,  effected by gasoline - NC NO. 20. Quantity of 141 bags has been eliminated as per quality recommendation" u="1"/>
        <s v="Flour Road Shipment, BL 12A Lot 82,BL QTY 22,000- Received Sound 21,790- Short landed 16 bags - Sample 6 bags - Damage 188 bags received in Dongola warehouse. Short landed and damage bags had been reported to Invictus. 48 bags had been eliminated - 116 bags had been loaded for recycling at the mill- 24 had been sold as sound." u="1"/>
        <s v="Flour Road Shipment, BL 12B Lot 84,BL QTY 22,000- Received Sound 21,955- Short landed 3 bags - Sample 6 bags - Damage 36 bags received in Dongola warehouse. Short landed and damage bags had been reported to Invictus. Damage bags had been eliminated." u="1"/>
        <s v="Flour Road Shipment, BL 12C Lot 83,BL QTY 24,200- Received Sound 24,134- Short landed 1 bags - Sample 8 bags - Damage 57 bags received in Dongola warehouse. Short landed and damage bags had been reported to Invictus. Damage bags had been eliminated." u="1"/>
        <s v="Flour Road Shipment, BL 12A Lot 82,BL QTY 22,000- Received Sound 21,790- Short landed 16 bags - Sample 6 bags - Damage 188 bags received in Dongola warehouse. Short landed and damage bags had been reported to Invictus." u="1"/>
        <s v="Flour Road Shipment, BL 12B Lot 84,BL QTY 22,000- Received Sound 21,955- Short landed 3 bags - Sample 6 bags - Damage 36 bags received in Dongola warehouse. Short landed and damage bags had been reported to Invictus." u="1"/>
        <s v="Flour Road Shipment, BL 12C Lot 83,BL QTY 24,200- Received Sound 24,134- Short landed 1 bags - Sample 8 bags - Damage 57 bags received in Dongola warehouse. Short landed and damage bags had been reported to Invictus." u="1"/>
        <s v="Rice Road Shipment, BL 13A Lot 1, BL QTY 20,000 - Received 19,978 Short landed 5 bags -Overland 1 bag - Sample 5 bags - Damage received in warehouse 13 bags . Short landed and damage bags had been reported to Invictus, no compensation will be settled because the quantity is less than tolerance." u="1"/>
        <s v="Rice Road Shipment, BL 13A Lot 1, Short landed 5 bags -Overland 1 bag - Sample 5 bags - Damage 13 bags. Short landed and damage bags had been reported to Invictus, no compensation will be settled because the quantity is less than tolerance." u="1"/>
        <s v="This lost Quantity (132bags-6.6MT) was part of a total of (74,050bags-3,702.5MT) delivered to Balaji sifter. the result of repacking is loss(132bags) and waste mixed with soil(9bags), the waste sold in the local market at different prices. NC No 13,87,105,&amp;157." u="1"/>
        <s v="This Quantity of 3,851 bags (White crystal sugar,Indian sugar) was part of 87,000 bags that evacuated from OMD and received in Gadarif warehouse, and it found caked and torn because of its expoture to sunlight and rain. The proposed action made by quality team is to sell it as animal feed. 114,534,493.7791 SDG was the sale price (29,741.4941 SDG/bag). NC NO 2024-2. The price per bag was 33,000 SDG then chacged to 29,741.4941 SDG to surpass the variance of weight issue (variance was 534 bags)." u="1"/>
        <s v="This Quantity of 2763 bags was part of 154,000 bags evacuated from OMD and received in KH 159 warehouse PZU, and it found caked and torn during storaging. The proposed action made by quality team is to sell it as animal feed. 212,751,000 SDG was the sale price (77,000 SDG/bag). NC NO 2024-2" u="1"/>
        <s v="This Quantity 1700 bags were found wet in Emarat 3 warehouse due to rainwater. The proposed action made by quality team is to sell it as animal feed. 10,200,000 SDG was the sale price (6,000 SDG/bag). Part of this quantity 1468 bags (totaling 88,080,000 SDG) were reported to the insurance. NC NO 143 &amp; 29" u="1"/>
        <s v="Weight variance shown in ABS silos after the operations are completed. It might be a result of multiple reasons which are repacking of 5,497.96MT into 108,739 bags50 at ABS, moisture loss during storage, variance in weight measurements between receipt and dispatch for ABS-AF-Balaji sifter, or variance between the weighbridge of ABS (receive) &amp; Abohashish (release)." u="1"/>
        <s v="This Quantity of 17 bags from different brands were found caked in Bond area warehouse during storaging. The proposed action made by quality team is to sell it in its current state. 1,309,000 SDG was the sale price (77,000 SDG/unit). NC NO 23 A,B,&amp;C" u="1"/>
        <s v="17 bags caked" u="1"/>
        <s v="2763 bags caked" u="1"/>
        <s v="3851 bags caked" u="1"/>
        <s v="1700 bags caked" u="1"/>
        <s v="871 bags caked" u="1"/>
        <s v="Weight variance as result of repacking of 5,497.96MT into 108,739 bags50 at ABS, moisture loss during storage, variance in weight measurements between receipt and dispatch for ABS-AF-Balaji sifter, or variance between the weighbridge of ABS (receive) &amp; Abohashish (release)." u="1"/>
        <m u="1"/>
        <s v="Road shipment from egypt, effected by gasoline - NC NO. 20. Quantity of 141 bags has been eliminated as per quality recommendation" u="1"/>
        <s v="Repacking loss due to the offloading of containers to warehouse. Total defected QTY 756 bags of lentil was part off 156,400 bags shipment. Repacking results (In 756 bags, Sound 677 bags , loss 79 bags). (the percentage of sound QTY/Defected QTY= 90%)." u="1"/>
        <s v="Lentil Road Shipment, BL 13B Lot 1, Short landed 2 bags - Sample 6 bags - Damage 29 bags. The damage rejected bags are received at our warehouses. The quantities raised to Invictus, no compensation received so far. Waiting quality recommendation for the damage stock." u="1"/>
        <s v="Rice Road Shipment, BL 13C Lot 2, Short landed 3 bags - Sample 6 bags - Damage 77 bags. The damage bags are received at our warehouses. The quantities raised to Invictus, no compensation received so far. Waiting quality recommendation for the damage stock." u="1"/>
        <s v="Defected QTY (206) bags, and it was part of 20,000 bags received in ALDabba from PO 1648. The result of repacking (Sound=202 bags/ loss=4 bags/ waste= 0 bag)." u="1"/>
        <s v="Truck transporting sesame from Gadarif to Portsudan was involved in an accident in Khashm Algirba (driver name: Oshik Mohamed, Plate number: 300, Waybill:5341), police report shared, Damage QTY 1.94MT/Loss 0.16MT." u="1"/>
        <s v="Truck Accident was Jun 2023 happened in Alagba area during transit from Omdurman to Portsudan, Police report done and shared, loading Rice QTY 2000 bags 25KG, Head; 11834 Trial:11546 PZU, total loss 166 bags, transporter: Rabia , GTN no 1845, shared liability letter with insurance on 6 may 2024. " u="1"/>
        <s v="The compensation value for imported products transportation loss in 2025" u="1"/>
        <s v="The compensation value for export commodities transportation loss in 2025" u="1"/>
        <s v="Weight variance of 20 trucks received at sifter ( Balaji ) in PZU from Gadarif warehouse, reported 2 bags losses in truck 9763 the remaining 19 trucks all bags received complete at sifter. (Loaded 10,900 bags / 990.22 MT, Received 10,898 bags / 991.4 MT, Variance 2 bags / 1.18 MT)" u="1"/>
        <s v="Weight variance of 40 trucks received at the sifter (Balaji-1 and Balaji-2) in PZU from Gadarif warehouse. All bags received complete at the sifter (Loaded 20,000 bags / 1,843.56 MT, Received 20,800 bags / 1,841.50 MT)" u="1"/>
        <s v="The truck transporting Wheat Flour Elnagm from Portsudan to Kosti was involved in an accident, Driver name: Ibrahim Abdulla Truck Number:25613 BL:19574, cross-loading to truck No. 14803, compensated by transporter CN num:19574." u="1"/>
        <s v="Crystal sugar stock qty  has been expired and found caked, quality recommendation is to sell as downgrade and considered as animal feed by SSMO. The quantity of 2,412 bags was sold in the local market at a unit price of 77,000 SDG Per bag with a total value of 185,724,000 SDG. " u="1"/>
        <s v="MV Lotus - BL Alnajm QTY 200,000 bags, Received sound 199,808 bags - Short Landed 63 bags - Repacking Loss 85 bags, Sayga Sample 25 bags, SSMO Sample 12 bags, Fallen in Sea 7 bags. Compensation of 588 USD Amount will be settled in Dubai Office" u="1"/>
        <s v="The quantities of wet bags of white sesame Gadarif are effected by rain during storage in the PZU warehouse A13. Transferred for resifting at Balaji, is result of resifting ( input 1873 bags , output 1850 bags, loss 5 bags and downgrade 18 bags classified as 14 waste, with 4 bags bad odor should be sold as locally.)" u="1"/>
        <s v="MV ABRAHAM - SHORT LANDED - Compensation of 8000 USD Amount will be settled in Dubai Office " u="1"/>
        <s v="Road shipment from egypt, effected by gasoline - NC NO. 20. Quantity has been eliminated as per quality recommendation" u="1"/>
        <s v="Rice Road Shipment, BL 15B Lot 4, Short landed 4 bags - Sample 4 bags - Damage 169 bags. Damage bags returned with the truck. The short and damage quantities raised to Invictus, compensation of $$ received." u="1"/>
        <s v="Weight variance of 29 trucks received at sifter ( Balaji ) in PZU from Gadarif warehouse, all bags received completely in sifter (Loaded 15,550 bags / 1,409.9 MT, Received 15,550 bags / 1,408.84 MT)" u="1"/>
        <s v="Cotton stock (153 bales = 28.92 MT) in multiple warehouses in PZU have been classified as downgraded stock after recompressing operation. Consisting of: 96 wet bales and 57 waste bales, under NC’s (No. 222,107). This quantity in addition to previous recompressing waste of 0.48 MT, total of ( 29.40 MT ) was sold in the local market at a unit price of 1,620,000 SDG per (MT), with a total value of 47,628,000SDG ." u="1"/>
        <s v="Weight scale difference ( Gain ) for one truck received in PZU sifter Balaji from Gadarif metalic silo. Waybill 5223, Plate 13825 (Loaded 142 bags/13.916 MT, Received 142 bags/14.02 MT, Variance 0.104 MT)" u="1"/>
        <s v="Road shipment from Egypt, the damage rejected bags are received at our warehouses. The quantities raised to Invictus, no compensation received so far. Waiting quality recommendation for the damage stock." u="1"/>
        <s v="The quantities of wet bags of white sesame Gadarif are effected by rain during storage in the PZU warehouse A13. Transferred for resifting at Balaji, is result of resifting ( input 282 bags , output 281 bags,  downgrade one bags classified as waste, should be sold as locally)" u="1"/>
        <s v="AFFECTED BY GASOLINE - NC NO. 20" u="1"/>
        <s v="White Sesame non Gadarif FG colored grade 2 effected by rain leaked inside the warehouse in PZU, result of repacking ( 332 bags , output 323 bags, loss 3 bags and downgrade 6 bags classified as 5 waste and one bag bad odor, should be sold as locally ) in PZU warehouse. Related NC No 170." u="1"/>
        <s v="Difference of scale appeared after sales delivery for White cotton seeds RM quantity stored in Gadarif warehouse ( AG )." u="1"/>
        <s v="MV LORD H - BL QTY 100,000 bags, Received sound 99,935 bags - SHORT LANDED 19 bags - Repacking Loss 42 bags, SSMO Sample 4 bags." u="1"/>
        <s v="Crystal sugar stock qty  has been expired and cake, quality recommendation is sell as downgrade. Considered as animal feed by SSMO. The deal for cake sugar with amount  185,724,000 SDG" u="1"/>
        <s v="Difference of scale appeared after sales delivery for White cotton seeds RM quantity stored in Gadarif warehouse ( AG ). The total quantity sold is 198.26 MT." u="1"/>
        <s v="MV Wadi Duka, containerized shipemnt, 2 BLs: (1) BL XERNSAPSZU147/2425 QTY 13,500 bags, Received sound 13,332 bags, Torn 25 bags, Wet 110 bags - Short Landed 22 bags / Rejected by SSMO 11 bags. (2) BL BL XERNSAPSZU146/2425 QTY 13,500 bags, Received sound 13,462 bags, Torn 15 bags, Wet 5 bags - Short Landed 4 bags / Rejected by SSMO 14 bags." u="1"/>
        <s v="MV LUCKY TRADER - SHORT LANDED -  Compensation 3,705 USD Amount will be settled in Dubai Office " u="1"/>
        <s v="White Sesame Gadarif FG, 488 bags defected during loading and offloading, the result of repacking ( 488 bags , output 479 bags, downgrade 9 bags classified as waste, should be sold as locally ) in PZU warehouse. Related NC No 170." u="1"/>
        <s v="Rice Road Shipment, BL 0125-00020 Lot 5, Short landed 114 bags - Sample 4 bags - Damage 161 bags. Damage bags returned with the truck. The short and damage quantities raised to Invictus, compensation of $$ received." u="1"/>
        <s v="MV COPERNICO - REJECTED BY SSMO will be compensated in Dubai office, no compensation for shortlanded qty" u="1"/>
        <s v="MV AMBER  - REJECTED BY SSMO 42 bags / Shortlanding 14 bags  - Compensation of 588 USD Amount will be settled in Dubai Office" u="1"/>
        <s v="The quantities of wet bags of white sesame Gadarif are effected by rain during storage in the PZU warehouse A13. Transferred for resifting at Balaji, is result of resifting ( input 4589 bags , output 4572 bags, and downgrade 17 bags classified as 12 waste with 5 bags bad odor, should be sold as locally." u="1"/>
        <s v="weight ( gain/loss ) 20 trucks received at sifter ( Balaji ) in PZU from Gadarif warehouse, all bags received completely in sifter with 2 bags losses in truck 9763" u="1"/>
        <s v="3900 bags of Chick Peas FG 50KG  stock located at the Khabier 47 warehouse in PZU, was classified as deteriorated due to long storage. Related NCs No 6. Local sales at a unit price of SDG 85,000 per bag. The total sales value amounts to SDG 311,500,000." u="1"/>
        <s v="MV IMA GLORY - BL QTY 150,000 bags, Received sound 149,814 bags - Short Landed 88 bags - Repacking Loss 86 bags, SSMO Sample 11 bags, Fallen in Sea 1 bags. The vessels has been released, no compensation for the rejected and the shortage" u="1"/>
        <s v="Flour vessel MV HONEST 1 rejected by SSMO QTY 479 bags has been delivered to Animal feed. The rejection due to rain when the product loaded to Trucks  but not covered in the port." u="1"/>
        <s v="Weight variance of 20 trucks received at sifter ( Balaji ) in PZU from Gadarif warehouse, reported 2 bags losses in truck 9763 the remaining 19 trucks all bags received complete at sifter " u="1"/>
        <s v="Sorghum qty  have been classified as downgraded stock: 4 bags FG wet by rain and 8.66 MT raw [consisting of 2.45 MT wet and 6.21 MT waste from repacking and warehouse cleaning] at the PZU warehouses , under NC’s (No. 88,89,89B,13,157,18 and 19). The wet e" u="1"/>
        <s v="Weight variance of 2 trucks received in PZU facility ( Balaji ) from Gadarif. (Loaded 800 bags / 74.82 MT, Received 800 bags / 74.68 MT, Variance 0.14 MT )" u="1"/>
        <s v="1513 bags rice short grain damage at warehouse due to bad roof and considered as animal feed by SSMO. This QTY has been expired since sep-24. Sold as downgrade in local market with total value 44,875,000 SDG. " u="1"/>
        <s v="MV Cecella - SHORT LANDED 58 bags / REJECTED BY SSMO 37 bags - Compensation of 388.5 USD Amount will be settled in Dubai Office for rejected QTY " u="1"/>
        <s v="1795 bags rice short grain damage at warehouse due to bad roof and considered as animal feed by SSMO. This QTY has been expired since sep-24. Sold as downgrade in local market with total value 44,875,000 SDG. " u="1"/>
        <s v="Difference of scale appeared for White cotton seeds RM product stored in Gadarif warehouse ( AG )." u="1"/>
        <s v="282 bags rice short grain damage at warehouse due to bad roof and considered as animal feed by SSMO. This QTY has been expired since sep-24. Sold as downgrade in local market with total value 44,875,000 SDG. " u="1"/>
      </sharedItems>
    </cacheField>
    <cacheField name="Adj. Type" numFmtId="0">
      <sharedItems containsBlank="1"/>
    </cacheField>
    <cacheField name="Variance Classification" numFmtId="0">
      <sharedItems count="2">
        <s v="Stock Adjustments"/>
        <s v="Stock Losses/Gains"/>
      </sharedItems>
    </cacheField>
    <cacheField name="Compensation Status" numFmtId="0">
      <sharedItems containsBlank="1" count="10">
        <s v="Reviewed Variance"/>
        <s v="Non-Recoverable"/>
        <s v="Pending"/>
        <s v="Loss"/>
        <s v="Compensated"/>
        <s v="Gain"/>
        <s v="Unreal Loss"/>
        <s v="Accepted Variance"/>
        <s v="-"/>
        <m u="1"/>
      </sharedItems>
    </cacheField>
    <cacheField name="Compensation Process" numFmtId="0">
      <sharedItems containsBlank="1" count="8">
        <s v="-"/>
        <s v="Waiting Credit Note"/>
        <s v="Waiting Invictus Feedback"/>
        <s v="waiting AP feedback"/>
        <s v="Waiting Claim Settlement"/>
        <s v="Compensated" u="1"/>
        <s v="Pending" u="1"/>
        <m u="1"/>
      </sharedItems>
    </cacheField>
    <cacheField name="user_id" numFmtId="0">
      <sharedItems/>
    </cacheField>
    <cacheField name="movement_quantity" numFmtId="0">
      <sharedItems containsSemiMixedTypes="0" containsString="0" containsNumber="1" minValue="-3915" maxValue="4007"/>
    </cacheField>
    <cacheField name="QTY -MT" numFmtId="2">
      <sharedItems containsSemiMixedTypes="0" containsString="0" containsNumber="1" minValue="-195.75" maxValue="200.35"/>
    </cacheField>
    <cacheField name="movement_cost" numFmtId="0">
      <sharedItems containsString="0" containsBlank="1" containsNumber="1" minValue="0" maxValue="4325522.7759699998"/>
    </cacheField>
    <cacheField name="to_bin_number" numFmtId="0">
      <sharedItems containsBlank="1"/>
    </cacheField>
    <cacheField name="sequence_no" numFmtId="0">
      <sharedItems containsBlank="1"/>
    </cacheField>
    <cacheField name="movement_reference" numFmtId="0">
      <sharedItems containsBlank="1"/>
    </cacheField>
    <cacheField name="movement_source" numFmtId="0">
      <sharedItems containsBlank="1"/>
    </cacheField>
    <cacheField name="batch_number" numFmtId="0">
      <sharedItems containsBlank="1"/>
    </cacheField>
    <cacheField name="opening_balance" numFmtId="0">
      <sharedItems containsString="0" containsBlank="1" containsNumber="1" containsInteger="1" minValue="0" maxValue="0"/>
    </cacheField>
    <cacheField name="Value " numFmtId="0">
      <sharedItems containsSemiMixedTypes="0" containsString="0" containsNumber="1" minValue="-508282136.58735001" maxValue="712779541.29991436"/>
    </cacheField>
    <cacheField name="Unit" numFmtId="0">
      <sharedItems containsMixedTypes="1" containsNumber="1" containsInteger="1" minValue="0" maxValue="0" count="5">
        <s v="TON"/>
        <s v="BAG50"/>
        <s v="BAG25"/>
        <s v="BAG20"/>
        <n v="0"/>
      </sharedItems>
    </cacheField>
  </cacheFields>
  <extLst>
    <ext xmlns:x14="http://schemas.microsoft.com/office/spreadsheetml/2009/9/main" uri="{725AE2AE-9491-48be-B2B4-4EB974FC3084}">
      <x14:pivotCacheDefinition pivotCacheId="207610279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7">
  <r>
    <s v="XQ"/>
    <x v="0"/>
    <d v="2025-02-09T00:00:00"/>
    <s v="RECP"/>
    <s v="001686 BL15513 Halfa Barge3"/>
    <s v="wali"/>
    <n v="20000"/>
  </r>
  <r>
    <s v="XQ"/>
    <x v="0"/>
    <d v="2025-02-09T00:00:00"/>
    <s v="RECP"/>
    <s v="001688 BL15514 Halfa Barge3"/>
    <s v="wali"/>
    <n v="20000"/>
  </r>
  <r>
    <s v="XQ"/>
    <x v="0"/>
    <d v="2025-02-09T00:00:00"/>
    <s v="RECP"/>
    <s v="001689 BL15512 Halfa Barge3"/>
    <s v="wali"/>
    <n v="20000"/>
  </r>
  <r>
    <s v="XI"/>
    <x v="1"/>
    <d v="2025-02-11T00:00:00"/>
    <s v="RECP"/>
    <s v="001682 PO:1682 BL/9667"/>
    <s v="mohamede"/>
    <n v="28000"/>
  </r>
  <r>
    <s v="XI"/>
    <x v="1"/>
    <d v="2025-02-15T00:00:00"/>
    <s v="RECP"/>
    <s v="001682 PO:1682 BL/0255"/>
    <s v="mohamede"/>
    <n v="28000"/>
  </r>
  <r>
    <s v="XI"/>
    <x v="1"/>
    <d v="2025-02-15T00:00:00"/>
    <s v="RECP"/>
    <s v="001682 PO:1682 BL/1936"/>
    <s v="mohamede"/>
    <n v="28000"/>
  </r>
  <r>
    <s v="XI"/>
    <x v="1"/>
    <d v="2025-02-17T00:00:00"/>
    <s v="RECP"/>
    <s v="001682 PO:1682 BL/2146"/>
    <s v="mohamede"/>
    <n v="21000"/>
  </r>
  <r>
    <s v="XI"/>
    <x v="1"/>
    <d v="2025-02-16T00:00:00"/>
    <s v="RECP"/>
    <s v="001682 PO:1682 BL/20904"/>
    <s v="mohamede"/>
    <n v="14000"/>
  </r>
  <r>
    <s v="XI"/>
    <x v="1"/>
    <d v="2025-02-17T00:00:00"/>
    <s v="RECP"/>
    <s v="001681 PO:1681 BL/4015"/>
    <s v="mohamede"/>
    <n v="7000"/>
  </r>
  <r>
    <s v="XI"/>
    <x v="0"/>
    <d v="2025-02-18T00:00:00"/>
    <s v="RECP"/>
    <s v="001690 MV AMBER/7500MT"/>
    <s v="ahmedad"/>
    <n v="200000"/>
  </r>
  <r>
    <s v="XI"/>
    <x v="1"/>
    <d v="2025-02-17T00:00:00"/>
    <s v="RECP"/>
    <s v="001682 PO:1682 BL/1429"/>
    <s v="mohamede"/>
    <n v="21000"/>
  </r>
  <r>
    <s v="XI"/>
    <x v="1"/>
    <d v="2025-01-09T00:00:00"/>
    <s v="RECP"/>
    <s v="001663 BL7984 PO001663"/>
    <s v="ashraf.s"/>
    <n v="28000"/>
  </r>
  <r>
    <s v="XI"/>
    <x v="0"/>
    <d v="2025-01-11T00:00:00"/>
    <s v="RECP"/>
    <s v="001667 MV Copernico/9/1/25"/>
    <s v="ahmedad"/>
    <n v="200000"/>
  </r>
  <r>
    <s v="XI"/>
    <x v="1"/>
    <d v="2025-02-20T00:00:00"/>
    <s v="RECP"/>
    <s v="001680 BL 2754 PO1680"/>
    <s v="ashraf.s"/>
    <n v="9800"/>
  </r>
  <r>
    <s v="XI"/>
    <x v="1"/>
    <d v="2025-01-19T00:00:00"/>
    <s v="RECP"/>
    <s v="001663 PO:1663 BL/0297"/>
    <s v="mohamede"/>
    <n v="15400"/>
  </r>
  <r>
    <s v="XI"/>
    <x v="2"/>
    <d v="2025-01-30T00:00:00"/>
    <s v="RECP"/>
    <s v="001683 MV ABRAHAM/27/1/25"/>
    <s v="ahmedad"/>
    <n v="140000"/>
  </r>
  <r>
    <s v="XI"/>
    <x v="0"/>
    <d v="2025-04-30T00:00:00"/>
    <s v="RECP"/>
    <s v="001704 Supplier OVE00520"/>
    <s v="hayder.s"/>
    <n v="240000"/>
  </r>
  <r>
    <s v="XI"/>
    <x v="0"/>
    <d v="2025-05-05T00:00:00"/>
    <s v="RECP"/>
    <s v="001718 Supplier OVE00520"/>
    <s v="hayder.s"/>
    <n v="120000"/>
  </r>
  <r>
    <s v="XI"/>
    <x v="1"/>
    <d v="2025-03-03T00:00:00"/>
    <s v="RECP"/>
    <s v="001691 BL3021 PO1691"/>
    <s v="ashraf.s"/>
    <n v="28000"/>
  </r>
  <r>
    <s v="XI"/>
    <x v="0"/>
    <d v="2025-03-06T00:00:00"/>
    <s v="RECP"/>
    <s v="001695 Supplier OVE00520"/>
    <s v="hayder.s"/>
    <n v="240000"/>
  </r>
  <r>
    <s v="XI"/>
    <x v="2"/>
    <d v="2025-03-10T00:00:00"/>
    <s v="RECP"/>
    <s v="001696 Supplier OVE00520"/>
    <s v="hayder.s"/>
    <n v="150000"/>
  </r>
  <r>
    <s v="XI"/>
    <x v="1"/>
    <d v="2025-03-12T00:00:00"/>
    <s v="RECP"/>
    <s v="001691 BL2423 PO 1691"/>
    <s v="ashraf.s"/>
    <n v="28000"/>
  </r>
  <r>
    <s v="XI"/>
    <x v="1"/>
    <d v="2025-03-16T00:00:00"/>
    <s v="RECP"/>
    <s v="001694 BL3653 PO1694"/>
    <s v="ashraf.s"/>
    <n v="28000"/>
  </r>
  <r>
    <s v="XI"/>
    <x v="1"/>
    <d v="2025-05-06T00:00:00"/>
    <s v="RECP"/>
    <s v="001706 PO:1706 BL/7400"/>
    <s v="mohamede"/>
    <n v="31250"/>
  </r>
  <r>
    <s v="XI"/>
    <x v="1"/>
    <d v="2025-05-07T00:00:00"/>
    <s v="RECP"/>
    <s v="001706 PO:1706 BL/7401"/>
    <s v="mohamede"/>
    <n v="31250"/>
  </r>
  <r>
    <s v="XI"/>
    <x v="1"/>
    <d v="2025-05-12T00:00:00"/>
    <s v="RECP"/>
    <s v="001712 PO:1712 BL/9501"/>
    <s v="mohamede"/>
    <n v="28750"/>
  </r>
  <r>
    <s v="XI"/>
    <x v="1"/>
    <d v="2025-05-13T00:00:00"/>
    <s v="RECP"/>
    <s v="001712 PO:1712 BL/9502"/>
    <s v="mohamede"/>
    <n v="30000"/>
  </r>
  <r>
    <s v="XQ"/>
    <x v="0"/>
    <d v="2025-03-25T00:00:00"/>
    <s v="RECP"/>
    <s v="001701 B/L7483 Halfa Barge4"/>
    <s v="wali"/>
    <n v="24000"/>
  </r>
  <r>
    <s v="XQ"/>
    <x v="0"/>
    <d v="2025-03-25T00:00:00"/>
    <s v="RECP"/>
    <s v="001699 B/L7484 Halfa Barge4"/>
    <s v="wali"/>
    <n v="24000"/>
  </r>
  <r>
    <s v="XQ"/>
    <x v="0"/>
    <d v="2025-03-25T00:00:00"/>
    <s v="RECP"/>
    <s v="001702 BL7485 HALFA BARGE 4"/>
    <s v="wali"/>
    <n v="12000"/>
  </r>
  <r>
    <s v="XI"/>
    <x v="0"/>
    <d v="2025-03-29T00:00:00"/>
    <s v="RECP"/>
    <s v="001700 Supplier OVE00520"/>
    <s v="hayder.s"/>
    <n v="100000"/>
  </r>
  <r>
    <s v="XI"/>
    <x v="0"/>
    <d v="2025-04-10T00:00:00"/>
    <s v="RECP"/>
    <s v="001703 Supplier OVE00520"/>
    <s v="hayder.s"/>
    <n v="240000"/>
  </r>
  <r>
    <s v="XI"/>
    <x v="1"/>
    <d v="2025-05-15T00:00:00"/>
    <s v="RECP"/>
    <s v="001712 PO:1712 BL/9500"/>
    <s v="mohamede"/>
    <n v="28750"/>
  </r>
  <r>
    <s v="XI"/>
    <x v="3"/>
    <d v="2025-04-15T00:00:00"/>
    <s v="RECP"/>
    <s v="001705 Supplier OVE00520"/>
    <s v="hayder.s"/>
    <n v="170000"/>
  </r>
  <r>
    <s v="XI"/>
    <x v="3"/>
    <d v="2025-04-15T00:00:00"/>
    <s v="RECP"/>
    <s v="001705 Supplier OVE00520"/>
    <s v="hayder.s"/>
    <n v="72600"/>
  </r>
  <r>
    <s v="XI"/>
    <x v="1"/>
    <d v="2025-04-16T00:00:00"/>
    <s v="RECP"/>
    <s v="001697 BL 4161 PO1697"/>
    <s v="ashraf.s"/>
    <n v="20973"/>
  </r>
  <r>
    <s v="XI"/>
    <x v="1"/>
    <d v="2025-04-16T00:00:00"/>
    <s v="RECP"/>
    <s v="001697 BL 3393 PO 1697"/>
    <s v="ashraf.s"/>
    <n v="23776"/>
  </r>
  <r>
    <s v="XI"/>
    <x v="1"/>
    <d v="2025-04-16T00:00:00"/>
    <s v="RECP"/>
    <s v="001697 BL 3928 PO1697"/>
    <s v="ashraf.s"/>
    <n v="20966"/>
  </r>
  <r>
    <s v="XI"/>
    <x v="1"/>
    <d v="2025-04-17T00:00:00"/>
    <s v="RECP"/>
    <s v="001697 BL3393 PO 1697"/>
    <s v="ashraf.s"/>
    <n v="24"/>
  </r>
  <r>
    <s v="XI"/>
    <x v="1"/>
    <d v="2025-04-17T00:00:00"/>
    <s v="RECP"/>
    <s v="001697 BL4161 PO 1697"/>
    <s v="ashraf.s"/>
    <n v="27"/>
  </r>
  <r>
    <s v="XI"/>
    <x v="1"/>
    <d v="2025-04-17T00:00:00"/>
    <s v="RECP"/>
    <s v="001697 BL 3928 PO1697"/>
    <s v="ashraf.s"/>
    <n v="34"/>
  </r>
  <r>
    <s v="XI"/>
    <x v="0"/>
    <d v="2025-05-22T00:00:00"/>
    <s v="RECP"/>
    <s v="001719 Supplier OVE00520"/>
    <s v="hayder.s"/>
    <n v="360000"/>
  </r>
  <r>
    <s v="XI"/>
    <x v="1"/>
    <d v="2025-07-13T00:00:00"/>
    <s v="RECP"/>
    <s v="001732 PO:1732 BL/10000"/>
    <s v="mohamede"/>
    <n v="25000"/>
  </r>
  <r>
    <s v="XI"/>
    <x v="4"/>
    <d v="2025-06-02T00:00:00"/>
    <s v="RECP"/>
    <s v="001704 Supplier OVE00520"/>
    <s v="hayder.s"/>
    <n v="2718"/>
  </r>
  <r>
    <s v="XI"/>
    <x v="4"/>
    <d v="2025-06-02T00:00:00"/>
    <s v="RECP"/>
    <s v="001718 Supplier OVE00520"/>
    <s v="hayder.s"/>
    <n v="2400"/>
  </r>
  <r>
    <s v="XI"/>
    <x v="1"/>
    <d v="2025-07-21T00:00:00"/>
    <s v="RECP"/>
    <s v="001732 PO:1732 BL/10001"/>
    <s v="mohamede"/>
    <n v="25000"/>
  </r>
  <r>
    <s v="XI"/>
    <x v="1"/>
    <d v="2025-06-15T00:00:00"/>
    <s v="RECP"/>
    <s v="001724 PO:1724 BL/1700"/>
    <s v="mohamede"/>
    <n v="25000"/>
  </r>
  <r>
    <s v="XQ"/>
    <x v="0"/>
    <d v="2025-06-24T00:00:00"/>
    <s v="RECP"/>
    <s v="001728 EG 00174 Halfa Barge"/>
    <s v="wali"/>
    <n v="24000"/>
  </r>
  <r>
    <s v="XQ"/>
    <x v="0"/>
    <d v="2025-06-24T00:00:00"/>
    <s v="RECP"/>
    <s v="001729 EG17493 Halfa Barge"/>
    <s v="wali"/>
    <n v="24000"/>
  </r>
  <r>
    <s v="XQ"/>
    <x v="0"/>
    <d v="2025-06-24T00:00:00"/>
    <s v="RECP"/>
    <s v="001730 EG17494 Halfa Barge"/>
    <s v="wali"/>
    <n v="12000"/>
  </r>
  <r>
    <s v="XI"/>
    <x v="1"/>
    <d v="2025-06-29T00:00:00"/>
    <s v="RECP"/>
    <s v="001727 PO:1727 BL/2002"/>
    <s v="mohamede"/>
    <n v="30000"/>
  </r>
  <r>
    <s v="XI"/>
    <x v="1"/>
    <d v="2025-06-29T00:00:00"/>
    <s v="RECP"/>
    <s v="001727 PO:1727 BL/2001"/>
    <s v="mohamede"/>
    <n v="30000"/>
  </r>
  <r>
    <s v="XI"/>
    <x v="1"/>
    <d v="2025-07-01T00:00:00"/>
    <s v="RECP"/>
    <s v="001727 PO:1727 BL/262000"/>
    <s v="mohamede"/>
    <n v="15000"/>
  </r>
  <r>
    <s v="XI"/>
    <x v="1"/>
    <d v="2025-08-26T00:00:00"/>
    <s v="RECP"/>
    <s v="001734 PO:1734 BL/6100"/>
    <s v="mohamede"/>
    <n v="25000"/>
  </r>
  <r>
    <s v="XI"/>
    <x v="1"/>
    <d v="2025-08-27T00:00:00"/>
    <s v="RECP"/>
    <s v="001734 PO:1734 BL/6101"/>
    <s v="mohamede"/>
    <n v="25000"/>
  </r>
  <r>
    <s v="XI"/>
    <x v="1"/>
    <d v="2025-09-20T00:00:00"/>
    <s v="RECP"/>
    <s v="001742 PO:1742 BL/5382"/>
    <s v="mohamede"/>
    <n v="28000"/>
  </r>
  <r>
    <s v="XI"/>
    <x v="1"/>
    <d v="2025-09-20T00:00:00"/>
    <s v="RECP"/>
    <s v="001742 PO:1742 BL/5599"/>
    <s v="mohamede"/>
    <n v="22400"/>
  </r>
  <r>
    <s v="XI"/>
    <x v="1"/>
    <d v="2025-09-23T00:00:00"/>
    <s v="RECP"/>
    <s v="001743 PO:1743 BL/6213"/>
    <s v="mohamede"/>
    <n v="22400"/>
  </r>
  <r>
    <s v="XI"/>
    <x v="1"/>
    <d v="2025-09-23T00:00:00"/>
    <s v="RECP"/>
    <s v="001743 PO:1743 BL/5490"/>
    <s v="mohamede"/>
    <n v="28000"/>
  </r>
  <r>
    <s v="XI"/>
    <x v="1"/>
    <d v="2025-09-23T00:00:00"/>
    <s v="RECP"/>
    <s v="001746 PO:1746 BL/81700"/>
    <s v="mohamede"/>
    <n v="25000"/>
  </r>
  <r>
    <s v="XI"/>
    <x v="1"/>
    <d v="2025-09-23T00:00:00"/>
    <s v="RECP"/>
    <s v="001746 PO:1746 BL/81600"/>
    <s v="mohamede"/>
    <n v="25000"/>
  </r>
  <r>
    <s v="XI"/>
    <x v="5"/>
    <d v="2025-10-05T00:00:00"/>
    <s v="RECP"/>
    <s v="001744 PO:1744 BL/70094"/>
    <s v="mohamede"/>
    <n v="20000"/>
  </r>
  <r>
    <s v="XI"/>
    <x v="5"/>
    <d v="2025-10-05T00:00:00"/>
    <s v="RECP"/>
    <s v="001744 PO:1744 BL/70094"/>
    <s v="mohamede"/>
    <n v="7000"/>
  </r>
  <r>
    <s v="XI"/>
    <x v="1"/>
    <d v="2025-10-13T00:00:00"/>
    <s v="RECP"/>
    <s v="001749 PO:1749 BL/7410"/>
    <s v="mohamede"/>
    <n v="14000"/>
  </r>
  <r>
    <s v="WQ"/>
    <x v="6"/>
    <d v="2025-02-15T00:00:00"/>
    <s v="RECP"/>
    <s v="001685 B/L12500020 Au Seif"/>
    <s v="wali"/>
    <n v="40000"/>
  </r>
  <r>
    <s v="WQ"/>
    <x v="6"/>
    <d v="2025-01-26T00:00:00"/>
    <s v="RECP"/>
    <s v="001676 ITF-1224 15B OSSIF"/>
    <s v="wali"/>
    <n v="20000"/>
  </r>
  <r>
    <s v="WQ"/>
    <x v="6"/>
    <d v="2025-01-26T00:00:00"/>
    <s v="RECP"/>
    <s v="001668 ITF-1224 15A Au Seif"/>
    <s v="wali"/>
    <n v="20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0">
  <r>
    <s v="AK"/>
    <x v="0"/>
    <d v="2025-07-26T00:00:00"/>
    <s v="RECP"/>
    <x v="0"/>
    <s v="b.khamis"/>
    <n v="50.274999999999999"/>
    <n v="2890551.5534999999"/>
  </r>
  <r>
    <s v="AK"/>
    <x v="0"/>
    <d v="2025-07-26T00:00:00"/>
    <s v="RECP"/>
    <x v="0"/>
    <s v="b.khamis"/>
    <n v="21.024000000000008"/>
    <n v="2890551.5534999999"/>
  </r>
  <r>
    <s v="AK"/>
    <x v="0"/>
    <d v="2025-07-26T00:00:00"/>
    <s v="RECP"/>
    <x v="0"/>
    <s v="b.khamis"/>
    <n v="18.584999999999994"/>
    <n v="2890551.5534999999"/>
  </r>
  <r>
    <s v="AK"/>
    <x v="0"/>
    <d v="2025-07-26T00:00:00"/>
    <s v="RECP"/>
    <x v="0"/>
    <s v="b.khamis"/>
    <n v="22.620000000000005"/>
    <n v="2890551.5534999999"/>
  </r>
  <r>
    <s v="AK"/>
    <x v="0"/>
    <d v="2025-07-26T00:00:00"/>
    <s v="RECP"/>
    <x v="0"/>
    <s v="b.khamis"/>
    <n v="22.528000000000006"/>
    <n v="2890551.5534999999"/>
  </r>
  <r>
    <s v="AK"/>
    <x v="0"/>
    <d v="2025-07-26T00:00:00"/>
    <s v="RECP"/>
    <x v="0"/>
    <s v="b.khamis"/>
    <n v="22.399999999999977"/>
    <n v="2890551.5534999999"/>
  </r>
  <r>
    <s v="AK"/>
    <x v="0"/>
    <d v="2025-07-26T00:00:00"/>
    <s v="RECP"/>
    <x v="0"/>
    <s v="b.khamis"/>
    <n v="18.963000000000022"/>
    <n v="2890551.5534999999"/>
  </r>
  <r>
    <s v="AK"/>
    <x v="0"/>
    <d v="2025-07-26T00:00:00"/>
    <s v="RECP"/>
    <x v="0"/>
    <s v="b.khamis"/>
    <n v="15.197000000000003"/>
    <n v="2890551.5534999999"/>
  </r>
  <r>
    <s v="AK"/>
    <x v="0"/>
    <d v="2025-07-26T00:00:00"/>
    <s v="RECP"/>
    <x v="0"/>
    <s v="b.khamis"/>
    <n v="9.6879999999999882"/>
    <n v="2890551.5534999999"/>
  </r>
  <r>
    <s v="AK"/>
    <x v="0"/>
    <d v="2025-07-26T00:00:00"/>
    <s v="RECP"/>
    <x v="0"/>
    <s v="b.khamis"/>
    <n v="3.1069999999999993"/>
    <n v="2890551.5534999999"/>
  </r>
  <r>
    <s v="AK"/>
    <x v="0"/>
    <d v="2025-07-26T00:00:00"/>
    <s v="RECP"/>
    <x v="0"/>
    <s v="b.khamis"/>
    <n v="17.382000000000005"/>
    <n v="2890551.5534999999"/>
  </r>
  <r>
    <s v="AK"/>
    <x v="0"/>
    <d v="2025-07-26T00:00:00"/>
    <s v="RECP"/>
    <x v="0"/>
    <s v="b.khamis"/>
    <n v="5.0790000000000077"/>
    <n v="2890551.5534999999"/>
  </r>
  <r>
    <s v="AK"/>
    <x v="0"/>
    <d v="2025-07-26T00:00:00"/>
    <s v="RECP"/>
    <x v="0"/>
    <s v="b.khamis"/>
    <n v="7.3359999999999843"/>
    <n v="2890551.5534999999"/>
  </r>
  <r>
    <s v="DA"/>
    <x v="1"/>
    <d v="2025-06-18T00:00:00"/>
    <s v="RECP"/>
    <x v="1"/>
    <s v="feras"/>
    <n v="49.24"/>
    <n v="2643728.1818200001"/>
  </r>
  <r>
    <s v="DA"/>
    <x v="1"/>
    <d v="2025-07-19T00:00:00"/>
    <s v="RECP"/>
    <x v="2"/>
    <s v="aaelamin"/>
    <n v="49.759999999999991"/>
    <n v="2178032.12182"/>
  </r>
  <r>
    <s v="DA"/>
    <x v="1"/>
    <d v="2025-07-20T00:00:00"/>
    <s v="RECP"/>
    <x v="2"/>
    <s v="aaelamin"/>
    <n v="50.240000000000009"/>
    <n v="2178032.12182"/>
  </r>
  <r>
    <s v="DA"/>
    <x v="1"/>
    <d v="2025-07-06T00:00:00"/>
    <s v="RECP"/>
    <x v="2"/>
    <s v="aaelamin"/>
    <n v="98.759999999999991"/>
    <n v="2178032.12182"/>
  </r>
  <r>
    <s v="DA"/>
    <x v="1"/>
    <d v="2025-08-11T00:00:00"/>
    <s v="RECP"/>
    <x v="3"/>
    <s v="aaelamin"/>
    <n v="300"/>
    <n v="2787976.5818099999"/>
  </r>
  <r>
    <s v="DA"/>
    <x v="1"/>
    <d v="2025-08-31T00:00:00"/>
    <s v="RECP"/>
    <x v="4"/>
    <s v="aaelamin"/>
    <n v="128"/>
    <n v="2787976.5818099999"/>
  </r>
  <r>
    <s v="DA"/>
    <x v="1"/>
    <d v="2025-09-14T00:00:00"/>
    <s v="RECP"/>
    <x v="5"/>
    <s v="aaelamin"/>
    <n v="100"/>
    <n v="2424998.58182"/>
  </r>
  <r>
    <s v="DA"/>
    <x v="1"/>
    <d v="2025-10-05T00:00:00"/>
    <s v="RECP"/>
    <x v="5"/>
    <s v="feras"/>
    <n v="150"/>
    <n v="2279690"/>
  </r>
  <r>
    <s v="AG"/>
    <x v="2"/>
    <d v="2024-12-16T00:00:00"/>
    <s v="RECP"/>
    <x v="6"/>
    <s v="abubakrm"/>
    <n v="85.56"/>
    <n v="3485742.5"/>
  </r>
  <r>
    <s v="AG"/>
    <x v="2"/>
    <d v="2024-12-17T00:00:00"/>
    <s v="RECP"/>
    <x v="7"/>
    <s v="abubakrm"/>
    <n v="44.88"/>
    <n v="3485742.5"/>
  </r>
  <r>
    <s v="AG"/>
    <x v="2"/>
    <d v="2024-12-17T00:00:00"/>
    <s v="RECP"/>
    <x v="8"/>
    <s v="abubakrm"/>
    <n v="44.139999999999993"/>
    <n v="3485742.5"/>
  </r>
  <r>
    <s v="AG"/>
    <x v="2"/>
    <d v="2024-12-17T00:00:00"/>
    <s v="RECP"/>
    <x v="7"/>
    <s v="abubakrm"/>
    <n v="161.86000000000001"/>
    <n v="3485742.5"/>
  </r>
  <r>
    <s v="AG"/>
    <x v="2"/>
    <d v="2024-12-17T00:00:00"/>
    <s v="RECP"/>
    <x v="8"/>
    <s v="abubakrm"/>
    <n v="123.07999999999998"/>
    <n v="3485742.5"/>
  </r>
  <r>
    <s v="AG"/>
    <x v="2"/>
    <d v="2024-12-17T00:00:00"/>
    <s v="RECP"/>
    <x v="7"/>
    <s v="abubakrm"/>
    <n v="88.480000000000018"/>
    <n v="3485742.5"/>
  </r>
  <r>
    <s v="AG"/>
    <x v="2"/>
    <d v="2024-12-17T00:00:00"/>
    <s v="RECP"/>
    <x v="7"/>
    <s v="abubakrm"/>
    <n v="97.420000000000016"/>
    <n v="3485742.5"/>
  </r>
  <r>
    <s v="AG"/>
    <x v="2"/>
    <d v="2024-12-17T00:00:00"/>
    <s v="RECP"/>
    <x v="7"/>
    <s v="abubakrm"/>
    <n v="98.059999999999945"/>
    <n v="3485742.5"/>
  </r>
  <r>
    <s v="AG"/>
    <x v="2"/>
    <d v="2024-12-17T00:00:00"/>
    <s v="RECP"/>
    <x v="7"/>
    <s v="abubakrm"/>
    <n v="47.160000000000082"/>
    <n v="3485742.5"/>
  </r>
  <r>
    <s v="AG"/>
    <x v="2"/>
    <d v="2024-12-17T00:00:00"/>
    <s v="RECP"/>
    <x v="7"/>
    <s v="abubakrm"/>
    <n v="139.55999999999995"/>
    <n v="3485742.5"/>
  </r>
  <r>
    <s v="AG"/>
    <x v="2"/>
    <d v="2024-12-17T00:00:00"/>
    <s v="RECP"/>
    <x v="8"/>
    <s v="abubakrm"/>
    <n v="54.560000000000059"/>
    <n v="3485742.5"/>
  </r>
  <r>
    <s v="AG"/>
    <x v="2"/>
    <d v="2024-12-17T00:00:00"/>
    <s v="RECP"/>
    <x v="7"/>
    <s v="abubakrm"/>
    <n v="98.079999999999927"/>
    <n v="3485742.5"/>
  </r>
  <r>
    <s v="AG"/>
    <x v="2"/>
    <d v="2024-12-17T00:00:00"/>
    <s v="RECP"/>
    <x v="7"/>
    <s v="abubakrm"/>
    <n v="48.220000000000027"/>
    <n v="3485742.5"/>
  </r>
  <r>
    <s v="AG"/>
    <x v="2"/>
    <d v="2024-12-19T00:00:00"/>
    <s v="RECP"/>
    <x v="7"/>
    <s v="abubakrm"/>
    <n v="90.680000000000064"/>
    <n v="3485742.5"/>
  </r>
  <r>
    <s v="AG"/>
    <x v="2"/>
    <d v="2025-02-10T00:00:00"/>
    <s v="SRET"/>
    <x v="9"/>
    <s v="abubakrm"/>
    <n v="-45"/>
    <n v="3854317.5"/>
  </r>
  <r>
    <s v="AG"/>
    <x v="2"/>
    <d v="2025-02-10T00:00:00"/>
    <s v="RECP"/>
    <x v="6"/>
    <s v="abubakrm"/>
    <n v="43.513999999999896"/>
    <n v="3854317.5"/>
  </r>
  <r>
    <s v="AG"/>
    <x v="2"/>
    <d v="2025-02-10T00:00:00"/>
    <s v="RECP"/>
    <x v="6"/>
    <s v="abubakrm"/>
    <n v="43.134000000000015"/>
    <n v="3854317.5"/>
  </r>
  <r>
    <s v="AG"/>
    <x v="2"/>
    <d v="2025-02-12T00:00:00"/>
    <s v="RECP"/>
    <x v="7"/>
    <s v="abubakrm"/>
    <n v="57.600000000000364"/>
    <n v="3854317.5"/>
  </r>
  <r>
    <s v="AG"/>
    <x v="2"/>
    <d v="2025-02-10T00:00:00"/>
    <s v="RECP"/>
    <x v="7"/>
    <s v="abubakrm"/>
    <n v="45.759999999999764"/>
    <n v="3854317.5"/>
  </r>
  <r>
    <s v="AG"/>
    <x v="2"/>
    <d v="2025-02-10T00:00:00"/>
    <s v="RECP"/>
    <x v="7"/>
    <s v="abubakrm"/>
    <n v="47.735999999999876"/>
    <n v="3854317.5"/>
  </r>
  <r>
    <s v="AG"/>
    <x v="2"/>
    <d v="2025-02-10T00:00:00"/>
    <s v="RECP"/>
    <x v="6"/>
    <s v="abubakrm"/>
    <n v="44.329999999999927"/>
    <n v="3854317.5"/>
  </r>
  <r>
    <s v="AG"/>
    <x v="2"/>
    <d v="2025-02-12T00:00:00"/>
    <s v="RECP"/>
    <x v="7"/>
    <s v="abubakrm"/>
    <n v="103.2199999999998"/>
    <n v="3854317.5"/>
  </r>
  <r>
    <s v="AG"/>
    <x v="2"/>
    <d v="2025-02-12T00:00:00"/>
    <s v="RECP"/>
    <x v="10"/>
    <s v="abubakrm"/>
    <n v="39.700000000000045"/>
    <n v="3854317.5"/>
  </r>
  <r>
    <s v="AG"/>
    <x v="2"/>
    <d v="2025-02-13T00:00:00"/>
    <s v="RECP"/>
    <x v="7"/>
    <s v="abubakrm"/>
    <n v="52.139999999999873"/>
    <n v="3854317.5"/>
  </r>
  <r>
    <s v="AG"/>
    <x v="2"/>
    <d v="2025-02-13T00:00:00"/>
    <s v="RECP"/>
    <x v="6"/>
    <s v="abubakrm"/>
    <n v="19.849999999999909"/>
    <n v="3854317.5"/>
  </r>
  <r>
    <s v="AG"/>
    <x v="2"/>
    <d v="2025-02-15T00:00:00"/>
    <s v="RECP"/>
    <x v="6"/>
    <s v="abubakrm"/>
    <n v="14.960000000000036"/>
    <n v="3854317.5"/>
  </r>
  <r>
    <s v="AG"/>
    <x v="2"/>
    <d v="2025-02-15T00:00:00"/>
    <s v="RECP"/>
    <x v="7"/>
    <s v="abubakrm"/>
    <n v="34.039999999999964"/>
    <n v="3854317.5"/>
  </r>
  <r>
    <s v="AG"/>
    <x v="2"/>
    <d v="2025-01-09T00:00:00"/>
    <s v="RECP"/>
    <x v="7"/>
    <s v="abubakrm"/>
    <n v="150.27999999999997"/>
    <n v="3559457.5"/>
  </r>
  <r>
    <s v="AG"/>
    <x v="2"/>
    <d v="2025-01-09T00:00:00"/>
    <s v="RECP"/>
    <x v="7"/>
    <s v="abubakrm"/>
    <n v="104.51999999999998"/>
    <n v="3559457.5"/>
  </r>
  <r>
    <s v="AG"/>
    <x v="2"/>
    <d v="2025-01-16T00:00:00"/>
    <s v="RECP"/>
    <x v="7"/>
    <s v="abubakrm"/>
    <n v="101.87999999999988"/>
    <n v="3559457.5"/>
  </r>
  <r>
    <s v="AG"/>
    <x v="2"/>
    <d v="2025-01-16T00:00:00"/>
    <s v="RECP"/>
    <x v="7"/>
    <s v="abubakrm"/>
    <n v="152.66000000000008"/>
    <n v="3559457.5"/>
  </r>
  <r>
    <s v="AG"/>
    <x v="2"/>
    <d v="2025-01-16T00:00:00"/>
    <s v="RECP"/>
    <x v="7"/>
    <s v="abubakrm"/>
    <n v="98.539999999999964"/>
    <n v="3559457.5"/>
  </r>
  <r>
    <s v="AG"/>
    <x v="2"/>
    <d v="2025-01-16T00:00:00"/>
    <s v="RECP"/>
    <x v="6"/>
    <s v="abubakrm"/>
    <n v="102.97999999999999"/>
    <n v="3559457.5"/>
  </r>
  <r>
    <s v="AG"/>
    <x v="2"/>
    <d v="2025-01-16T00:00:00"/>
    <s v="RECP"/>
    <x v="7"/>
    <s v="abubakrm"/>
    <n v="95.599999999999909"/>
    <n v="3559457.5"/>
  </r>
  <r>
    <s v="AG"/>
    <x v="2"/>
    <d v="2025-01-16T00:00:00"/>
    <s v="RECP"/>
    <x v="7"/>
    <s v="abubakrm"/>
    <n v="38.180000000000064"/>
    <n v="3559457.5"/>
  </r>
  <r>
    <s v="AG"/>
    <x v="2"/>
    <d v="2025-01-16T00:00:00"/>
    <s v="RECP"/>
    <x v="7"/>
    <s v="abubakrm"/>
    <n v="150.72000000000003"/>
    <n v="3559457.5"/>
  </r>
  <r>
    <s v="AG"/>
    <x v="2"/>
    <d v="2025-01-20T00:00:00"/>
    <s v="RECP"/>
    <x v="7"/>
    <s v="abubakrm"/>
    <n v="51.919999999999618"/>
    <n v="3559457.5"/>
  </r>
  <r>
    <s v="AG"/>
    <x v="2"/>
    <d v="2025-01-19T00:00:00"/>
    <s v="RECP"/>
    <x v="7"/>
    <s v="abubakrm"/>
    <n v="0.72000000000002728"/>
    <n v="3559457.5"/>
  </r>
  <r>
    <s v="AG"/>
    <x v="2"/>
    <d v="2025-01-19T00:00:00"/>
    <s v="RECP"/>
    <x v="7"/>
    <s v="abubakrm"/>
    <n v="201.52000000000021"/>
    <n v="3559457.5"/>
  </r>
  <r>
    <s v="AG"/>
    <x v="2"/>
    <d v="2025-01-19T00:00:00"/>
    <s v="RECP"/>
    <x v="6"/>
    <s v="abubakrm"/>
    <n v="51.580000000000013"/>
    <n v="3559457.5"/>
  </r>
  <r>
    <s v="AG"/>
    <x v="2"/>
    <d v="2025-01-20T00:00:00"/>
    <s v="SRET"/>
    <x v="9"/>
    <s v="abubakrm"/>
    <n v="-150.28"/>
    <n v="3559457.5"/>
  </r>
  <r>
    <s v="AG"/>
    <x v="2"/>
    <d v="2025-01-19T00:00:00"/>
    <s v="RECP"/>
    <x v="6"/>
    <s v="abubakrm"/>
    <n v="50.279999999999973"/>
    <n v="3559457.5"/>
  </r>
  <r>
    <s v="AG"/>
    <x v="2"/>
    <d v="2025-01-20T00:00:00"/>
    <s v="RECP"/>
    <x v="6"/>
    <s v="abubakrm"/>
    <n v="150.28000000000003"/>
    <n v="3559457.5"/>
  </r>
  <r>
    <s v="AG"/>
    <x v="2"/>
    <d v="2025-01-22T00:00:00"/>
    <s v="RECP"/>
    <x v="6"/>
    <s v="abubakrm"/>
    <n v="11.779999999999973"/>
    <n v="3559457.5"/>
  </r>
  <r>
    <s v="AG"/>
    <x v="2"/>
    <d v="2025-01-22T00:00:00"/>
    <s v="RECP"/>
    <x v="6"/>
    <s v="abubakrm"/>
    <n v="23.720000000000027"/>
    <n v="3559457.5"/>
  </r>
  <r>
    <s v="AG"/>
    <x v="2"/>
    <d v="2025-01-22T00:00:00"/>
    <s v="RECP"/>
    <x v="6"/>
    <s v="abubakrm"/>
    <n v="36.555999999999983"/>
    <n v="3559457.5"/>
  </r>
  <r>
    <s v="AG"/>
    <x v="2"/>
    <d v="2025-01-22T00:00:00"/>
    <s v="RECP"/>
    <x v="7"/>
    <s v="abubakrm"/>
    <n v="86.320000000000164"/>
    <n v="3559457.5"/>
  </r>
  <r>
    <s v="AG"/>
    <x v="2"/>
    <d v="2025-01-22T00:00:00"/>
    <s v="RECP"/>
    <x v="7"/>
    <s v="abubakrm"/>
    <n v="109.31999999999971"/>
    <n v="3559457.5"/>
  </r>
  <r>
    <s v="AG"/>
    <x v="2"/>
    <d v="2025-01-22T00:00:00"/>
    <s v="RECP"/>
    <x v="7"/>
    <s v="abubakrm"/>
    <n v="44.139999999999873"/>
    <n v="3559457.5"/>
  </r>
  <r>
    <s v="AG"/>
    <x v="2"/>
    <d v="2025-01-22T00:00:00"/>
    <s v="RECP"/>
    <x v="7"/>
    <s v="abubakrm"/>
    <n v="170.40000000000009"/>
    <n v="3559457.5"/>
  </r>
  <r>
    <s v="AG"/>
    <x v="2"/>
    <d v="2025-01-22T00:00:00"/>
    <s v="RECP"/>
    <x v="7"/>
    <s v="abubakrm"/>
    <n v="103.44000000000005"/>
    <n v="3559457.5"/>
  </r>
  <r>
    <s v="AG"/>
    <x v="2"/>
    <d v="2025-01-22T00:00:00"/>
    <s v="RECP"/>
    <x v="6"/>
    <s v="abubakrm"/>
    <n v="94.519999999999982"/>
    <n v="3559457.5"/>
  </r>
  <r>
    <s v="AG"/>
    <x v="2"/>
    <d v="2025-01-22T00:00:00"/>
    <s v="RECP"/>
    <x v="7"/>
    <s v="abubakrm"/>
    <n v="42.139999999999873"/>
    <n v="3559457.5"/>
  </r>
  <r>
    <s v="AG"/>
    <x v="2"/>
    <d v="2025-02-20T00:00:00"/>
    <s v="RECP"/>
    <x v="7"/>
    <s v="abubakrm"/>
    <n v="151.64000000000033"/>
    <n v="3854317.5"/>
  </r>
  <r>
    <s v="AG"/>
    <x v="2"/>
    <d v="2025-02-20T00:00:00"/>
    <s v="RECP"/>
    <x v="7"/>
    <s v="abubakrm"/>
    <n v="42.239999999999782"/>
    <n v="3854317.5"/>
  </r>
  <r>
    <s v="AG"/>
    <x v="2"/>
    <d v="2025-02-20T00:00:00"/>
    <s v="RECP"/>
    <x v="7"/>
    <s v="abubakrm"/>
    <n v="4.8400000000001455"/>
    <n v="3854317.5"/>
  </r>
  <r>
    <s v="AG"/>
    <x v="2"/>
    <d v="2025-02-20T00:00:00"/>
    <s v="RECP"/>
    <x v="7"/>
    <s v="abubakrm"/>
    <n v="99.359999999999673"/>
    <n v="3854317.5"/>
  </r>
  <r>
    <s v="AG"/>
    <x v="2"/>
    <d v="2025-01-23T00:00:00"/>
    <s v="RECP"/>
    <x v="7"/>
    <s v="abubakrm"/>
    <n v="45.120000000000346"/>
    <n v="3559457.5"/>
  </r>
  <r>
    <s v="AG"/>
    <x v="2"/>
    <d v="2025-01-23T00:00:00"/>
    <s v="RECP"/>
    <x v="7"/>
    <s v="abubakrm"/>
    <n v="48.239999999999782"/>
    <n v="3559457.5"/>
  </r>
  <r>
    <s v="AG"/>
    <x v="2"/>
    <d v="2025-01-23T00:00:00"/>
    <s v="RECP"/>
    <x v="7"/>
    <s v="abubakrm"/>
    <n v="196.74000000000024"/>
    <n v="3559457.5"/>
  </r>
  <r>
    <s v="AG"/>
    <x v="2"/>
    <d v="2025-01-23T00:00:00"/>
    <s v="RECP"/>
    <x v="11"/>
    <s v="abubakrm"/>
    <n v="50.160000000000082"/>
    <n v="3559457.5"/>
  </r>
  <r>
    <s v="AG"/>
    <x v="2"/>
    <d v="2025-01-23T00:00:00"/>
    <s v="RECP"/>
    <x v="6"/>
    <s v="abubakrm"/>
    <n v="24.379999999999995"/>
    <n v="3559457.5"/>
  </r>
  <r>
    <s v="AG"/>
    <x v="2"/>
    <d v="2025-01-23T00:00:00"/>
    <s v="RECP"/>
    <x v="6"/>
    <s v="abubakrm"/>
    <n v="33.919999999999959"/>
    <n v="3559457.5"/>
  </r>
  <r>
    <s v="AG"/>
    <x v="2"/>
    <d v="2025-01-23T00:00:00"/>
    <s v="RECP"/>
    <x v="7"/>
    <s v="abubakrm"/>
    <n v="60.19399999999996"/>
    <n v="3559457.5"/>
  </r>
  <r>
    <s v="AG"/>
    <x v="2"/>
    <d v="2025-01-26T00:00:00"/>
    <s v="RECP"/>
    <x v="7"/>
    <s v="abubakrm"/>
    <n v="102.87999999999965"/>
    <n v="3559457.5"/>
  </r>
  <r>
    <s v="AG"/>
    <x v="2"/>
    <d v="2025-01-29T00:00:00"/>
    <s v="RECP"/>
    <x v="7"/>
    <s v="abubakrm"/>
    <n v="75.820000000000164"/>
    <n v="3559457.5"/>
  </r>
  <r>
    <s v="AG"/>
    <x v="2"/>
    <d v="2025-01-29T00:00:00"/>
    <s v="RECP"/>
    <x v="7"/>
    <s v="abubakrm"/>
    <n v="104.65999999999985"/>
    <n v="3559457.5"/>
  </r>
  <r>
    <s v="AG"/>
    <x v="2"/>
    <d v="2025-01-29T00:00:00"/>
    <s v="RECP"/>
    <x v="6"/>
    <s v="abubakrm"/>
    <n v="26.319999999999936"/>
    <n v="3559457.5"/>
  </r>
  <r>
    <s v="AG"/>
    <x v="2"/>
    <d v="2025-01-29T00:00:00"/>
    <s v="RECP"/>
    <x v="6"/>
    <s v="abubakrm"/>
    <n v="39.80600000000004"/>
    <n v="3559457.5"/>
  </r>
  <r>
    <s v="AG"/>
    <x v="2"/>
    <d v="2025-01-29T00:00:00"/>
    <s v="RECP"/>
    <x v="6"/>
    <s v="abubakrm"/>
    <n v="82.779999999999973"/>
    <n v="3559457.5"/>
  </r>
  <r>
    <s v="AG"/>
    <x v="2"/>
    <d v="2025-01-29T00:00:00"/>
    <s v="RECP"/>
    <x v="6"/>
    <s v="abubakrm"/>
    <n v="47.720000000000027"/>
    <n v="3559457.5"/>
  </r>
  <r>
    <s v="AG"/>
    <x v="2"/>
    <d v="2025-02-02T00:00:00"/>
    <s v="RECP"/>
    <x v="12"/>
    <s v="abubakrm"/>
    <n v="90.350000000000364"/>
    <n v="3854317.5"/>
  </r>
  <r>
    <s v="AG"/>
    <x v="2"/>
    <d v="2025-02-02T00:00:00"/>
    <s v="RECP"/>
    <x v="7"/>
    <s v="abubakrm"/>
    <n v="103.39999999999964"/>
    <n v="3854317.5"/>
  </r>
  <r>
    <s v="AG"/>
    <x v="2"/>
    <d v="2025-02-02T00:00:00"/>
    <s v="RECP"/>
    <x v="7"/>
    <s v="abubakrm"/>
    <n v="94.820000000000164"/>
    <n v="3854317.5"/>
  </r>
  <r>
    <s v="AG"/>
    <x v="2"/>
    <d v="2025-02-02T00:00:00"/>
    <s v="RECP"/>
    <x v="6"/>
    <s v="abubakrm"/>
    <n v="3.7599999999999909"/>
    <n v="3854317.5"/>
  </r>
  <r>
    <s v="AG"/>
    <x v="2"/>
    <d v="2025-02-02T00:00:00"/>
    <s v="RECP"/>
    <x v="6"/>
    <s v="abubakrm"/>
    <n v="74.731999999999971"/>
    <n v="3854317.5"/>
  </r>
  <r>
    <s v="AG"/>
    <x v="2"/>
    <d v="2025-02-02T00:00:00"/>
    <s v="RECP"/>
    <x v="6"/>
    <s v="abubakrm"/>
    <n v="54.46000000000015"/>
    <n v="3854317.5"/>
  </r>
  <r>
    <s v="AG"/>
    <x v="2"/>
    <d v="2025-02-02T00:00:00"/>
    <s v="RECP"/>
    <x v="7"/>
    <s v="abubakrm"/>
    <n v="0.1999999999998181"/>
    <n v="3854317.5"/>
  </r>
  <r>
    <s v="AG"/>
    <x v="2"/>
    <d v="2025-02-04T00:00:00"/>
    <s v="RECP"/>
    <x v="7"/>
    <s v="abubakrm"/>
    <n v="150.62000000000035"/>
    <n v="3854317.5"/>
  </r>
  <r>
    <s v="AG"/>
    <x v="2"/>
    <d v="2025-03-04T00:00:00"/>
    <s v="SRET"/>
    <x v="9"/>
    <s v="abubakrm"/>
    <n v="-12.782"/>
    <n v="3870463.5"/>
  </r>
  <r>
    <s v="AG"/>
    <x v="2"/>
    <d v="2025-03-04T00:00:00"/>
    <s v="SRET"/>
    <x v="9"/>
    <s v="abubakrm"/>
    <n v="-21.097999999999999"/>
    <n v="3870463.5"/>
  </r>
  <r>
    <s v="AG"/>
    <x v="2"/>
    <d v="2025-03-04T00:00:00"/>
    <s v="SRET"/>
    <x v="9"/>
    <s v="abubakrm"/>
    <n v="-0.98399999999999999"/>
    <n v="3870463.5"/>
  </r>
  <r>
    <s v="AG"/>
    <x v="2"/>
    <d v="2025-03-04T00:00:00"/>
    <s v="SRET"/>
    <x v="9"/>
    <s v="abubakrm"/>
    <n v="-20.158000000000001"/>
    <n v="3870463.5"/>
  </r>
  <r>
    <s v="AG"/>
    <x v="2"/>
    <d v="2025-03-04T00:00:00"/>
    <s v="SRET"/>
    <x v="9"/>
    <s v="abubakrm"/>
    <n v="-4.84"/>
    <n v="3870463.5"/>
  </r>
  <r>
    <s v="AG"/>
    <x v="2"/>
    <d v="2025-03-04T00:00:00"/>
    <s v="SRET"/>
    <x v="9"/>
    <s v="abubakrm"/>
    <n v="-43.118000000000002"/>
    <n v="3870463.5"/>
  </r>
  <r>
    <s v="AG"/>
    <x v="2"/>
    <d v="2025-03-04T00:00:00"/>
    <s v="RECP"/>
    <x v="7"/>
    <s v="abubakrm"/>
    <n v="102.98000000000047"/>
    <n v="3870463.5"/>
  </r>
  <r>
    <s v="AG"/>
    <x v="2"/>
    <d v="2025-03-15T00:00:00"/>
    <s v="RECP"/>
    <x v="7"/>
    <s v="abubakrm"/>
    <n v="174.06800000000021"/>
    <n v="3870463.5"/>
  </r>
  <r>
    <s v="AG"/>
    <x v="2"/>
    <d v="2025-03-15T00:00:00"/>
    <s v="RECP"/>
    <x v="7"/>
    <s v="abubakrm"/>
    <n v="26.679999999999382"/>
    <n v="3870463.5"/>
  </r>
  <r>
    <s v="AG"/>
    <x v="2"/>
    <d v="2025-03-15T00:00:00"/>
    <s v="RECP"/>
    <x v="7"/>
    <s v="abubakrm"/>
    <n v="146.88000000000011"/>
    <n v="3870463.5"/>
  </r>
  <r>
    <s v="AG"/>
    <x v="2"/>
    <d v="2025-03-15T00:00:00"/>
    <s v="RECP"/>
    <x v="7"/>
    <s v="abubakrm"/>
    <n v="186.69999999999982"/>
    <n v="3870463.5"/>
  </r>
  <r>
    <s v="AG"/>
    <x v="2"/>
    <d v="2025-03-15T00:00:00"/>
    <s v="RECP"/>
    <x v="7"/>
    <s v="abubakrm"/>
    <n v="42.400000000000546"/>
    <n v="3870463.5"/>
  </r>
  <r>
    <s v="AG"/>
    <x v="2"/>
    <d v="2025-03-20T00:00:00"/>
    <s v="RECP"/>
    <x v="7"/>
    <s v="abubakrm"/>
    <n v="40.159999999999854"/>
    <n v="3870463.5"/>
  </r>
  <r>
    <s v="AG"/>
    <x v="2"/>
    <d v="2025-03-20T00:00:00"/>
    <s v="RECP"/>
    <x v="7"/>
    <s v="abubakrm"/>
    <n v="83.865999999999985"/>
    <n v="3870463.5"/>
  </r>
  <r>
    <s v="AG"/>
    <x v="2"/>
    <d v="2025-03-20T00:00:00"/>
    <s v="RECP"/>
    <x v="7"/>
    <s v="abubakrm"/>
    <n v="173.05999999999949"/>
    <n v="3870463.5"/>
  </r>
  <r>
    <s v="AG"/>
    <x v="2"/>
    <d v="2025-03-20T00:00:00"/>
    <s v="RECP"/>
    <x v="7"/>
    <s v="abubakrm"/>
    <n v="110.74000000000069"/>
    <n v="3870463.5"/>
  </r>
  <r>
    <s v="AG"/>
    <x v="2"/>
    <d v="2025-03-25T00:00:00"/>
    <s v="RECP"/>
    <x v="7"/>
    <s v="abubakrm"/>
    <n v="141.81999999999971"/>
    <n v="3870463.5"/>
  </r>
  <r>
    <s v="AG"/>
    <x v="2"/>
    <d v="2025-03-25T00:00:00"/>
    <s v="RECP"/>
    <x v="7"/>
    <s v="abubakrm"/>
    <n v="151.11999999999989"/>
    <n v="3870463.5"/>
  </r>
  <r>
    <s v="AG"/>
    <x v="2"/>
    <d v="2025-03-25T00:00:00"/>
    <s v="RECP"/>
    <x v="7"/>
    <s v="abubakrm"/>
    <n v="50.217999999999847"/>
    <n v="3870463.5"/>
  </r>
  <r>
    <s v="AG"/>
    <x v="2"/>
    <d v="2025-03-25T00:00:00"/>
    <s v="RECP"/>
    <x v="7"/>
    <s v="abubakrm"/>
    <n v="181.68000000000029"/>
    <n v="3870463.5"/>
  </r>
  <r>
    <s v="AG"/>
    <x v="2"/>
    <d v="2025-03-29T00:00:00"/>
    <s v="RECP"/>
    <x v="7"/>
    <s v="abubakrm"/>
    <n v="87.840000000000146"/>
    <n v="3870463.5"/>
  </r>
  <r>
    <s v="AG"/>
    <x v="2"/>
    <d v="2025-03-29T00:00:00"/>
    <s v="RECP"/>
    <x v="7"/>
    <s v="abubakrm"/>
    <n v="82.880000000000109"/>
    <n v="3870463.5"/>
  </r>
  <r>
    <s v="AG"/>
    <x v="2"/>
    <d v="2025-03-29T00:00:00"/>
    <s v="RECP"/>
    <x v="7"/>
    <s v="abubakrm"/>
    <n v="139.34000000000015"/>
    <n v="3870463.5"/>
  </r>
  <r>
    <s v="AG"/>
    <x v="2"/>
    <d v="2025-03-29T00:00:00"/>
    <s v="RECP"/>
    <x v="7"/>
    <s v="abubakrm"/>
    <n v="152.8799999999992"/>
    <n v="3870463.5"/>
  </r>
  <r>
    <s v="AG"/>
    <x v="2"/>
    <d v="2025-03-29T00:00:00"/>
    <s v="RECP"/>
    <x v="7"/>
    <s v="abubakrm"/>
    <n v="93.920000000000073"/>
    <n v="3870463.5"/>
  </r>
  <r>
    <s v="AG"/>
    <x v="2"/>
    <d v="2025-04-16T00:00:00"/>
    <s v="RECP"/>
    <x v="7"/>
    <s v="abubakrm"/>
    <n v="12.579999999999927"/>
    <n v="3788405.5"/>
  </r>
  <r>
    <s v="AG"/>
    <x v="2"/>
    <d v="2025-04-16T00:00:00"/>
    <s v="SRET"/>
    <x v="9"/>
    <s v="abubakrm"/>
    <n v="-12.58"/>
    <n v="3788405.5"/>
  </r>
  <r>
    <s v="AG"/>
    <x v="2"/>
    <d v="2025-04-16T00:00:00"/>
    <s v="SRET"/>
    <x v="9"/>
    <s v="abubakrm"/>
    <n v="-14.36"/>
    <n v="3788405.5"/>
  </r>
  <r>
    <s v="AG"/>
    <x v="2"/>
    <d v="2025-04-16T00:00:00"/>
    <s v="RECP"/>
    <x v="7"/>
    <s v="abubakrm"/>
    <n v="14.360000000000582"/>
    <n v="3788405.5"/>
  </r>
  <r>
    <s v="AG"/>
    <x v="2"/>
    <d v="2025-04-16T00:00:00"/>
    <s v="SRET"/>
    <x v="9"/>
    <s v="abubakrm"/>
    <n v="-14.38"/>
    <n v="3788405.5"/>
  </r>
  <r>
    <s v="AG"/>
    <x v="2"/>
    <d v="2025-04-16T00:00:00"/>
    <s v="RECP"/>
    <x v="7"/>
    <s v="abubakrm"/>
    <n v="130.45200000000023"/>
    <n v="3788405.5"/>
  </r>
  <r>
    <s v="HC"/>
    <x v="3"/>
    <d v="2025-03-11T00:00:00"/>
    <s v="RECP"/>
    <x v="13"/>
    <s v="ahmed.am"/>
    <n v="3287.76"/>
    <n v="955306.92"/>
  </r>
  <r>
    <s v="HC"/>
    <x v="3"/>
    <d v="2025-03-15T00:00:00"/>
    <s v="RECP"/>
    <x v="14"/>
    <s v="ahmed.am"/>
    <n v="725.83999999999969"/>
    <n v="955306.92"/>
  </r>
  <r>
    <s v="HC"/>
    <x v="3"/>
    <d v="2025-03-19T00:00:00"/>
    <s v="RECP"/>
    <x v="13"/>
    <s v="ahmed.am"/>
    <n v="1278.3600000000001"/>
    <n v="955306.92"/>
  </r>
  <r>
    <s v="HC"/>
    <x v="3"/>
    <d v="2025-03-20T00:00:00"/>
    <s v="RECP"/>
    <x v="15"/>
    <s v="ahmed.am"/>
    <n v="364.60000000000036"/>
    <n v="955306.92"/>
  </r>
  <r>
    <s v="HC"/>
    <x v="3"/>
    <d v="2025-03-23T00:00:00"/>
    <s v="RECP"/>
    <x v="16"/>
    <s v="ahmed.am"/>
    <n v="923.15999999999985"/>
    <n v="955306.92"/>
  </r>
  <r>
    <s v="HC"/>
    <x v="3"/>
    <d v="2025-03-27T00:00:00"/>
    <s v="RECP"/>
    <x v="17"/>
    <s v="ahmed.am"/>
    <n v="545.65999999999985"/>
    <n v="955306.92"/>
  </r>
  <r>
    <s v="HC"/>
    <x v="3"/>
    <d v="2025-04-20T00:00:00"/>
    <s v="RECP"/>
    <x v="18"/>
    <s v="ahmed.am"/>
    <n v="1403.0999999999995"/>
    <n v="947797.31544000003"/>
  </r>
  <r>
    <s v="HC"/>
    <x v="3"/>
    <d v="2025-05-01T00:00:00"/>
    <s v="RECP"/>
    <x v="15"/>
    <s v="ahmed.am"/>
    <n v="622.39999999999964"/>
    <n v="947797.31544000003"/>
  </r>
  <r>
    <s v="HC"/>
    <x v="3"/>
    <d v="2025-05-01T00:00:00"/>
    <s v="RECP"/>
    <x v="15"/>
    <s v="ahmed.am"/>
    <n v="0.6000000000003638"/>
    <n v="947797.31544000003"/>
  </r>
  <r>
    <s v="HC"/>
    <x v="3"/>
    <d v="2025-05-01T00:00:00"/>
    <s v="SRET"/>
    <x v="9"/>
    <s v="ahmed.am"/>
    <n v="-0.5"/>
    <n v="947797.31544000003"/>
  </r>
  <r>
    <s v="HC"/>
    <x v="3"/>
    <d v="2025-05-01T00:00:00"/>
    <s v="SRET"/>
    <x v="9"/>
    <s v="ahmed.am"/>
    <n v="-0.04"/>
    <n v="947797.31544000003"/>
  </r>
  <r>
    <s v="AG"/>
    <x v="3"/>
    <d v="2025-05-03T00:00:00"/>
    <s v="RECP"/>
    <x v="19"/>
    <s v="abubakrm"/>
    <n v="512.23400000000004"/>
    <n v="947797.31544000003"/>
  </r>
  <r>
    <s v="AG"/>
    <x v="3"/>
    <d v="2025-05-03T00:00:00"/>
    <s v="RECP"/>
    <x v="19"/>
    <s v="abubakrm"/>
    <n v="474.76400000000001"/>
    <n v="947797.31544000003"/>
  </r>
  <r>
    <s v="AG"/>
    <x v="3"/>
    <d v="2025-05-04T00:00:00"/>
    <s v="RECP"/>
    <x v="19"/>
    <s v="abubakrm"/>
    <n v="515.17799999999988"/>
    <n v="947797.31544000003"/>
  </r>
  <r>
    <s v="AG"/>
    <x v="3"/>
    <d v="2025-05-05T00:00:00"/>
    <s v="RECP"/>
    <x v="19"/>
    <s v="abubakrm"/>
    <n v="231.25200000000018"/>
    <n v="947797.31544000003"/>
  </r>
  <r>
    <s v="AG"/>
    <x v="4"/>
    <d v="2025-02-10T00:00:00"/>
    <s v="RECP"/>
    <x v="20"/>
    <s v="abubakrm"/>
    <n v="94.525999999999954"/>
    <n v="3447392"/>
  </r>
  <r>
    <s v="AG"/>
    <x v="4"/>
    <d v="2025-02-10T00:00:00"/>
    <s v="RECP"/>
    <x v="20"/>
    <s v="abubakrm"/>
    <n v="101.75400000000002"/>
    <n v="3447392"/>
  </r>
  <r>
    <s v="AG"/>
    <x v="4"/>
    <d v="2025-02-10T00:00:00"/>
    <s v="RECP"/>
    <x v="20"/>
    <s v="abubakrm"/>
    <n v="101.75400000000002"/>
    <n v="3447392"/>
  </r>
  <r>
    <s v="AG"/>
    <x v="4"/>
    <d v="2025-02-16T00:00:00"/>
    <s v="RECP"/>
    <x v="20"/>
    <s v="abubakrm"/>
    <n v="143.10400000000004"/>
    <n v="3447392"/>
  </r>
  <r>
    <s v="AG"/>
    <x v="4"/>
    <d v="2025-02-16T00:00:00"/>
    <s v="RECP"/>
    <x v="20"/>
    <s v="abubakrm"/>
    <n v="99.187999999999988"/>
    <n v="3447392"/>
  </r>
  <r>
    <s v="AG"/>
    <x v="4"/>
    <d v="2025-02-16T00:00:00"/>
    <s v="RECP"/>
    <x v="20"/>
    <s v="abubakrm"/>
    <n v="77.960000000000036"/>
    <n v="3447392"/>
  </r>
  <r>
    <s v="AG"/>
    <x v="4"/>
    <d v="2025-02-16T00:00:00"/>
    <s v="RECP"/>
    <x v="20"/>
    <s v="abubakrm"/>
    <n v="32.372000000000071"/>
    <n v="3447392"/>
  </r>
  <r>
    <s v="AG"/>
    <x v="4"/>
    <d v="2025-02-19T00:00:00"/>
    <s v="RECP"/>
    <x v="20"/>
    <s v="abubakrm"/>
    <n v="93.157999999999902"/>
    <n v="3447392"/>
  </r>
  <r>
    <s v="AG"/>
    <x v="4"/>
    <d v="2025-01-19T00:00:00"/>
    <s v="RECP"/>
    <x v="20"/>
    <s v="abubakrm"/>
    <n v="16.591999999999999"/>
    <n v="3182208"/>
  </r>
  <r>
    <s v="AG"/>
    <x v="4"/>
    <d v="2025-01-19T00:00:00"/>
    <s v="RECP"/>
    <x v="20"/>
    <s v="abubakrm"/>
    <n v="91.194000000000003"/>
    <n v="3182208"/>
  </r>
  <r>
    <s v="AG"/>
    <x v="4"/>
    <d v="2025-01-19T00:00:00"/>
    <s v="RECP"/>
    <x v="20"/>
    <s v="abubakrm"/>
    <n v="88.294000000000011"/>
    <n v="3182208"/>
  </r>
  <r>
    <s v="AG"/>
    <x v="4"/>
    <d v="2025-01-19T00:00:00"/>
    <s v="RECP"/>
    <x v="20"/>
    <s v="abubakrm"/>
    <n v="103.65"/>
    <n v="3182208"/>
  </r>
  <r>
    <s v="AG"/>
    <x v="4"/>
    <d v="2025-01-20T00:00:00"/>
    <s v="RECP"/>
    <x v="20"/>
    <s v="abubakrm"/>
    <n v="143.38599999999997"/>
    <n v="3182208"/>
  </r>
  <r>
    <s v="AG"/>
    <x v="4"/>
    <d v="2025-04-30T00:00:00"/>
    <s v="RECP"/>
    <x v="20"/>
    <s v="abubakrm"/>
    <n v="60.188000000000102"/>
    <n v="2590825.5"/>
  </r>
  <r>
    <s v="AG"/>
    <x v="4"/>
    <d v="2025-04-30T00:00:00"/>
    <s v="RECP"/>
    <x v="20"/>
    <s v="abubakrm"/>
    <n v="171.76800000000003"/>
    <n v="2590825.5"/>
  </r>
  <r>
    <s v="AG"/>
    <x v="4"/>
    <d v="2025-04-30T00:00:00"/>
    <s v="RECP"/>
    <x v="20"/>
    <s v="abubakrm"/>
    <n v="124.01800000000003"/>
    <n v="2590825.5"/>
  </r>
  <r>
    <s v="AG"/>
    <x v="4"/>
    <d v="2025-01-22T00:00:00"/>
    <s v="RECP"/>
    <x v="20"/>
    <s v="abubakrm"/>
    <n v="103.56200000000001"/>
    <n v="3182208"/>
  </r>
  <r>
    <s v="AG"/>
    <x v="4"/>
    <d v="2025-02-20T00:00:00"/>
    <s v="RECP"/>
    <x v="20"/>
    <s v="abubakrm"/>
    <n v="13.352000000000089"/>
    <n v="3447392"/>
  </r>
  <r>
    <s v="AG"/>
    <x v="4"/>
    <d v="2025-02-20T00:00:00"/>
    <s v="RECP"/>
    <x v="20"/>
    <s v="abubakrm"/>
    <n v="45.836000000000013"/>
    <n v="3447392"/>
  </r>
  <r>
    <s v="AG"/>
    <x v="4"/>
    <d v="2025-03-13T00:00:00"/>
    <s v="RECP"/>
    <x v="20"/>
    <s v="abubakrm"/>
    <n v="84.932000000000016"/>
    <n v="2682004"/>
  </r>
  <r>
    <s v="AG"/>
    <x v="4"/>
    <d v="2025-03-13T00:00:00"/>
    <s v="RECP"/>
    <x v="21"/>
    <s v="abubakrm"/>
    <n v="90.385999999999967"/>
    <n v="2682004"/>
  </r>
  <r>
    <s v="AG"/>
    <x v="4"/>
    <d v="2025-03-13T00:00:00"/>
    <s v="RECP"/>
    <x v="20"/>
    <s v="abubakrm"/>
    <n v="54.30600000000004"/>
    <n v="2682004"/>
  </r>
  <r>
    <s v="AG"/>
    <x v="4"/>
    <d v="2025-03-13T00:00:00"/>
    <s v="SRET"/>
    <x v="9"/>
    <s v="abubakrm"/>
    <n v="-101.754"/>
    <n v="2682004"/>
  </r>
  <r>
    <s v="AG"/>
    <x v="4"/>
    <d v="2025-03-15T00:00:00"/>
    <s v="RECP"/>
    <x v="20"/>
    <s v="abubakrm"/>
    <n v="42.400000000000091"/>
    <n v="2682004"/>
  </r>
  <r>
    <s v="AG"/>
    <x v="4"/>
    <d v="2025-03-15T00:00:00"/>
    <s v="RECP"/>
    <x v="20"/>
    <s v="abubakrm"/>
    <n v="42.895999999999958"/>
    <n v="2682004"/>
  </r>
  <r>
    <s v="AG"/>
    <x v="4"/>
    <d v="2025-03-15T00:00:00"/>
    <s v="RECP"/>
    <x v="20"/>
    <s v="abubakrm"/>
    <n v="91.894000000000005"/>
    <n v="2682004"/>
  </r>
  <r>
    <s v="AG"/>
    <x v="4"/>
    <d v="2025-03-22T00:00:00"/>
    <s v="RECP"/>
    <x v="20"/>
    <s v="abubakrm"/>
    <n v="61.236000000000104"/>
    <n v="2682004"/>
  </r>
  <r>
    <s v="AG"/>
    <x v="4"/>
    <d v="2025-03-22T00:00:00"/>
    <s v="RECP"/>
    <x v="20"/>
    <s v="abubakrm"/>
    <n v="117.23000000000002"/>
    <n v="2682004"/>
  </r>
  <r>
    <s v="AG"/>
    <x v="4"/>
    <d v="2025-03-22T00:00:00"/>
    <s v="RECP"/>
    <x v="20"/>
    <s v="abubakrm"/>
    <n v="63.059999999999945"/>
    <n v="2682004"/>
  </r>
  <r>
    <s v="AG"/>
    <x v="4"/>
    <d v="2025-03-24T00:00:00"/>
    <s v="RECP"/>
    <x v="20"/>
    <s v="abubakrm"/>
    <n v="13.5"/>
    <n v="2682004"/>
  </r>
  <r>
    <s v="AG"/>
    <x v="4"/>
    <d v="2025-03-24T00:00:00"/>
    <s v="RECP"/>
    <x v="20"/>
    <s v="abubakrm"/>
    <n v="131.452"/>
    <n v="2682004"/>
  </r>
  <r>
    <s v="AG"/>
    <x v="4"/>
    <d v="2025-03-25T00:00:00"/>
    <s v="RECP"/>
    <x v="20"/>
    <s v="abubakrm"/>
    <n v="234.66599999999994"/>
    <n v="2682004"/>
  </r>
  <r>
    <s v="AG"/>
    <x v="4"/>
    <d v="2025-04-06T00:00:00"/>
    <s v="RECP"/>
    <x v="20"/>
    <s v="abubakrm"/>
    <n v="50.003999999999905"/>
    <n v="2590825.5"/>
  </r>
  <r>
    <s v="AG"/>
    <x v="4"/>
    <d v="2025-04-06T00:00:00"/>
    <s v="RECP"/>
    <x v="20"/>
    <s v="abubakrm"/>
    <n v="57.976000000000113"/>
    <n v="2590825.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s v="XQ"/>
    <x v="0"/>
    <d v="2024-11-30T00:00:00"/>
    <s v="RECP"/>
    <s v="001651 INV-10/00013C DABAH"/>
    <s v="wali"/>
    <n v="20000"/>
  </r>
  <r>
    <s v="XQ"/>
    <x v="1"/>
    <d v="2024-11-30T00:00:00"/>
    <s v="RECP"/>
    <s v="001657 INV-10/00013B DABAH"/>
    <s v="wali"/>
    <n v="12500"/>
  </r>
  <r>
    <s v="XI"/>
    <x v="2"/>
    <d v="2024-12-11T00:00:00"/>
    <s v="RECP"/>
    <s v="001655 PO:1655 BL/2560"/>
    <s v="mohamede"/>
    <n v="28000"/>
  </r>
  <r>
    <s v="XI"/>
    <x v="2"/>
    <d v="2024-12-11T00:00:00"/>
    <s v="RECP"/>
    <s v="001655 PO:1655 BL/3107"/>
    <s v="mohamede"/>
    <n v="28000"/>
  </r>
  <r>
    <s v="XI"/>
    <x v="3"/>
    <d v="2024-12-11T00:00:00"/>
    <s v="RECP"/>
    <s v="001662 MV Lotus /8/12/24"/>
    <s v="ahmedad"/>
    <n v="200000"/>
  </r>
  <r>
    <s v="XI"/>
    <x v="4"/>
    <d v="2024-12-09T00:00:00"/>
    <s v="RECP"/>
    <s v="001656 PO:1656 BL/146/2425"/>
    <s v="mohamede"/>
    <n v="13500"/>
  </r>
  <r>
    <s v="XI"/>
    <x v="2"/>
    <d v="2024-12-12T00:00:00"/>
    <s v="RECP"/>
    <s v="001654 PO:1654 BL/3124"/>
    <s v="mohamede"/>
    <n v="12600"/>
  </r>
  <r>
    <s v="XI"/>
    <x v="4"/>
    <d v="2024-12-12T00:00:00"/>
    <s v="RECP"/>
    <s v="001656 PO:1656 BL/147/24-25"/>
    <s v="mohamede"/>
    <n v="1350"/>
  </r>
  <r>
    <s v="XI"/>
    <x v="4"/>
    <d v="2024-12-14T00:00:00"/>
    <s v="RECP"/>
    <s v="001656 PO:1656 BL/147/24-25"/>
    <s v="mohamede"/>
    <n v="12150"/>
  </r>
  <r>
    <s v="XI"/>
    <x v="2"/>
    <d v="2024-12-12T00:00:00"/>
    <s v="RECP"/>
    <s v="001654 PO:1654 BL/2578"/>
    <s v="mohamede"/>
    <n v="28000"/>
  </r>
  <r>
    <s v="XI"/>
    <x v="2"/>
    <d v="2024-12-18T00:00:00"/>
    <s v="RECP"/>
    <s v="001661 PO:1661 BL/2856"/>
    <s v="mohamede"/>
    <n v="26600"/>
  </r>
  <r>
    <s v="XI"/>
    <x v="2"/>
    <d v="2024-12-24T00:00:00"/>
    <s v="RECP"/>
    <s v="001661 PO:1661 BL/6700"/>
    <s v="mohamede"/>
    <n v="1400"/>
  </r>
  <r>
    <s v="XQ"/>
    <x v="3"/>
    <d v="2024-12-31T00:00:00"/>
    <s v="RECP"/>
    <s v="001669 16728 Barge 2 Najm"/>
    <s v="wali"/>
    <n v="20000"/>
  </r>
  <r>
    <s v="XQ"/>
    <x v="3"/>
    <d v="2024-12-31T00:00:00"/>
    <s v="RECP"/>
    <s v="001670 16729 Barge 2 Najm"/>
    <s v="wali"/>
    <n v="20000"/>
  </r>
  <r>
    <s v="XQ"/>
    <x v="3"/>
    <d v="2024-12-31T00:00:00"/>
    <s v="RECP"/>
    <s v="001671 16730 Barge 2 Najm"/>
    <s v="wali"/>
    <n v="20000"/>
  </r>
  <r>
    <s v="XQ"/>
    <x v="3"/>
    <d v="2024-10-07T00:00:00"/>
    <s v="RECP"/>
    <s v="001620 15506  Halfa Barge"/>
    <s v="wali"/>
    <n v="20000"/>
  </r>
  <r>
    <s v="XQ"/>
    <x v="3"/>
    <d v="2024-10-09T00:00:00"/>
    <s v="RECP"/>
    <s v="001624 BL15507  Halfa Barge"/>
    <s v="wali"/>
    <n v="20000"/>
  </r>
  <r>
    <s v="XQ"/>
    <x v="3"/>
    <d v="2024-10-09T00:00:00"/>
    <s v="RECP"/>
    <s v="001624 BL15508  Halfa Barge"/>
    <s v="wali"/>
    <n v="20000"/>
  </r>
  <r>
    <s v="XI"/>
    <x v="5"/>
    <d v="2024-10-16T00:00:00"/>
    <s v="RECP"/>
    <s v="001628 MV AG VALIANT 5000MT"/>
    <s v="ahmedad"/>
    <n v="100000"/>
  </r>
  <r>
    <s v="XI"/>
    <x v="6"/>
    <d v="2024-10-16T00:00:00"/>
    <s v="RECP"/>
    <s v="001629 MV LORD H 5000 MT"/>
    <s v="ahmedad"/>
    <n v="100000"/>
  </r>
  <r>
    <s v="XI"/>
    <x v="7"/>
    <d v="2024-10-20T00:00:00"/>
    <s v="RECP"/>
    <s v="001604 PO:1604 BL/1524"/>
    <s v="mohamede"/>
    <n v="13500"/>
  </r>
  <r>
    <s v="XI"/>
    <x v="7"/>
    <d v="2024-10-20T00:00:00"/>
    <s v="RECP"/>
    <s v="001604 PO:1604 BL/1424"/>
    <s v="mohamede"/>
    <n v="13500"/>
  </r>
  <r>
    <s v="XI"/>
    <x v="2"/>
    <d v="2024-10-20T00:00:00"/>
    <s v="RECP"/>
    <s v="001598 PO:1598 BL/3205"/>
    <s v="mohamede"/>
    <n v="10000"/>
  </r>
  <r>
    <s v="XI"/>
    <x v="2"/>
    <d v="2024-10-21T00:00:00"/>
    <s v="RECP"/>
    <s v="001598 PO:1598 BL/3205B"/>
    <s v="mohamede"/>
    <n v="25000"/>
  </r>
  <r>
    <s v="XQ"/>
    <x v="3"/>
    <d v="2024-10-20T00:00:00"/>
    <s v="RECP"/>
    <s v="001625 INV-09/00012A DONGAL"/>
    <s v="wali"/>
    <n v="22000"/>
  </r>
  <r>
    <s v="XI"/>
    <x v="2"/>
    <d v="2024-10-22T00:00:00"/>
    <s v="RECP"/>
    <s v="001598 PO:1598 BL/3205A"/>
    <s v="mohamede"/>
    <n v="25000"/>
  </r>
  <r>
    <s v="XQ"/>
    <x v="3"/>
    <d v="2024-10-21T00:00:00"/>
    <s v="RECP"/>
    <s v="001636 INV-09/00012C Aldabh"/>
    <s v="wali"/>
    <n v="24200"/>
  </r>
  <r>
    <s v="XI"/>
    <x v="8"/>
    <d v="2024-10-24T00:00:00"/>
    <s v="RECP"/>
    <s v="001629 MV LORD H/14/10/24"/>
    <s v="ahmedad"/>
    <n v="4352"/>
  </r>
  <r>
    <s v="XI"/>
    <x v="2"/>
    <d v="2024-10-24T00:00:00"/>
    <s v="RECP"/>
    <s v="001598 PO:1598 BL/3205C"/>
    <s v="mohamede"/>
    <n v="25000"/>
  </r>
  <r>
    <s v="XI"/>
    <x v="7"/>
    <d v="2024-10-24T00:00:00"/>
    <s v="RECP"/>
    <s v="001604 PO:1604 BL/1362"/>
    <s v="mohamede"/>
    <n v="27000"/>
  </r>
  <r>
    <s v="XI"/>
    <x v="3"/>
    <d v="2024-10-27T00:00:00"/>
    <s v="RECP"/>
    <s v="001637 MVHonest1 10499.8MT"/>
    <s v="ahmedad"/>
    <n v="240000"/>
  </r>
  <r>
    <s v="XI"/>
    <x v="8"/>
    <d v="2024-10-26T00:00:00"/>
    <s v="RECP"/>
    <s v="001628 MV AG Valiant/5000MT"/>
    <s v="ahmedad"/>
    <n v="932"/>
  </r>
  <r>
    <s v="XI"/>
    <x v="2"/>
    <d v="2024-10-30T00:00:00"/>
    <s v="RECP"/>
    <s v="001610 PO:1610 BL/7925"/>
    <s v="mohamede"/>
    <n v="28000"/>
  </r>
  <r>
    <s v="XQ"/>
    <x v="3"/>
    <d v="2024-10-31T00:00:00"/>
    <s v="RECP"/>
    <s v="001625 INV-09/00012B DONGAL"/>
    <s v="wali"/>
    <n v="22000"/>
  </r>
  <r>
    <s v="XI"/>
    <x v="2"/>
    <d v="2024-11-05T00:00:00"/>
    <s v="RECP"/>
    <s v="001611 PO:1611 BL/8089"/>
    <s v="mohamede"/>
    <n v="28000"/>
  </r>
  <r>
    <s v="XQ"/>
    <x v="0"/>
    <d v="2024-11-05T00:00:00"/>
    <s v="RECP"/>
    <s v="001648 INV-10/00013A  Dabah"/>
    <s v="wali"/>
    <n v="20000"/>
  </r>
  <r>
    <s v="XI"/>
    <x v="2"/>
    <d v="2024-11-06T00:00:00"/>
    <s v="RECP"/>
    <s v="001611 PO:1611 BL/7313"/>
    <s v="mohamede"/>
    <n v="40600"/>
  </r>
  <r>
    <s v="XI"/>
    <x v="2"/>
    <d v="2024-11-06T00:00:00"/>
    <s v="RECP"/>
    <s v="001611 PO:1611 BL/8026"/>
    <s v="mohamede"/>
    <n v="28000"/>
  </r>
  <r>
    <s v="XI"/>
    <x v="4"/>
    <d v="2024-11-14T00:00:00"/>
    <s v="RECP"/>
    <s v="001627 PO:1627 PO-8424"/>
    <s v="mohamede"/>
    <n v="13500"/>
  </r>
  <r>
    <s v="XI"/>
    <x v="9"/>
    <d v="2024-11-13T00:00:00"/>
    <s v="RECP"/>
    <s v="001637 MVHonest/EmptyB 3500"/>
    <s v="ahmedad"/>
    <n v="3500"/>
  </r>
  <r>
    <s v="XI"/>
    <x v="4"/>
    <d v="2024-11-14T00:00:00"/>
    <s v="RECP"/>
    <s v="001627 PO:1627 BL/7824"/>
    <s v="mohamede"/>
    <n v="13500"/>
  </r>
  <r>
    <s v="XI"/>
    <x v="7"/>
    <d v="2024-11-17T00:00:00"/>
    <s v="RECP"/>
    <s v="001623 PO:1623 BL/6111"/>
    <s v="mohamede"/>
    <n v="19875"/>
  </r>
  <r>
    <s v="XI"/>
    <x v="7"/>
    <d v="2024-11-17T00:00:00"/>
    <s v="RECP"/>
    <s v="001626 PO:1626 BL/24-25"/>
    <s v="mohamede"/>
    <n v="27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21">
  <r>
    <x v="0"/>
    <s v="GL"/>
    <x v="0"/>
    <x v="0"/>
    <s v="CO0102"/>
    <s v="White Cotton Seeds"/>
    <x v="0"/>
    <x v="0"/>
    <d v="2025-01-29T00:00:00"/>
    <s v="ADJ"/>
    <s v="SCALE DIFFERENCE - MOISTURE"/>
    <x v="0"/>
    <s v="Gain"/>
    <x v="0"/>
    <x v="0"/>
    <x v="0"/>
    <s v="a.bakri"/>
    <n v="0.01"/>
    <n v="0.01"/>
    <n v="455748.84263000003"/>
    <s v="GL0001"/>
    <s v="000000"/>
    <s v="A00778"/>
    <s v="C02630"/>
    <s v=""/>
    <n v="0"/>
    <n v="4557.4884263000004"/>
    <x v="0"/>
  </r>
  <r>
    <x v="1"/>
    <s v="AG"/>
    <x v="0"/>
    <x v="0"/>
    <s v="CO0102"/>
    <s v="White Cotton Seeds"/>
    <x v="0"/>
    <x v="0"/>
    <d v="2025-02-03T00:00:00"/>
    <s v="SCRP"/>
    <s v="SCALE DIFFERENCE -  MOISTURE"/>
    <x v="1"/>
    <s v="Loss"/>
    <x v="0"/>
    <x v="0"/>
    <x v="0"/>
    <s v="a.bakri"/>
    <n v="-0.33"/>
    <n v="-0.33"/>
    <n v="492826.92262000003"/>
    <s v=""/>
    <s v="000000"/>
    <s v="X03818"/>
    <s v=""/>
    <s v="P03589"/>
    <n v="0"/>
    <n v="-162632.88446460001"/>
    <x v="0"/>
  </r>
  <r>
    <x v="2"/>
    <s v="BN"/>
    <x v="0"/>
    <x v="1"/>
    <s v="SO0101"/>
    <s v="Sorghum Raw"/>
    <x v="1"/>
    <x v="0"/>
    <d v="2025-07-23T00:00:00"/>
    <s v="SCRP"/>
    <s v="SCALE DIFF  - 0.07%"/>
    <x v="2"/>
    <s v="Loss"/>
    <x v="0"/>
    <x v="0"/>
    <x v="0"/>
    <s v="a.bakri"/>
    <n v="-4.3499999999999996"/>
    <n v="-4.3499999999999996"/>
    <n v="947797.31544000003"/>
    <s v=""/>
    <s v="000000"/>
    <s v="X04435"/>
    <s v=""/>
    <s v="A00694"/>
    <n v="0"/>
    <n v="-4122918.322164"/>
    <x v="0"/>
  </r>
  <r>
    <x v="3"/>
    <s v="XP"/>
    <x v="0"/>
    <x v="1"/>
    <s v="SO0101"/>
    <s v="Sorghum Raw"/>
    <x v="1"/>
    <x v="0"/>
    <d v="2025-09-18T00:00:00"/>
    <s v="ADJ"/>
    <s v="SCALE DIFF"/>
    <x v="3"/>
    <s v="Gain"/>
    <x v="0"/>
    <x v="0"/>
    <x v="0"/>
    <s v="a.bakri"/>
    <n v="18.64"/>
    <n v="18.64"/>
    <n v="947797.31544000003"/>
    <s v="XP0001"/>
    <s v="000000"/>
    <s v="A00902"/>
    <s v="C02944"/>
    <s v=""/>
    <n v="0"/>
    <n v="17666941.959801599"/>
    <x v="0"/>
  </r>
  <r>
    <x v="4"/>
    <s v="XQ"/>
    <x v="1"/>
    <x v="2"/>
    <s v="WS0008"/>
    <s v="White Crystal Sugar"/>
    <x v="2"/>
    <x v="1"/>
    <d v="2025-06-15T00:00:00"/>
    <s v="SCRP"/>
    <s v="SAMPLE / LOT 2,3,5"/>
    <x v="4"/>
    <s v="Loss"/>
    <x v="1"/>
    <x v="1"/>
    <x v="0"/>
    <s v="a.bakri"/>
    <n v="-8"/>
    <n v="-0.4"/>
    <n v="83521.151800000007"/>
    <s v=""/>
    <s v="000001"/>
    <s v="X04246"/>
    <s v=""/>
    <s v="CNC000732"/>
    <n v="0"/>
    <n v="-668169.21440000006"/>
    <x v="1"/>
  </r>
  <r>
    <x v="5"/>
    <s v="WQ"/>
    <x v="1"/>
    <x v="3"/>
    <s v="RC0006"/>
    <s v="Rice Short Grain Elngm 25Kg"/>
    <x v="3"/>
    <x v="1"/>
    <d v="2025-05-05T00:00:00"/>
    <s v="SCRP"/>
    <s v="SAMPLE BL 15B LOT 4"/>
    <x v="5"/>
    <s v="Loss"/>
    <x v="1"/>
    <x v="1"/>
    <x v="0"/>
    <s v="a.bakri"/>
    <n v="-4"/>
    <n v="-0.1"/>
    <n v="50476.383040000001"/>
    <s v=""/>
    <s v="000001"/>
    <s v="X04060"/>
    <s v=""/>
    <s v="Q06110"/>
    <n v="0"/>
    <n v="-201905.53216"/>
    <x v="2"/>
  </r>
  <r>
    <x v="5"/>
    <s v="WQ"/>
    <x v="1"/>
    <x v="3"/>
    <s v="RC0006"/>
    <s v="Rice Short Grain Elngm 25Kg"/>
    <x v="3"/>
    <x v="1"/>
    <d v="2025-05-05T00:00:00"/>
    <s v="SCRP"/>
    <s v="SAMPLE BL 15A LOT 3"/>
    <x v="6"/>
    <s v="Loss"/>
    <x v="1"/>
    <x v="1"/>
    <x v="0"/>
    <s v="a.bakri"/>
    <n v="-2"/>
    <n v="-0.05"/>
    <n v="50476.383040000001"/>
    <s v=""/>
    <s v="000004"/>
    <s v="X04064"/>
    <s v=""/>
    <s v="Q06110"/>
    <n v="0"/>
    <n v="-100952.76608"/>
    <x v="2"/>
  </r>
  <r>
    <x v="4"/>
    <s v="XI"/>
    <x v="1"/>
    <x v="2"/>
    <s v="WS0001"/>
    <s v="White Sugar"/>
    <x v="4"/>
    <x v="1"/>
    <d v="2025-06-15T00:00:00"/>
    <s v="SCRP"/>
    <s v="MV LUCKY TRADER /REPACKING LOSS"/>
    <x v="7"/>
    <s v="Loss"/>
    <x v="1"/>
    <x v="1"/>
    <x v="0"/>
    <s v="a.bakri"/>
    <n v="-155"/>
    <n v="-7.75"/>
    <n v="83521.151800000007"/>
    <s v=""/>
    <s v="000001"/>
    <s v="X04237"/>
    <s v=""/>
    <s v="Q06189"/>
    <n v="0"/>
    <n v="-12945778.529000001"/>
    <x v="1"/>
  </r>
  <r>
    <x v="4"/>
    <s v="XI"/>
    <x v="1"/>
    <x v="2"/>
    <s v="WS0001"/>
    <s v="White Sugar"/>
    <x v="4"/>
    <x v="1"/>
    <d v="2025-06-15T00:00:00"/>
    <s v="SCRP"/>
    <s v="MV LUCKY TRADER /SAMPLES"/>
    <x v="7"/>
    <s v="Loss"/>
    <x v="1"/>
    <x v="1"/>
    <x v="0"/>
    <s v="a.bakri"/>
    <n v="-7"/>
    <n v="-0.35"/>
    <n v="83521.151800000007"/>
    <s v=""/>
    <s v="000002"/>
    <s v="X04238"/>
    <s v=""/>
    <s v="Q06189"/>
    <n v="0"/>
    <n v="-584648.06260000006"/>
    <x v="1"/>
  </r>
  <r>
    <x v="1"/>
    <s v="XI"/>
    <x v="1"/>
    <x v="4"/>
    <s v="IF0001"/>
    <s v="Flour Import Elngm 25Kg"/>
    <x v="5"/>
    <x v="1"/>
    <d v="2025-02-03T00:00:00"/>
    <s v="SCRP"/>
    <s v="MV LOTUS/REPACKING LOSS"/>
    <x v="8"/>
    <s v="Loss"/>
    <x v="1"/>
    <x v="1"/>
    <x v="0"/>
    <s v="a.bakri"/>
    <n v="-85"/>
    <n v="-2.125"/>
    <n v="31675.77131"/>
    <s v=""/>
    <s v="000001"/>
    <s v="X03820"/>
    <s v=""/>
    <s v="Q06007"/>
    <n v="0"/>
    <n v="-2692440.5613500001"/>
    <x v="2"/>
  </r>
  <r>
    <x v="1"/>
    <s v="XI"/>
    <x v="1"/>
    <x v="4"/>
    <s v="IF0001"/>
    <s v="Flour Import Elngm 25Kg"/>
    <x v="5"/>
    <x v="1"/>
    <d v="2025-02-03T00:00:00"/>
    <s v="SCRP"/>
    <s v="MV LOTUS/FELL IN SEA"/>
    <x v="8"/>
    <s v="Loss"/>
    <x v="1"/>
    <x v="1"/>
    <x v="0"/>
    <s v="a.bakri"/>
    <n v="-7"/>
    <n v="-0.17499999999999999"/>
    <n v="31675.77131"/>
    <s v=""/>
    <s v="000002"/>
    <s v="X03821"/>
    <s v=""/>
    <s v="Q06007"/>
    <n v="0"/>
    <n v="-221730.39916999999"/>
    <x v="2"/>
  </r>
  <r>
    <x v="1"/>
    <s v="XI"/>
    <x v="1"/>
    <x v="4"/>
    <s v="IF0001"/>
    <s v="Flour Import Elngm 25Kg"/>
    <x v="5"/>
    <x v="1"/>
    <d v="2025-02-03T00:00:00"/>
    <s v="SCRP"/>
    <s v="MV LOTUS/SAMPLES"/>
    <x v="8"/>
    <s v="Loss"/>
    <x v="1"/>
    <x v="1"/>
    <x v="0"/>
    <s v="a.bakri"/>
    <n v="-37"/>
    <n v="-0.92500000000000004"/>
    <n v="31675.77131"/>
    <s v=""/>
    <s v="000003"/>
    <s v="X03822"/>
    <s v=""/>
    <s v="Q06007"/>
    <n v="0"/>
    <n v="-1172003.53847"/>
    <x v="2"/>
  </r>
  <r>
    <x v="0"/>
    <s v="XI"/>
    <x v="1"/>
    <x v="2"/>
    <s v="WS0005"/>
    <s v="White Sugar"/>
    <x v="4"/>
    <x v="1"/>
    <d v="2025-01-20T00:00:00"/>
    <s v="SCRP"/>
    <s v="MV LORD - LOST DURING REPACKING"/>
    <x v="9"/>
    <s v="Loss"/>
    <x v="1"/>
    <x v="1"/>
    <x v="0"/>
    <s v="a.bakri"/>
    <n v="-42"/>
    <n v="-2.1"/>
    <n v="80496.589399999997"/>
    <s v=""/>
    <s v="000001"/>
    <s v="X03762"/>
    <s v=""/>
    <s v="Q05939"/>
    <n v="0"/>
    <n v="-3380856.7547999998"/>
    <x v="1"/>
  </r>
  <r>
    <x v="0"/>
    <s v="XI"/>
    <x v="1"/>
    <x v="2"/>
    <s v="WS0005"/>
    <s v="White Sugar"/>
    <x v="4"/>
    <x v="1"/>
    <d v="2025-01-20T00:00:00"/>
    <s v="SCRP"/>
    <s v="MV LORD - SAMPLES"/>
    <x v="9"/>
    <s v="Loss"/>
    <x v="1"/>
    <x v="1"/>
    <x v="0"/>
    <s v="a.bakri"/>
    <n v="-4"/>
    <n v="-0.2"/>
    <n v="80496.589399999997"/>
    <s v=""/>
    <s v="000002"/>
    <s v="X03763"/>
    <s v=""/>
    <s v="Q05939"/>
    <n v="0"/>
    <n v="-321986.35759999999"/>
    <x v="1"/>
  </r>
  <r>
    <x v="4"/>
    <s v="XI"/>
    <x v="1"/>
    <x v="2"/>
    <s v="WS0005"/>
    <s v="White Sugar"/>
    <x v="4"/>
    <x v="1"/>
    <d v="2025-06-15T00:00:00"/>
    <s v="SCRP"/>
    <s v="MV IMA GLORY /REPACKING LOSS"/>
    <x v="10"/>
    <s v="Loss"/>
    <x v="1"/>
    <x v="1"/>
    <x v="0"/>
    <s v="a.bakri"/>
    <n v="-86"/>
    <n v="-4.3"/>
    <n v="83521.151800000007"/>
    <s v=""/>
    <s v="000001"/>
    <s v="X04216"/>
    <s v=""/>
    <s v="Q06134"/>
    <n v="0"/>
    <n v="-7182819.054800001"/>
    <x v="1"/>
  </r>
  <r>
    <x v="4"/>
    <s v="XI"/>
    <x v="1"/>
    <x v="2"/>
    <s v="WS0005"/>
    <s v="White Sugar"/>
    <x v="4"/>
    <x v="1"/>
    <d v="2025-06-15T00:00:00"/>
    <s v="SCRP"/>
    <s v="MV IMA GLORY / FALLEN IN SEA"/>
    <x v="10"/>
    <s v="Loss"/>
    <x v="1"/>
    <x v="1"/>
    <x v="0"/>
    <s v="a.bakri"/>
    <n v="-1"/>
    <n v="-0.05"/>
    <n v="83521.151800000007"/>
    <s v=""/>
    <s v="000002"/>
    <s v="X04217"/>
    <s v=""/>
    <s v="Q06134"/>
    <n v="0"/>
    <n v="-83521.151800000007"/>
    <x v="1"/>
  </r>
  <r>
    <x v="4"/>
    <s v="XI"/>
    <x v="1"/>
    <x v="2"/>
    <s v="WS0005"/>
    <s v="White Sugar"/>
    <x v="4"/>
    <x v="1"/>
    <d v="2025-06-15T00:00:00"/>
    <s v="SCRP"/>
    <s v="MV IMA GLORY /SAMPLES"/>
    <x v="10"/>
    <s v="Loss"/>
    <x v="1"/>
    <x v="1"/>
    <x v="0"/>
    <s v="a.bakri"/>
    <n v="-11"/>
    <n v="-0.55000000000000004"/>
    <n v="83521.151800000007"/>
    <s v=""/>
    <s v="000003"/>
    <s v="X04218"/>
    <s v=""/>
    <s v="Q06134"/>
    <n v="0"/>
    <n v="-918732.66980000003"/>
    <x v="1"/>
  </r>
  <r>
    <x v="4"/>
    <s v="XI"/>
    <x v="1"/>
    <x v="4"/>
    <s v="DK0101"/>
    <s v="Flour Damaged (AF) - Ton"/>
    <x v="6"/>
    <x v="1"/>
    <d v="2025-06-15T00:00:00"/>
    <s v="ADJ"/>
    <s v="MV HONEST / DOWNGRADE"/>
    <x v="11"/>
    <s v="Gain"/>
    <x v="1"/>
    <x v="1"/>
    <x v="0"/>
    <s v="a.bakri"/>
    <n v="11.98"/>
    <n v="11.98"/>
    <n v="185743.6"/>
    <s v="XI0001"/>
    <s v="000000"/>
    <s v="A00841"/>
    <s v="C02786"/>
    <s v=""/>
    <n v="0"/>
    <n v="2225208.3280000002"/>
    <x v="0"/>
  </r>
  <r>
    <x v="4"/>
    <s v="XI"/>
    <x v="1"/>
    <x v="4"/>
    <s v="IF0001"/>
    <s v="Flour Import Elngm 25Kg"/>
    <x v="5"/>
    <x v="1"/>
    <d v="2025-06-15T00:00:00"/>
    <s v="SCRP"/>
    <s v="MV HONEST/ REPACKING LOSS"/>
    <x v="11"/>
    <s v="Loss"/>
    <x v="1"/>
    <x v="1"/>
    <x v="0"/>
    <s v="a.bakri"/>
    <n v="-128"/>
    <n v="-3.2"/>
    <n v="24758.555840000001"/>
    <s v=""/>
    <s v="000001"/>
    <s v="X04220"/>
    <s v=""/>
    <s v="Q06225"/>
    <n v="0"/>
    <n v="-3169095.1475200001"/>
    <x v="2"/>
  </r>
  <r>
    <x v="4"/>
    <s v="XI"/>
    <x v="1"/>
    <x v="4"/>
    <s v="IF0001"/>
    <s v="Flour Import Elngm 25Kg"/>
    <x v="5"/>
    <x v="1"/>
    <d v="2025-06-15T00:00:00"/>
    <s v="SCRP"/>
    <s v="MV HONEST/ FALLEN IN SEA"/>
    <x v="11"/>
    <s v="Loss"/>
    <x v="1"/>
    <x v="1"/>
    <x v="0"/>
    <s v="a.bakri"/>
    <n v="-8"/>
    <n v="-0.2"/>
    <n v="24758.555840000001"/>
    <s v=""/>
    <s v="000002"/>
    <s v="X04221"/>
    <s v=""/>
    <s v="Q06225"/>
    <n v="0"/>
    <n v="-198068.44672000001"/>
    <x v="2"/>
  </r>
  <r>
    <x v="4"/>
    <s v="XI"/>
    <x v="1"/>
    <x v="4"/>
    <s v="IF0001"/>
    <s v="Flour Import Elngm 25Kg"/>
    <x v="5"/>
    <x v="1"/>
    <d v="2025-06-15T00:00:00"/>
    <s v="SCRP"/>
    <s v="MV HONEST/ SAMPLES"/>
    <x v="11"/>
    <s v="Loss"/>
    <x v="1"/>
    <x v="1"/>
    <x v="0"/>
    <s v="a.bakri"/>
    <n v="-42"/>
    <n v="-1.05"/>
    <n v="24758.555840000001"/>
    <s v=""/>
    <s v="000003"/>
    <s v="X04222"/>
    <s v=""/>
    <s v="Q06225"/>
    <n v="0"/>
    <n v="-1039859.34528"/>
    <x v="2"/>
  </r>
  <r>
    <x v="4"/>
    <s v="XI"/>
    <x v="1"/>
    <x v="4"/>
    <s v="IF0001"/>
    <s v="Flour Import Elngm 25Kg"/>
    <x v="5"/>
    <x v="1"/>
    <d v="2025-06-15T00:00:00"/>
    <s v="SCRP"/>
    <s v="MV HONEST/ REJECTED BY SSMO"/>
    <x v="11"/>
    <s v="Loss"/>
    <x v="1"/>
    <x v="1"/>
    <x v="0"/>
    <s v="a.bakri"/>
    <n v="-479"/>
    <n v="-11.975"/>
    <n v="24758.555840000001"/>
    <s v=""/>
    <s v="000004"/>
    <s v="X04223"/>
    <s v=""/>
    <s v="Q06225"/>
    <n v="0"/>
    <n v="-11859348.24736"/>
    <x v="2"/>
  </r>
  <r>
    <x v="1"/>
    <s v="XI"/>
    <x v="1"/>
    <x v="4"/>
    <s v="IF0001"/>
    <s v="Flour Import Elngm 25Kg"/>
    <x v="5"/>
    <x v="1"/>
    <d v="2025-02-03T00:00:00"/>
    <s v="SCRP"/>
    <s v="MV COPERNICO/REPACKING LOSS"/>
    <x v="12"/>
    <s v="Loss"/>
    <x v="1"/>
    <x v="1"/>
    <x v="0"/>
    <s v="a.bakri"/>
    <n v="-89"/>
    <n v="-2.2250000000000001"/>
    <n v="31675.77131"/>
    <s v=""/>
    <s v="000005"/>
    <s v="X03824"/>
    <s v=""/>
    <s v="Q06007"/>
    <n v="0"/>
    <n v="-2819143.64659"/>
    <x v="2"/>
  </r>
  <r>
    <x v="1"/>
    <s v="XI"/>
    <x v="1"/>
    <x v="4"/>
    <s v="IF0001"/>
    <s v="Flour Import Elngm 25Kg"/>
    <x v="5"/>
    <x v="1"/>
    <d v="2025-02-03T00:00:00"/>
    <s v="SCRP"/>
    <s v="MV COPERNICO/FELL IN SEA"/>
    <x v="12"/>
    <s v="Loss"/>
    <x v="1"/>
    <x v="1"/>
    <x v="0"/>
    <s v="a.bakri"/>
    <n v="-8"/>
    <n v="-0.2"/>
    <n v="31675.77131"/>
    <s v=""/>
    <s v="000006"/>
    <s v="X03825"/>
    <s v=""/>
    <s v="Q06007"/>
    <n v="0"/>
    <n v="-253406.17048"/>
    <x v="2"/>
  </r>
  <r>
    <x v="1"/>
    <s v="XI"/>
    <x v="1"/>
    <x v="4"/>
    <s v="IF0001"/>
    <s v="Flour Import Elngm 25Kg"/>
    <x v="5"/>
    <x v="1"/>
    <d v="2025-02-03T00:00:00"/>
    <s v="SCRP"/>
    <s v="MV COPERNICO/SAMPLES"/>
    <x v="12"/>
    <s v="Loss"/>
    <x v="1"/>
    <x v="1"/>
    <x v="0"/>
    <s v="a.bakri"/>
    <n v="-38"/>
    <n v="-0.95"/>
    <n v="31675.77131"/>
    <s v=""/>
    <s v="000007"/>
    <s v="X03826"/>
    <s v=""/>
    <s v="Q06007"/>
    <n v="0"/>
    <n v="-1203679.30978"/>
    <x v="2"/>
  </r>
  <r>
    <x v="4"/>
    <s v="XI"/>
    <x v="1"/>
    <x v="4"/>
    <s v="IF0001"/>
    <s v="Flour Import Elngm 25Kg"/>
    <x v="5"/>
    <x v="1"/>
    <d v="2025-06-15T00:00:00"/>
    <s v="SCRP"/>
    <s v="MV Cecella / REPACKING LOSS"/>
    <x v="13"/>
    <s v="Loss"/>
    <x v="1"/>
    <x v="1"/>
    <x v="0"/>
    <s v="a.bakri"/>
    <n v="-107"/>
    <n v="-2.6749999999999998"/>
    <n v="24758.555840000001"/>
    <s v=""/>
    <s v="000018"/>
    <s v="X04240"/>
    <s v=""/>
    <s v="Q06225"/>
    <n v="0"/>
    <n v="-2649165.4748800001"/>
    <x v="2"/>
  </r>
  <r>
    <x v="4"/>
    <s v="XI"/>
    <x v="1"/>
    <x v="4"/>
    <s v="IF0001"/>
    <s v="Flour Import Elngm 25Kg"/>
    <x v="5"/>
    <x v="1"/>
    <d v="2025-06-15T00:00:00"/>
    <s v="SCRP"/>
    <s v="MV Cecella /  SAMPLE"/>
    <x v="13"/>
    <s v="Loss"/>
    <x v="1"/>
    <x v="1"/>
    <x v="0"/>
    <s v="a.bakri"/>
    <n v="-38"/>
    <n v="-0.95"/>
    <n v="24758.555840000001"/>
    <s v=""/>
    <s v="000019"/>
    <s v="X04241"/>
    <s v=""/>
    <s v="Q06225"/>
    <n v="0"/>
    <n v="-940825.12192000006"/>
    <x v="2"/>
  </r>
  <r>
    <x v="4"/>
    <s v="XI"/>
    <x v="1"/>
    <x v="4"/>
    <s v="IF0001"/>
    <s v="Flour Import Elngm 25Kg"/>
    <x v="5"/>
    <x v="1"/>
    <d v="2025-06-15T00:00:00"/>
    <s v="SCRP"/>
    <s v="MV Cecella /FALLEN IN SEA"/>
    <x v="13"/>
    <s v="Loss"/>
    <x v="1"/>
    <x v="1"/>
    <x v="0"/>
    <s v="a.bakri"/>
    <n v="-2"/>
    <n v="-0.05"/>
    <n v="24758.555840000001"/>
    <s v=""/>
    <s v="000020"/>
    <s v="X04242"/>
    <s v=""/>
    <s v="Q06225"/>
    <n v="0"/>
    <n v="-49517.111680000002"/>
    <x v="2"/>
  </r>
  <r>
    <x v="4"/>
    <s v="XI"/>
    <x v="1"/>
    <x v="4"/>
    <s v="IF0001"/>
    <s v="Flour Import Elngm 25Kg"/>
    <x v="5"/>
    <x v="1"/>
    <d v="2025-06-15T00:00:00"/>
    <s v="SCRP"/>
    <s v="MV Cecella / REPACKING LOSS"/>
    <x v="14"/>
    <s v="Loss"/>
    <x v="1"/>
    <x v="1"/>
    <x v="0"/>
    <s v="a.bakri"/>
    <n v="-111"/>
    <n v="-2.7749999999999999"/>
    <n v="24758.555840000001"/>
    <s v=""/>
    <s v="000006"/>
    <s v="X04225"/>
    <s v=""/>
    <s v="Q06225"/>
    <n v="0"/>
    <n v="-2748199.6982400003"/>
    <x v="2"/>
  </r>
  <r>
    <x v="4"/>
    <s v="XI"/>
    <x v="1"/>
    <x v="4"/>
    <s v="IF0001"/>
    <s v="Flour Import Elngm 25Kg"/>
    <x v="5"/>
    <x v="1"/>
    <d v="2025-06-15T00:00:00"/>
    <s v="SCRP"/>
    <s v="MV Cecella / SAMPLE"/>
    <x v="14"/>
    <s v="Loss"/>
    <x v="1"/>
    <x v="1"/>
    <x v="0"/>
    <s v="a.bakri"/>
    <n v="-27"/>
    <n v="-0.67500000000000004"/>
    <n v="24758.555840000001"/>
    <s v=""/>
    <s v="000007"/>
    <s v="X04226"/>
    <s v=""/>
    <s v="Q06225"/>
    <n v="0"/>
    <n v="-668481.00768000004"/>
    <x v="2"/>
  </r>
  <r>
    <x v="4"/>
    <s v="XI"/>
    <x v="1"/>
    <x v="4"/>
    <s v="IF0001"/>
    <s v="Flour Import Elngm 25Kg"/>
    <x v="5"/>
    <x v="1"/>
    <d v="2025-06-15T00:00:00"/>
    <s v="SCRP"/>
    <s v="MV AMBER / REPACKING LOSS"/>
    <x v="15"/>
    <s v="Loss"/>
    <x v="1"/>
    <x v="1"/>
    <x v="0"/>
    <s v="a.bakri"/>
    <n v="-127"/>
    <n v="-3.1749999999999998"/>
    <n v="24758.555840000001"/>
    <s v=""/>
    <s v="000010"/>
    <s v="X04229"/>
    <s v=""/>
    <s v="Q06225"/>
    <n v="0"/>
    <n v="-3144336.5916800001"/>
    <x v="2"/>
  </r>
  <r>
    <x v="4"/>
    <s v="XI"/>
    <x v="1"/>
    <x v="4"/>
    <s v="IF0001"/>
    <s v="Flour Import Elngm 25Kg"/>
    <x v="5"/>
    <x v="1"/>
    <d v="2025-06-15T00:00:00"/>
    <s v="SCRP"/>
    <s v="MV AMBER / FALLEN IN SEA"/>
    <x v="15"/>
    <s v="Loss"/>
    <x v="1"/>
    <x v="1"/>
    <x v="0"/>
    <s v="a.bakri"/>
    <n v="-1"/>
    <n v="-2.5000000000000001E-2"/>
    <n v="24758.555840000001"/>
    <s v=""/>
    <s v="000011"/>
    <s v="X04230"/>
    <s v=""/>
    <s v="Q06225"/>
    <n v="0"/>
    <n v="-24758.555840000001"/>
    <x v="2"/>
  </r>
  <r>
    <x v="4"/>
    <s v="XI"/>
    <x v="1"/>
    <x v="4"/>
    <s v="IF0001"/>
    <s v="Flour Import Elngm 25Kg"/>
    <x v="5"/>
    <x v="1"/>
    <d v="2025-06-15T00:00:00"/>
    <s v="SCRP"/>
    <s v="MV AMBER / SAMPLE"/>
    <x v="15"/>
    <s v="Loss"/>
    <x v="1"/>
    <x v="1"/>
    <x v="0"/>
    <s v="a.bakri"/>
    <n v="-51"/>
    <n v="-1.2749999999999999"/>
    <n v="24758.555840000001"/>
    <s v=""/>
    <s v="000012"/>
    <s v="X04231"/>
    <s v=""/>
    <s v="Q06225"/>
    <n v="0"/>
    <n v="-1262686.3478399999"/>
    <x v="2"/>
  </r>
  <r>
    <x v="4"/>
    <s v="XI"/>
    <x v="1"/>
    <x v="4"/>
    <s v="IF0001"/>
    <s v="Flour Import Elngm 25Kg"/>
    <x v="5"/>
    <x v="1"/>
    <d v="2025-06-15T00:00:00"/>
    <s v="SCRP"/>
    <s v="MV AMBER / REPACKING LOSS"/>
    <x v="16"/>
    <s v="Loss"/>
    <x v="1"/>
    <x v="1"/>
    <x v="0"/>
    <s v="a.bakri"/>
    <n v="-56"/>
    <n v="-1.4"/>
    <n v="24758.555840000001"/>
    <s v=""/>
    <s v="000014"/>
    <s v="X04233"/>
    <s v=""/>
    <s v="Q06225"/>
    <n v="0"/>
    <n v="-1386479.1270400002"/>
    <x v="2"/>
  </r>
  <r>
    <x v="4"/>
    <s v="XI"/>
    <x v="1"/>
    <x v="4"/>
    <s v="IF0001"/>
    <s v="Flour Import Elngm 25Kg"/>
    <x v="5"/>
    <x v="1"/>
    <d v="2025-06-15T00:00:00"/>
    <s v="SCRP"/>
    <s v="MV AMBER / FALLEN IN SEA"/>
    <x v="16"/>
    <s v="Loss"/>
    <x v="1"/>
    <x v="1"/>
    <x v="0"/>
    <s v="a.bakri"/>
    <n v="-8"/>
    <n v="-0.2"/>
    <n v="24758.555840000001"/>
    <s v=""/>
    <s v="000015"/>
    <s v="X04234"/>
    <s v=""/>
    <s v="Q06225"/>
    <n v="0"/>
    <n v="-198068.44672000001"/>
    <x v="2"/>
  </r>
  <r>
    <x v="4"/>
    <s v="XI"/>
    <x v="1"/>
    <x v="4"/>
    <s v="IF0001"/>
    <s v="Flour Import Elngm 25Kg"/>
    <x v="5"/>
    <x v="1"/>
    <d v="2025-06-15T00:00:00"/>
    <s v="SCRP"/>
    <s v="MV AMBER / SAMPLE"/>
    <x v="16"/>
    <s v="Loss"/>
    <x v="1"/>
    <x v="1"/>
    <x v="0"/>
    <s v="a.bakri"/>
    <n v="-15"/>
    <n v="-0.375"/>
    <n v="24758.555840000001"/>
    <s v=""/>
    <s v="000016"/>
    <s v="X04235"/>
    <s v=""/>
    <s v="Q06225"/>
    <n v="0"/>
    <n v="-371378.33760000003"/>
    <x v="2"/>
  </r>
  <r>
    <x v="6"/>
    <s v="XI"/>
    <x v="1"/>
    <x v="2"/>
    <s v="WS0005"/>
    <s v="White Sugar"/>
    <x v="4"/>
    <x v="1"/>
    <d v="2025-03-19T00:00:00"/>
    <s v="SCRP"/>
    <s v="MV ABRAHAM - REPACKING LOSS"/>
    <x v="17"/>
    <s v="Loss"/>
    <x v="1"/>
    <x v="1"/>
    <x v="0"/>
    <s v="a.bakri"/>
    <n v="-152"/>
    <n v="-7.6"/>
    <n v="81012.933590000001"/>
    <s v=""/>
    <s v="000001"/>
    <s v="X03938"/>
    <s v=""/>
    <s v="Q06134"/>
    <n v="0"/>
    <n v="-12313965.905680001"/>
    <x v="1"/>
  </r>
  <r>
    <x v="6"/>
    <s v="XI"/>
    <x v="1"/>
    <x v="2"/>
    <s v="WS0005"/>
    <s v="White Sugar"/>
    <x v="4"/>
    <x v="1"/>
    <d v="2025-03-19T00:00:00"/>
    <s v="SCRP"/>
    <s v="MV ABRAHAM - FALL IN  SEA"/>
    <x v="17"/>
    <s v="Loss"/>
    <x v="1"/>
    <x v="1"/>
    <x v="0"/>
    <s v="a.bakri"/>
    <n v="-3"/>
    <n v="-0.15"/>
    <n v="81012.933590000001"/>
    <s v=""/>
    <s v="000002"/>
    <s v="X03939"/>
    <s v=""/>
    <s v="Q06134"/>
    <n v="0"/>
    <n v="-243038.80077"/>
    <x v="1"/>
  </r>
  <r>
    <x v="6"/>
    <s v="XI"/>
    <x v="1"/>
    <x v="2"/>
    <s v="WS0005"/>
    <s v="White Sugar"/>
    <x v="4"/>
    <x v="1"/>
    <d v="2025-03-19T00:00:00"/>
    <s v="SCRP"/>
    <s v="MV ABRAHAM - SAMPLES"/>
    <x v="17"/>
    <s v="Loss"/>
    <x v="1"/>
    <x v="1"/>
    <x v="0"/>
    <s v="a.bakri"/>
    <n v="-7"/>
    <n v="-0.35"/>
    <n v="81012.933590000001"/>
    <s v=""/>
    <s v="000003"/>
    <s v="X03940"/>
    <s v=""/>
    <s v="Q06134"/>
    <n v="0"/>
    <n v="-567090.53512999997"/>
    <x v="1"/>
  </r>
  <r>
    <x v="5"/>
    <s v="XQ"/>
    <x v="1"/>
    <x v="5"/>
    <s v="LE9005"/>
    <s v="Lentil Elngm 20KG"/>
    <x v="7"/>
    <x v="1"/>
    <d v="2025-05-05T00:00:00"/>
    <s v="SCRP"/>
    <s v="SAMPLE BL 13B LOT 1"/>
    <x v="18"/>
    <s v="Loss"/>
    <x v="1"/>
    <x v="1"/>
    <x v="0"/>
    <s v="a.bakri"/>
    <n v="-6"/>
    <n v="-0.12"/>
    <n v="49211.972889999997"/>
    <s v=""/>
    <s v="000001"/>
    <s v="X04057"/>
    <s v=""/>
    <s v="Q05965"/>
    <n v="0"/>
    <n v="-295271.83733999997"/>
    <x v="3"/>
  </r>
  <r>
    <x v="5"/>
    <s v="XQ"/>
    <x v="1"/>
    <x v="4"/>
    <s v="IF0001"/>
    <s v="Flour Import Elngm 25Kg"/>
    <x v="5"/>
    <x v="1"/>
    <d v="2025-05-05T00:00:00"/>
    <s v="SCRP"/>
    <s v="SAMPLE BL16729 LOT 93"/>
    <x v="19"/>
    <s v="Loss"/>
    <x v="1"/>
    <x v="1"/>
    <x v="0"/>
    <s v="a.bakri"/>
    <n v="-7"/>
    <n v="-0.17499999999999999"/>
    <n v="31301.811430000002"/>
    <s v=""/>
    <s v="000000"/>
    <s v="X04068"/>
    <s v=""/>
    <s v="Q06173"/>
    <n v="0"/>
    <n v="-219112.68001000001"/>
    <x v="2"/>
  </r>
  <r>
    <x v="5"/>
    <s v="XQ"/>
    <x v="1"/>
    <x v="4"/>
    <s v="IF0001"/>
    <s v="Flour Import Elngm 25Kg"/>
    <x v="5"/>
    <x v="1"/>
    <d v="2025-05-05T00:00:00"/>
    <s v="SCRP"/>
    <s v="SAMPLE BL15508 LOT 81"/>
    <x v="20"/>
    <s v="Loss"/>
    <x v="1"/>
    <x v="1"/>
    <x v="0"/>
    <s v="a.bakri"/>
    <n v="-6"/>
    <n v="-0.15"/>
    <n v="31301.811430000002"/>
    <s v=""/>
    <s v="000002"/>
    <s v="X04070"/>
    <s v=""/>
    <s v="Q06173"/>
    <n v="0"/>
    <n v="-187810.86858000001"/>
    <x v="2"/>
  </r>
  <r>
    <x v="2"/>
    <s v="XI"/>
    <x v="1"/>
    <x v="4"/>
    <s v="IF0001"/>
    <s v="Flour Import Elngm 25Kg"/>
    <x v="5"/>
    <x v="1"/>
    <d v="2025-07-30T00:00:00"/>
    <s v="SCRP"/>
    <s v="MV SHANGAHI/ REPACKING LOSS"/>
    <x v="21"/>
    <s v="Loss"/>
    <x v="1"/>
    <x v="2"/>
    <x v="1"/>
    <s v="702012"/>
    <n v="-272"/>
    <n v="-6.8"/>
    <n v="28919.106970000001"/>
    <s v=""/>
    <s v="000009"/>
    <s v="X04443"/>
    <s v=""/>
    <s v="Q06225"/>
    <n v="0"/>
    <n v="-7865997.0958400005"/>
    <x v="2"/>
  </r>
  <r>
    <x v="2"/>
    <s v="XI"/>
    <x v="1"/>
    <x v="4"/>
    <s v="IF0001"/>
    <s v="Flour Import Elngm 25Kg"/>
    <x v="5"/>
    <x v="1"/>
    <d v="2025-07-30T00:00:00"/>
    <s v="SCRP"/>
    <s v="MV SHANGAHI/ Fallen sea"/>
    <x v="21"/>
    <s v="Loss"/>
    <x v="1"/>
    <x v="2"/>
    <x v="1"/>
    <s v="702012"/>
    <n v="-6"/>
    <n v="-0.15"/>
    <n v="28919.106970000001"/>
    <s v=""/>
    <s v="000010"/>
    <s v="X04444"/>
    <s v=""/>
    <s v="Q06225"/>
    <n v="0"/>
    <n v="-173514.64182000002"/>
    <x v="2"/>
  </r>
  <r>
    <x v="2"/>
    <s v="XI"/>
    <x v="1"/>
    <x v="4"/>
    <s v="IF0001"/>
    <s v="Flour Import Elngm 25Kg"/>
    <x v="5"/>
    <x v="1"/>
    <d v="2025-07-30T00:00:00"/>
    <s v="SCRP"/>
    <s v="MV SHANGAHI/ sample"/>
    <x v="21"/>
    <s v="Loss"/>
    <x v="1"/>
    <x v="2"/>
    <x v="1"/>
    <s v="702012"/>
    <n v="-47"/>
    <n v="-1.175"/>
    <n v="28919.106970000001"/>
    <s v=""/>
    <s v="000011"/>
    <s v="X04445"/>
    <s v=""/>
    <s v="Q06225"/>
    <n v="0"/>
    <n v="-1359198.0275900001"/>
    <x v="2"/>
  </r>
  <r>
    <x v="2"/>
    <s v="XI"/>
    <x v="1"/>
    <x v="4"/>
    <s v="IF0001"/>
    <s v="Flour Import Elngm 25Kg"/>
    <x v="5"/>
    <x v="1"/>
    <d v="2025-07-15T00:00:00"/>
    <s v="SCRP"/>
    <s v="MV COPERNICO / REPACKING LOSS"/>
    <x v="22"/>
    <s v="Loss"/>
    <x v="1"/>
    <x v="1"/>
    <x v="0"/>
    <s v="a.bakri"/>
    <n v="-139"/>
    <n v="-3.4750000000000001"/>
    <n v="28919.106970000001"/>
    <s v=""/>
    <s v="000001"/>
    <s v="X04361"/>
    <s v=""/>
    <s v="Q06225"/>
    <n v="0"/>
    <n v="-4019755.8688300001"/>
    <x v="2"/>
  </r>
  <r>
    <x v="2"/>
    <s v="XI"/>
    <x v="1"/>
    <x v="4"/>
    <s v="IF0001"/>
    <s v="Flour Import Elngm 25Kg"/>
    <x v="5"/>
    <x v="1"/>
    <d v="2025-07-15T00:00:00"/>
    <s v="SCRP"/>
    <s v="MV COPERNICO /FALLEN IN SEA"/>
    <x v="22"/>
    <s v="Loss"/>
    <x v="1"/>
    <x v="1"/>
    <x v="0"/>
    <s v="a.bakri"/>
    <n v="-6"/>
    <n v="-0.15"/>
    <n v="28919.106970000001"/>
    <s v=""/>
    <s v="000002"/>
    <s v="X04362"/>
    <s v=""/>
    <s v="Q06225"/>
    <n v="0"/>
    <n v="-173514.64182000002"/>
    <x v="2"/>
  </r>
  <r>
    <x v="2"/>
    <s v="XI"/>
    <x v="1"/>
    <x v="4"/>
    <s v="IF0001"/>
    <s v="Flour Import Elngm 25Kg"/>
    <x v="5"/>
    <x v="1"/>
    <d v="2025-07-15T00:00:00"/>
    <s v="SCRP"/>
    <s v="MV COPERNICO / SAMPLE"/>
    <x v="22"/>
    <s v="Loss"/>
    <x v="1"/>
    <x v="1"/>
    <x v="0"/>
    <s v="a.bakri"/>
    <n v="-45"/>
    <n v="-1.125"/>
    <n v="28919.106970000001"/>
    <s v=""/>
    <s v="000003"/>
    <s v="X04363"/>
    <s v=""/>
    <s v="Q06225"/>
    <n v="0"/>
    <n v="-1301359.8136500001"/>
    <x v="2"/>
  </r>
  <r>
    <x v="2"/>
    <s v="XI"/>
    <x v="1"/>
    <x v="4"/>
    <s v="IF0001"/>
    <s v="Flour Import Elngm 25Kg"/>
    <x v="5"/>
    <x v="1"/>
    <d v="2025-07-31T00:00:00"/>
    <s v="SCRP"/>
    <s v="MV AMBER / REPACKING LOSS"/>
    <x v="23"/>
    <s v="Loss"/>
    <x v="1"/>
    <x v="1"/>
    <x v="0"/>
    <s v="702012"/>
    <n v="-24"/>
    <n v="-0.6"/>
    <n v="28919.106970000001"/>
    <s v=""/>
    <s v="000003"/>
    <s v="X04450"/>
    <s v=""/>
    <s v="Q06225"/>
    <n v="0"/>
    <n v="-694058.56728000008"/>
    <x v="2"/>
  </r>
  <r>
    <x v="2"/>
    <s v="XI"/>
    <x v="1"/>
    <x v="4"/>
    <s v="IF0001"/>
    <s v="Flour Import Elngm 25Kg"/>
    <x v="5"/>
    <x v="1"/>
    <d v="2025-07-31T00:00:00"/>
    <s v="SCRP"/>
    <s v="MV AMBER / REPACKING LOSS"/>
    <x v="23"/>
    <s v="Loss"/>
    <x v="1"/>
    <x v="1"/>
    <x v="0"/>
    <s v="702012"/>
    <n v="-28"/>
    <n v="-0.7"/>
    <n v="28919.106970000001"/>
    <s v=""/>
    <s v="000004"/>
    <s v="X04450"/>
    <s v=""/>
    <s v="Q06225"/>
    <n v="0"/>
    <n v="-809734.99516000005"/>
    <x v="2"/>
  </r>
  <r>
    <x v="2"/>
    <s v="XI"/>
    <x v="1"/>
    <x v="4"/>
    <s v="IF0001"/>
    <s v="Flour Import Elngm 25Kg"/>
    <x v="5"/>
    <x v="1"/>
    <d v="2025-07-31T00:00:00"/>
    <s v="SCRP"/>
    <s v="MV AMBER / Fallen sea"/>
    <x v="23"/>
    <s v="Loss"/>
    <x v="1"/>
    <x v="1"/>
    <x v="0"/>
    <s v="702012"/>
    <n v="-1"/>
    <n v="-2.5000000000000001E-2"/>
    <n v="28919.106970000001"/>
    <s v=""/>
    <s v="000005"/>
    <s v="X04451"/>
    <s v=""/>
    <s v="Q06225"/>
    <n v="0"/>
    <n v="-28919.106970000001"/>
    <x v="2"/>
  </r>
  <r>
    <x v="2"/>
    <s v="XI"/>
    <x v="1"/>
    <x v="4"/>
    <s v="IF0001"/>
    <s v="Flour Import Elngm 25Kg"/>
    <x v="5"/>
    <x v="1"/>
    <d v="2025-07-31T00:00:00"/>
    <s v="SCRP"/>
    <s v="MV AMBER / sample"/>
    <x v="23"/>
    <s v="Loss"/>
    <x v="1"/>
    <x v="1"/>
    <x v="0"/>
    <s v="702012"/>
    <n v="-28"/>
    <n v="-0.7"/>
    <n v="28919.106970000001"/>
    <s v=""/>
    <s v="000006"/>
    <s v="X04452"/>
    <s v=""/>
    <s v="Q06225"/>
    <n v="0"/>
    <n v="-809734.99516000005"/>
    <x v="2"/>
  </r>
  <r>
    <x v="4"/>
    <s v="XQ"/>
    <x v="2"/>
    <x v="2"/>
    <s v="WS0008"/>
    <s v="White Crystal Sugar"/>
    <x v="2"/>
    <x v="1"/>
    <d v="2025-06-15T00:00:00"/>
    <s v="SCRP"/>
    <s v="SHORTAGE / Lot 1,2,3,4,5"/>
    <x v="4"/>
    <s v="Loss"/>
    <x v="1"/>
    <x v="3"/>
    <x v="0"/>
    <s v="a.bakri"/>
    <n v="-65"/>
    <n v="-3.25"/>
    <n v="83521.151800000007"/>
    <s v=""/>
    <s v="000000"/>
    <s v="X04245"/>
    <s v=""/>
    <s v="Q05705"/>
    <n v="0"/>
    <n v="-5428874.8670000006"/>
    <x v="1"/>
  </r>
  <r>
    <x v="5"/>
    <s v="WQ"/>
    <x v="2"/>
    <x v="3"/>
    <s v="RC0006"/>
    <s v="Rice Short Grain Elngm 25Kg"/>
    <x v="3"/>
    <x v="1"/>
    <d v="2025-05-05T00:00:00"/>
    <s v="SCRP"/>
    <s v="SHORTLANDED BL 15B LOT 4"/>
    <x v="5"/>
    <s v="Loss"/>
    <x v="1"/>
    <x v="4"/>
    <x v="0"/>
    <s v="a.bakri"/>
    <n v="-4"/>
    <n v="-0.1"/>
    <n v="50476.383040000001"/>
    <s v=""/>
    <s v="000000"/>
    <s v="X04059"/>
    <s v=""/>
    <s v="Q06110"/>
    <n v="0"/>
    <n v="-201905.53216"/>
    <x v="2"/>
  </r>
  <r>
    <x v="5"/>
    <s v="WQ"/>
    <x v="2"/>
    <x v="3"/>
    <s v="RC0006"/>
    <s v="Rice Short Grain Elngm 25Kg"/>
    <x v="3"/>
    <x v="1"/>
    <d v="2025-05-05T00:00:00"/>
    <s v="SCRP"/>
    <s v="DAMAGED BL 15B LOT 4"/>
    <x v="5"/>
    <s v="Loss"/>
    <x v="1"/>
    <x v="4"/>
    <x v="0"/>
    <s v="a.bakri"/>
    <n v="-169"/>
    <n v="-4.2249999999999996"/>
    <n v="50476.383040000001"/>
    <s v=""/>
    <s v="000002"/>
    <s v="X04061"/>
    <s v=""/>
    <s v="Q06110"/>
    <n v="0"/>
    <n v="-8530508.7337599993"/>
    <x v="2"/>
  </r>
  <r>
    <x v="5"/>
    <s v="WQ"/>
    <x v="2"/>
    <x v="3"/>
    <s v="RC0006"/>
    <s v="Rice Short Grain Elngm 25Kg"/>
    <x v="3"/>
    <x v="1"/>
    <d v="2025-05-05T00:00:00"/>
    <s v="SCRP"/>
    <s v="SHORTLANDED BL 15A LOT 3"/>
    <x v="6"/>
    <s v="Loss"/>
    <x v="1"/>
    <x v="2"/>
    <x v="2"/>
    <s v="a.bakri"/>
    <n v="-108"/>
    <n v="-2.7"/>
    <n v="50476.383040000001"/>
    <s v=""/>
    <s v="000003"/>
    <s v="X04063"/>
    <s v=""/>
    <s v="Q06110"/>
    <n v="0"/>
    <n v="-5451449.3683200004"/>
    <x v="2"/>
  </r>
  <r>
    <x v="5"/>
    <s v="XQ"/>
    <x v="2"/>
    <x v="3"/>
    <s v="RC0006"/>
    <s v="Rice Short Grain Elngm 25Kg"/>
    <x v="3"/>
    <x v="1"/>
    <d v="2025-05-05T00:00:00"/>
    <s v="SCRP"/>
    <s v="SHOTLANED BL 13C LOT 2"/>
    <x v="24"/>
    <s v="Loss"/>
    <x v="1"/>
    <x v="3"/>
    <x v="0"/>
    <s v="a.bakri"/>
    <n v="-3"/>
    <n v="-7.4999999999999997E-2"/>
    <n v="50476.383040000001"/>
    <s v=""/>
    <s v="000000"/>
    <s v="X04054"/>
    <s v=""/>
    <s v="Q05966"/>
    <n v="0"/>
    <n v="-151429.14912000002"/>
    <x v="2"/>
  </r>
  <r>
    <x v="5"/>
    <s v="BD"/>
    <x v="2"/>
    <x v="3"/>
    <s v="RC0006"/>
    <s v="Rice Short Grain Elngm 25Kg"/>
    <x v="3"/>
    <x v="1"/>
    <d v="2025-05-05T00:00:00"/>
    <s v="SCRP"/>
    <s v="DAMAGED BL 13C  LOT 2"/>
    <x v="24"/>
    <s v="Loss"/>
    <x v="1"/>
    <x v="3"/>
    <x v="0"/>
    <s v="a.bakri"/>
    <n v="-77"/>
    <n v="-1.925"/>
    <n v="50476.383040000001"/>
    <s v=""/>
    <s v="000000"/>
    <s v="X04055"/>
    <s v=""/>
    <s v="Q05966"/>
    <n v="0"/>
    <n v="-3886681.4940800001"/>
    <x v="2"/>
  </r>
  <r>
    <x v="5"/>
    <s v="BD"/>
    <x v="2"/>
    <x v="3"/>
    <s v="RC0303"/>
    <s v="Rice Damaged 25KG"/>
    <x v="8"/>
    <x v="1"/>
    <d v="2025-05-07T00:00:00"/>
    <s v="ADJ"/>
    <s v="DAMAGED BL 13C  LOT 2"/>
    <x v="24"/>
    <s v="Gain"/>
    <x v="1"/>
    <x v="3"/>
    <x v="0"/>
    <s v="a.bakri"/>
    <n v="77"/>
    <n v="1.925"/>
    <n v="0"/>
    <s v="BD0001"/>
    <s v="000000"/>
    <s v="A00797"/>
    <s v="C02737"/>
    <s v=""/>
    <n v="0"/>
    <n v="0"/>
    <x v="2"/>
  </r>
  <r>
    <x v="5"/>
    <s v="WQ"/>
    <x v="2"/>
    <x v="3"/>
    <s v="RC0006"/>
    <s v="Rice Short Grain Elngm 25Kg"/>
    <x v="3"/>
    <x v="1"/>
    <d v="2025-05-05T00:00:00"/>
    <s v="SCRP"/>
    <s v="SAMPLE BL 0125-00020 LOT 5"/>
    <x v="25"/>
    <s v="Loss"/>
    <x v="1"/>
    <x v="4"/>
    <x v="0"/>
    <s v="a.bakri"/>
    <n v="-4"/>
    <n v="-0.1"/>
    <n v="50476.383040000001"/>
    <s v=""/>
    <s v="000006"/>
    <s v="X04066"/>
    <s v=""/>
    <s v="Q06110"/>
    <n v="0"/>
    <n v="-201905.53216"/>
    <x v="2"/>
  </r>
  <r>
    <x v="5"/>
    <s v="WQ"/>
    <x v="2"/>
    <x v="3"/>
    <s v="RC0006"/>
    <s v="Rice Short Grain Elngm 25Kg"/>
    <x v="3"/>
    <x v="1"/>
    <d v="2025-05-05T00:00:00"/>
    <s v="SCRP"/>
    <s v="SHORTLANDED BL 0125-00020 LOT 5"/>
    <x v="25"/>
    <s v="Loss"/>
    <x v="1"/>
    <x v="4"/>
    <x v="0"/>
    <s v="a.bakri"/>
    <n v="-114"/>
    <n v="-2.85"/>
    <n v="50476.383040000001"/>
    <s v=""/>
    <s v="000005"/>
    <s v="X04065"/>
    <s v=""/>
    <s v="Q06110"/>
    <n v="0"/>
    <n v="-5754307.6665599998"/>
    <x v="2"/>
  </r>
  <r>
    <x v="5"/>
    <s v="WQ"/>
    <x v="2"/>
    <x v="3"/>
    <s v="RC0006"/>
    <s v="Rice Short Grain Elngm 25Kg"/>
    <x v="3"/>
    <x v="1"/>
    <d v="2025-05-05T00:00:00"/>
    <s v="SCRP"/>
    <s v="DAMAGED BL 0125-00020 LOT 5"/>
    <x v="25"/>
    <s v="Loss"/>
    <x v="1"/>
    <x v="4"/>
    <x v="0"/>
    <s v="a.bakri"/>
    <n v="-161"/>
    <n v="-4.0250000000000004"/>
    <n v="50476.383040000001"/>
    <s v=""/>
    <s v="000007"/>
    <s v="X04067"/>
    <s v=""/>
    <s v="Q06110"/>
    <n v="0"/>
    <n v="-8126697.6694400003"/>
    <x v="2"/>
  </r>
  <r>
    <x v="1"/>
    <s v="XI"/>
    <x v="2"/>
    <x v="3"/>
    <s v="RC9008"/>
    <s v="Rice Long Grade 1 Elngm 20Kg"/>
    <x v="9"/>
    <x v="1"/>
    <d v="2025-02-03T00:00:00"/>
    <s v="SCRP"/>
    <s v="MV WADI DUKA/SHORTLANDED BL 72425"/>
    <x v="26"/>
    <s v="Loss"/>
    <x v="1"/>
    <x v="3"/>
    <x v="0"/>
    <s v="a.bakri"/>
    <n v="-1"/>
    <n v="-0.02"/>
    <n v="34516.97135"/>
    <s v=""/>
    <s v="000000"/>
    <s v="X03828"/>
    <s v=""/>
    <s v="Q05967"/>
    <n v="0"/>
    <n v="-34516.97135"/>
    <x v="3"/>
  </r>
  <r>
    <x v="1"/>
    <s v="XI"/>
    <x v="2"/>
    <x v="3"/>
    <s v="RC9008"/>
    <s v="Rice Long Grade 1 Elngm 20Kg"/>
    <x v="9"/>
    <x v="1"/>
    <d v="2025-02-03T00:00:00"/>
    <s v="SCRP"/>
    <s v="MV WADI DUKA/SHORTLANDED BL 72425"/>
    <x v="26"/>
    <s v="Loss"/>
    <x v="1"/>
    <x v="3"/>
    <x v="0"/>
    <s v="a.bakri"/>
    <n v="-21"/>
    <n v="-0.42"/>
    <n v="34516.97135"/>
    <s v=""/>
    <s v="000001"/>
    <s v="X03828"/>
    <s v=""/>
    <s v="Q05973"/>
    <n v="0"/>
    <n v="-724856.39835000003"/>
    <x v="3"/>
  </r>
  <r>
    <x v="1"/>
    <s v="XI"/>
    <x v="2"/>
    <x v="3"/>
    <s v="RC9008"/>
    <s v="Rice Long Grade 1 Elngm 20Kg"/>
    <x v="9"/>
    <x v="1"/>
    <d v="2025-02-03T00:00:00"/>
    <s v="SCRP"/>
    <s v="MV WADI DUKA/REJECTED BY SSMO BL 72425"/>
    <x v="26"/>
    <s v="Loss"/>
    <x v="1"/>
    <x v="3"/>
    <x v="0"/>
    <s v="a.bakri"/>
    <n v="-11"/>
    <n v="-0.22"/>
    <n v="34516.97135"/>
    <s v=""/>
    <s v="000002"/>
    <s v="X03829"/>
    <s v=""/>
    <s v="Q05973"/>
    <n v="0"/>
    <n v="-379686.68485000002"/>
    <x v="3"/>
  </r>
  <r>
    <x v="1"/>
    <s v="XI"/>
    <x v="2"/>
    <x v="3"/>
    <s v="RC9008"/>
    <s v="Rice Long Grade 1 Elngm 20Kg"/>
    <x v="9"/>
    <x v="1"/>
    <d v="2025-02-03T00:00:00"/>
    <s v="SCRP"/>
    <s v="MV WADI DUKA/SHORTLANDED BL 62425"/>
    <x v="26"/>
    <s v="Loss"/>
    <x v="1"/>
    <x v="3"/>
    <x v="0"/>
    <s v="a.bakri"/>
    <n v="-4"/>
    <n v="-0.08"/>
    <n v="34516.97135"/>
    <s v=""/>
    <s v="000003"/>
    <s v="X03830"/>
    <s v=""/>
    <s v="Q05973"/>
    <n v="0"/>
    <n v="-138067.8854"/>
    <x v="3"/>
  </r>
  <r>
    <x v="1"/>
    <s v="XI"/>
    <x v="2"/>
    <x v="3"/>
    <s v="RC9008"/>
    <s v="Rice Long Grade 1 Elngm 20Kg"/>
    <x v="9"/>
    <x v="1"/>
    <d v="2025-02-03T00:00:00"/>
    <s v="SCRP"/>
    <s v="MV WADI DUKA/REJECTED BY SSMO BL 62425"/>
    <x v="26"/>
    <s v="Loss"/>
    <x v="1"/>
    <x v="3"/>
    <x v="0"/>
    <s v="a.bakri"/>
    <n v="-14"/>
    <n v="-0.28000000000000003"/>
    <n v="34516.97135"/>
    <s v=""/>
    <s v="000004"/>
    <s v="X03831"/>
    <s v=""/>
    <s v="Q05973"/>
    <n v="0"/>
    <n v="-483237.59889999998"/>
    <x v="3"/>
  </r>
  <r>
    <x v="4"/>
    <s v="XI"/>
    <x v="2"/>
    <x v="2"/>
    <s v="WS0001"/>
    <s v="White Sugar"/>
    <x v="4"/>
    <x v="1"/>
    <d v="2025-06-15T00:00:00"/>
    <s v="SCRP"/>
    <s v="MV LUCKY TRADER /SHORT LANDED"/>
    <x v="7"/>
    <s v="Loss"/>
    <x v="1"/>
    <x v="2"/>
    <x v="1"/>
    <s v="a.bakri"/>
    <n v="-114"/>
    <n v="-5.7"/>
    <n v="83521.151800000007"/>
    <s v=""/>
    <s v="000000"/>
    <s v="X04236"/>
    <s v=""/>
    <s v="Q06189"/>
    <n v="0"/>
    <n v="-9521411.3052000012"/>
    <x v="1"/>
  </r>
  <r>
    <x v="1"/>
    <s v="XI"/>
    <x v="2"/>
    <x v="4"/>
    <s v="IF0001"/>
    <s v="Flour Import Elngm 25Kg"/>
    <x v="5"/>
    <x v="1"/>
    <d v="2025-02-03T00:00:00"/>
    <s v="SCRP"/>
    <s v="MV LOTUS/SHORTLANDED"/>
    <x v="8"/>
    <s v="Loss"/>
    <x v="1"/>
    <x v="3"/>
    <x v="0"/>
    <s v="a.bakri"/>
    <n v="-63"/>
    <n v="-1.575"/>
    <n v="31675.77131"/>
    <s v=""/>
    <s v="000000"/>
    <s v="X03819"/>
    <s v=""/>
    <s v="Q06007"/>
    <n v="0"/>
    <n v="-1995573.59253"/>
    <x v="2"/>
  </r>
  <r>
    <x v="0"/>
    <s v="XI"/>
    <x v="2"/>
    <x v="2"/>
    <s v="WS0005"/>
    <s v="White Sugar"/>
    <x v="4"/>
    <x v="1"/>
    <d v="2025-01-20T00:00:00"/>
    <s v="SCRP"/>
    <s v="MV LORD - SHORTLANDED"/>
    <x v="9"/>
    <s v="Loss"/>
    <x v="1"/>
    <x v="3"/>
    <x v="0"/>
    <s v="a.bakri"/>
    <n v="-19"/>
    <n v="-0.95"/>
    <n v="80496.589399999997"/>
    <s v=""/>
    <s v="000000"/>
    <s v="X03761"/>
    <s v=""/>
    <s v="Q05939"/>
    <n v="0"/>
    <n v="-1529435.1986"/>
    <x v="1"/>
  </r>
  <r>
    <x v="4"/>
    <s v="XI"/>
    <x v="2"/>
    <x v="2"/>
    <s v="WS0005"/>
    <s v="White Sugar"/>
    <x v="4"/>
    <x v="1"/>
    <d v="2025-06-15T00:00:00"/>
    <s v="SCRP"/>
    <s v="MV IMA GLORY /SHORT LANDED"/>
    <x v="10"/>
    <s v="Loss"/>
    <x v="1"/>
    <x v="3"/>
    <x v="0"/>
    <s v="a.bakri"/>
    <n v="-88"/>
    <n v="-4.4000000000000004"/>
    <n v="83521.151800000007"/>
    <s v=""/>
    <s v="000000"/>
    <s v="X04215"/>
    <s v=""/>
    <s v="Q06134"/>
    <n v="0"/>
    <n v="-7349861.3584000003"/>
    <x v="1"/>
  </r>
  <r>
    <x v="4"/>
    <s v="XI"/>
    <x v="2"/>
    <x v="4"/>
    <s v="IF0001"/>
    <s v="Flour Import Elngm 25Kg"/>
    <x v="5"/>
    <x v="1"/>
    <d v="2025-06-15T00:00:00"/>
    <s v="SCRP"/>
    <s v="MV HONEST/SHORT LANDED"/>
    <x v="11"/>
    <s v="Loss"/>
    <x v="1"/>
    <x v="3"/>
    <x v="0"/>
    <s v="a.bakri"/>
    <n v="-69"/>
    <n v="-1.7250000000000001"/>
    <n v="24758.555840000001"/>
    <s v=""/>
    <s v="000000"/>
    <s v="X04219"/>
    <s v=""/>
    <s v="Q06225"/>
    <n v="0"/>
    <n v="-1708340.35296"/>
    <x v="2"/>
  </r>
  <r>
    <x v="1"/>
    <s v="XI"/>
    <x v="2"/>
    <x v="4"/>
    <s v="IF0001"/>
    <s v="Flour Import Elngm 25Kg"/>
    <x v="5"/>
    <x v="1"/>
    <d v="2025-02-03T00:00:00"/>
    <s v="SCRP"/>
    <s v="MV COPERNICO/SHORTLANDED"/>
    <x v="12"/>
    <s v="Loss"/>
    <x v="1"/>
    <x v="3"/>
    <x v="0"/>
    <s v="a.bakri"/>
    <n v="-64"/>
    <n v="-1.6"/>
    <n v="31675.77131"/>
    <s v=""/>
    <s v="000004"/>
    <s v="X03823"/>
    <s v=""/>
    <s v="Q06007"/>
    <n v="0"/>
    <n v="-2027249.36384"/>
    <x v="2"/>
  </r>
  <r>
    <x v="1"/>
    <s v="XI"/>
    <x v="2"/>
    <x v="4"/>
    <s v="IF0001"/>
    <s v="Flour Import Elngm 25Kg"/>
    <x v="5"/>
    <x v="1"/>
    <d v="2025-02-03T00:00:00"/>
    <s v="SCRP"/>
    <s v="MV COPERNICO/REJECTED BY SSMO"/>
    <x v="12"/>
    <s v="Loss"/>
    <x v="1"/>
    <x v="2"/>
    <x v="1"/>
    <s v="a.bakri"/>
    <n v="-16"/>
    <n v="-0.4"/>
    <n v="31675.77131"/>
    <s v=""/>
    <s v="000008"/>
    <s v="X03827"/>
    <s v=""/>
    <s v="Q06007"/>
    <n v="0"/>
    <n v="-506812.34096"/>
    <x v="2"/>
  </r>
  <r>
    <x v="4"/>
    <s v="XI"/>
    <x v="2"/>
    <x v="4"/>
    <s v="IF0001"/>
    <s v="Flour Import Elngm 25Kg"/>
    <x v="5"/>
    <x v="1"/>
    <d v="2025-06-15T00:00:00"/>
    <s v="SCRP"/>
    <s v="MV Cecella / SHORT LANDED"/>
    <x v="13"/>
    <s v="Loss"/>
    <x v="1"/>
    <x v="3"/>
    <x v="0"/>
    <s v="a.bakri"/>
    <n v="-58"/>
    <n v="-1.45"/>
    <n v="24758.555840000001"/>
    <s v=""/>
    <s v="000017"/>
    <s v="X04239"/>
    <s v=""/>
    <s v="Q06225"/>
    <n v="0"/>
    <n v="-1435996.23872"/>
    <x v="2"/>
  </r>
  <r>
    <x v="4"/>
    <s v="XI"/>
    <x v="2"/>
    <x v="4"/>
    <s v="IF0001"/>
    <s v="Flour Import Elngm 25Kg"/>
    <x v="5"/>
    <x v="1"/>
    <d v="2025-06-15T00:00:00"/>
    <s v="SCRP"/>
    <s v="MV Cecella /REJECTED BY SSMO"/>
    <x v="13"/>
    <s v="Loss"/>
    <x v="1"/>
    <x v="2"/>
    <x v="1"/>
    <s v="a.bakri"/>
    <n v="-37"/>
    <n v="-0.92500000000000004"/>
    <n v="24758.555840000001"/>
    <s v=""/>
    <s v="000021"/>
    <s v="X04243"/>
    <s v=""/>
    <s v="Q06225"/>
    <n v="0"/>
    <n v="-916066.56608000002"/>
    <x v="2"/>
  </r>
  <r>
    <x v="4"/>
    <s v="XI"/>
    <x v="2"/>
    <x v="4"/>
    <s v="IF0001"/>
    <s v="Flour Import Elngm 25Kg"/>
    <x v="5"/>
    <x v="1"/>
    <d v="2025-06-15T00:00:00"/>
    <s v="SCRP"/>
    <s v="MV Cecella / SHORT LANDED"/>
    <x v="14"/>
    <s v="Loss"/>
    <x v="1"/>
    <x v="3"/>
    <x v="0"/>
    <s v="a.bakri"/>
    <n v="-364"/>
    <n v="-9.1"/>
    <n v="24758.555840000001"/>
    <s v=""/>
    <s v="000005"/>
    <s v="X04224"/>
    <s v=""/>
    <s v="Q06225"/>
    <n v="0"/>
    <n v="-9012114.3257599995"/>
    <x v="2"/>
  </r>
  <r>
    <x v="4"/>
    <s v="XI"/>
    <x v="2"/>
    <x v="4"/>
    <s v="IF0001"/>
    <s v="Flour Import Elngm 25Kg"/>
    <x v="5"/>
    <x v="1"/>
    <d v="2025-06-15T00:00:00"/>
    <s v="SCRP"/>
    <s v="MV Cecella / REJECTED BY SSMO"/>
    <x v="14"/>
    <s v="Loss"/>
    <x v="1"/>
    <x v="3"/>
    <x v="0"/>
    <s v="a.bakri"/>
    <n v="-51"/>
    <n v="-1.2749999999999999"/>
    <n v="24758.555840000001"/>
    <s v=""/>
    <s v="000008"/>
    <s v="X04227"/>
    <s v=""/>
    <s v="Q06225"/>
    <n v="0"/>
    <n v="-1262686.3478399999"/>
    <x v="2"/>
  </r>
  <r>
    <x v="4"/>
    <s v="XI"/>
    <x v="2"/>
    <x v="4"/>
    <s v="IF0001"/>
    <s v="Flour Import Elngm 25Kg"/>
    <x v="5"/>
    <x v="1"/>
    <d v="2025-06-15T00:00:00"/>
    <s v="SCRP"/>
    <s v="MV AMBER / SHORT LANDED"/>
    <x v="15"/>
    <s v="Loss"/>
    <x v="1"/>
    <x v="2"/>
    <x v="1"/>
    <s v="a.bakri"/>
    <n v="-14"/>
    <n v="-0.35"/>
    <n v="24758.555840000001"/>
    <s v=""/>
    <s v="000009"/>
    <s v="X04228"/>
    <s v=""/>
    <s v="Q06225"/>
    <n v="0"/>
    <n v="-346619.78176000004"/>
    <x v="2"/>
  </r>
  <r>
    <x v="4"/>
    <s v="XI"/>
    <x v="2"/>
    <x v="4"/>
    <s v="IF0001"/>
    <s v="Flour Import Elngm 25Kg"/>
    <x v="5"/>
    <x v="1"/>
    <d v="2025-06-15T00:00:00"/>
    <s v="SCRP"/>
    <s v="MV AMBER /REJECTED BY SSMO"/>
    <x v="15"/>
    <s v="Loss"/>
    <x v="1"/>
    <x v="2"/>
    <x v="1"/>
    <s v="a.bakri"/>
    <n v="-42"/>
    <n v="-1.05"/>
    <n v="24758.555840000001"/>
    <s v=""/>
    <s v="000013"/>
    <s v="X04232"/>
    <s v=""/>
    <s v="Q06225"/>
    <n v="0"/>
    <n v="-1039859.34528"/>
    <x v="2"/>
  </r>
  <r>
    <x v="6"/>
    <s v="XI"/>
    <x v="2"/>
    <x v="2"/>
    <s v="WS0005"/>
    <s v="White Sugar"/>
    <x v="4"/>
    <x v="1"/>
    <d v="2025-03-19T00:00:00"/>
    <s v="SCRP"/>
    <s v="MV ABRAHAM - SHORT LANDED"/>
    <x v="17"/>
    <s v="Loss"/>
    <x v="1"/>
    <x v="2"/>
    <x v="1"/>
    <s v="a.bakri"/>
    <n v="-272"/>
    <n v="-13.6"/>
    <n v="81012.933590000001"/>
    <s v=""/>
    <s v="000000"/>
    <s v="X03937"/>
    <s v=""/>
    <s v="Q06134"/>
    <n v="0"/>
    <n v="-22035517.936480001"/>
    <x v="1"/>
  </r>
  <r>
    <x v="5"/>
    <s v="XQ"/>
    <x v="2"/>
    <x v="5"/>
    <s v="LE9005"/>
    <s v="Lentil Elngm 20KG"/>
    <x v="7"/>
    <x v="1"/>
    <d v="2025-05-05T00:00:00"/>
    <s v="SCRP"/>
    <s v="SHORTLANDED BL 13B LOT 1"/>
    <x v="18"/>
    <s v="Loss"/>
    <x v="1"/>
    <x v="3"/>
    <x v="0"/>
    <s v="a.bakri"/>
    <n v="-2"/>
    <n v="-0.04"/>
    <n v="49211.972889999997"/>
    <s v=""/>
    <s v="000000"/>
    <s v="X04056"/>
    <s v=""/>
    <s v="Q05965"/>
    <n v="0"/>
    <n v="-98423.945779999995"/>
    <x v="3"/>
  </r>
  <r>
    <x v="5"/>
    <s v="BD"/>
    <x v="2"/>
    <x v="5"/>
    <s v="LE9005"/>
    <s v="Lentil Elngm 20KG"/>
    <x v="7"/>
    <x v="1"/>
    <d v="2025-05-05T00:00:00"/>
    <s v="SCRP"/>
    <s v="DAMAGED  BL 13B LOT 1"/>
    <x v="18"/>
    <s v="Loss"/>
    <x v="1"/>
    <x v="3"/>
    <x v="0"/>
    <s v="a.bakri"/>
    <n v="-29"/>
    <n v="-0.57999999999999996"/>
    <n v="49211.972889999997"/>
    <s v=""/>
    <s v="000000"/>
    <s v="X04058"/>
    <s v=""/>
    <s v="Q05965"/>
    <n v="0"/>
    <n v="-1427147.2138099999"/>
    <x v="3"/>
  </r>
  <r>
    <x v="5"/>
    <s v="BD"/>
    <x v="2"/>
    <x v="5"/>
    <s v="LE0303"/>
    <s v="Lentil Damaged 20KG"/>
    <x v="10"/>
    <x v="1"/>
    <d v="2025-05-07T00:00:00"/>
    <s v="ADJ"/>
    <s v="DAMAGED  BL 13B LOT 1"/>
    <x v="18"/>
    <s v="Gain"/>
    <x v="1"/>
    <x v="3"/>
    <x v="0"/>
    <s v="a.bakri"/>
    <n v="29"/>
    <n v="0.57999999999999996"/>
    <n v="0"/>
    <s v="BD0001"/>
    <s v="000000"/>
    <s v="A00798"/>
    <s v="C02738"/>
    <s v=""/>
    <n v="0"/>
    <n v="0"/>
    <x v="3"/>
  </r>
  <r>
    <x v="5"/>
    <s v="XQ"/>
    <x v="2"/>
    <x v="4"/>
    <s v="IF0001"/>
    <s v="Flour Import Elngm 25Kg"/>
    <x v="5"/>
    <x v="1"/>
    <d v="2025-05-05T00:00:00"/>
    <s v="SCRP"/>
    <s v="SHORTLANDED BL15508 LOT 81"/>
    <x v="20"/>
    <s v="Loss"/>
    <x v="1"/>
    <x v="3"/>
    <x v="0"/>
    <s v="a.bakri"/>
    <n v="-5"/>
    <n v="-0.125"/>
    <n v="31301.811430000002"/>
    <s v=""/>
    <s v="000001"/>
    <s v="X04069"/>
    <s v=""/>
    <s v="Q06173"/>
    <n v="0"/>
    <n v="-156509.05715000001"/>
    <x v="2"/>
  </r>
  <r>
    <x v="5"/>
    <s v="TD"/>
    <x v="2"/>
    <x v="4"/>
    <s v="IF0001"/>
    <s v="Flour Import Elngm 25Kg"/>
    <x v="5"/>
    <x v="1"/>
    <d v="2025-05-05T00:00:00"/>
    <s v="SCRP"/>
    <s v="AFFECTED BY GASOLINE - NC NO. 20"/>
    <x v="27"/>
    <s v="Loss"/>
    <x v="1"/>
    <x v="2"/>
    <x v="2"/>
    <s v="a.bakri"/>
    <n v="-141"/>
    <n v="-3.5249999999999999"/>
    <n v="31301.811430000002"/>
    <s v=""/>
    <s v="000000"/>
    <s v="X04062"/>
    <s v=""/>
    <s v="Q05946"/>
    <n v="0"/>
    <n v="-4413555.41163"/>
    <x v="2"/>
  </r>
  <r>
    <x v="2"/>
    <s v="XI"/>
    <x v="2"/>
    <x v="4"/>
    <s v="IF0001"/>
    <s v="Flour Import Elngm 25Kg"/>
    <x v="5"/>
    <x v="1"/>
    <d v="2025-07-30T00:00:00"/>
    <s v="SCRP"/>
    <s v="MV SHANGAHI/ Rejected SSMO"/>
    <x v="21"/>
    <s v="Loss"/>
    <x v="1"/>
    <x v="2"/>
    <x v="1"/>
    <s v="702012"/>
    <n v="-1160"/>
    <n v="-29"/>
    <n v="28919.106970000001"/>
    <s v=""/>
    <s v="000000"/>
    <s v="X04442"/>
    <s v=""/>
    <s v="Q06225"/>
    <n v="0"/>
    <n v="-33546164.085200001"/>
    <x v="2"/>
  </r>
  <r>
    <x v="2"/>
    <s v="XI"/>
    <x v="2"/>
    <x v="4"/>
    <s v="IF0001"/>
    <s v="Flour Import Elngm 25Kg"/>
    <x v="5"/>
    <x v="1"/>
    <d v="2025-07-30T00:00:00"/>
    <s v="SCRP"/>
    <s v="MV SHANGAHI/ Rejected SSMO"/>
    <x v="21"/>
    <s v="Loss"/>
    <x v="1"/>
    <x v="2"/>
    <x v="1"/>
    <s v="702012"/>
    <n v="-1800"/>
    <n v="-45"/>
    <n v="28919.106970000001"/>
    <s v=""/>
    <s v="000001"/>
    <s v="X04442"/>
    <s v=""/>
    <s v="Q06225"/>
    <n v="0"/>
    <n v="-52054392.546000004"/>
    <x v="2"/>
  </r>
  <r>
    <x v="2"/>
    <s v="XI"/>
    <x v="2"/>
    <x v="4"/>
    <s v="IF0001"/>
    <s v="Flour Import Elngm 25Kg"/>
    <x v="5"/>
    <x v="1"/>
    <d v="2025-07-30T00:00:00"/>
    <s v="SCRP"/>
    <s v="MV SHANGAHI/ Rejected SSMO"/>
    <x v="21"/>
    <s v="Loss"/>
    <x v="1"/>
    <x v="2"/>
    <x v="1"/>
    <s v="702012"/>
    <n v="-200"/>
    <n v="-5"/>
    <n v="28919.106970000001"/>
    <s v=""/>
    <s v="000002"/>
    <s v="X04442"/>
    <s v=""/>
    <s v="Q06225"/>
    <n v="0"/>
    <n v="-5783821.3940000003"/>
    <x v="2"/>
  </r>
  <r>
    <x v="2"/>
    <s v="XI"/>
    <x v="2"/>
    <x v="4"/>
    <s v="IF0001"/>
    <s v="Flour Import Elngm 25Kg"/>
    <x v="5"/>
    <x v="1"/>
    <d v="2025-07-30T00:00:00"/>
    <s v="SCRP"/>
    <s v="MV SHANGAHI/ Rejected SSMO"/>
    <x v="21"/>
    <s v="Loss"/>
    <x v="1"/>
    <x v="2"/>
    <x v="1"/>
    <s v="702012"/>
    <n v="-1824"/>
    <n v="-45.6"/>
    <n v="28919.106970000001"/>
    <s v=""/>
    <s v="000003"/>
    <s v="X04442"/>
    <s v=""/>
    <s v="Q06225"/>
    <n v="0"/>
    <n v="-52748451.113279998"/>
    <x v="2"/>
  </r>
  <r>
    <x v="2"/>
    <s v="XI"/>
    <x v="2"/>
    <x v="4"/>
    <s v="IF0001"/>
    <s v="Flour Import Elngm 25Kg"/>
    <x v="5"/>
    <x v="1"/>
    <d v="2025-07-30T00:00:00"/>
    <s v="SCRP"/>
    <s v="MV SHANGAHI/ Rejected SSMO"/>
    <x v="21"/>
    <s v="Loss"/>
    <x v="1"/>
    <x v="2"/>
    <x v="1"/>
    <s v="702012"/>
    <n v="-176"/>
    <n v="-4.4000000000000004"/>
    <n v="28919.106970000001"/>
    <s v=""/>
    <s v="000004"/>
    <s v="X04442"/>
    <s v=""/>
    <s v="Q06225"/>
    <n v="0"/>
    <n v="-5089762.8267200002"/>
    <x v="2"/>
  </r>
  <r>
    <x v="2"/>
    <s v="XI"/>
    <x v="2"/>
    <x v="4"/>
    <s v="IF0001"/>
    <s v="Flour Import Elngm 25Kg"/>
    <x v="5"/>
    <x v="1"/>
    <d v="2025-07-30T00:00:00"/>
    <s v="SCRP"/>
    <s v="MV SHANGAHI/ Rejected SSMO"/>
    <x v="21"/>
    <s v="Loss"/>
    <x v="1"/>
    <x v="2"/>
    <x v="1"/>
    <s v="702012"/>
    <n v="-1800"/>
    <n v="-45"/>
    <n v="28919.106970000001"/>
    <s v=""/>
    <s v="000005"/>
    <s v="X04442"/>
    <s v=""/>
    <s v="Q06225"/>
    <n v="0"/>
    <n v="-52054392.546000004"/>
    <x v="2"/>
  </r>
  <r>
    <x v="2"/>
    <s v="XI"/>
    <x v="2"/>
    <x v="4"/>
    <s v="IF0001"/>
    <s v="Flour Import Elngm 25Kg"/>
    <x v="5"/>
    <x v="1"/>
    <d v="2025-07-30T00:00:00"/>
    <s v="SCRP"/>
    <s v="MV SHANGAHI/ Rejected SSMO"/>
    <x v="21"/>
    <s v="Loss"/>
    <x v="1"/>
    <x v="2"/>
    <x v="1"/>
    <s v="702012"/>
    <n v="-200"/>
    <n v="-5"/>
    <n v="28919.106970000001"/>
    <s v=""/>
    <s v="000006"/>
    <s v="X04442"/>
    <s v=""/>
    <s v="Q06225"/>
    <n v="0"/>
    <n v="-5783821.3940000003"/>
    <x v="2"/>
  </r>
  <r>
    <x v="2"/>
    <s v="XI"/>
    <x v="2"/>
    <x v="4"/>
    <s v="IF0001"/>
    <s v="Flour Import Elngm 25Kg"/>
    <x v="5"/>
    <x v="1"/>
    <d v="2025-07-30T00:00:00"/>
    <s v="SCRP"/>
    <s v="MV SHANGAHI/ Rejected SSMO"/>
    <x v="21"/>
    <s v="Loss"/>
    <x v="1"/>
    <x v="2"/>
    <x v="1"/>
    <s v="702012"/>
    <n v="-600"/>
    <n v="-15"/>
    <n v="28919.106970000001"/>
    <s v=""/>
    <s v="000007"/>
    <s v="X04442"/>
    <s v=""/>
    <s v="Q06225"/>
    <n v="0"/>
    <n v="-17351464.182"/>
    <x v="2"/>
  </r>
  <r>
    <x v="2"/>
    <s v="XI"/>
    <x v="2"/>
    <x v="4"/>
    <s v="IF0001"/>
    <s v="Flour Import Elngm 25Kg"/>
    <x v="5"/>
    <x v="1"/>
    <d v="2025-07-30T00:00:00"/>
    <s v="SCRP"/>
    <s v="MV SHANGAHI/ Rejected SSMO"/>
    <x v="21"/>
    <s v="Loss"/>
    <x v="1"/>
    <x v="2"/>
    <x v="1"/>
    <s v="702012"/>
    <n v="-1338"/>
    <n v="-33.450000000000003"/>
    <n v="28919.106970000001"/>
    <s v=""/>
    <s v="000008"/>
    <s v="X04442"/>
    <s v=""/>
    <s v="Q06225"/>
    <n v="0"/>
    <n v="-38693765.125859998"/>
    <x v="2"/>
  </r>
  <r>
    <x v="2"/>
    <s v="XI"/>
    <x v="2"/>
    <x v="4"/>
    <s v="IF0001"/>
    <s v="Flour Import Elngm 25Kg"/>
    <x v="5"/>
    <x v="1"/>
    <d v="2025-07-15T00:00:00"/>
    <s v="SCRP"/>
    <s v="MV COPERNICO/ SHORT LANDED"/>
    <x v="22"/>
    <s v="Loss"/>
    <x v="1"/>
    <x v="3"/>
    <x v="0"/>
    <s v="a.bakri"/>
    <n v="-74"/>
    <n v="-1.85"/>
    <n v="28919.106970000001"/>
    <s v=""/>
    <s v="000000"/>
    <s v="X04360"/>
    <s v=""/>
    <s v="Q06225"/>
    <n v="0"/>
    <n v="-2140013.9157799999"/>
    <x v="2"/>
  </r>
  <r>
    <x v="2"/>
    <s v="XI"/>
    <x v="2"/>
    <x v="4"/>
    <s v="IF0001"/>
    <s v="Flour Import Elngm 25Kg"/>
    <x v="5"/>
    <x v="1"/>
    <d v="2025-07-15T00:00:00"/>
    <s v="SCRP"/>
    <s v="MV COPERNICO / REJECTED BY SSMO"/>
    <x v="22"/>
    <s v="Loss"/>
    <x v="1"/>
    <x v="2"/>
    <x v="1"/>
    <s v="a.bakri"/>
    <n v="-35"/>
    <n v="-0.875"/>
    <n v="28919.106970000001"/>
    <s v=""/>
    <s v="000004"/>
    <s v="X04364"/>
    <s v=""/>
    <s v="Q06225"/>
    <n v="0"/>
    <n v="-1012168.74395"/>
    <x v="2"/>
  </r>
  <r>
    <x v="2"/>
    <s v="XI"/>
    <x v="2"/>
    <x v="4"/>
    <s v="IF0001"/>
    <s v="Flour Import Elngm 25Kg"/>
    <x v="5"/>
    <x v="1"/>
    <d v="2025-07-31T00:00:00"/>
    <s v="SCRP"/>
    <s v="MV AMBER / SHORT LANDED"/>
    <x v="23"/>
    <s v="Loss"/>
    <x v="1"/>
    <x v="2"/>
    <x v="1"/>
    <s v="702012"/>
    <n v="-127"/>
    <n v="-3.1749999999999998"/>
    <n v="28919.106970000001"/>
    <s v=""/>
    <s v="000001"/>
    <s v="X04449"/>
    <s v=""/>
    <s v="Q06225"/>
    <n v="0"/>
    <n v="-3672726.58519"/>
    <x v="2"/>
  </r>
  <r>
    <x v="2"/>
    <s v="XI"/>
    <x v="2"/>
    <x v="4"/>
    <s v="IF0001"/>
    <s v="Flour Import Elngm 25Kg"/>
    <x v="5"/>
    <x v="1"/>
    <d v="2025-07-31T00:00:00"/>
    <s v="SCRP"/>
    <s v="MV AMBER / SHORT LANDED"/>
    <x v="23"/>
    <s v="Loss"/>
    <x v="1"/>
    <x v="2"/>
    <x v="1"/>
    <s v="702012"/>
    <n v="-3"/>
    <n v="-7.4999999999999997E-2"/>
    <n v="28919.106970000001"/>
    <s v=""/>
    <s v="000002"/>
    <s v="X04449"/>
    <s v=""/>
    <s v="Q06225"/>
    <n v="0"/>
    <n v="-86757.320910000009"/>
    <x v="2"/>
  </r>
  <r>
    <x v="7"/>
    <s v="XQ"/>
    <x v="2"/>
    <x v="4"/>
    <s v="IF0001"/>
    <s v="Flour Import Elngm 25Kg"/>
    <x v="5"/>
    <x v="1"/>
    <d v="2025-08-11T00:00:00"/>
    <s v="SCRP"/>
    <s v="SHORTLANDED/BL 12A"/>
    <x v="27"/>
    <s v="Loss"/>
    <x v="1"/>
    <x v="2"/>
    <x v="2"/>
    <s v="a.bakri"/>
    <n v="-9"/>
    <n v="-0.22500000000000001"/>
    <n v="37596.649819999999"/>
    <s v=""/>
    <s v="000000"/>
    <s v="X04477"/>
    <s v=""/>
    <s v="Q05946"/>
    <n v="0"/>
    <n v="-338369.84837999998"/>
    <x v="2"/>
  </r>
  <r>
    <x v="7"/>
    <s v="XQ"/>
    <x v="2"/>
    <x v="4"/>
    <s v="IF0001"/>
    <s v="Flour Import Elngm 25Kg"/>
    <x v="5"/>
    <x v="1"/>
    <d v="2025-08-11T00:00:00"/>
    <s v="SCRP"/>
    <s v="SHORTLANDED/BL 12A"/>
    <x v="27"/>
    <s v="Loss"/>
    <x v="1"/>
    <x v="2"/>
    <x v="2"/>
    <s v="a.bakri"/>
    <n v="-7"/>
    <n v="-0.17499999999999999"/>
    <n v="37596.649819999999"/>
    <s v=""/>
    <s v="000001"/>
    <s v="X04477"/>
    <s v=""/>
    <s v="Q06232"/>
    <n v="0"/>
    <n v="-263176.54874"/>
    <x v="2"/>
  </r>
  <r>
    <x v="7"/>
    <s v="XQ"/>
    <x v="2"/>
    <x v="4"/>
    <s v="IF0001"/>
    <s v="Flour Import Elngm 25Kg"/>
    <x v="5"/>
    <x v="1"/>
    <d v="2025-08-11T00:00:00"/>
    <s v="SCRP"/>
    <s v="SHORTLANDED/BL 12B"/>
    <x v="28"/>
    <s v="Loss"/>
    <x v="1"/>
    <x v="2"/>
    <x v="2"/>
    <s v="a.bakri"/>
    <n v="-3"/>
    <n v="-7.4999999999999997E-2"/>
    <n v="37596.649819999999"/>
    <s v=""/>
    <s v="000002"/>
    <s v="X04478"/>
    <s v=""/>
    <s v="Q06232"/>
    <n v="0"/>
    <n v="-112789.94946"/>
    <x v="2"/>
  </r>
  <r>
    <x v="7"/>
    <s v="XQ"/>
    <x v="2"/>
    <x v="4"/>
    <s v="IF0001"/>
    <s v="Flour Import Elngm 25Kg"/>
    <x v="5"/>
    <x v="1"/>
    <d v="2025-08-11T00:00:00"/>
    <s v="SCRP"/>
    <s v="SHORTLANDED/BL 12C"/>
    <x v="29"/>
    <s v="Loss"/>
    <x v="1"/>
    <x v="2"/>
    <x v="2"/>
    <s v="a.bakri"/>
    <n v="-1"/>
    <n v="-2.5000000000000001E-2"/>
    <n v="37596.649819999999"/>
    <s v=""/>
    <s v="000003"/>
    <s v="X04479"/>
    <s v=""/>
    <s v="Q06232"/>
    <n v="0"/>
    <n v="-37596.649819999999"/>
    <x v="2"/>
  </r>
  <r>
    <x v="7"/>
    <s v="XQ"/>
    <x v="2"/>
    <x v="4"/>
    <s v="IF0001"/>
    <s v="Flour Import Elngm 25Kg"/>
    <x v="5"/>
    <x v="1"/>
    <d v="2025-08-11T00:00:00"/>
    <s v="SCRP"/>
    <s v="SAMPLE/BL 12A"/>
    <x v="27"/>
    <s v="Loss"/>
    <x v="1"/>
    <x v="2"/>
    <x v="2"/>
    <s v="a.bakri"/>
    <n v="-6"/>
    <n v="-0.15"/>
    <n v="37596.649819999999"/>
    <s v=""/>
    <s v="000004"/>
    <s v="X04480"/>
    <s v=""/>
    <s v="Q06232"/>
    <n v="0"/>
    <n v="-225579.89892000001"/>
    <x v="2"/>
  </r>
  <r>
    <x v="7"/>
    <s v="XQ"/>
    <x v="2"/>
    <x v="4"/>
    <s v="IF0001"/>
    <s v="Flour Import Elngm 25Kg"/>
    <x v="5"/>
    <x v="1"/>
    <d v="2025-08-11T00:00:00"/>
    <s v="SCRP"/>
    <s v="SAMPLE/BL 12B"/>
    <x v="28"/>
    <s v="Loss"/>
    <x v="1"/>
    <x v="2"/>
    <x v="2"/>
    <s v="a.bakri"/>
    <n v="-6"/>
    <n v="-0.15"/>
    <n v="37596.649819999999"/>
    <s v=""/>
    <s v="000005"/>
    <s v="X04481"/>
    <s v=""/>
    <s v="Q06232"/>
    <n v="0"/>
    <n v="-225579.89892000001"/>
    <x v="2"/>
  </r>
  <r>
    <x v="7"/>
    <s v="XQ"/>
    <x v="2"/>
    <x v="4"/>
    <s v="IF0001"/>
    <s v="Flour Import Elngm 25Kg"/>
    <x v="5"/>
    <x v="1"/>
    <d v="2025-08-11T00:00:00"/>
    <s v="SCRP"/>
    <s v="SAMPLE/BL 12C"/>
    <x v="29"/>
    <s v="Loss"/>
    <x v="1"/>
    <x v="2"/>
    <x v="2"/>
    <s v="a.bakri"/>
    <n v="-8"/>
    <n v="-0.2"/>
    <n v="37596.649819999999"/>
    <s v=""/>
    <s v="000006"/>
    <s v="X04482"/>
    <s v=""/>
    <s v="Q06232"/>
    <n v="0"/>
    <n v="-300773.19855999999"/>
    <x v="2"/>
  </r>
  <r>
    <x v="7"/>
    <s v="XQ"/>
    <x v="2"/>
    <x v="3"/>
    <s v="RC0006"/>
    <s v="Rice Short Grain Elngm 25Kg"/>
    <x v="3"/>
    <x v="1"/>
    <d v="2025-08-12T00:00:00"/>
    <s v="SCRP"/>
    <s v="SAMPLE - LOT 1/ BL13A"/>
    <x v="30"/>
    <s v="Loss"/>
    <x v="1"/>
    <x v="3"/>
    <x v="0"/>
    <s v="a.bakri"/>
    <n v="-4"/>
    <n v="-0.1"/>
    <n v="56653.018790000002"/>
    <s v=""/>
    <s v="000002"/>
    <s v="X04488"/>
    <s v=""/>
    <s v="Q05966"/>
    <n v="0"/>
    <n v="-226612.07516000001"/>
    <x v="2"/>
  </r>
  <r>
    <x v="7"/>
    <s v="XQ"/>
    <x v="2"/>
    <x v="3"/>
    <s v="RC0006"/>
    <s v="Rice Short Grain Elngm 25Kg"/>
    <x v="3"/>
    <x v="1"/>
    <d v="2025-08-12T00:00:00"/>
    <s v="SCRP"/>
    <s v="SAMPLE - LOT 1/ BL13A"/>
    <x v="30"/>
    <s v="Loss"/>
    <x v="1"/>
    <x v="3"/>
    <x v="0"/>
    <s v="a.bakri"/>
    <n v="-1"/>
    <n v="-2.5000000000000001E-2"/>
    <n v="56653.018790000002"/>
    <s v=""/>
    <s v="000003"/>
    <s v="X04488"/>
    <s v=""/>
    <s v="A00879"/>
    <n v="0"/>
    <n v="-56653.018790000002"/>
    <x v="2"/>
  </r>
  <r>
    <x v="7"/>
    <s v="XQ"/>
    <x v="2"/>
    <x v="3"/>
    <s v="RC0006"/>
    <s v="Rice Short Grain Elngm 25Kg"/>
    <x v="3"/>
    <x v="1"/>
    <d v="2025-08-12T00:00:00"/>
    <s v="SCRP"/>
    <s v="SHORTLANDED - LOT 1 BL13A"/>
    <x v="30"/>
    <s v="Loss"/>
    <x v="1"/>
    <x v="3"/>
    <x v="0"/>
    <s v="a.bakri"/>
    <n v="-5"/>
    <n v="-0.125"/>
    <n v="56653.018790000002"/>
    <s v=""/>
    <s v="000000"/>
    <s v="X04486"/>
    <s v=""/>
    <s v="Q05966"/>
    <n v="0"/>
    <n v="-283265.09395000001"/>
    <x v="2"/>
  </r>
  <r>
    <x v="7"/>
    <s v="XQ"/>
    <x v="2"/>
    <x v="3"/>
    <s v="RC0006"/>
    <s v="Rice Short Grain Elngm 25Kg"/>
    <x v="3"/>
    <x v="1"/>
    <d v="2025-08-12T00:00:00"/>
    <s v="ADJ"/>
    <s v="OVERLANDED - LOT 1 BL13A"/>
    <x v="30"/>
    <s v="Loss"/>
    <x v="1"/>
    <x v="3"/>
    <x v="0"/>
    <s v="a.bakri"/>
    <n v="1"/>
    <n v="2.5000000000000001E-2"/>
    <n v="56653.018790000002"/>
    <s v="XQ0001"/>
    <s v="000001"/>
    <s v="A00879"/>
    <s v="C02888"/>
    <s v=""/>
    <n v="0"/>
    <n v="56653.018790000002"/>
    <x v="2"/>
  </r>
  <r>
    <x v="7"/>
    <s v="XI"/>
    <x v="2"/>
    <x v="5"/>
    <s v="LE0001"/>
    <s v="Lentil TAT 20KG"/>
    <x v="7"/>
    <x v="1"/>
    <d v="2025-08-21T00:00:00"/>
    <s v="SCRP"/>
    <s v="IC - MV HAIAN GAMA /SHORTAGE  BL4015"/>
    <x v="31"/>
    <s v="Loss"/>
    <x v="1"/>
    <x v="2"/>
    <x v="2"/>
    <s v="a.bakri"/>
    <n v="-2"/>
    <n v="-0.04"/>
    <n v="53401.105539999997"/>
    <s v=""/>
    <s v="000006"/>
    <s v="X04492"/>
    <s v=""/>
    <s v="A00849"/>
    <n v="0"/>
    <n v="-106802.21107999999"/>
    <x v="3"/>
  </r>
  <r>
    <x v="7"/>
    <s v="XI"/>
    <x v="2"/>
    <x v="5"/>
    <s v="LE0001"/>
    <s v="Lentil TAT 20KG"/>
    <x v="7"/>
    <x v="1"/>
    <d v="2025-08-21T00:00:00"/>
    <s v="SCRP"/>
    <s v="IC - MV HAIAN GAMA/ SHORTAGE   BL0904"/>
    <x v="32"/>
    <s v="Loss"/>
    <x v="1"/>
    <x v="2"/>
    <x v="2"/>
    <s v="a.bakri"/>
    <n v="-54"/>
    <n v="-1.08"/>
    <n v="53401.105539999997"/>
    <s v=""/>
    <s v="000007"/>
    <s v="X04493"/>
    <s v=""/>
    <s v="A00849"/>
    <n v="0"/>
    <n v="-2883659.6991599998"/>
    <x v="3"/>
  </r>
  <r>
    <x v="7"/>
    <s v="XI"/>
    <x v="2"/>
    <x v="5"/>
    <s v="LE0001"/>
    <s v="Lentil TAT 20KG"/>
    <x v="7"/>
    <x v="1"/>
    <d v="2025-08-21T00:00:00"/>
    <s v="SCRP"/>
    <s v="IC - MV HAIAN GAMA/SHORTAGE BL2146"/>
    <x v="33"/>
    <s v="Loss"/>
    <x v="1"/>
    <x v="2"/>
    <x v="2"/>
    <s v="a.bakri"/>
    <n v="-21"/>
    <n v="-0.42"/>
    <n v="53401.105539999997"/>
    <s v=""/>
    <s v="000008"/>
    <s v="X04494"/>
    <s v=""/>
    <s v="A00849"/>
    <n v="0"/>
    <n v="-1121423.21634"/>
    <x v="3"/>
  </r>
  <r>
    <x v="7"/>
    <s v="XI"/>
    <x v="2"/>
    <x v="5"/>
    <s v="LE0001"/>
    <s v="Lentil TAT 20KG"/>
    <x v="7"/>
    <x v="1"/>
    <d v="2025-08-21T00:00:00"/>
    <s v="SCRP"/>
    <s v="IC - MV HAIAN GAMA/SHORTAGE BL2146"/>
    <x v="33"/>
    <s v="Loss"/>
    <x v="1"/>
    <x v="2"/>
    <x v="2"/>
    <s v="a.bakri"/>
    <n v="-41"/>
    <n v="-0.82"/>
    <n v="53401.105539999997"/>
    <s v=""/>
    <s v="000009"/>
    <s v="X04494"/>
    <s v=""/>
    <s v="A00850"/>
    <n v="0"/>
    <n v="-2189445.3271399997"/>
    <x v="3"/>
  </r>
  <r>
    <x v="7"/>
    <s v="XI"/>
    <x v="2"/>
    <x v="5"/>
    <s v="LE0001"/>
    <s v="Lentil TAT 20KG"/>
    <x v="7"/>
    <x v="1"/>
    <d v="2025-08-21T00:00:00"/>
    <s v="SCRP"/>
    <s v="IC - MV HAIAN GAMA/ SHORTAGE BL9667"/>
    <x v="34"/>
    <s v="Loss"/>
    <x v="1"/>
    <x v="4"/>
    <x v="0"/>
    <s v="a.bakri"/>
    <n v="-107"/>
    <n v="-2.14"/>
    <n v="53401.105539999997"/>
    <s v=""/>
    <s v="000010"/>
    <s v="X04495"/>
    <s v=""/>
    <s v="A00850"/>
    <n v="0"/>
    <n v="-5713918.2927799998"/>
    <x v="3"/>
  </r>
  <r>
    <x v="7"/>
    <s v="XI"/>
    <x v="2"/>
    <x v="5"/>
    <s v="LE0001"/>
    <s v="Lentil TAT 20KG"/>
    <x v="7"/>
    <x v="1"/>
    <d v="2025-08-21T00:00:00"/>
    <s v="SCRP"/>
    <s v="IC - MAERSK  JABAL/SHORTAGE 3 BL3928"/>
    <x v="35"/>
    <s v="Loss"/>
    <x v="1"/>
    <x v="2"/>
    <x v="2"/>
    <s v="a.bakri"/>
    <n v="-10"/>
    <n v="-0.2"/>
    <n v="53401.105539999997"/>
    <s v=""/>
    <s v="000011"/>
    <s v="X04496"/>
    <s v=""/>
    <s v="A00850"/>
    <n v="0"/>
    <n v="-534011.05539999995"/>
    <x v="3"/>
  </r>
  <r>
    <x v="7"/>
    <s v="XI"/>
    <x v="2"/>
    <x v="5"/>
    <s v="LE0001"/>
    <s v="Lentil TAT 20KG"/>
    <x v="7"/>
    <x v="1"/>
    <d v="2025-08-21T00:00:00"/>
    <s v="SCRP"/>
    <s v="IC - MAERSK  JABAL/SHORTAGE 3 BL3928"/>
    <x v="35"/>
    <s v="Loss"/>
    <x v="1"/>
    <x v="2"/>
    <x v="2"/>
    <s v="a.bakri"/>
    <n v="-23"/>
    <n v="-0.46"/>
    <n v="53401.105539999997"/>
    <s v=""/>
    <s v="000012"/>
    <s v="X04496"/>
    <s v=""/>
    <s v="A00882"/>
    <n v="0"/>
    <n v="-1228225.4274199998"/>
    <x v="3"/>
  </r>
  <r>
    <x v="7"/>
    <s v="XI"/>
    <x v="2"/>
    <x v="5"/>
    <s v="LE0001"/>
    <s v="Lentil TAT 20KG"/>
    <x v="7"/>
    <x v="1"/>
    <d v="2025-08-21T00:00:00"/>
    <s v="SCRP"/>
    <s v="IC - MAERSK  JABAL/SHORTAGE BL4161"/>
    <x v="36"/>
    <s v="Loss"/>
    <x v="1"/>
    <x v="2"/>
    <x v="2"/>
    <s v="a.bakri"/>
    <n v="-28"/>
    <n v="-0.56000000000000005"/>
    <n v="53401.105539999997"/>
    <s v=""/>
    <s v="000013"/>
    <s v="X04497"/>
    <s v=""/>
    <s v="A00882"/>
    <n v="0"/>
    <n v="-1495230.9551199998"/>
    <x v="3"/>
  </r>
  <r>
    <x v="4"/>
    <s v="XI"/>
    <x v="3"/>
    <x v="4"/>
    <s v="IF0001"/>
    <s v="Flour Import Elngm 25Kg"/>
    <x v="5"/>
    <x v="1"/>
    <d v="2025-06-15T00:00:00"/>
    <s v="ADJ"/>
    <s v="MV AMBER / OVER LANDED"/>
    <x v="16"/>
    <s v="Gain"/>
    <x v="1"/>
    <x v="5"/>
    <x v="0"/>
    <s v="a.bakri"/>
    <n v="45"/>
    <n v="1.125"/>
    <n v="24758.555840000001"/>
    <s v="XI0001"/>
    <s v="000022"/>
    <s v="A00842"/>
    <s v="C02787"/>
    <s v=""/>
    <n v="0"/>
    <n v="1114135.0128000001"/>
    <x v="2"/>
  </r>
  <r>
    <x v="5"/>
    <s v="XQ"/>
    <x v="3"/>
    <x v="4"/>
    <s v="IF0001"/>
    <s v="Flour Import Elngm 25Kg"/>
    <x v="5"/>
    <x v="1"/>
    <d v="2025-05-05T00:00:00"/>
    <s v="ADJ"/>
    <s v="OVER BL16729 LOT 93"/>
    <x v="19"/>
    <s v="Gain"/>
    <x v="1"/>
    <x v="5"/>
    <x v="0"/>
    <s v="a.bakri"/>
    <n v="27"/>
    <n v="0.67500000000000004"/>
    <n v="31301.811430000002"/>
    <s v="XQ0001"/>
    <s v="000003"/>
    <s v="A00795"/>
    <s v="C02735"/>
    <s v=""/>
    <n v="0"/>
    <n v="845148.90861000004"/>
    <x v="2"/>
  </r>
  <r>
    <x v="2"/>
    <s v="XI"/>
    <x v="3"/>
    <x v="5"/>
    <s v="LE0001"/>
    <s v="Lentil TAT 20KG"/>
    <x v="7"/>
    <x v="1"/>
    <d v="2025-07-15T00:00:00"/>
    <s v="ADJ"/>
    <s v="MV ZENYEP/BL 9500/OVER LANDED"/>
    <x v="37"/>
    <s v="Gain"/>
    <x v="1"/>
    <x v="5"/>
    <x v="0"/>
    <s v="a.bakri"/>
    <n v="153"/>
    <n v="3.06"/>
    <n v="41075.795080000004"/>
    <s v="XI0001"/>
    <s v="000000"/>
    <s v="A00848"/>
    <s v="C02823"/>
    <s v=""/>
    <n v="0"/>
    <n v="6284596.6472400008"/>
    <x v="3"/>
  </r>
  <r>
    <x v="2"/>
    <s v="XI"/>
    <x v="3"/>
    <x v="5"/>
    <s v="LE0001"/>
    <s v="Lentil TAT 20KG"/>
    <x v="7"/>
    <x v="1"/>
    <d v="2025-07-15T00:00:00"/>
    <s v="ADJ"/>
    <s v="MV ZENYEP/BL 9502/OVER LANDED"/>
    <x v="38"/>
    <s v="Gain"/>
    <x v="1"/>
    <x v="5"/>
    <x v="0"/>
    <s v="a.bakri"/>
    <n v="95"/>
    <n v="1.9"/>
    <n v="41075.795080000004"/>
    <s v="XI0001"/>
    <s v="000001"/>
    <s v="A00849"/>
    <s v="C02824"/>
    <s v=""/>
    <n v="0"/>
    <n v="3902200.5326000005"/>
    <x v="3"/>
  </r>
  <r>
    <x v="2"/>
    <s v="XI"/>
    <x v="3"/>
    <x v="5"/>
    <s v="LE0001"/>
    <s v="Lentil TAT 20KG"/>
    <x v="7"/>
    <x v="1"/>
    <d v="2025-07-15T00:00:00"/>
    <s v="ADJ"/>
    <s v="MV ZENYEP/BL 1700/OVER LANDED"/>
    <x v="39"/>
    <s v="Gain"/>
    <x v="1"/>
    <x v="5"/>
    <x v="0"/>
    <s v="a.bakri"/>
    <n v="158"/>
    <n v="3.16"/>
    <n v="41075.795080000004"/>
    <s v="XI0001"/>
    <s v="000002"/>
    <s v="A00850"/>
    <s v="C02825"/>
    <s v=""/>
    <n v="0"/>
    <n v="6489975.6226400007"/>
    <x v="3"/>
  </r>
  <r>
    <x v="7"/>
    <s v="XI"/>
    <x v="3"/>
    <x v="5"/>
    <s v="LE0001"/>
    <s v="Lentil TAT 20KG"/>
    <x v="7"/>
    <x v="1"/>
    <d v="2025-08-21T00:00:00"/>
    <s v="ADJ"/>
    <s v="MV ZENYEP/BL 7401/OVERLANDED"/>
    <x v="40"/>
    <s v="Gain"/>
    <x v="1"/>
    <x v="5"/>
    <x v="0"/>
    <s v="a.bakri"/>
    <n v="197"/>
    <n v="3.94"/>
    <n v="53401.105539999997"/>
    <s v="XI0001"/>
    <s v="000000"/>
    <s v="A00882"/>
    <s v="C02893"/>
    <s v=""/>
    <n v="0"/>
    <n v="10520017.791379999"/>
    <x v="3"/>
  </r>
  <r>
    <x v="7"/>
    <s v="XI"/>
    <x v="3"/>
    <x v="5"/>
    <s v="LE0001"/>
    <s v="Lentil TAT 20KG"/>
    <x v="7"/>
    <x v="1"/>
    <d v="2025-08-21T00:00:00"/>
    <s v="ADJ"/>
    <s v="MV ZENYEP/BL 2000/OVERLANDED"/>
    <x v="41"/>
    <s v="Gain"/>
    <x v="1"/>
    <x v="5"/>
    <x v="0"/>
    <s v="a.bakri"/>
    <n v="15"/>
    <n v="0.3"/>
    <n v="53401.105539999997"/>
    <s v="XI0001"/>
    <s v="000001"/>
    <s v="A00883"/>
    <s v="C02894"/>
    <s v=""/>
    <n v="0"/>
    <n v="801016.58309999993"/>
    <x v="3"/>
  </r>
  <r>
    <x v="7"/>
    <s v="XI"/>
    <x v="3"/>
    <x v="5"/>
    <s v="LE0001"/>
    <s v="Lentil TAT 20KG"/>
    <x v="7"/>
    <x v="1"/>
    <d v="2025-08-21T00:00:00"/>
    <s v="ADJ"/>
    <s v="MV ZENYEP/BL 2001/OVERLANDED"/>
    <x v="42"/>
    <s v="Gain"/>
    <x v="1"/>
    <x v="5"/>
    <x v="0"/>
    <s v="a.bakri"/>
    <n v="5"/>
    <n v="0.1"/>
    <n v="53401.105539999997"/>
    <s v="XI0001"/>
    <s v="000002"/>
    <s v="A00884"/>
    <s v="C02895"/>
    <s v=""/>
    <n v="0"/>
    <n v="267005.52769999998"/>
    <x v="3"/>
  </r>
  <r>
    <x v="7"/>
    <s v="XI"/>
    <x v="3"/>
    <x v="5"/>
    <s v="LE0001"/>
    <s v="Lentil TAT 20KG"/>
    <x v="7"/>
    <x v="1"/>
    <d v="2025-08-21T00:00:00"/>
    <s v="ADJ"/>
    <s v="MV ZENYEP/BL 2002/OVERLANDED"/>
    <x v="43"/>
    <s v="Gain"/>
    <x v="1"/>
    <x v="5"/>
    <x v="0"/>
    <s v="a.bakri"/>
    <n v="41"/>
    <n v="0.82"/>
    <n v="53401.105539999997"/>
    <s v="XI0001"/>
    <s v="000003"/>
    <s v="A00885"/>
    <s v="C02896"/>
    <s v=""/>
    <n v="0"/>
    <n v="2189445.3271399997"/>
    <x v="3"/>
  </r>
  <r>
    <x v="7"/>
    <s v="XI"/>
    <x v="3"/>
    <x v="5"/>
    <s v="LE0001"/>
    <s v="Lentil TAT 20KG"/>
    <x v="7"/>
    <x v="1"/>
    <d v="2025-08-21T00:00:00"/>
    <s v="ADJ"/>
    <s v="MV ZENYEP/BL 0000/OVERLANDED"/>
    <x v="44"/>
    <s v="Gain"/>
    <x v="1"/>
    <x v="5"/>
    <x v="0"/>
    <s v="a.bakri"/>
    <n v="207"/>
    <n v="4.1399999999999997"/>
    <n v="53401.105539999997"/>
    <s v="XI0001"/>
    <s v="000004"/>
    <s v="A00886"/>
    <s v="C02897"/>
    <s v=""/>
    <n v="0"/>
    <n v="11054028.84678"/>
    <x v="3"/>
  </r>
  <r>
    <x v="7"/>
    <s v="XI"/>
    <x v="3"/>
    <x v="5"/>
    <s v="LE0001"/>
    <s v="Lentil TAT 20KG"/>
    <x v="7"/>
    <x v="1"/>
    <d v="2025-08-21T00:00:00"/>
    <s v="ADJ"/>
    <s v="MV ZENYEP/BL 0001/OVERLANDED"/>
    <x v="45"/>
    <s v="Gain"/>
    <x v="1"/>
    <x v="5"/>
    <x v="0"/>
    <s v="a.bakri"/>
    <n v="154"/>
    <n v="3.08"/>
    <n v="53401.105539999997"/>
    <s v="XI0001"/>
    <s v="000005"/>
    <s v="A00887"/>
    <s v="C02898"/>
    <s v=""/>
    <n v="0"/>
    <n v="8223770.2531599998"/>
    <x v="3"/>
  </r>
  <r>
    <x v="0"/>
    <s v="FJ"/>
    <x v="4"/>
    <x v="6"/>
    <s v="SM0032"/>
    <s v="Non Gadarif Sesame - Colored - Grade 2 5"/>
    <x v="11"/>
    <x v="0"/>
    <d v="2025-01-21T00:00:00"/>
    <s v="SCRP"/>
    <s v="IC - NCR - REPACKING LOSS - NC NO.170"/>
    <x v="46"/>
    <s v="Loss"/>
    <x v="1"/>
    <x v="4"/>
    <x v="0"/>
    <s v="a.bakri"/>
    <n v="-9"/>
    <n v="-0.45"/>
    <n v="88602.842109999998"/>
    <s v=""/>
    <s v="000000"/>
    <s v="X03767"/>
    <s v=""/>
    <s v="P03153"/>
    <n v="0"/>
    <n v="-797425.57898999995"/>
    <x v="1"/>
  </r>
  <r>
    <x v="1"/>
    <s v="FJ"/>
    <x v="4"/>
    <x v="6"/>
    <s v="SM0335"/>
    <s v="Non Gadarif Sesame Colored Damage NC 50K"/>
    <x v="12"/>
    <x v="0"/>
    <d v="2025-02-11T00:00:00"/>
    <s v="ADJ"/>
    <s v="NCR - DOWNGRADE - NC NO.170"/>
    <x v="46"/>
    <s v="Gain"/>
    <x v="1"/>
    <x v="4"/>
    <x v="0"/>
    <s v="a.bakri"/>
    <n v="6"/>
    <n v="0.3"/>
    <n v="0"/>
    <s v=""/>
    <s v="000000"/>
    <s v="A00781"/>
    <s v="C02653"/>
    <s v=""/>
    <n v="0"/>
    <n v="60000"/>
    <x v="1"/>
  </r>
  <r>
    <x v="0"/>
    <s v="TG"/>
    <x v="4"/>
    <x v="7"/>
    <s v="SM0101"/>
    <s v="Gadarif Sesame Raw"/>
    <x v="13"/>
    <x v="0"/>
    <d v="2025-01-31T00:00:00"/>
    <s v="SCRP"/>
    <s v="IC - ROAD ACCIDENT"/>
    <x v="47"/>
    <s v="Loss"/>
    <x v="1"/>
    <x v="4"/>
    <x v="0"/>
    <s v="a.bakri"/>
    <n v="-1.94"/>
    <n v="-1.94"/>
    <n v="3559457.5"/>
    <s v=""/>
    <s v="000000"/>
    <s v="X03814"/>
    <s v=""/>
    <s v="Q06040"/>
    <n v="0"/>
    <n v="-6905347.5499999998"/>
    <x v="0"/>
  </r>
  <r>
    <x v="0"/>
    <s v="TG"/>
    <x v="4"/>
    <x v="7"/>
    <s v="SM0101"/>
    <s v="Gadarif Sesame Raw"/>
    <x v="13"/>
    <x v="0"/>
    <d v="2025-01-31T00:00:00"/>
    <s v="SCRP"/>
    <s v="ROAD ACCIDENT"/>
    <x v="47"/>
    <s v="Loss"/>
    <x v="1"/>
    <x v="4"/>
    <x v="0"/>
    <s v="a.bakri"/>
    <n v="-0.16"/>
    <n v="-0.16"/>
    <n v="3559457.5"/>
    <s v=""/>
    <s v="000001"/>
    <s v="X03815"/>
    <s v=""/>
    <s v="Q06040"/>
    <n v="0"/>
    <n v="-569513.20000000007"/>
    <x v="0"/>
  </r>
  <r>
    <x v="1"/>
    <s v="JA"/>
    <x v="4"/>
    <x v="3"/>
    <s v="RC0001"/>
    <s v="Rice Short Grain Dalian"/>
    <x v="3"/>
    <x v="1"/>
    <d v="2025-02-11T00:00:00"/>
    <s v="SCRP"/>
    <s v="IC - TRUCK ACCIDENT -  CR-HDQ-24-2-13"/>
    <x v="48"/>
    <s v="Loss"/>
    <x v="1"/>
    <x v="4"/>
    <x v="0"/>
    <s v="a.bakri"/>
    <n v="-69"/>
    <n v="-1.7250000000000001"/>
    <n v="11822.45469"/>
    <s v=""/>
    <s v="000000"/>
    <s v="X03865"/>
    <s v=""/>
    <s v="Q04843"/>
    <n v="0"/>
    <n v="-815749.37361000001"/>
    <x v="2"/>
  </r>
  <r>
    <x v="1"/>
    <s v="JA"/>
    <x v="4"/>
    <x v="3"/>
    <s v="RC0001"/>
    <s v="Rice Short Grain Dalian"/>
    <x v="3"/>
    <x v="1"/>
    <d v="2025-02-11T00:00:00"/>
    <s v="SCRP"/>
    <s v="IC - TRUCK ACCIDENT -  CR-HDQ-24-2-13"/>
    <x v="48"/>
    <s v="Loss"/>
    <x v="1"/>
    <x v="4"/>
    <x v="0"/>
    <s v="a.bakri"/>
    <n v="-97"/>
    <n v="-2.4249999999999998"/>
    <n v="11822.45469"/>
    <s v=""/>
    <s v="000001"/>
    <s v="X03865"/>
    <s v=""/>
    <s v="Q04843"/>
    <n v="0"/>
    <n v="-1146778.1049300001"/>
    <x v="2"/>
  </r>
  <r>
    <x v="8"/>
    <s v="JA"/>
    <x v="4"/>
    <x v="2"/>
    <s v="WS0001"/>
    <s v="White Sugar"/>
    <x v="4"/>
    <x v="1"/>
    <d v="2025-04-17T00:00:00"/>
    <s v="SCRP"/>
    <s v="IC - TRUCK ACCEDINT - CR-HDQ-24-2-14."/>
    <x v="49"/>
    <s v="Loss"/>
    <x v="1"/>
    <x v="4"/>
    <x v="0"/>
    <s v="a.bakri"/>
    <n v="-106"/>
    <n v="-5.3"/>
    <n v="25844.69"/>
    <s v=""/>
    <s v="000000"/>
    <s v="X03982"/>
    <s v=""/>
    <s v="Q04924"/>
    <n v="0"/>
    <n v="-2739537.1399999997"/>
    <x v="1"/>
  </r>
  <r>
    <x v="8"/>
    <s v="JA"/>
    <x v="4"/>
    <x v="2"/>
    <s v="WS0001"/>
    <s v="White Sugar"/>
    <x v="4"/>
    <x v="1"/>
    <d v="2025-04-17T00:00:00"/>
    <s v="SCRP"/>
    <s v="IC - TRUCK ACCEDINT - CR-HDQ-24-2-14."/>
    <x v="49"/>
    <s v="Loss"/>
    <x v="1"/>
    <x v="4"/>
    <x v="0"/>
    <s v="a.bakri"/>
    <n v="-60"/>
    <n v="-3"/>
    <n v="25844.69"/>
    <s v=""/>
    <s v="000001"/>
    <s v="X03982"/>
    <s v=""/>
    <s v="Q04924"/>
    <n v="0"/>
    <n v="-1550681.4"/>
    <x v="1"/>
  </r>
  <r>
    <x v="8"/>
    <s v="XG"/>
    <x v="4"/>
    <x v="2"/>
    <s v="WS0001"/>
    <s v="White Sugar"/>
    <x v="4"/>
    <x v="1"/>
    <d v="2025-04-17T00:00:00"/>
    <s v="SCRP"/>
    <s v="IC - TRUCK ACCEDINT - CR-HDQ-24-2-14 NC NO. 21"/>
    <x v="49"/>
    <s v="Loss"/>
    <x v="1"/>
    <x v="4"/>
    <x v="0"/>
    <s v="a.bakri"/>
    <n v="-39"/>
    <n v="-1.95"/>
    <n v="81012.933590000001"/>
    <s v=""/>
    <s v="000000"/>
    <s v="X03983"/>
    <s v=""/>
    <s v="Q05159"/>
    <n v="0"/>
    <n v="-3159504.4100100002"/>
    <x v="1"/>
  </r>
  <r>
    <x v="8"/>
    <s v="XG"/>
    <x v="4"/>
    <x v="2"/>
    <s v="WS0011"/>
    <s v="White Sugar - Damaged"/>
    <x v="14"/>
    <x v="1"/>
    <d v="2025-04-17T00:00:00"/>
    <s v="ADJ"/>
    <s v="IC - TRUCK ACCEDINT - NC NO 21"/>
    <x v="49"/>
    <s v="Gain"/>
    <x v="1"/>
    <x v="4"/>
    <x v="0"/>
    <s v="a.bakri"/>
    <n v="39"/>
    <n v="1.95"/>
    <n v="0"/>
    <s v="XG0001"/>
    <s v="000000"/>
    <s v="A00793"/>
    <s v="C02704"/>
    <s v=""/>
    <n v="0"/>
    <n v="0"/>
    <x v="1"/>
  </r>
  <r>
    <x v="6"/>
    <s v="TW"/>
    <x v="4"/>
    <x v="4"/>
    <s v="NF0001"/>
    <s v="Alnajm Flour from Mill 25KG"/>
    <x v="15"/>
    <x v="1"/>
    <d v="2025-03-27T00:00:00"/>
    <s v="SCRP"/>
    <s v="ACCIDENT - 19574 YASIR HAMZA"/>
    <x v="50"/>
    <s v="Loss"/>
    <x v="1"/>
    <x v="4"/>
    <x v="0"/>
    <s v="a.bakri"/>
    <n v="-1314"/>
    <n v="-32.85"/>
    <n v="31777.27522"/>
    <s v=""/>
    <s v="000000"/>
    <s v="X03943"/>
    <s v=""/>
    <s v="P03681"/>
    <n v="0"/>
    <n v="-41755339.639080003"/>
    <x v="2"/>
  </r>
  <r>
    <x v="6"/>
    <s v="TW"/>
    <x v="4"/>
    <x v="4"/>
    <s v="NF0001"/>
    <s v="Alnajm Flour from Mill 25KG"/>
    <x v="15"/>
    <x v="1"/>
    <d v="2025-03-27T00:00:00"/>
    <s v="SCRP"/>
    <s v="ACCIDENT - 19574 YASIR HAMZA"/>
    <x v="50"/>
    <s v="Loss"/>
    <x v="1"/>
    <x v="4"/>
    <x v="0"/>
    <s v="a.bakri"/>
    <n v="-86"/>
    <n v="-2.15"/>
    <n v="31777.27522"/>
    <s v=""/>
    <s v="000001"/>
    <s v="X03943"/>
    <s v=""/>
    <s v="P03681"/>
    <n v="0"/>
    <n v="-2732845.6689200001"/>
    <x v="2"/>
  </r>
  <r>
    <x v="0"/>
    <s v="XP"/>
    <x v="4"/>
    <x v="7"/>
    <s v="SM0001"/>
    <s v="Gadarif Sesame - FG"/>
    <x v="16"/>
    <x v="0"/>
    <d v="2025-01-23T00:00:00"/>
    <s v="SCRP"/>
    <s v="IC - NCR - RAIN DAMAGE - NC NO.169"/>
    <x v="51"/>
    <s v="Loss"/>
    <x v="1"/>
    <x v="4"/>
    <x v="0"/>
    <s v="a.bakri"/>
    <n v="-17"/>
    <n v="-0.85"/>
    <n v="187339.86842000001"/>
    <s v=""/>
    <s v="000004"/>
    <s v="X03774"/>
    <s v=""/>
    <s v="CNC000479"/>
    <n v="0"/>
    <n v="-3184777.7631400004"/>
    <x v="1"/>
  </r>
  <r>
    <x v="0"/>
    <s v="XP"/>
    <x v="4"/>
    <x v="7"/>
    <s v="SM0331"/>
    <s v="White Sesame Gadarif Damage NC 50K"/>
    <x v="17"/>
    <x v="0"/>
    <d v="2025-01-23T00:00:00"/>
    <s v="ADJ"/>
    <s v="IC - NCR - DOWNGRADE-NC NO.169"/>
    <x v="51"/>
    <s v="Gain"/>
    <x v="1"/>
    <x v="4"/>
    <x v="0"/>
    <s v="a.bakri"/>
    <n v="17"/>
    <n v="0.85"/>
    <n v="0"/>
    <s v="XP0001"/>
    <s v="000001"/>
    <s v="A00770"/>
    <s v="C02620"/>
    <s v=""/>
    <n v="0"/>
    <n v="170000"/>
    <x v="1"/>
  </r>
  <r>
    <x v="0"/>
    <s v="XP"/>
    <x v="4"/>
    <x v="6"/>
    <s v="SM0002"/>
    <s v="White Sesame Non Gadarif - FG "/>
    <x v="18"/>
    <x v="0"/>
    <d v="2025-01-23T00:00:00"/>
    <s v="SCRP"/>
    <s v="IC - NCR - RAIN DAMAGE - NC NO.168"/>
    <x v="52"/>
    <s v="Loss"/>
    <x v="1"/>
    <x v="4"/>
    <x v="0"/>
    <s v="a.bakri"/>
    <n v="-1"/>
    <n v="-0.05"/>
    <n v="177205.68421000001"/>
    <s v=""/>
    <s v="000006"/>
    <s v="X03771"/>
    <s v=""/>
    <s v="CNC000466"/>
    <n v="0"/>
    <n v="-177205.68421000001"/>
    <x v="1"/>
  </r>
  <r>
    <x v="0"/>
    <s v="XP"/>
    <x v="4"/>
    <x v="6"/>
    <s v="SM0332"/>
    <s v="White Sesame Non Gadarif Damage NC 50K"/>
    <x v="19"/>
    <x v="0"/>
    <d v="2025-01-23T00:00:00"/>
    <s v="ADJ"/>
    <s v="IC - DOWNGRADE - NC NO.168"/>
    <x v="52"/>
    <s v="Gain"/>
    <x v="1"/>
    <x v="4"/>
    <x v="0"/>
    <s v="_report_modif."/>
    <n v="1"/>
    <n v="0.05"/>
    <n v="0"/>
    <s v="XP0001"/>
    <s v="000000"/>
    <s v="A00768"/>
    <s v="C02617"/>
    <m/>
    <n v="0"/>
    <n v="10000"/>
    <x v="1"/>
  </r>
  <r>
    <x v="0"/>
    <s v="XP"/>
    <x v="4"/>
    <x v="6"/>
    <s v="SM0002"/>
    <s v="White Sesame Non Gadarif - FG "/>
    <x v="18"/>
    <x v="0"/>
    <d v="2025-01-23T00:00:00"/>
    <s v="SCRP"/>
    <s v="IC - NCR - RAIN DAMAGE - NC NO. 167"/>
    <x v="53"/>
    <s v="Loss"/>
    <x v="1"/>
    <x v="4"/>
    <x v="0"/>
    <s v="a.bakri"/>
    <n v="-23"/>
    <n v="-1.1499999999999999"/>
    <n v="177205.68421000001"/>
    <s v=""/>
    <s v="000005"/>
    <s v="X03770"/>
    <s v=""/>
    <s v="CNC000466"/>
    <n v="0"/>
    <n v="-4075730.7368300003"/>
    <x v="1"/>
  </r>
  <r>
    <x v="0"/>
    <s v="XP"/>
    <x v="4"/>
    <x v="6"/>
    <s v="SM0332"/>
    <s v="White Sesame Non Gadarif Damage NC 50K"/>
    <x v="19"/>
    <x v="0"/>
    <d v="2025-01-23T00:00:00"/>
    <s v="ADJ"/>
    <s v="IC - DOWNGRADE - NC NO.168"/>
    <x v="53"/>
    <s v="Gain"/>
    <x v="1"/>
    <x v="4"/>
    <x v="0"/>
    <s v="a.bakri"/>
    <n v="18"/>
    <n v="0.9"/>
    <n v="0"/>
    <s v="XP0001"/>
    <s v="000000"/>
    <s v="A00768"/>
    <s v="C02617"/>
    <s v=""/>
    <n v="0"/>
    <n v="180000"/>
    <x v="1"/>
  </r>
  <r>
    <x v="5"/>
    <s v="XP"/>
    <x v="4"/>
    <x v="1"/>
    <s v="SO0001"/>
    <s v="Sorghum FG 50 KG"/>
    <x v="20"/>
    <x v="0"/>
    <d v="2025-05-27T00:00:00"/>
    <s v="SCRP"/>
    <s v="IC - REPACKING &amp; WET"/>
    <x v="54"/>
    <s v="Loss"/>
    <x v="1"/>
    <x v="4"/>
    <x v="0"/>
    <s v="a.bakri"/>
    <n v="-4"/>
    <n v="-0.2"/>
    <n v="53108.105259999997"/>
    <s v=""/>
    <s v="000000"/>
    <s v="X04116"/>
    <s v=""/>
    <s v="P03596"/>
    <n v="0"/>
    <n v="-212432.42103999999"/>
    <x v="1"/>
  </r>
  <r>
    <x v="5"/>
    <s v="XP"/>
    <x v="4"/>
    <x v="1"/>
    <s v="SO0101"/>
    <s v="Sorghum Raw"/>
    <x v="1"/>
    <x v="0"/>
    <d v="2025-05-27T00:00:00"/>
    <s v="SCRP"/>
    <s v="IC - REPACKING &amp; WET"/>
    <x v="54"/>
    <s v="Loss"/>
    <x v="1"/>
    <x v="4"/>
    <x v="0"/>
    <s v="a.bakri"/>
    <n v="-2.4500000000000002"/>
    <n v="-2.4500000000000002"/>
    <n v="947797.31544000003"/>
    <s v=""/>
    <s v="000000"/>
    <s v="X04116"/>
    <s v=""/>
    <s v="Q05128"/>
    <n v="0"/>
    <n v="-2322103.422828"/>
    <x v="0"/>
  </r>
  <r>
    <x v="5"/>
    <s v="XP"/>
    <x v="4"/>
    <x v="1"/>
    <s v="SO0301"/>
    <s v="Sorghum Waste"/>
    <x v="21"/>
    <x v="0"/>
    <d v="2025-05-27T00:00:00"/>
    <s v="ADJ"/>
    <s v="DOWNGRADE"/>
    <x v="54"/>
    <s v="Gain"/>
    <x v="1"/>
    <x v="4"/>
    <x v="0"/>
    <s v="_report_modif."/>
    <n v="2.4500000000000002"/>
    <n v="2.4500000000000002"/>
    <n v="0"/>
    <s v="XP0001"/>
    <s v="000000"/>
    <s v="A00832"/>
    <s v="C02775"/>
    <m/>
    <m/>
    <n v="1000000"/>
    <x v="0"/>
  </r>
  <r>
    <x v="5"/>
    <s v="XP"/>
    <x v="4"/>
    <x v="1"/>
    <s v="SO0303"/>
    <s v="Sorghum Damage"/>
    <x v="22"/>
    <x v="0"/>
    <d v="2025-05-27T00:00:00"/>
    <s v="ADJ"/>
    <s v="DOWNGRADE"/>
    <x v="54"/>
    <s v="Gain"/>
    <x v="1"/>
    <x v="4"/>
    <x v="0"/>
    <s v="a.bakri"/>
    <n v="4"/>
    <n v="0.2"/>
    <n v="0"/>
    <s v="XP0001"/>
    <s v="000000"/>
    <s v="A00832"/>
    <s v="C02775"/>
    <s v=""/>
    <n v="0"/>
    <n v="100000"/>
    <x v="1"/>
  </r>
  <r>
    <x v="0"/>
    <s v="PG"/>
    <x v="4"/>
    <x v="8"/>
    <s v="PP0101"/>
    <s v="PIGEON PEAS JAZIRA CLEAN RAW MATRIAL"/>
    <x v="23"/>
    <x v="0"/>
    <d v="2025-01-21T00:00:00"/>
    <s v="SCRP"/>
    <s v="IC - THEFT"/>
    <x v="55"/>
    <s v="Loss"/>
    <x v="1"/>
    <x v="4"/>
    <x v="0"/>
    <s v="a.bakri"/>
    <n v="-1.96"/>
    <n v="-1.96"/>
    <n v="2408028.1818200001"/>
    <s v=""/>
    <s v="000000"/>
    <s v="X03768"/>
    <s v=""/>
    <s v="Q05880"/>
    <n v="0"/>
    <n v="-4719735.2363671996"/>
    <x v="0"/>
  </r>
  <r>
    <x v="5"/>
    <s v="XP"/>
    <x v="4"/>
    <x v="7"/>
    <s v="SM0001"/>
    <s v="Gadarif Sesame - FG"/>
    <x v="16"/>
    <x v="0"/>
    <d v="2025-05-31T00:00:00"/>
    <s v="SCRP"/>
    <s v="IC - RAIN DAMAGE"/>
    <x v="56"/>
    <s v="Loss"/>
    <x v="1"/>
    <x v="4"/>
    <x v="0"/>
    <s v="a.bakri"/>
    <n v="-947"/>
    <n v="-47.35"/>
    <n v="203277.55262999999"/>
    <s v=""/>
    <s v="000001"/>
    <s v="X04150"/>
    <s v=""/>
    <s v="CNC000746"/>
    <n v="0"/>
    <n v="-192503842.34061"/>
    <x v="1"/>
  </r>
  <r>
    <x v="5"/>
    <s v="XP"/>
    <x v="4"/>
    <x v="7"/>
    <s v="SM0051"/>
    <s v="Gadarif Sesame Low Grade FG 50KG"/>
    <x v="24"/>
    <x v="0"/>
    <d v="2025-05-31T00:00:00"/>
    <s v="ADJ"/>
    <s v="IC - DOWNGRADE - RAIN DAMAGE"/>
    <x v="56"/>
    <s v="Gain"/>
    <x v="1"/>
    <x v="4"/>
    <x v="0"/>
    <s v="a.bakri"/>
    <n v="947"/>
    <n v="47.35"/>
    <n v="91474.9"/>
    <s v="XP0001"/>
    <s v="000000"/>
    <s v="A00837"/>
    <s v="C02781"/>
    <s v=""/>
    <n v="0"/>
    <n v="96594000"/>
    <x v="1"/>
  </r>
  <r>
    <x v="5"/>
    <s v="XP"/>
    <x v="4"/>
    <x v="6"/>
    <s v="SM0002"/>
    <s v="White Sesame Non Gadarif - FG "/>
    <x v="18"/>
    <x v="0"/>
    <d v="2025-05-31T00:00:00"/>
    <s v="SCRP"/>
    <s v="IC - RAIN DAMAGE"/>
    <x v="57"/>
    <s v="Loss"/>
    <x v="1"/>
    <x v="4"/>
    <x v="0"/>
    <s v="a.bakri"/>
    <n v="-174"/>
    <n v="-8.6999999999999993"/>
    <n v="191933.78946999999"/>
    <s v=""/>
    <s v="000001"/>
    <s v="X04151"/>
    <s v=""/>
    <s v="CNC000746"/>
    <n v="0"/>
    <n v="-33396479.367779996"/>
    <x v="1"/>
  </r>
  <r>
    <x v="5"/>
    <s v="XP"/>
    <x v="4"/>
    <x v="6"/>
    <s v="SM0052"/>
    <s v="Non Gadarif Sesame Low Grade FG 50KG"/>
    <x v="25"/>
    <x v="0"/>
    <d v="2025-05-31T00:00:00"/>
    <s v="ADJ"/>
    <s v="IC - DOWNGRADE - RAIN DAMAGE"/>
    <x v="57"/>
    <s v="Gain"/>
    <x v="1"/>
    <x v="4"/>
    <x v="0"/>
    <s v="a.bakri"/>
    <n v="174"/>
    <n v="8.6999999999999993"/>
    <n v="86370.21"/>
    <s v="XP0001"/>
    <s v="000000"/>
    <s v="A00837"/>
    <s v="C02781"/>
    <s v=""/>
    <n v="0"/>
    <n v="17400000"/>
    <x v="1"/>
  </r>
  <r>
    <x v="5"/>
    <s v="XP"/>
    <x v="4"/>
    <x v="8"/>
    <s v="PP0001"/>
    <s v="Pigeon Peas Jazira FG"/>
    <x v="26"/>
    <x v="0"/>
    <d v="2025-05-28T00:00:00"/>
    <s v="SCRP"/>
    <s v="IC - WAREHOUSE DAMAGE - RAIN - NC NO.142"/>
    <x v="58"/>
    <s v="Loss"/>
    <x v="1"/>
    <x v="4"/>
    <x v="0"/>
    <s v="a.bakri"/>
    <n v="-1324"/>
    <n v="-66.2"/>
    <n v="129829.40909"/>
    <s v=""/>
    <s v="000000"/>
    <s v="X04145"/>
    <s v=""/>
    <s v="CNC000735"/>
    <n v="0"/>
    <n v="-171894137.63516"/>
    <x v="1"/>
  </r>
  <r>
    <x v="5"/>
    <s v="XP"/>
    <x v="4"/>
    <x v="8"/>
    <s v="PP0002"/>
    <s v="Pigeon Peas New Halfa FG"/>
    <x v="26"/>
    <x v="0"/>
    <d v="2025-05-28T00:00:00"/>
    <s v="SCRP"/>
    <s v="IC - WAREHOUSE DAMAGE - RAIN - NC NO.142"/>
    <x v="58"/>
    <s v="Loss"/>
    <x v="1"/>
    <x v="4"/>
    <x v="0"/>
    <s v="a.bakri"/>
    <n v="-2683"/>
    <n v="-134.15"/>
    <n v="129829.40909"/>
    <s v=""/>
    <s v="000001"/>
    <s v="X04149"/>
    <s v=""/>
    <s v="CNC000743"/>
    <n v="0"/>
    <n v="-348332304.58846998"/>
    <x v="1"/>
  </r>
  <r>
    <x v="5"/>
    <s v="XP"/>
    <x v="4"/>
    <x v="8"/>
    <s v="PP0051"/>
    <s v="Pigeon Peas Low Grade FG 50KG"/>
    <x v="27"/>
    <x v="0"/>
    <d v="2025-05-28T00:00:00"/>
    <s v="ADJ"/>
    <s v="IC -DOWNGRADE- RAIN NC NO.142"/>
    <x v="58"/>
    <s v="Gain"/>
    <x v="1"/>
    <x v="4"/>
    <x v="0"/>
    <s v="a.bakri"/>
    <n v="4007"/>
    <n v="200.35"/>
    <n v="58423.23"/>
    <s v=""/>
    <s v="000001"/>
    <s v="A00836"/>
    <s v="C02780"/>
    <s v=""/>
    <n v="0"/>
    <n v="249023000"/>
    <x v="1"/>
  </r>
  <r>
    <x v="5"/>
    <s v="XA"/>
    <x v="4"/>
    <x v="3"/>
    <s v="RC0001"/>
    <s v="Rice Short Grain Dalian"/>
    <x v="3"/>
    <x v="1"/>
    <d v="2025-05-27T00:00:00"/>
    <s v="SCRP"/>
    <s v="EXPIRED - NC NO.30-6"/>
    <x v="59"/>
    <s v="Loss"/>
    <x v="1"/>
    <x v="4"/>
    <x v="0"/>
    <s v="a.bakri"/>
    <n v="-282"/>
    <n v="-7.05"/>
    <n v="50476.383040000001"/>
    <s v=""/>
    <s v="000001"/>
    <s v="X04110"/>
    <s v=""/>
    <s v="Q05158"/>
    <n v="0"/>
    <n v="-14234340.017279999"/>
    <x v="2"/>
  </r>
  <r>
    <x v="5"/>
    <s v="XA"/>
    <x v="4"/>
    <x v="3"/>
    <s v="RC0303"/>
    <s v="Rice Damaged 25KG"/>
    <x v="8"/>
    <x v="1"/>
    <d v="2025-05-27T00:00:00"/>
    <s v="ADJ"/>
    <s v="DOWNGRADE - NC NO.30-6"/>
    <x v="59"/>
    <s v="Gain"/>
    <x v="1"/>
    <x v="4"/>
    <x v="0"/>
    <s v="_report_modif."/>
    <n v="282"/>
    <n v="7.05"/>
    <n v="0"/>
    <s v="XA0001"/>
    <s v="000000"/>
    <s v="A00831"/>
    <s v="C02774"/>
    <m/>
    <m/>
    <n v="7050000"/>
    <x v="2"/>
  </r>
  <r>
    <x v="5"/>
    <s v="XP"/>
    <x v="4"/>
    <x v="9"/>
    <s v="CP0001"/>
    <s v="Chickpeas FG 50KG"/>
    <x v="28"/>
    <x v="0"/>
    <d v="2025-05-27T00:00:00"/>
    <s v="SCRP"/>
    <s v="IC - WAREHOUSE DAMADE - RAIN"/>
    <x v="60"/>
    <s v="Loss"/>
    <x v="1"/>
    <x v="4"/>
    <x v="0"/>
    <s v="a.bakri"/>
    <n v="-189"/>
    <n v="-9.4499999999999993"/>
    <n v="91314.865309999994"/>
    <s v=""/>
    <s v="000000"/>
    <s v="X04112"/>
    <s v=""/>
    <s v="CNC000735"/>
    <n v="0"/>
    <n v="-17258509.543589998"/>
    <x v="1"/>
  </r>
  <r>
    <x v="5"/>
    <s v="XP"/>
    <x v="4"/>
    <x v="9"/>
    <s v="CP0001"/>
    <s v="Chickpeas FG 50KG"/>
    <x v="28"/>
    <x v="0"/>
    <d v="2025-05-27T00:00:00"/>
    <s v="SCRP"/>
    <s v="IC - WAREHOUSE DAMADE - RAIN"/>
    <x v="60"/>
    <s v="Loss"/>
    <x v="1"/>
    <x v="4"/>
    <x v="0"/>
    <s v="a.bakri"/>
    <n v="-51"/>
    <n v="-2.5499999999999998"/>
    <n v="91314.865309999994"/>
    <s v=""/>
    <s v="000001"/>
    <s v="X04112"/>
    <s v=""/>
    <s v="CNC000744"/>
    <n v="0"/>
    <n v="-4657058.13081"/>
    <x v="1"/>
  </r>
  <r>
    <x v="5"/>
    <s v="XP"/>
    <x v="4"/>
    <x v="9"/>
    <s v="CP0051"/>
    <s v="Chickpeas Low Grade FG 50KG"/>
    <x v="29"/>
    <x v="0"/>
    <d v="2025-05-28T00:00:00"/>
    <s v="ADJ"/>
    <s v="IC - DOWNGRADE-NC NO.106,189,6"/>
    <x v="60"/>
    <s v="Gain"/>
    <x v="1"/>
    <x v="4"/>
    <x v="0"/>
    <s v="a.bakri"/>
    <n v="240"/>
    <n v="12"/>
    <n v="41091.69"/>
    <s v="XP0001"/>
    <s v="000000"/>
    <s v="A00834"/>
    <s v="C02777"/>
    <s v=""/>
    <n v="0"/>
    <n v="29040000"/>
    <x v="1"/>
  </r>
  <r>
    <x v="2"/>
    <s v="XA"/>
    <x v="4"/>
    <x v="5"/>
    <s v="LE0303"/>
    <s v="Lentil Damaged 20KG"/>
    <x v="10"/>
    <x v="1"/>
    <d v="2025-07-15T00:00:00"/>
    <s v="ADJ"/>
    <s v="RAIN DAMAGED - NC 143/29"/>
    <x v="61"/>
    <s v="Gain"/>
    <x v="1"/>
    <x v="4"/>
    <x v="0"/>
    <s v="_report_modif."/>
    <n v="1468"/>
    <n v="29.36"/>
    <n v="6000"/>
    <s v="XA0001"/>
    <s v="000000"/>
    <s v="A00855"/>
    <s v="C02830"/>
    <s v=""/>
    <n v="0"/>
    <n v="8808000"/>
    <x v="3"/>
  </r>
  <r>
    <x v="2"/>
    <s v="XA"/>
    <x v="4"/>
    <x v="5"/>
    <s v="LE0001"/>
    <s v="Lentil TAT 20KG"/>
    <x v="7"/>
    <x v="1"/>
    <d v="2025-07-15T00:00:00"/>
    <s v="SCRP"/>
    <s v="RAIN DAMAGED - NC 143"/>
    <x v="61"/>
    <s v="Loss"/>
    <x v="1"/>
    <x v="4"/>
    <x v="0"/>
    <s v="a.bakri"/>
    <n v="-1382"/>
    <n v="-27.64"/>
    <n v="41075.795080000004"/>
    <s v=""/>
    <s v="000000"/>
    <s v="X04375"/>
    <s v=""/>
    <s v="Q06228"/>
    <n v="0"/>
    <n v="-56766748.800560005"/>
    <x v="3"/>
  </r>
  <r>
    <x v="2"/>
    <s v="XA"/>
    <x v="4"/>
    <x v="5"/>
    <s v="LE0001"/>
    <s v="Lentil TAT 20KG"/>
    <x v="7"/>
    <x v="1"/>
    <d v="2025-07-15T00:00:00"/>
    <s v="SCRP"/>
    <s v="RAIN DAMAGED - NC 143"/>
    <x v="61"/>
    <s v="Loss"/>
    <x v="1"/>
    <x v="4"/>
    <x v="0"/>
    <s v="a.bakri"/>
    <n v="-86"/>
    <n v="-1.72"/>
    <n v="41075.795080000004"/>
    <s v=""/>
    <s v="000001"/>
    <s v="X04375"/>
    <s v=""/>
    <s v="Q06234"/>
    <n v="0"/>
    <n v="-3532518.3768800003"/>
    <x v="3"/>
  </r>
  <r>
    <x v="7"/>
    <s v="FB"/>
    <x v="4"/>
    <x v="10"/>
    <s v="GN0307"/>
    <s v="GROUNDNUT SEEDS HPS DAMAGE 50KG"/>
    <x v="30"/>
    <x v="0"/>
    <d v="2025-08-12T00:00:00"/>
    <s v="SCRP"/>
    <s v="IC WAREHOUSE DAMAGE - RAIN - REPACKING LOSS NC NO.70"/>
    <x v="62"/>
    <s v="Loss"/>
    <x v="1"/>
    <x v="4"/>
    <x v="0"/>
    <s v="a.bakri"/>
    <n v="-5"/>
    <n v="-0.25"/>
    <n v="0"/>
    <s v=""/>
    <s v="000000"/>
    <s v="X04484"/>
    <s v=""/>
    <s v="A00760"/>
    <n v="0"/>
    <n v="0"/>
    <x v="1"/>
  </r>
  <r>
    <x v="5"/>
    <s v="XP"/>
    <x v="5"/>
    <x v="1"/>
    <s v="SO0101"/>
    <s v="Sorghum Raw"/>
    <x v="1"/>
    <x v="0"/>
    <d v="2025-05-27T00:00:00"/>
    <s v="SCRP"/>
    <s v="REPACKIN LOSS"/>
    <x v="63"/>
    <s v="Loss"/>
    <x v="1"/>
    <x v="1"/>
    <x v="0"/>
    <s v="a.bakri"/>
    <n v="-6.21"/>
    <n v="-6.21"/>
    <n v="947797.31544000003"/>
    <s v=""/>
    <s v="000001"/>
    <s v="X04118"/>
    <s v=""/>
    <s v="Q05128"/>
    <n v="0"/>
    <n v="-5885821.3288823999"/>
    <x v="0"/>
  </r>
  <r>
    <x v="5"/>
    <s v="XP"/>
    <x v="5"/>
    <x v="1"/>
    <s v="SO0301"/>
    <s v="Sorghum Waste"/>
    <x v="21"/>
    <x v="0"/>
    <d v="2025-05-27T00:00:00"/>
    <s v="ADJ"/>
    <s v="DOWNGRADE"/>
    <x v="63"/>
    <s v="Gain"/>
    <x v="1"/>
    <x v="1"/>
    <x v="0"/>
    <s v="a.bakri"/>
    <n v="6.21"/>
    <n v="6.21"/>
    <n v="0"/>
    <s v="XP0001"/>
    <s v="000000"/>
    <s v="A00832"/>
    <s v="C02775"/>
    <s v=""/>
    <n v="0"/>
    <n v="2842000"/>
    <x v="0"/>
  </r>
  <r>
    <x v="5"/>
    <s v="BG"/>
    <x v="5"/>
    <x v="11"/>
    <s v="HG1301"/>
    <s v="Gum Hashab Waste"/>
    <x v="31"/>
    <x v="0"/>
    <d v="2025-05-05T00:00:00"/>
    <s v="SCRP"/>
    <s v="SORTING - NC NO.38A PC NO.1242"/>
    <x v="64"/>
    <s v="Loss"/>
    <x v="1"/>
    <x v="5"/>
    <x v="0"/>
    <s v="a.bakri"/>
    <n v="-138.78"/>
    <n v="-138.78"/>
    <n v="0"/>
    <s v=""/>
    <s v="000000"/>
    <s v="X04071"/>
    <s v=""/>
    <s v="A00270"/>
    <n v="0"/>
    <n v="0"/>
    <x v="0"/>
  </r>
  <r>
    <x v="5"/>
    <s v="BG"/>
    <x v="5"/>
    <x v="11"/>
    <s v="HG0007"/>
    <s v="Gum Hashab Dark FG 50KG"/>
    <x v="32"/>
    <x v="0"/>
    <d v="2025-05-05T00:00:00"/>
    <s v="ADJ"/>
    <s v="SORTING - NC NO.38A PC NO.1242"/>
    <x v="64"/>
    <s v="Gain"/>
    <x v="1"/>
    <x v="5"/>
    <x v="0"/>
    <s v="a.bakri"/>
    <n v="2750"/>
    <n v="137.5"/>
    <n v="174287.1"/>
    <s v=""/>
    <s v="000000"/>
    <s v="A00796"/>
    <s v="C02736"/>
    <s v=""/>
    <n v="0"/>
    <n v="479289525"/>
    <x v="1"/>
  </r>
  <r>
    <x v="6"/>
    <s v="XA"/>
    <x v="5"/>
    <x v="4"/>
    <s v="IF0001"/>
    <s v="Flour Import Elngm 25Kg"/>
    <x v="5"/>
    <x v="1"/>
    <d v="2025-03-19T00:00:00"/>
    <s v="SCRP"/>
    <s v="RAIN DAMAGE - NC NO.74"/>
    <x v="65"/>
    <s v="Loss"/>
    <x v="1"/>
    <x v="1"/>
    <x v="0"/>
    <s v="a.bakri"/>
    <n v="-481"/>
    <n v="-12.025"/>
    <n v="31777.27522"/>
    <s v=""/>
    <s v="000001"/>
    <s v="X03936"/>
    <s v=""/>
    <s v="Q05953"/>
    <n v="0"/>
    <n v="-15284869.380820001"/>
    <x v="2"/>
  </r>
  <r>
    <x v="6"/>
    <s v="XA"/>
    <x v="5"/>
    <x v="4"/>
    <s v="DK0101"/>
    <s v="Flour Damaged (AF) - Ton"/>
    <x v="6"/>
    <x v="1"/>
    <d v="2025-03-19T00:00:00"/>
    <s v="ADJ"/>
    <s v="RAIN DAMAGE - NC NO.74"/>
    <x v="65"/>
    <s v="Gain"/>
    <x v="1"/>
    <x v="1"/>
    <x v="0"/>
    <s v="a.bakri"/>
    <n v="12.025"/>
    <n v="12.025"/>
    <n v="185743.6"/>
    <s v="XA0001"/>
    <s v="000000"/>
    <s v="A00791"/>
    <s v="C02672"/>
    <s v=""/>
    <n v="0"/>
    <n v="2233566.79"/>
    <x v="0"/>
  </r>
  <r>
    <x v="5"/>
    <s v="XA"/>
    <x v="5"/>
    <x v="2"/>
    <s v="WS0008"/>
    <s v="White Crystal Sugar"/>
    <x v="2"/>
    <x v="1"/>
    <d v="2025-05-31T00:00:00"/>
    <s v="SCRP"/>
    <s v="EXPIRED -DEFECTED- NC 2024 -1"/>
    <x v="66"/>
    <s v="Loss"/>
    <x v="1"/>
    <x v="1"/>
    <x v="0"/>
    <s v="a.bakri"/>
    <n v="-182"/>
    <n v="-9.1"/>
    <n v="96566.186310000005"/>
    <s v=""/>
    <s v="000000"/>
    <s v="X04152"/>
    <s v=""/>
    <s v="Q04594"/>
    <n v="0"/>
    <n v="-17575045.90842"/>
    <x v="1"/>
  </r>
  <r>
    <x v="5"/>
    <s v="XA"/>
    <x v="5"/>
    <x v="2"/>
    <s v="WS0008"/>
    <s v="White Crystal Sugar"/>
    <x v="2"/>
    <x v="1"/>
    <d v="2025-05-31T00:00:00"/>
    <s v="SCRP"/>
    <s v="EXPIRED -DEFECTED- NC 2024 -1"/>
    <x v="66"/>
    <s v="Loss"/>
    <x v="1"/>
    <x v="1"/>
    <x v="0"/>
    <s v="a.bakri"/>
    <n v="-53"/>
    <n v="-2.65"/>
    <n v="96566.186310000005"/>
    <s v=""/>
    <s v="000001"/>
    <s v="X04152"/>
    <s v=""/>
    <s v="Q04594"/>
    <n v="0"/>
    <n v="-5118007.8744299999"/>
    <x v="1"/>
  </r>
  <r>
    <x v="5"/>
    <s v="XA"/>
    <x v="5"/>
    <x v="2"/>
    <s v="WS0008"/>
    <s v="White Crystal Sugar"/>
    <x v="2"/>
    <x v="1"/>
    <d v="2025-05-31T00:00:00"/>
    <s v="SCRP"/>
    <s v="EXPIRED -DEFECTED- NC 2024 -1"/>
    <x v="66"/>
    <s v="Loss"/>
    <x v="1"/>
    <x v="1"/>
    <x v="0"/>
    <s v="a.bakri"/>
    <n v="-119"/>
    <n v="-5.95"/>
    <n v="96566.186310000005"/>
    <s v=""/>
    <s v="000002"/>
    <s v="X04152"/>
    <s v=""/>
    <s v="Q04594"/>
    <n v="0"/>
    <n v="-11491376.17089"/>
    <x v="1"/>
  </r>
  <r>
    <x v="5"/>
    <s v="XA"/>
    <x v="5"/>
    <x v="2"/>
    <s v="WS0008"/>
    <s v="White Crystal Sugar"/>
    <x v="2"/>
    <x v="1"/>
    <d v="2025-05-31T00:00:00"/>
    <s v="SCRP"/>
    <s v="EXPIRED -DEFECTED- NC 2024 -1"/>
    <x v="66"/>
    <s v="Loss"/>
    <x v="1"/>
    <x v="1"/>
    <x v="0"/>
    <s v="a.bakri"/>
    <n v="-2058"/>
    <n v="-102.9"/>
    <n v="96566.186310000005"/>
    <s v=""/>
    <s v="000003"/>
    <s v="X04152"/>
    <s v=""/>
    <s v="A00587"/>
    <n v="0"/>
    <n v="-198733211.42598"/>
    <x v="1"/>
  </r>
  <r>
    <x v="5"/>
    <s v="XA"/>
    <x v="5"/>
    <x v="2"/>
    <s v="WS0010"/>
    <s v="Caked Sugar"/>
    <x v="33"/>
    <x v="1"/>
    <d v="2025-05-31T00:00:00"/>
    <s v="ADJ"/>
    <s v="EXPIRED -DEFECTED- NC 2024 -1"/>
    <x v="66"/>
    <s v="Gain"/>
    <x v="1"/>
    <x v="1"/>
    <x v="0"/>
    <s v="a.bakri"/>
    <n v="2412"/>
    <n v="120.6"/>
    <n v="48283.093150000001"/>
    <s v="XA0001"/>
    <s v="000000"/>
    <s v="A00838"/>
    <s v="C02783"/>
    <s v=""/>
    <n v="0"/>
    <n v="185724000"/>
    <x v="1"/>
  </r>
  <r>
    <x v="6"/>
    <s v="BK"/>
    <x v="5"/>
    <x v="2"/>
    <s v="WS0005"/>
    <s v="White Sugar"/>
    <x v="4"/>
    <x v="1"/>
    <d v="2025-03-19T00:00:00"/>
    <s v="SCRP"/>
    <s v="WAREHOUSE DAMAGE - RODENTS"/>
    <x v="67"/>
    <s v="Loss"/>
    <x v="1"/>
    <x v="1"/>
    <x v="0"/>
    <s v="a.bakri"/>
    <n v="-4"/>
    <n v="-0.2"/>
    <n v="81012.933590000001"/>
    <s v=""/>
    <s v="000000"/>
    <s v="X03941"/>
    <s v=""/>
    <s v="Q05346"/>
    <n v="0"/>
    <n v="-324051.73436"/>
    <x v="1"/>
  </r>
  <r>
    <x v="5"/>
    <s v="XP"/>
    <x v="5"/>
    <x v="9"/>
    <s v="CP0002"/>
    <s v="Chickpeas FG 50KG"/>
    <x v="28"/>
    <x v="0"/>
    <d v="2025-05-28T00:00:00"/>
    <s v="SCRP"/>
    <s v="IC - WAREHOUSE DAMADE - RAIN NC NO.106,189,6"/>
    <x v="68"/>
    <s v="Loss"/>
    <x v="1"/>
    <x v="1"/>
    <x v="0"/>
    <s v="a.bakri"/>
    <n v="-3900"/>
    <n v="-195"/>
    <n v="91314.865309999994"/>
    <s v=""/>
    <s v="000000"/>
    <s v="X04142"/>
    <s v=""/>
    <s v="CNC000745"/>
    <n v="0"/>
    <n v="-356127974.70899999"/>
    <x v="1"/>
  </r>
  <r>
    <x v="5"/>
    <s v="XP"/>
    <x v="5"/>
    <x v="9"/>
    <s v="CP0051"/>
    <s v="Chickpeas Low Grade FG 50KG"/>
    <x v="29"/>
    <x v="0"/>
    <d v="2025-05-28T00:00:00"/>
    <s v="ADJ"/>
    <s v="IC - DOWNGRADE-NC NO.106,189,6"/>
    <x v="68"/>
    <s v="Gain"/>
    <x v="1"/>
    <x v="1"/>
    <x v="0"/>
    <s v="_report_modif."/>
    <n v="3900"/>
    <n v="195"/>
    <n v="41091.69"/>
    <s v="XP0001"/>
    <s v="000000"/>
    <s v="A00834"/>
    <s v="C02777"/>
    <s v=""/>
    <n v="0"/>
    <n v="331500000"/>
    <x v="1"/>
  </r>
  <r>
    <x v="5"/>
    <s v="XP"/>
    <x v="5"/>
    <x v="8"/>
    <s v="PP0002"/>
    <s v="Pigeon Peas New Halfa FG"/>
    <x v="26"/>
    <x v="0"/>
    <d v="2025-05-28T00:00:00"/>
    <s v="SCRP"/>
    <s v="DEFECTED - NC NO.7"/>
    <x v="69"/>
    <s v="Loss"/>
    <x v="1"/>
    <x v="1"/>
    <x v="0"/>
    <s v="a.bakri"/>
    <n v="-3915"/>
    <n v="-195.75"/>
    <n v="129829.40909"/>
    <s v=""/>
    <s v="000000"/>
    <s v="X04143"/>
    <s v=""/>
    <s v="CNC000743"/>
    <n v="0"/>
    <n v="-508282136.58735001"/>
    <x v="1"/>
  </r>
  <r>
    <x v="5"/>
    <s v="XP"/>
    <x v="5"/>
    <x v="8"/>
    <s v="PP0051"/>
    <s v="Pigeon Peas Low Grade FG 50KG"/>
    <x v="27"/>
    <x v="0"/>
    <d v="2025-05-28T00:00:00"/>
    <s v="ADJ"/>
    <s v="DEFECTED - DOWNGRADE - NC NO.7"/>
    <x v="69"/>
    <s v="Gain"/>
    <x v="1"/>
    <x v="1"/>
    <x v="0"/>
    <s v="a.bakri"/>
    <n v="3915"/>
    <n v="195.75"/>
    <n v="58423.23"/>
    <s v="XP0001"/>
    <s v="000000"/>
    <s v="A00835"/>
    <s v="C02778"/>
    <s v=""/>
    <n v="0"/>
    <n v="297540000"/>
    <x v="1"/>
  </r>
  <r>
    <x v="5"/>
    <s v="XA"/>
    <x v="5"/>
    <x v="3"/>
    <s v="RC0001"/>
    <s v="Rice Short Grain Dalian"/>
    <x v="3"/>
    <x v="1"/>
    <d v="2025-05-27T00:00:00"/>
    <s v="SCRP"/>
    <s v="EXPIRED - NC NO.30-6"/>
    <x v="70"/>
    <s v="Loss"/>
    <x v="1"/>
    <x v="1"/>
    <x v="0"/>
    <s v="a.bakri"/>
    <n v="-12"/>
    <n v="-0.3"/>
    <n v="50476.383040000001"/>
    <s v=""/>
    <s v="000000"/>
    <s v="X04110"/>
    <s v=""/>
    <s v="Q05158"/>
    <n v="0"/>
    <n v="-605716.59648000007"/>
    <x v="2"/>
  </r>
  <r>
    <x v="5"/>
    <s v="XA"/>
    <x v="5"/>
    <x v="3"/>
    <s v="RC0001"/>
    <s v="Rice Short Grain Dalian"/>
    <x v="3"/>
    <x v="1"/>
    <d v="2025-05-27T00:00:00"/>
    <s v="SCRP"/>
    <s v="EXPIRED - NC NO.30-6"/>
    <x v="70"/>
    <s v="Loss"/>
    <x v="1"/>
    <x v="1"/>
    <x v="0"/>
    <s v="a.bakri"/>
    <n v="-1501"/>
    <n v="-37.524999999999999"/>
    <n v="50476.383040000001"/>
    <s v=""/>
    <s v="000002"/>
    <s v="X04110"/>
    <s v=""/>
    <s v="Q05158"/>
    <n v="0"/>
    <n v="-75765050.943039998"/>
    <x v="2"/>
  </r>
  <r>
    <x v="5"/>
    <s v="XA"/>
    <x v="5"/>
    <x v="3"/>
    <s v="RC0303"/>
    <s v="Rice Damaged 25KG"/>
    <x v="8"/>
    <x v="1"/>
    <d v="2025-05-27T00:00:00"/>
    <s v="ADJ"/>
    <s v="DOWNGRADE - NC NO.30-6"/>
    <x v="70"/>
    <s v="Gain"/>
    <x v="1"/>
    <x v="1"/>
    <x v="0"/>
    <s v="a.bakri"/>
    <n v="1513"/>
    <n v="37.825000000000003"/>
    <n v="0"/>
    <s v="XA0001"/>
    <s v="000000"/>
    <s v="A00831"/>
    <s v="C02774"/>
    <s v=""/>
    <n v="0"/>
    <n v="37825000"/>
    <x v="2"/>
  </r>
  <r>
    <x v="2"/>
    <s v="ZR"/>
    <x v="5"/>
    <x v="4"/>
    <s v="IF0001"/>
    <s v="Flour Import Elngm 25Kg"/>
    <x v="5"/>
    <x v="1"/>
    <d v="2025-07-30T00:00:00"/>
    <s v="SCRP"/>
    <s v="EXPERIA   ELIMINATION -  NC 6"/>
    <x v="71"/>
    <s v="Loss"/>
    <x v="1"/>
    <x v="1"/>
    <x v="0"/>
    <s v="702012"/>
    <n v="-95"/>
    <n v="-2.375"/>
    <n v="28919.106970000001"/>
    <s v=""/>
    <s v="000000"/>
    <s v="X04446"/>
    <s v=""/>
    <s v="Q06225"/>
    <n v="0"/>
    <n v="-2747315.1621500002"/>
    <x v="2"/>
  </r>
  <r>
    <x v="2"/>
    <s v="XU"/>
    <x v="5"/>
    <x v="2"/>
    <s v="WS0010"/>
    <s v="Caked Sugar"/>
    <x v="33"/>
    <x v="1"/>
    <d v="2025-07-20T00:00:00"/>
    <s v="ADJ"/>
    <s v="EXPIRED &amp; CACKED - NC 4"/>
    <x v="72"/>
    <s v="Gain"/>
    <x v="1"/>
    <x v="1"/>
    <x v="0"/>
    <s v="a.bakri"/>
    <n v="370"/>
    <n v="18.5"/>
    <n v="39146.90855"/>
    <s v="XU0001"/>
    <s v="000000"/>
    <s v="A00856"/>
    <s v="C02831"/>
    <s v=""/>
    <n v="0"/>
    <n v="29600000"/>
    <x v="1"/>
  </r>
  <r>
    <x v="2"/>
    <s v="XU"/>
    <x v="5"/>
    <x v="2"/>
    <s v="WS0010"/>
    <s v="Caked Sugar"/>
    <x v="33"/>
    <x v="1"/>
    <d v="2025-07-20T00:00:00"/>
    <s v="ADJ"/>
    <s v="EXPIRED &amp; CACKED - NC 3"/>
    <x v="72"/>
    <s v="Gain"/>
    <x v="1"/>
    <x v="1"/>
    <x v="0"/>
    <s v="a.bakri"/>
    <n v="251"/>
    <n v="12.55"/>
    <n v="39146.90855"/>
    <s v="XU0001"/>
    <s v="000001"/>
    <s v="A00857"/>
    <s v="C02832"/>
    <s v=""/>
    <n v="0"/>
    <n v="20080000"/>
    <x v="1"/>
  </r>
  <r>
    <x v="2"/>
    <s v="XU"/>
    <x v="5"/>
    <x v="2"/>
    <s v="WS0008"/>
    <s v="White Crystal Sugar"/>
    <x v="2"/>
    <x v="1"/>
    <d v="2025-07-20T00:00:00"/>
    <s v="SCRP"/>
    <s v="EXPIRED &amp; CACKED - NC 4"/>
    <x v="72"/>
    <s v="Loss"/>
    <x v="1"/>
    <x v="1"/>
    <x v="0"/>
    <s v="a.bakri"/>
    <n v="-59"/>
    <n v="-2.95"/>
    <n v="78293.8171"/>
    <s v=""/>
    <s v="000000"/>
    <s v="X04405"/>
    <s v=""/>
    <s v="Q04686"/>
    <n v="0"/>
    <n v="-4619335.2089"/>
    <x v="1"/>
  </r>
  <r>
    <x v="2"/>
    <s v="XU"/>
    <x v="5"/>
    <x v="2"/>
    <s v="WS0008"/>
    <s v="White Crystal Sugar"/>
    <x v="2"/>
    <x v="1"/>
    <d v="2025-07-20T00:00:00"/>
    <s v="SCRP"/>
    <s v="EXPIRED &amp; CACKED - NC 4"/>
    <x v="72"/>
    <s v="Loss"/>
    <x v="1"/>
    <x v="1"/>
    <x v="0"/>
    <s v="a.bakri"/>
    <n v="-105"/>
    <n v="-5.25"/>
    <n v="78293.8171"/>
    <s v=""/>
    <s v="000001"/>
    <s v="X04405"/>
    <s v=""/>
    <s v="Q04686"/>
    <n v="0"/>
    <n v="-8220850.7955"/>
    <x v="1"/>
  </r>
  <r>
    <x v="2"/>
    <s v="XU"/>
    <x v="5"/>
    <x v="2"/>
    <s v="WS0008"/>
    <s v="White Crystal Sugar"/>
    <x v="2"/>
    <x v="1"/>
    <d v="2025-07-20T00:00:00"/>
    <s v="SCRP"/>
    <s v="EXPIRED &amp; CACKED - NC 4"/>
    <x v="72"/>
    <s v="Loss"/>
    <x v="1"/>
    <x v="1"/>
    <x v="0"/>
    <s v="a.bakri"/>
    <n v="-73"/>
    <n v="-3.65"/>
    <n v="78293.8171"/>
    <s v=""/>
    <s v="000002"/>
    <s v="X04405"/>
    <s v=""/>
    <s v="Q04686"/>
    <n v="0"/>
    <n v="-5715448.6483000005"/>
    <x v="1"/>
  </r>
  <r>
    <x v="2"/>
    <s v="XU"/>
    <x v="5"/>
    <x v="2"/>
    <s v="WS0008"/>
    <s v="White Crystal Sugar"/>
    <x v="2"/>
    <x v="1"/>
    <d v="2025-07-20T00:00:00"/>
    <s v="SCRP"/>
    <s v="EXPIRED &amp; CACKED - NC 4"/>
    <x v="72"/>
    <s v="Loss"/>
    <x v="1"/>
    <x v="1"/>
    <x v="0"/>
    <s v="a.bakri"/>
    <n v="-132"/>
    <n v="-6.6"/>
    <n v="78293.8171"/>
    <s v=""/>
    <s v="000003"/>
    <s v="X04405"/>
    <s v=""/>
    <s v="Q04686"/>
    <n v="0"/>
    <n v="-10334783.8572"/>
    <x v="1"/>
  </r>
  <r>
    <x v="2"/>
    <s v="XU"/>
    <x v="5"/>
    <x v="2"/>
    <s v="WS0008"/>
    <s v="White Crystal Sugar"/>
    <x v="2"/>
    <x v="1"/>
    <d v="2025-07-20T00:00:00"/>
    <s v="SCRP"/>
    <s v="EXPIRED &amp; CACKED - NC 4"/>
    <x v="72"/>
    <s v="Loss"/>
    <x v="1"/>
    <x v="1"/>
    <x v="0"/>
    <s v="a.bakri"/>
    <n v="-1"/>
    <n v="-0.05"/>
    <n v="78293.8171"/>
    <s v=""/>
    <s v="000004"/>
    <s v="X04405"/>
    <s v=""/>
    <s v="Q04686"/>
    <n v="0"/>
    <n v="-78293.8171"/>
    <x v="1"/>
  </r>
  <r>
    <x v="2"/>
    <s v="XU"/>
    <x v="5"/>
    <x v="2"/>
    <s v="WS0001"/>
    <s v="White Sugar"/>
    <x v="4"/>
    <x v="1"/>
    <d v="2025-07-20T00:00:00"/>
    <s v="SCRP"/>
    <s v="EXPIRED &amp; CACKED - NC 3"/>
    <x v="72"/>
    <s v="Loss"/>
    <x v="1"/>
    <x v="1"/>
    <x v="0"/>
    <s v="a.bakri"/>
    <n v="-251"/>
    <n v="-12.55"/>
    <n v="78293.8171"/>
    <s v=""/>
    <s v="000000"/>
    <s v="X04406"/>
    <s v=""/>
    <s v="Q04961"/>
    <n v="0"/>
    <n v="-19651748.092100002"/>
    <x v="1"/>
  </r>
  <r>
    <x v="2"/>
    <s v="XZ"/>
    <x v="5"/>
    <x v="2"/>
    <s v="WS0010"/>
    <s v="Caked Sugar"/>
    <x v="33"/>
    <x v="1"/>
    <d v="2025-07-15T00:00:00"/>
    <s v="ADJ"/>
    <s v="EXPIRED &amp; CACKED - NC 23"/>
    <x v="73"/>
    <s v="Gain"/>
    <x v="1"/>
    <x v="1"/>
    <x v="0"/>
    <s v="a.bakri"/>
    <n v="17"/>
    <n v="0.85"/>
    <n v="77000"/>
    <s v="BX0001"/>
    <s v="000000"/>
    <s v="A00851"/>
    <s v="C02826"/>
    <s v=""/>
    <n v="0"/>
    <n v="1309000"/>
    <x v="1"/>
  </r>
  <r>
    <x v="2"/>
    <s v="XA"/>
    <x v="5"/>
    <x v="2"/>
    <s v="WS0001"/>
    <s v="White Sugar"/>
    <x v="4"/>
    <x v="1"/>
    <d v="2025-07-15T00:00:00"/>
    <s v="SCRP"/>
    <s v="EXPIRED &amp; CACKED  - NC 2024 -2"/>
    <x v="74"/>
    <s v="Loss"/>
    <x v="1"/>
    <x v="1"/>
    <x v="0"/>
    <s v="a.bakri"/>
    <n v="-2319"/>
    <n v="-115.95"/>
    <n v="78293.8171"/>
    <s v=""/>
    <s v="000000"/>
    <s v="X04370"/>
    <s v=""/>
    <s v="Q06189"/>
    <n v="0"/>
    <n v="-181563361.8549"/>
    <x v="1"/>
  </r>
  <r>
    <x v="2"/>
    <s v="XA"/>
    <x v="5"/>
    <x v="2"/>
    <s v="WS0001"/>
    <s v="White Sugar"/>
    <x v="4"/>
    <x v="1"/>
    <d v="2025-07-15T00:00:00"/>
    <s v="SCRP"/>
    <s v="EXPIRED &amp; CACKED  - NC 2024 -2"/>
    <x v="74"/>
    <s v="Loss"/>
    <x v="1"/>
    <x v="1"/>
    <x v="0"/>
    <s v="a.bakri"/>
    <n v="-444"/>
    <n v="-22.2"/>
    <n v="78293.8171"/>
    <s v=""/>
    <s v="000001"/>
    <s v="X04370"/>
    <s v=""/>
    <s v="Q06189"/>
    <n v="0"/>
    <n v="-34762454.792400002"/>
    <x v="1"/>
  </r>
  <r>
    <x v="2"/>
    <s v="XA"/>
    <x v="5"/>
    <x v="2"/>
    <s v="WS0010"/>
    <s v="Caked Sugar"/>
    <x v="33"/>
    <x v="1"/>
    <d v="2025-07-15T00:00:00"/>
    <s v="ADJ"/>
    <s v="EXPIRED &amp; CACKED  - NC 2024 -2"/>
    <x v="74"/>
    <s v="Gain"/>
    <x v="1"/>
    <x v="1"/>
    <x v="0"/>
    <s v="a.bakri"/>
    <n v="2763"/>
    <n v="138.15"/>
    <n v="77000"/>
    <s v="XA0001"/>
    <s v="000000"/>
    <s v="A00852"/>
    <s v="C02827"/>
    <s v=""/>
    <n v="0"/>
    <n v="212751000"/>
    <x v="1"/>
  </r>
  <r>
    <x v="2"/>
    <s v="XG"/>
    <x v="5"/>
    <x v="2"/>
    <s v="WS0011"/>
    <s v="White Sugar - Damaged"/>
    <x v="14"/>
    <x v="1"/>
    <d v="2025-07-15T00:00:00"/>
    <s v="ADJ"/>
    <s v="RAIN DAMAGED  - NC 21/22/23"/>
    <x v="75"/>
    <s v="Gain"/>
    <x v="1"/>
    <x v="1"/>
    <x v="0"/>
    <s v="a.bakri"/>
    <n v="3851"/>
    <n v="192.55"/>
    <n v="29741.4941"/>
    <s v="RC0000"/>
    <s v="000000"/>
    <s v="A00854"/>
    <s v="C02829"/>
    <s v=""/>
    <n v="0"/>
    <n v="114534493.7791"/>
    <x v="1"/>
  </r>
  <r>
    <x v="2"/>
    <s v="XA"/>
    <x v="5"/>
    <x v="5"/>
    <s v="LE0303"/>
    <s v="Lentil Damaged 20KG"/>
    <x v="10"/>
    <x v="1"/>
    <d v="2025-07-15T00:00:00"/>
    <s v="ADJ"/>
    <s v="RAIN DAMAGED - NC 143/29"/>
    <x v="76"/>
    <s v="Gain"/>
    <x v="1"/>
    <x v="1"/>
    <x v="0"/>
    <s v="a.bakri"/>
    <n v="232"/>
    <n v="4.6399999999999997"/>
    <n v="6000"/>
    <s v="XA0001"/>
    <s v="000000"/>
    <s v="A00855"/>
    <s v="C02830"/>
    <s v=""/>
    <n v="0"/>
    <n v="1392000"/>
    <x v="3"/>
  </r>
  <r>
    <x v="2"/>
    <s v="XG"/>
    <x v="5"/>
    <x v="2"/>
    <s v="WS0001"/>
    <s v="White Sugar"/>
    <x v="4"/>
    <x v="1"/>
    <d v="2025-07-15T00:00:00"/>
    <s v="SCRP"/>
    <s v="RAIN DAMAGED  - NC 21/22/23"/>
    <x v="75"/>
    <s v="Loss"/>
    <x v="1"/>
    <x v="1"/>
    <x v="0"/>
    <s v="a.bakri"/>
    <n v="-5"/>
    <n v="-0.25"/>
    <n v="78293.8171"/>
    <s v=""/>
    <s v="000000"/>
    <s v="X04378"/>
    <s v=""/>
    <s v="Q06189"/>
    <n v="0"/>
    <n v="-391469.08549999999"/>
    <x v="1"/>
  </r>
  <r>
    <x v="2"/>
    <s v="BB"/>
    <x v="5"/>
    <x v="2"/>
    <s v="WS0001"/>
    <s v="White Sugar"/>
    <x v="4"/>
    <x v="1"/>
    <d v="2025-07-15T00:00:00"/>
    <s v="SCRP"/>
    <s v="PROV - CACKED  - NC 5-1"/>
    <x v="77"/>
    <s v="Loss"/>
    <x v="1"/>
    <x v="1"/>
    <x v="0"/>
    <s v="a.bakri"/>
    <n v="-49"/>
    <n v="-2.4500000000000002"/>
    <n v="25844.69"/>
    <s v=""/>
    <s v="000000"/>
    <s v="X04365"/>
    <s v=""/>
    <s v="Q04675"/>
    <n v="0"/>
    <n v="-1266389.8099999998"/>
    <x v="1"/>
  </r>
  <r>
    <x v="2"/>
    <s v="BB"/>
    <x v="5"/>
    <x v="2"/>
    <s v="WS0001"/>
    <s v="White Sugar"/>
    <x v="4"/>
    <x v="1"/>
    <d v="2025-07-15T00:00:00"/>
    <s v="SCRP"/>
    <s v="PROV - CACKED  - NC 5-1"/>
    <x v="77"/>
    <s v="Loss"/>
    <x v="1"/>
    <x v="1"/>
    <x v="0"/>
    <s v="a.bakri"/>
    <n v="-200"/>
    <n v="-10"/>
    <n v="25844.69"/>
    <s v=""/>
    <s v="000001"/>
    <s v="X04365"/>
    <s v=""/>
    <s v="Q05075"/>
    <n v="0"/>
    <n v="-5168938"/>
    <x v="1"/>
  </r>
  <r>
    <x v="2"/>
    <s v="BB"/>
    <x v="5"/>
    <x v="3"/>
    <s v="RC0001"/>
    <s v="Rice Short Grain Dalian"/>
    <x v="3"/>
    <x v="1"/>
    <d v="2025-07-15T00:00:00"/>
    <s v="SCRP"/>
    <s v="PROV - EXPIRED - ELIMINATION NC 1"/>
    <x v="78"/>
    <s v="Loss"/>
    <x v="1"/>
    <x v="1"/>
    <x v="0"/>
    <s v="a.bakri"/>
    <n v="-32"/>
    <n v="-0.8"/>
    <n v="11822.45469"/>
    <s v=""/>
    <s v="000000"/>
    <s v="X04366"/>
    <s v=""/>
    <s v="Q05158"/>
    <n v="0"/>
    <n v="-378318.55008000002"/>
    <x v="2"/>
  </r>
  <r>
    <x v="2"/>
    <s v="XZ"/>
    <x v="5"/>
    <x v="2"/>
    <s v="WS0001"/>
    <s v="White Sugar"/>
    <x v="4"/>
    <x v="1"/>
    <d v="2025-07-15T00:00:00"/>
    <s v="SCRP"/>
    <s v="EXPIRED &amp; CACKED - NC 23 A"/>
    <x v="73"/>
    <s v="Loss"/>
    <x v="1"/>
    <x v="1"/>
    <x v="0"/>
    <s v="a.bakri"/>
    <n v="-1"/>
    <n v="-0.05"/>
    <n v="78293.8171"/>
    <s v=""/>
    <s v="000000"/>
    <s v="X04367"/>
    <s v=""/>
    <s v="P03709"/>
    <n v="0"/>
    <n v="-78293.8171"/>
    <x v="1"/>
  </r>
  <r>
    <x v="2"/>
    <s v="XZ"/>
    <x v="5"/>
    <x v="2"/>
    <s v="WS0004"/>
    <s v="White Sugar"/>
    <x v="4"/>
    <x v="1"/>
    <d v="2025-07-15T00:00:00"/>
    <s v="SCRP"/>
    <s v="EXPIRED &amp; CACKED - NC 23 C"/>
    <x v="73"/>
    <s v="Loss"/>
    <x v="1"/>
    <x v="1"/>
    <x v="0"/>
    <s v="a.bakri"/>
    <n v="-5"/>
    <n v="-0.25"/>
    <n v="78293.8171"/>
    <s v=""/>
    <s v="000000"/>
    <s v="X04368"/>
    <s v=""/>
    <s v="P03709"/>
    <n v="0"/>
    <n v="-391469.08549999999"/>
    <x v="1"/>
  </r>
  <r>
    <x v="2"/>
    <s v="XZ"/>
    <x v="5"/>
    <x v="2"/>
    <s v="WS0005"/>
    <s v="White Sugar"/>
    <x v="4"/>
    <x v="1"/>
    <d v="2025-07-15T00:00:00"/>
    <s v="SCRP"/>
    <s v="EXPIRED &amp; CACKED - NC 23 B"/>
    <x v="73"/>
    <s v="Loss"/>
    <x v="1"/>
    <x v="1"/>
    <x v="0"/>
    <s v="a.bakri"/>
    <n v="-11"/>
    <n v="-0.55000000000000004"/>
    <n v="78293.8171"/>
    <s v=""/>
    <s v="000000"/>
    <s v="X04369"/>
    <s v=""/>
    <s v="P03709"/>
    <n v="0"/>
    <n v="-861231.98809999996"/>
    <x v="1"/>
  </r>
  <r>
    <x v="2"/>
    <s v="XA"/>
    <x v="5"/>
    <x v="2"/>
    <s v="WS0010"/>
    <s v="Caked Sugar"/>
    <x v="33"/>
    <x v="1"/>
    <d v="2025-07-15T00:00:00"/>
    <s v="ADJ"/>
    <s v="EXPIRED &amp; CACKED - NC 2024 -3"/>
    <x v="79"/>
    <s v="Gain"/>
    <x v="1"/>
    <x v="1"/>
    <x v="0"/>
    <s v="a.bakri"/>
    <n v="871"/>
    <n v="43.55"/>
    <n v="39146.90855"/>
    <s v=""/>
    <s v="000001"/>
    <s v="A00853"/>
    <s v="C02828"/>
    <s v=""/>
    <n v="0"/>
    <n v="67067000"/>
    <x v="1"/>
  </r>
  <r>
    <x v="2"/>
    <s v="XG"/>
    <x v="5"/>
    <x v="2"/>
    <s v="WS0008"/>
    <s v="White Crystal Sugar"/>
    <x v="2"/>
    <x v="1"/>
    <d v="2025-07-15T00:00:00"/>
    <s v="SCRP"/>
    <s v="RAIN DAMAGED  - NC 21/22/23"/>
    <x v="75"/>
    <s v="Loss"/>
    <x v="1"/>
    <x v="1"/>
    <x v="0"/>
    <s v="a.bakri"/>
    <n v="-35"/>
    <n v="-1.75"/>
    <n v="78293.8171"/>
    <s v=""/>
    <s v="000000"/>
    <s v="X04374"/>
    <s v=""/>
    <s v="Q04686"/>
    <n v="0"/>
    <n v="-2740283.5984999998"/>
    <x v="1"/>
  </r>
  <r>
    <x v="2"/>
    <s v="XG"/>
    <x v="5"/>
    <x v="2"/>
    <s v="WS0008"/>
    <s v="White Crystal Sugar"/>
    <x v="2"/>
    <x v="1"/>
    <d v="2025-07-15T00:00:00"/>
    <s v="SCRP"/>
    <s v="RAIN DAMAGED  - NC 21/22/23"/>
    <x v="75"/>
    <s v="Loss"/>
    <x v="1"/>
    <x v="1"/>
    <x v="0"/>
    <s v="a.bakri"/>
    <n v="-348"/>
    <n v="-17.399999999999999"/>
    <n v="78293.8171"/>
    <s v=""/>
    <s v="000001"/>
    <s v="X04374"/>
    <s v=""/>
    <s v="Q04686"/>
    <n v="0"/>
    <n v="-27246248.3508"/>
    <x v="1"/>
  </r>
  <r>
    <x v="2"/>
    <s v="XG"/>
    <x v="5"/>
    <x v="2"/>
    <s v="WS0008"/>
    <s v="White Crystal Sugar"/>
    <x v="2"/>
    <x v="1"/>
    <d v="2025-07-15T00:00:00"/>
    <s v="SCRP"/>
    <s v="RAIN DAMAGED  - NC 21/22/23"/>
    <x v="75"/>
    <s v="Loss"/>
    <x v="1"/>
    <x v="1"/>
    <x v="0"/>
    <s v="a.bakri"/>
    <n v="-90"/>
    <n v="-4.5"/>
    <n v="78293.8171"/>
    <s v=""/>
    <s v="000002"/>
    <s v="X04374"/>
    <s v=""/>
    <s v="Q04686"/>
    <n v="0"/>
    <n v="-7046443.5389999999"/>
    <x v="1"/>
  </r>
  <r>
    <x v="2"/>
    <s v="XG"/>
    <x v="5"/>
    <x v="2"/>
    <s v="WS0008"/>
    <s v="White Crystal Sugar"/>
    <x v="2"/>
    <x v="1"/>
    <d v="2025-07-15T00:00:00"/>
    <s v="SCRP"/>
    <s v="RAIN DAMAGED  - NC 21/22/23"/>
    <x v="75"/>
    <s v="Loss"/>
    <x v="1"/>
    <x v="1"/>
    <x v="0"/>
    <s v="a.bakri"/>
    <n v="-2021"/>
    <n v="-101.05"/>
    <n v="78293.8171"/>
    <s v=""/>
    <s v="000003"/>
    <s v="X04374"/>
    <s v=""/>
    <s v="A00589"/>
    <n v="0"/>
    <n v="-158231804.35910001"/>
    <x v="1"/>
  </r>
  <r>
    <x v="2"/>
    <s v="XG"/>
    <x v="5"/>
    <x v="2"/>
    <s v="WS0010"/>
    <s v="Caked Sugar"/>
    <x v="33"/>
    <x v="1"/>
    <d v="2025-07-15T00:00:00"/>
    <s v="SCRP"/>
    <s v="RAIN DAMAGED  - NC 21/22/23"/>
    <x v="75"/>
    <s v="Loss"/>
    <x v="1"/>
    <x v="1"/>
    <x v="0"/>
    <s v="a.bakri"/>
    <n v="-240"/>
    <n v="-12"/>
    <n v="39146.90855"/>
    <s v=""/>
    <s v="000000"/>
    <s v="X04374"/>
    <s v=""/>
    <s v="A00618"/>
    <n v="0"/>
    <n v="-9395258.0519999992"/>
    <x v="1"/>
  </r>
  <r>
    <x v="2"/>
    <s v="XG"/>
    <x v="5"/>
    <x v="2"/>
    <s v="WS0010"/>
    <s v="Caked Sugar"/>
    <x v="33"/>
    <x v="1"/>
    <d v="2025-07-15T00:00:00"/>
    <s v="SCRP"/>
    <s v="RAIN DAMAGED  - NC 21/22/23"/>
    <x v="75"/>
    <s v="Loss"/>
    <x v="1"/>
    <x v="1"/>
    <x v="0"/>
    <s v="a.bakri"/>
    <n v="-11"/>
    <n v="-0.55000000000000004"/>
    <n v="39146.90855"/>
    <s v=""/>
    <s v="000001"/>
    <s v="X04374"/>
    <s v=""/>
    <s v="A00633"/>
    <n v="0"/>
    <n v="-430615.99404999998"/>
    <x v="1"/>
  </r>
  <r>
    <x v="2"/>
    <s v="XA"/>
    <x v="5"/>
    <x v="5"/>
    <s v="LE0001"/>
    <s v="Lentil TAT 20KG"/>
    <x v="7"/>
    <x v="1"/>
    <d v="2025-07-15T00:00:00"/>
    <s v="SCRP"/>
    <s v="RAIN DAMAGED - NC 29"/>
    <x v="76"/>
    <s v="Loss"/>
    <x v="1"/>
    <x v="1"/>
    <x v="0"/>
    <s v="a.bakri"/>
    <n v="-232"/>
    <n v="-4.6399999999999997"/>
    <n v="41075.795080000004"/>
    <s v=""/>
    <s v="000002"/>
    <s v="X04376"/>
    <s v=""/>
    <s v="Q06234"/>
    <n v="0"/>
    <n v="-9529584.4585600011"/>
    <x v="3"/>
  </r>
  <r>
    <x v="2"/>
    <s v="XA"/>
    <x v="5"/>
    <x v="2"/>
    <s v="WS0008"/>
    <s v="White Crystal Sugar"/>
    <x v="2"/>
    <x v="1"/>
    <d v="2025-07-15T00:00:00"/>
    <s v="SCRP"/>
    <s v="EXPIRED &amp; CACKED - NC 2024 -3"/>
    <x v="79"/>
    <s v="Loss"/>
    <x v="1"/>
    <x v="1"/>
    <x v="0"/>
    <s v="a.bakri"/>
    <n v="-871"/>
    <n v="-43.55"/>
    <n v="78293.8171"/>
    <s v=""/>
    <s v="000000"/>
    <s v="X04372"/>
    <s v=""/>
    <s v="A00587"/>
    <n v="0"/>
    <n v="-68193914.694100007"/>
    <x v="1"/>
  </r>
  <r>
    <x v="2"/>
    <s v="XG"/>
    <x v="5"/>
    <x v="2"/>
    <s v="WS0001"/>
    <s v="White Sugar"/>
    <x v="4"/>
    <x v="1"/>
    <d v="2025-07-15T00:00:00"/>
    <s v="SCRP"/>
    <s v="RAIN DAMAGED  - NC 21/22/23"/>
    <x v="75"/>
    <s v="Loss"/>
    <x v="1"/>
    <x v="1"/>
    <x v="0"/>
    <s v="a.bakri"/>
    <n v="-104"/>
    <n v="-5.2"/>
    <n v="78293.8171"/>
    <s v=""/>
    <s v="000001"/>
    <s v="X04378"/>
    <s v=""/>
    <s v="Q06189"/>
    <n v="0"/>
    <n v="-8142556.9784000004"/>
    <x v="1"/>
  </r>
  <r>
    <x v="2"/>
    <s v="XG"/>
    <x v="5"/>
    <x v="2"/>
    <s v="WS0001"/>
    <s v="White Sugar"/>
    <x v="4"/>
    <x v="1"/>
    <d v="2025-07-15T00:00:00"/>
    <s v="SCRP"/>
    <s v="RAIN DAMAGED  - NC 21/22/23"/>
    <x v="75"/>
    <s v="Loss"/>
    <x v="1"/>
    <x v="1"/>
    <x v="0"/>
    <s v="a.bakri"/>
    <n v="-112"/>
    <n v="-5.6"/>
    <n v="78293.8171"/>
    <s v=""/>
    <s v="000002"/>
    <s v="X04378"/>
    <s v=""/>
    <s v="Q06189"/>
    <n v="0"/>
    <n v="-8768907.5152000003"/>
    <x v="1"/>
  </r>
  <r>
    <x v="2"/>
    <s v="XG"/>
    <x v="5"/>
    <x v="2"/>
    <s v="WS0001"/>
    <s v="White Sugar"/>
    <x v="4"/>
    <x v="1"/>
    <d v="2025-07-15T00:00:00"/>
    <s v="SCRP"/>
    <s v="RAIN DAMAGED  - NC 21/22/23"/>
    <x v="75"/>
    <s v="Loss"/>
    <x v="1"/>
    <x v="1"/>
    <x v="0"/>
    <s v="a.bakri"/>
    <n v="-885"/>
    <n v="-44.25"/>
    <n v="78293.8171"/>
    <s v=""/>
    <s v="000003"/>
    <s v="X04378"/>
    <s v=""/>
    <s v="Q06189"/>
    <n v="0"/>
    <n v="-69290028.133499995"/>
    <x v="1"/>
  </r>
  <r>
    <x v="3"/>
    <s v="XQ"/>
    <x v="5"/>
    <x v="4"/>
    <s v="IF0001"/>
    <s v="Flour Import Elngm 25Kg"/>
    <x v="5"/>
    <x v="1"/>
    <d v="2025-09-17T00:00:00"/>
    <s v="SCRP"/>
    <s v="REPACKING LOSS - NC NO.10.11.12.13.14"/>
    <x v="80"/>
    <s v="Loss"/>
    <x v="1"/>
    <x v="1"/>
    <x v="0"/>
    <s v="_report_modif."/>
    <n v="-340"/>
    <n v="-8.5"/>
    <n v="32432.643329999999"/>
    <m/>
    <m/>
    <m/>
    <m/>
    <m/>
    <m/>
    <n v="-11027098.7322"/>
    <x v="2"/>
  </r>
  <r>
    <x v="3"/>
    <s v="XQ"/>
    <x v="5"/>
    <x v="4"/>
    <s v="DF0301"/>
    <s v="WHEAT FLOUR DAMAGED 25KG"/>
    <x v="34"/>
    <x v="1"/>
    <d v="2025-09-17T00:00:00"/>
    <s v="ADJ"/>
    <s v="REPACKING-NC NO.10.11.12.13.14"/>
    <x v="80"/>
    <s v="Gain"/>
    <x v="1"/>
    <x v="1"/>
    <x v="0"/>
    <s v="_report_modif."/>
    <n v="340"/>
    <n v="8.5"/>
    <m/>
    <m/>
    <m/>
    <m/>
    <m/>
    <m/>
    <m/>
    <n v="4080000"/>
    <x v="2"/>
  </r>
  <r>
    <x v="3"/>
    <s v="XA"/>
    <x v="5"/>
    <x v="2"/>
    <s v="WS0004"/>
    <s v="White Sugar"/>
    <x v="4"/>
    <x v="1"/>
    <d v="2025-09-29T00:00:00"/>
    <s v="SCRP"/>
    <s v="DOWNGRADE - NC NO.32"/>
    <x v="81"/>
    <s v="Loss"/>
    <x v="1"/>
    <x v="1"/>
    <x v="0"/>
    <s v="a.bakri"/>
    <n v="-17"/>
    <n v="-0.85"/>
    <n v="87806.150020000001"/>
    <s v=""/>
    <s v="000000"/>
    <s v="X04592"/>
    <s v=""/>
    <s v="Q05844"/>
    <n v="0"/>
    <n v="-1492704.5503400001"/>
    <x v="1"/>
  </r>
  <r>
    <x v="3"/>
    <s v="XA"/>
    <x v="5"/>
    <x v="2"/>
    <s v="WS0011"/>
    <s v="White Sugar - Damaged"/>
    <x v="14"/>
    <x v="1"/>
    <d v="2025-09-29T00:00:00"/>
    <s v="ADJ"/>
    <s v="DOWNGRADE - NC NO.32"/>
    <x v="81"/>
    <s v="Gain"/>
    <x v="1"/>
    <x v="1"/>
    <x v="0"/>
    <s v="a.bakri"/>
    <n v="17"/>
    <n v="0.85"/>
    <n v="0"/>
    <s v="XA0001"/>
    <s v="000000"/>
    <s v="A00910"/>
    <s v="C02961"/>
    <s v=""/>
    <n v="0"/>
    <n v="700000"/>
    <x v="1"/>
  </r>
  <r>
    <x v="8"/>
    <s v="XP"/>
    <x v="6"/>
    <x v="6"/>
    <s v="SM0002"/>
    <s v="White Sesame Non Gadarif - FG "/>
    <x v="18"/>
    <x v="0"/>
    <d v="2025-04-29T00:00:00"/>
    <s v="SCRP"/>
    <s v="REPACKING LOSS - NC NO.8"/>
    <x v="82"/>
    <s v="Loss"/>
    <x v="1"/>
    <x v="1"/>
    <x v="0"/>
    <s v="a.bakri"/>
    <n v="-1"/>
    <n v="-0.05"/>
    <n v="188251.76316"/>
    <s v=""/>
    <s v="000000"/>
    <s v="X04036"/>
    <s v=""/>
    <s v="CNC000743"/>
    <n v="0"/>
    <n v="-188251.76316"/>
    <x v="1"/>
  </r>
  <r>
    <x v="0"/>
    <s v="XP"/>
    <x v="6"/>
    <x v="6"/>
    <s v="SM0002"/>
    <s v="White Sesame Non Gadarif - FG "/>
    <x v="18"/>
    <x v="0"/>
    <d v="2025-01-23T00:00:00"/>
    <s v="SCRP"/>
    <s v="NCR - HANDLING DAMAGE - NC NO.161"/>
    <x v="83"/>
    <s v="Loss"/>
    <x v="1"/>
    <x v="1"/>
    <x v="0"/>
    <s v="a.bakri"/>
    <n v="-5"/>
    <n v="-0.25"/>
    <n v="177205.68421000001"/>
    <s v=""/>
    <s v="000007"/>
    <s v="X03772"/>
    <s v=""/>
    <s v="CNC000466"/>
    <n v="0"/>
    <n v="-886028.42105"/>
    <x v="1"/>
  </r>
  <r>
    <x v="0"/>
    <s v="XP"/>
    <x v="6"/>
    <x v="6"/>
    <s v="SM0332"/>
    <s v="White Sesame Non Gadarif Damage NC 50K"/>
    <x v="19"/>
    <x v="0"/>
    <d v="2025-01-23T00:00:00"/>
    <s v="ADJ"/>
    <s v="NCR - DOWNGRADE - NC NO.161"/>
    <x v="83"/>
    <s v="Gain"/>
    <x v="1"/>
    <x v="1"/>
    <x v="0"/>
    <s v="a.bakri"/>
    <n v="3"/>
    <n v="0.15"/>
    <n v="0"/>
    <s v="XP0001"/>
    <s v="000001"/>
    <s v="A00769"/>
    <s v="C02618"/>
    <s v=""/>
    <n v="0"/>
    <n v="108000"/>
    <x v="1"/>
  </r>
  <r>
    <x v="0"/>
    <s v="XP"/>
    <x v="6"/>
    <x v="6"/>
    <s v="SM0002"/>
    <s v="White Sesame Non Gadarif - FG "/>
    <x v="18"/>
    <x v="0"/>
    <d v="2025-01-23T00:00:00"/>
    <s v="SCRP"/>
    <s v="NCR - HANDLING DAMAGE - NC NO.170-A"/>
    <x v="84"/>
    <s v="Loss"/>
    <x v="1"/>
    <x v="1"/>
    <x v="0"/>
    <s v="a.bakri"/>
    <n v="-4"/>
    <n v="-0.2"/>
    <n v="177205.68421000001"/>
    <s v=""/>
    <s v="000008"/>
    <s v="X03776"/>
    <s v=""/>
    <s v="CNC000466"/>
    <n v="0"/>
    <n v="-708822.73684000003"/>
    <x v="1"/>
  </r>
  <r>
    <x v="0"/>
    <s v="XP"/>
    <x v="6"/>
    <x v="6"/>
    <s v="SM0332"/>
    <s v="White Sesame Non Gadarif Damage NC 50K"/>
    <x v="19"/>
    <x v="0"/>
    <d v="2025-01-23T00:00:00"/>
    <s v="ADJ"/>
    <s v="NCR - DOWNGRADE - NC NO. 170A"/>
    <x v="84"/>
    <s v="Gain"/>
    <x v="1"/>
    <x v="1"/>
    <x v="0"/>
    <s v="a.bakri"/>
    <n v="4"/>
    <n v="0.2"/>
    <n v="0"/>
    <s v="XP0001"/>
    <s v="000002"/>
    <s v="A00772"/>
    <s v="C02622"/>
    <s v=""/>
    <n v="0"/>
    <n v="144000"/>
    <x v="1"/>
  </r>
  <r>
    <x v="0"/>
    <s v="XP"/>
    <x v="6"/>
    <x v="7"/>
    <s v="SM0001"/>
    <s v="Gadarif Sesame - FG"/>
    <x v="16"/>
    <x v="0"/>
    <d v="2025-01-23T00:00:00"/>
    <s v="SCRP"/>
    <s v="NCR- HANDLING DAMAGE - NC NO.152 , 156 , 160 , 165"/>
    <x v="85"/>
    <s v="Loss"/>
    <x v="1"/>
    <x v="1"/>
    <x v="0"/>
    <s v="a.bakri"/>
    <n v="-20"/>
    <n v="-1"/>
    <n v="187339.86842000001"/>
    <s v=""/>
    <s v="000003"/>
    <s v="X03769"/>
    <s v=""/>
    <s v="CNC000479"/>
    <n v="0"/>
    <n v="-3746797.3684"/>
    <x v="1"/>
  </r>
  <r>
    <x v="0"/>
    <s v="XP"/>
    <x v="6"/>
    <x v="7"/>
    <s v="SM0331"/>
    <s v="White Sesame Gadarif Damage NC 50K"/>
    <x v="17"/>
    <x v="0"/>
    <d v="2025-01-23T00:00:00"/>
    <s v="ADJ"/>
    <s v="NCR-DOWNGRADE- 152,156,160,165"/>
    <x v="85"/>
    <s v="Gain"/>
    <x v="1"/>
    <x v="1"/>
    <x v="0"/>
    <s v="a.bakri"/>
    <n v="4"/>
    <n v="0.2"/>
    <n v="0"/>
    <s v="XP0001"/>
    <s v="000000"/>
    <s v="A00767"/>
    <s v="C02616"/>
    <s v=""/>
    <n v="0"/>
    <n v="144000"/>
    <x v="1"/>
  </r>
  <r>
    <x v="0"/>
    <s v="XP"/>
    <x v="6"/>
    <x v="7"/>
    <s v="SM0001"/>
    <s v="Gadarif Sesame - FG"/>
    <x v="16"/>
    <x v="0"/>
    <d v="2025-01-23T00:00:00"/>
    <s v="SCRP"/>
    <s v="NCR - HANDLING DAMAGE - NC NO.170"/>
    <x v="86"/>
    <s v="Loss"/>
    <x v="1"/>
    <x v="1"/>
    <x v="0"/>
    <s v="a.bakri"/>
    <n v="-9"/>
    <n v="-0.45"/>
    <n v="187339.86842000001"/>
    <s v=""/>
    <s v="000005"/>
    <s v="X03775"/>
    <s v=""/>
    <s v="CNC000479"/>
    <n v="0"/>
    <n v="-1686058.8157800001"/>
    <x v="1"/>
  </r>
  <r>
    <x v="0"/>
    <s v="XP"/>
    <x v="6"/>
    <x v="7"/>
    <s v="SM0331"/>
    <s v="White Sesame Gadarif Damage NC 50K"/>
    <x v="17"/>
    <x v="0"/>
    <d v="2025-01-23T00:00:00"/>
    <s v="ADJ"/>
    <s v="NCR - DOWNGRADE - NC NO. 170"/>
    <x v="86"/>
    <s v="Gain"/>
    <x v="1"/>
    <x v="1"/>
    <x v="0"/>
    <s v="a.bakri"/>
    <n v="9"/>
    <n v="0.45"/>
    <n v="0"/>
    <s v="XP0001"/>
    <s v="000002"/>
    <s v="A00771"/>
    <s v="C02621"/>
    <s v=""/>
    <n v="0"/>
    <n v="324000"/>
    <x v="1"/>
  </r>
  <r>
    <x v="8"/>
    <s v="XP"/>
    <x v="6"/>
    <x v="7"/>
    <s v="SM0001"/>
    <s v="Gadarif Sesame - FG"/>
    <x v="16"/>
    <x v="0"/>
    <d v="2025-04-29T00:00:00"/>
    <s v="SCRP"/>
    <s v="REPACKING LOSS - NC NO.4"/>
    <x v="87"/>
    <s v="Loss"/>
    <x v="1"/>
    <x v="1"/>
    <x v="0"/>
    <s v="a.bakri"/>
    <n v="-9"/>
    <n v="-0.45"/>
    <n v="199389.76316"/>
    <s v=""/>
    <s v="000000"/>
    <s v="X04035"/>
    <s v=""/>
    <s v="CNC000743"/>
    <n v="0"/>
    <n v="-1794507.8684400001"/>
    <x v="1"/>
  </r>
  <r>
    <x v="8"/>
    <s v="XP"/>
    <x v="6"/>
    <x v="7"/>
    <s v="SM0331"/>
    <s v="White Sesame Gadarif Damage NC 50K"/>
    <x v="17"/>
    <x v="0"/>
    <d v="2025-04-29T00:00:00"/>
    <s v="ADJ"/>
    <s v="REPACKING DAMAGE - NC NO.4"/>
    <x v="87"/>
    <s v="Gain"/>
    <x v="1"/>
    <x v="1"/>
    <x v="0"/>
    <s v="a.bakri"/>
    <n v="9"/>
    <n v="0.45"/>
    <n v="0"/>
    <s v="XP0001"/>
    <s v="000000"/>
    <s v="A00794"/>
    <s v="C02710"/>
    <s v=""/>
    <n v="0"/>
    <n v="0"/>
    <x v="1"/>
  </r>
  <r>
    <x v="0"/>
    <s v="XA"/>
    <x v="6"/>
    <x v="3"/>
    <s v="RC9008"/>
    <s v="Rice Long Grade 1 Elngm 20Kg"/>
    <x v="9"/>
    <x v="1"/>
    <d v="2025-01-20T00:00:00"/>
    <s v="SCRP"/>
    <s v="NCR - TORN BAGS - HANDLING - NC NO.134"/>
    <x v="88"/>
    <s v="Loss"/>
    <x v="1"/>
    <x v="1"/>
    <x v="0"/>
    <s v="a.bakri"/>
    <n v="-26"/>
    <n v="-0.52"/>
    <n v="30148.652330000001"/>
    <s v=""/>
    <s v="000000"/>
    <s v="X03764"/>
    <s v=""/>
    <s v="Q05961"/>
    <n v="0"/>
    <n v="-783864.96058000007"/>
    <x v="3"/>
  </r>
  <r>
    <x v="0"/>
    <s v="XA"/>
    <x v="6"/>
    <x v="3"/>
    <s v="RC9008"/>
    <s v="Rice Long Grade 1 Elngm 20Kg"/>
    <x v="9"/>
    <x v="1"/>
    <d v="2025-01-20T00:00:00"/>
    <s v="SCRP"/>
    <s v="NCR - TORN BAGS - HANDLING - NC NO. 135"/>
    <x v="89"/>
    <s v="Loss"/>
    <x v="1"/>
    <x v="1"/>
    <x v="0"/>
    <s v="a.bakri"/>
    <n v="-3"/>
    <n v="-0.06"/>
    <n v="30148.652330000001"/>
    <s v=""/>
    <s v="000001"/>
    <s v="X03766"/>
    <s v=""/>
    <s v="Q05961"/>
    <n v="0"/>
    <n v="-90445.956990000006"/>
    <x v="3"/>
  </r>
  <r>
    <x v="0"/>
    <s v="XA"/>
    <x v="6"/>
    <x v="3"/>
    <s v="RC0303"/>
    <s v="Rice Damaged 25KG"/>
    <x v="8"/>
    <x v="1"/>
    <d v="2025-01-29T00:00:00"/>
    <s v="ADJ"/>
    <s v="NCR-HANDLING-DOWNGRADE NC.133"/>
    <x v="90"/>
    <s v="Gain"/>
    <x v="1"/>
    <x v="1"/>
    <x v="0"/>
    <s v="a.bakri"/>
    <n v="9"/>
    <n v="0.22500000000000001"/>
    <n v="0"/>
    <s v="XA0001"/>
    <s v="000000"/>
    <s v="A00773"/>
    <s v="C02625"/>
    <s v=""/>
    <n v="0"/>
    <n v="0"/>
    <x v="2"/>
  </r>
  <r>
    <x v="0"/>
    <s v="XA"/>
    <x v="6"/>
    <x v="3"/>
    <s v="RC0004"/>
    <s v="Rice Long Grade 2 Elngm 20Kg"/>
    <x v="9"/>
    <x v="1"/>
    <d v="2025-01-29T00:00:00"/>
    <s v="SCRP"/>
    <s v="NCR - HANDLING DAMAGES - REPACKING LOSS - NC NO.133"/>
    <x v="90"/>
    <s v="Loss"/>
    <x v="1"/>
    <x v="1"/>
    <x v="0"/>
    <s v="a.bakri"/>
    <n v="-37"/>
    <n v="-0.74"/>
    <n v="30148.652330000001"/>
    <s v=""/>
    <s v="000000"/>
    <s v="X03811"/>
    <s v=""/>
    <s v="Q05963"/>
    <n v="0"/>
    <n v="-1115500.1362100001"/>
    <x v="3"/>
  </r>
  <r>
    <x v="0"/>
    <s v="NN"/>
    <x v="6"/>
    <x v="3"/>
    <s v="RC0004"/>
    <s v="Rice Long Grade 2 Elngm 20Kg"/>
    <x v="9"/>
    <x v="1"/>
    <d v="2025-01-29T00:00:00"/>
    <s v="SCRP"/>
    <s v="NCR - HANDLING DAMAGES - REPACKING - NC NO.133"/>
    <x v="90"/>
    <s v="Loss"/>
    <x v="1"/>
    <x v="1"/>
    <x v="0"/>
    <s v="a.bakri"/>
    <n v="-11"/>
    <n v="-0.22"/>
    <n v="30148.652330000001"/>
    <s v=""/>
    <s v="000000"/>
    <s v="X03812"/>
    <s v=""/>
    <s v="Q05924"/>
    <n v="0"/>
    <n v="-331635.17563000001"/>
    <x v="3"/>
  </r>
  <r>
    <x v="6"/>
    <s v="XA"/>
    <x v="6"/>
    <x v="5"/>
    <s v="LE0001"/>
    <s v="Lentil TAT 20KG"/>
    <x v="7"/>
    <x v="1"/>
    <d v="2025-03-19T00:00:00"/>
    <s v="SCRP"/>
    <s v="HANDLING DAMAGE  - 178"/>
    <x v="91"/>
    <s v="Loss"/>
    <x v="1"/>
    <x v="1"/>
    <x v="0"/>
    <s v="a.bakri"/>
    <n v="-24"/>
    <n v="-0.48"/>
    <n v="50018.234799999998"/>
    <s v=""/>
    <s v="000004"/>
    <s v="X03929"/>
    <s v=""/>
    <s v="Q06106"/>
    <n v="0"/>
    <n v="-1200437.6351999999"/>
    <x v="3"/>
  </r>
  <r>
    <x v="6"/>
    <s v="XA"/>
    <x v="6"/>
    <x v="5"/>
    <s v="LE0001"/>
    <s v="Lentil TAT 20KG"/>
    <x v="7"/>
    <x v="1"/>
    <d v="2025-03-19T00:00:00"/>
    <s v="SCRP"/>
    <s v="HANDLING DAMAGE  - 177"/>
    <x v="91"/>
    <s v="Loss"/>
    <x v="1"/>
    <x v="1"/>
    <x v="0"/>
    <s v="a.bakri"/>
    <n v="-21"/>
    <n v="-0.42"/>
    <n v="50018.234799999998"/>
    <s v=""/>
    <s v="000005"/>
    <s v="X03930"/>
    <s v=""/>
    <s v="Q06106"/>
    <n v="0"/>
    <n v="-1050382.9308"/>
    <x v="3"/>
  </r>
  <r>
    <x v="6"/>
    <s v="XA"/>
    <x v="6"/>
    <x v="5"/>
    <s v="LE0001"/>
    <s v="Lentil TAT 20KG"/>
    <x v="7"/>
    <x v="1"/>
    <d v="2025-03-19T00:00:00"/>
    <s v="SCRP"/>
    <s v="HANDLING DAMAGE  - 2"/>
    <x v="91"/>
    <s v="Loss"/>
    <x v="1"/>
    <x v="1"/>
    <x v="0"/>
    <s v="a.bakri"/>
    <n v="-1"/>
    <n v="-0.02"/>
    <n v="50018.234799999998"/>
    <s v=""/>
    <s v="000006"/>
    <s v="X03931"/>
    <s v=""/>
    <s v="Q06106"/>
    <n v="0"/>
    <n v="-50018.234799999998"/>
    <x v="3"/>
  </r>
  <r>
    <x v="6"/>
    <s v="XA"/>
    <x v="6"/>
    <x v="5"/>
    <s v="LE0001"/>
    <s v="Lentil TAT 20KG"/>
    <x v="7"/>
    <x v="1"/>
    <d v="2025-03-19T00:00:00"/>
    <s v="SCRP"/>
    <s v="HANDLING DAMAGE  - 132A"/>
    <x v="91"/>
    <s v="Loss"/>
    <x v="1"/>
    <x v="1"/>
    <x v="0"/>
    <s v="a.bakri"/>
    <n v="-5"/>
    <n v="-0.1"/>
    <n v="50018.234799999998"/>
    <s v=""/>
    <s v="000007"/>
    <s v="X03932"/>
    <s v=""/>
    <s v="Q06106"/>
    <n v="0"/>
    <n v="-250091.174"/>
    <x v="3"/>
  </r>
  <r>
    <x v="6"/>
    <s v="XA"/>
    <x v="6"/>
    <x v="5"/>
    <s v="LE0001"/>
    <s v="Lentil TAT 20KG"/>
    <x v="7"/>
    <x v="1"/>
    <d v="2025-03-19T00:00:00"/>
    <s v="SCRP"/>
    <s v="HANDLING DAMAGE  - 3"/>
    <x v="91"/>
    <s v="Loss"/>
    <x v="1"/>
    <x v="1"/>
    <x v="0"/>
    <s v="a.bakri"/>
    <n v="-3"/>
    <n v="-0.06"/>
    <n v="50018.234799999998"/>
    <s v=""/>
    <s v="000008"/>
    <s v="X03933"/>
    <s v=""/>
    <s v="Q06106"/>
    <n v="0"/>
    <n v="-150054.70439999999"/>
    <x v="3"/>
  </r>
  <r>
    <x v="6"/>
    <s v="XA"/>
    <x v="6"/>
    <x v="5"/>
    <s v="LE0001"/>
    <s v="Lentil TAT 20KG"/>
    <x v="7"/>
    <x v="1"/>
    <d v="2025-03-19T00:00:00"/>
    <s v="SCRP"/>
    <s v="HANDLING DAMAGE  - 130"/>
    <x v="91"/>
    <s v="Loss"/>
    <x v="1"/>
    <x v="1"/>
    <x v="0"/>
    <s v="a.bakri"/>
    <n v="-21"/>
    <n v="-0.42"/>
    <n v="50018.234799999998"/>
    <s v=""/>
    <s v="000009"/>
    <s v="X03934"/>
    <s v=""/>
    <s v="Q06106"/>
    <n v="0"/>
    <n v="-1050382.9308"/>
    <x v="3"/>
  </r>
  <r>
    <x v="6"/>
    <s v="XA"/>
    <x v="6"/>
    <x v="5"/>
    <s v="LE0001"/>
    <s v="Lentil TAT 20KG"/>
    <x v="7"/>
    <x v="1"/>
    <d v="2025-03-19T00:00:00"/>
    <s v="SCRP"/>
    <s v="HANDLING DAMAGE  - 176"/>
    <x v="91"/>
    <s v="Loss"/>
    <x v="1"/>
    <x v="1"/>
    <x v="0"/>
    <s v="a.bakri"/>
    <n v="-4"/>
    <n v="-0.08"/>
    <n v="50018.234799999998"/>
    <s v=""/>
    <s v="000010"/>
    <s v="X03935"/>
    <s v=""/>
    <s v="Q06106"/>
    <n v="0"/>
    <n v="-200072.93919999999"/>
    <x v="3"/>
  </r>
  <r>
    <x v="6"/>
    <s v="NN"/>
    <x v="6"/>
    <x v="5"/>
    <s v="LE0001"/>
    <s v="Lentil TAT 20KG"/>
    <x v="7"/>
    <x v="1"/>
    <d v="2025-03-19T00:00:00"/>
    <s v="SCRP"/>
    <s v="HANDLING DAMAGE - NC NO.174"/>
    <x v="92"/>
    <s v="Loss"/>
    <x v="1"/>
    <x v="1"/>
    <x v="0"/>
    <s v="a.bakri"/>
    <n v="-5"/>
    <n v="-0.1"/>
    <n v="50018.234799999998"/>
    <s v=""/>
    <s v="000000"/>
    <s v="X03942"/>
    <s v=""/>
    <s v="Q05915"/>
    <n v="0"/>
    <n v="-250091.174"/>
    <x v="3"/>
  </r>
  <r>
    <x v="8"/>
    <s v="BD"/>
    <x v="6"/>
    <x v="5"/>
    <s v="LE9005"/>
    <s v="Lentil Elngm 20KG"/>
    <x v="7"/>
    <x v="1"/>
    <d v="2025-04-21T00:00:00"/>
    <s v="SCRP"/>
    <s v="REPROCESSING LOSS - NC NO. 22"/>
    <x v="93"/>
    <s v="Loss"/>
    <x v="1"/>
    <x v="1"/>
    <x v="0"/>
    <s v="a.bakri"/>
    <n v="-1"/>
    <n v="-0.02"/>
    <n v="48291.345670000002"/>
    <s v=""/>
    <s v="000000"/>
    <s v="X03988"/>
    <s v=""/>
    <s v="Q05965"/>
    <n v="0"/>
    <n v="-48291.345670000002"/>
    <x v="3"/>
  </r>
  <r>
    <x v="8"/>
    <s v="BD"/>
    <x v="6"/>
    <x v="3"/>
    <s v="RC0006"/>
    <s v="Rice Short Grain Elngm 25Kg"/>
    <x v="3"/>
    <x v="1"/>
    <d v="2025-04-21T00:00:00"/>
    <s v="SCRP"/>
    <s v="REPROCESSING LOSS - NC NO.21"/>
    <x v="94"/>
    <s v="Loss"/>
    <x v="1"/>
    <x v="1"/>
    <x v="0"/>
    <s v="a.bakri"/>
    <n v="-4"/>
    <n v="-0.1"/>
    <n v="49550.962500000001"/>
    <s v=""/>
    <s v="000003"/>
    <s v="X03989"/>
    <s v=""/>
    <s v="Q05966"/>
    <n v="0"/>
    <n v="-198203.85"/>
    <x v="2"/>
  </r>
  <r>
    <x v="5"/>
    <s v="XP"/>
    <x v="6"/>
    <x v="0"/>
    <s v="CO0001"/>
    <s v="Cotton - FG "/>
    <x v="35"/>
    <x v="0"/>
    <d v="2025-05-27T00:00:00"/>
    <s v="SCRP"/>
    <s v="DOWNGRADE &amp; RECOMPRESSION NC NO.222,107"/>
    <x v="95"/>
    <s v="Loss"/>
    <x v="1"/>
    <x v="1"/>
    <x v="0"/>
    <s v="a.bakri"/>
    <n v="-5.3869999999999996"/>
    <n v="-5.3869999999999996"/>
    <n v="4325522.7759699998"/>
    <s v=""/>
    <s v="000000"/>
    <s v="X04108"/>
    <s v=""/>
    <s v="Q05945"/>
    <n v="0"/>
    <n v="-23301591.194150388"/>
    <x v="0"/>
  </r>
  <r>
    <x v="5"/>
    <s v="XP"/>
    <x v="6"/>
    <x v="0"/>
    <s v="CO0001"/>
    <s v="Cotton - FG "/>
    <x v="35"/>
    <x v="0"/>
    <d v="2025-05-27T00:00:00"/>
    <s v="SCRP"/>
    <s v="DOWNGRADE &amp; RECOMPRESSION NC NO.222,107"/>
    <x v="95"/>
    <s v="Loss"/>
    <x v="1"/>
    <x v="1"/>
    <x v="0"/>
    <s v="a.bakri"/>
    <n v="-23.36"/>
    <n v="-23.36"/>
    <n v="4325522.7759699998"/>
    <s v=""/>
    <s v="000001"/>
    <s v="X04108"/>
    <s v=""/>
    <s v="P03687"/>
    <n v="0"/>
    <n v="-101044212.04665919"/>
    <x v="0"/>
  </r>
  <r>
    <x v="5"/>
    <s v="XP"/>
    <x v="6"/>
    <x v="0"/>
    <s v="CO0001"/>
    <s v="Cotton - FG "/>
    <x v="35"/>
    <x v="0"/>
    <d v="2025-05-27T00:00:00"/>
    <s v="SCRP"/>
    <s v="DOWNGRADE &amp; RECOMPRESSION NC NO.222,107"/>
    <x v="95"/>
    <s v="Loss"/>
    <x v="1"/>
    <x v="1"/>
    <x v="0"/>
    <s v="a.bakri"/>
    <n v="-0.1"/>
    <n v="-0.1"/>
    <n v="4325522.7759699998"/>
    <s v=""/>
    <s v="000002"/>
    <s v="X04108"/>
    <s v=""/>
    <s v="A00783"/>
    <n v="0"/>
    <n v="-432552.27759700001"/>
    <x v="0"/>
  </r>
  <r>
    <x v="5"/>
    <s v="XP"/>
    <x v="6"/>
    <x v="0"/>
    <s v="CO0001"/>
    <s v="Cotton - FG "/>
    <x v="35"/>
    <x v="0"/>
    <d v="2025-05-27T00:00:00"/>
    <s v="SCRP"/>
    <s v="DOWNGRADE &amp; RECOMPRESSION NC NO.222,107"/>
    <x v="95"/>
    <s v="Loss"/>
    <x v="1"/>
    <x v="1"/>
    <x v="0"/>
    <s v="a.bakri"/>
    <n v="-7.2999999999999995E-2"/>
    <n v="-7.2999999999999995E-2"/>
    <n v="4325522.7759699998"/>
    <s v=""/>
    <s v="000003"/>
    <s v="X04108"/>
    <s v=""/>
    <s v="CNC000738"/>
    <n v="0"/>
    <n v="-315763.16264580999"/>
    <x v="0"/>
  </r>
  <r>
    <x v="5"/>
    <s v="XP"/>
    <x v="6"/>
    <x v="0"/>
    <s v="CO0301"/>
    <s v="Cotton Waste"/>
    <x v="36"/>
    <x v="0"/>
    <d v="2025-05-27T00:00:00"/>
    <s v="ADJ"/>
    <s v="DOWNGRADE - NC NO.222,107"/>
    <x v="95"/>
    <s v="Gain"/>
    <x v="1"/>
    <x v="1"/>
    <x v="0"/>
    <s v="a.bakri"/>
    <n v="28.92"/>
    <n v="28.92"/>
    <n v="0"/>
    <s v="XP0001"/>
    <s v="000000"/>
    <s v="A00830"/>
    <s v="C02773"/>
    <s v=""/>
    <n v="0"/>
    <n v="46850400"/>
    <x v="0"/>
  </r>
  <r>
    <x v="4"/>
    <s v="BS"/>
    <x v="6"/>
    <x v="2"/>
    <s v="WS0005"/>
    <s v="White Sugar"/>
    <x v="4"/>
    <x v="1"/>
    <d v="2025-06-15T00:00:00"/>
    <s v="SCRP"/>
    <s v="REPACKING LOSS - NC 27"/>
    <x v="96"/>
    <s v="Loss"/>
    <x v="1"/>
    <x v="1"/>
    <x v="0"/>
    <s v="a.bakri"/>
    <n v="-1"/>
    <n v="-0.05"/>
    <n v="83521.151800000007"/>
    <s v=""/>
    <s v="000000"/>
    <s v="X04244"/>
    <s v=""/>
    <s v="Q05939"/>
    <n v="0"/>
    <n v="-83521.151800000007"/>
    <x v="1"/>
  </r>
  <r>
    <x v="2"/>
    <s v="XP"/>
    <x v="6"/>
    <x v="1"/>
    <s v="SO0101"/>
    <s v="Sorghum Raw"/>
    <x v="1"/>
    <x v="0"/>
    <d v="2025-07-16T00:00:00"/>
    <s v="SCRP"/>
    <s v="REPACKING LOSS - NC - 13,87,105,157"/>
    <x v="97"/>
    <s v="Loss"/>
    <x v="1"/>
    <x v="1"/>
    <x v="0"/>
    <s v="a.bakri"/>
    <n v="-6.6"/>
    <n v="-6.6"/>
    <n v="947797.31544000003"/>
    <s v=""/>
    <s v="000000"/>
    <s v="X04380"/>
    <s v=""/>
    <s v="Q05883"/>
    <n v="0"/>
    <n v="-6255462.2819039999"/>
    <x v="0"/>
  </r>
  <r>
    <x v="3"/>
    <s v="XA"/>
    <x v="6"/>
    <x v="2"/>
    <s v="WS0001"/>
    <s v="White Sugar"/>
    <x v="4"/>
    <x v="1"/>
    <d v="2025-09-07T00:00:00"/>
    <s v="SCRP"/>
    <s v="HANDLING DAMAGE - REPACKING - NC NO.16"/>
    <x v="98"/>
    <s v="Loss"/>
    <x v="1"/>
    <x v="1"/>
    <x v="0"/>
    <s v="a.bakri"/>
    <n v="-36"/>
    <n v="-1.8"/>
    <n v="87806.150020000001"/>
    <s v=""/>
    <s v="000000"/>
    <s v="X04555"/>
    <s v=""/>
    <s v="Q06189"/>
    <n v="0"/>
    <n v="-3161021.4007200003"/>
    <x v="1"/>
  </r>
  <r>
    <x v="3"/>
    <s v="XA"/>
    <x v="6"/>
    <x v="2"/>
    <s v="WS0001"/>
    <s v="White Sugar"/>
    <x v="4"/>
    <x v="1"/>
    <d v="2025-09-07T00:00:00"/>
    <s v="SCRP"/>
    <s v="HANDLING DAMAGE - REPACKING - NC NO.16"/>
    <x v="98"/>
    <s v="Loss"/>
    <x v="1"/>
    <x v="1"/>
    <x v="0"/>
    <s v="a.bakri"/>
    <n v="-41"/>
    <n v="-2.0499999999999998"/>
    <n v="87806.150020000001"/>
    <s v=""/>
    <s v="000001"/>
    <s v="X04555"/>
    <s v=""/>
    <s v="Q06189"/>
    <n v="0"/>
    <n v="-3600052.1508200001"/>
    <x v="1"/>
  </r>
  <r>
    <x v="3"/>
    <s v="XA"/>
    <x v="6"/>
    <x v="2"/>
    <s v="WS0005"/>
    <s v="White Sugar"/>
    <x v="4"/>
    <x v="1"/>
    <d v="2025-09-07T00:00:00"/>
    <s v="SCRP"/>
    <s v="HANDLING DAMAGE - REPACKING - NC NO. 17"/>
    <x v="99"/>
    <s v="Loss"/>
    <x v="1"/>
    <x v="1"/>
    <x v="0"/>
    <s v="a.bakri"/>
    <n v="-37"/>
    <n v="-1.85"/>
    <n v="87806.150020000001"/>
    <s v=""/>
    <s v="000000"/>
    <s v="X04556"/>
    <s v=""/>
    <s v="Q06134"/>
    <n v="0"/>
    <n v="-3248827.5507399999"/>
    <x v="1"/>
  </r>
  <r>
    <x v="3"/>
    <s v="XA"/>
    <x v="6"/>
    <x v="2"/>
    <s v="WS0011"/>
    <s v="White Sugar - Damaged"/>
    <x v="14"/>
    <x v="1"/>
    <d v="2025-09-07T00:00:00"/>
    <s v="ADJ"/>
    <s v="REPACKING LOSS - NC NO. 16"/>
    <x v="98"/>
    <s v="Gain"/>
    <x v="1"/>
    <x v="1"/>
    <x v="0"/>
    <s v="a.bakri"/>
    <n v="23"/>
    <n v="1.1499999999999999"/>
    <n v="0"/>
    <s v="XA0001"/>
    <s v="000000"/>
    <s v="A00889"/>
    <s v="C02909"/>
    <s v=""/>
    <n v="0"/>
    <n v="947058.82"/>
    <x v="1"/>
  </r>
  <r>
    <x v="3"/>
    <s v="XA"/>
    <x v="6"/>
    <x v="2"/>
    <s v="WS0011"/>
    <s v="White Sugar - Damaged"/>
    <x v="14"/>
    <x v="1"/>
    <d v="2025-09-07T00:00:00"/>
    <s v="ADJ"/>
    <s v="REPACKING LOSS - NC NO. 17"/>
    <x v="99"/>
    <s v="Gain"/>
    <x v="1"/>
    <x v="1"/>
    <x v="0"/>
    <s v="a.bakri"/>
    <n v="28"/>
    <n v="1.4"/>
    <n v="0"/>
    <s v="XA0001"/>
    <s v="000001"/>
    <s v="A00890"/>
    <s v="C02910"/>
    <s v=""/>
    <n v="0"/>
    <n v="1152941.176"/>
    <x v="1"/>
  </r>
  <r>
    <x v="3"/>
    <s v="XA"/>
    <x v="6"/>
    <x v="5"/>
    <s v="LE0001"/>
    <s v="Lentil TAT 20KG"/>
    <x v="7"/>
    <x v="1"/>
    <d v="2025-09-17T00:00:00"/>
    <s v="SCRP"/>
    <s v="REPROCESSING LOSS - NC NO. 11&amp;20"/>
    <x v="100"/>
    <s v="Loss"/>
    <x v="1"/>
    <x v="1"/>
    <x v="0"/>
    <s v="a.bakri"/>
    <n v="-68"/>
    <n v="-1.36"/>
    <n v="45680.80154"/>
    <s v=""/>
    <s v="000000"/>
    <s v="X04577"/>
    <s v=""/>
    <s v="Q06200"/>
    <n v="0"/>
    <n v="-3106294.5047200001"/>
    <x v="3"/>
  </r>
  <r>
    <x v="3"/>
    <s v="XA"/>
    <x v="6"/>
    <x v="5"/>
    <s v="LE0304"/>
    <s v="Lentil Damage/waste 50KG"/>
    <x v="10"/>
    <x v="1"/>
    <d v="2025-09-17T00:00:00"/>
    <s v="ADJ"/>
    <s v="REPROCESSING - NC NO. 11&amp;20"/>
    <x v="100"/>
    <s v="Gain"/>
    <x v="1"/>
    <x v="1"/>
    <x v="0"/>
    <s v="a.bakri"/>
    <n v="4"/>
    <n v="0.08"/>
    <n v="0"/>
    <s v="XA0001"/>
    <s v="000000"/>
    <s v="A00897"/>
    <s v="C02937"/>
    <s v=""/>
    <n v="0"/>
    <n v="60000"/>
    <x v="1"/>
  </r>
  <r>
    <x v="3"/>
    <s v="XP"/>
    <x v="6"/>
    <x v="7"/>
    <s v="SM0001"/>
    <s v="Gadarif Sesame - FG"/>
    <x v="16"/>
    <x v="0"/>
    <d v="2025-09-17T00:00:00"/>
    <s v="SCRP"/>
    <s v="REPACKING LOSS - NC NO.44"/>
    <x v="101"/>
    <s v="Loss"/>
    <x v="1"/>
    <x v="1"/>
    <x v="0"/>
    <s v="a.bakri"/>
    <n v="-8"/>
    <n v="-0.4"/>
    <n v="189125.99895000001"/>
    <s v=""/>
    <s v="000000"/>
    <s v="X04578"/>
    <s v=""/>
    <s v="CNC000749"/>
    <n v="0"/>
    <n v="-1513007.9916000001"/>
    <x v="1"/>
  </r>
  <r>
    <x v="3"/>
    <s v="XP"/>
    <x v="6"/>
    <x v="7"/>
    <s v="SM0331"/>
    <s v="White Sesame Gadarif Damage NC 50K"/>
    <x v="17"/>
    <x v="0"/>
    <d v="2025-09-17T00:00:00"/>
    <s v="ADJ"/>
    <s v="REPACKING - NC NO.44"/>
    <x v="101"/>
    <s v="Gain"/>
    <x v="1"/>
    <x v="1"/>
    <x v="0"/>
    <s v="a.bakri"/>
    <n v="8"/>
    <n v="0.4"/>
    <n v="0"/>
    <s v="XP0001"/>
    <s v="000000"/>
    <s v="A00898"/>
    <s v="C02938"/>
    <s v=""/>
    <n v="0"/>
    <n v="480000"/>
    <x v="1"/>
  </r>
  <r>
    <x v="3"/>
    <s v="XP"/>
    <x v="6"/>
    <x v="0"/>
    <s v="CO0301"/>
    <s v="Cotton Waste"/>
    <x v="36"/>
    <x v="0"/>
    <d v="2025-09-17T00:00:00"/>
    <s v="ADJ"/>
    <s v="RECOMPRESSING - NC NO.222.107"/>
    <x v="95"/>
    <s v="Gain"/>
    <x v="1"/>
    <x v="1"/>
    <x v="0"/>
    <s v="a.bakri"/>
    <n v="1.36"/>
    <n v="1.36"/>
    <n v="0"/>
    <s v="XP0001"/>
    <s v="000000"/>
    <s v="A00901"/>
    <s v="C02943"/>
    <s v=""/>
    <n v="0"/>
    <n v="2203200"/>
    <x v="0"/>
  </r>
  <r>
    <x v="3"/>
    <s v="XA"/>
    <x v="6"/>
    <x v="3"/>
    <s v="RC0006"/>
    <s v="Rice Short Grain Elngm 25Kg"/>
    <x v="3"/>
    <x v="1"/>
    <d v="2025-09-17T00:00:00"/>
    <s v="SCRP"/>
    <s v="REPROCESSING LOSS - NC NO.36"/>
    <x v="102"/>
    <s v="Loss"/>
    <x v="1"/>
    <x v="1"/>
    <x v="0"/>
    <s v="a.bakri"/>
    <n v="-7"/>
    <n v="-0.17499999999999999"/>
    <n v="48871.565979999999"/>
    <s v=""/>
    <s v="000000"/>
    <s v="X04576"/>
    <s v=""/>
    <s v="Q06064"/>
    <n v="0"/>
    <n v="-342100.96185999998"/>
    <x v="2"/>
  </r>
  <r>
    <x v="3"/>
    <s v="XA"/>
    <x v="6"/>
    <x v="3"/>
    <s v="RC0301"/>
    <s v="Rice Waste 50KG"/>
    <x v="37"/>
    <x v="1"/>
    <d v="2025-09-17T00:00:00"/>
    <s v="ADJ"/>
    <s v="REPROCESSING - NC NO.36"/>
    <x v="102"/>
    <s v="Gain"/>
    <x v="1"/>
    <x v="1"/>
    <x v="0"/>
    <s v="a.bakri"/>
    <n v="2"/>
    <n v="0.1"/>
    <n v="0"/>
    <s v="XA0001"/>
    <s v="000000"/>
    <s v="A00896"/>
    <s v="C02936"/>
    <s v=""/>
    <n v="0"/>
    <n v="72000"/>
    <x v="1"/>
  </r>
  <r>
    <x v="3"/>
    <s v="XP"/>
    <x v="6"/>
    <x v="0"/>
    <s v="CO0001"/>
    <s v="Cotton - FG "/>
    <x v="35"/>
    <x v="0"/>
    <d v="2025-09-17T00:00:00"/>
    <s v="SCRP"/>
    <s v="RECOMPRESSING LOSS - NC NO.222,107"/>
    <x v="95"/>
    <s v="Loss"/>
    <x v="1"/>
    <x v="1"/>
    <x v="0"/>
    <s v="a.bakri"/>
    <n v="-1.5880000000000001"/>
    <n v="-1.5880000000000001"/>
    <n v="4024676.7759699998"/>
    <s v=""/>
    <s v="000000"/>
    <s v="X04582"/>
    <s v=""/>
    <s v="CNC000748"/>
    <n v="0"/>
    <n v="-6391186.7202403601"/>
    <x v="0"/>
  </r>
  <r>
    <x v="3"/>
    <s v="XP"/>
    <x v="6"/>
    <x v="1"/>
    <s v="SO0101"/>
    <s v="Sorghum Raw"/>
    <x v="1"/>
    <x v="0"/>
    <d v="2025-09-17T00:00:00"/>
    <s v="SCRP"/>
    <s v="REPACKING LOSS - NC NO.37"/>
    <x v="103"/>
    <s v="Loss"/>
    <x v="1"/>
    <x v="1"/>
    <x v="0"/>
    <s v="a.bakri"/>
    <n v="-0.25"/>
    <n v="-0.25"/>
    <n v="947797.31544000003"/>
    <s v=""/>
    <s v="000000"/>
    <s v="X04579"/>
    <s v=""/>
    <s v="P03715"/>
    <n v="0"/>
    <n v="-236949.32886000001"/>
    <x v="0"/>
  </r>
  <r>
    <x v="3"/>
    <s v="XP"/>
    <x v="6"/>
    <x v="1"/>
    <s v="SO0301"/>
    <s v="Sorghum Waste"/>
    <x v="21"/>
    <x v="0"/>
    <d v="2025-09-17T00:00:00"/>
    <s v="ADJ"/>
    <s v="REPACKING - NC NO.37"/>
    <x v="103"/>
    <s v="Gain"/>
    <x v="1"/>
    <x v="1"/>
    <x v="0"/>
    <s v="a.bakri"/>
    <n v="0.05"/>
    <n v="0.05"/>
    <n v="0"/>
    <s v="XP0001"/>
    <s v="000000"/>
    <s v="A00899"/>
    <s v="C02939"/>
    <s v=""/>
    <n v="0"/>
    <n v="30000"/>
    <x v="0"/>
  </r>
  <r>
    <x v="3"/>
    <s v="XQ"/>
    <x v="6"/>
    <x v="4"/>
    <s v="IF0001"/>
    <s v="Flour Import Elngm 25Kg"/>
    <x v="5"/>
    <x v="1"/>
    <d v="2025-09-17T00:00:00"/>
    <s v="SCRP"/>
    <s v="REPACKING LOSS - NC NO.10.11.12.13.14"/>
    <x v="104"/>
    <s v="Loss"/>
    <x v="1"/>
    <x v="1"/>
    <x v="0"/>
    <s v="a.bakri"/>
    <n v="-30"/>
    <n v="-0.75"/>
    <n v="32432.643329999999"/>
    <s v=""/>
    <s v="000000"/>
    <s v="X04580"/>
    <s v=""/>
    <s v="Q06232"/>
    <n v="0"/>
    <n v="-972979.30209999904"/>
    <x v="2"/>
  </r>
  <r>
    <x v="3"/>
    <s v="XQ"/>
    <x v="6"/>
    <x v="4"/>
    <s v="DF0301"/>
    <s v="WHEAT FLOUR DAMAGED 25KG"/>
    <x v="34"/>
    <x v="1"/>
    <d v="2025-09-17T00:00:00"/>
    <s v="ADJ"/>
    <s v="REPACKING-NC NO.10.11.12.13.14"/>
    <x v="104"/>
    <s v="Gain"/>
    <x v="1"/>
    <x v="1"/>
    <x v="0"/>
    <s v="a.bakri"/>
    <n v="21"/>
    <n v="0.52500000000000002"/>
    <n v="0"/>
    <s v="XQ0001"/>
    <s v="000000"/>
    <s v="A00900"/>
    <s v="C02941"/>
    <s v=""/>
    <n v="0"/>
    <n v="252000"/>
    <x v="2"/>
  </r>
  <r>
    <x v="3"/>
    <s v="XA"/>
    <x v="6"/>
    <x v="3"/>
    <s v="RC0304"/>
    <s v="Rice Long Damaged20"/>
    <x v="9"/>
    <x v="1"/>
    <d v="2025-09-24T00:00:00"/>
    <s v="ADJ"/>
    <s v="CORRECTION - NC NO.133"/>
    <x v="90"/>
    <s v="Gain"/>
    <x v="1"/>
    <x v="1"/>
    <x v="0"/>
    <s v="a.bakri"/>
    <n v="9"/>
    <n v="0.18"/>
    <n v="0"/>
    <s v="XA0001"/>
    <s v="000000"/>
    <s v="A00907"/>
    <s v="C02951"/>
    <s v=""/>
    <n v="0"/>
    <n v="0"/>
    <x v="3"/>
  </r>
  <r>
    <x v="3"/>
    <s v="XA"/>
    <x v="6"/>
    <x v="3"/>
    <s v="RC0303"/>
    <s v="Rice Damaged 25KG"/>
    <x v="8"/>
    <x v="1"/>
    <d v="2025-09-24T00:00:00"/>
    <s v="SCRP"/>
    <s v="CORRECTION - NC NO.133"/>
    <x v="90"/>
    <s v="Loss"/>
    <x v="1"/>
    <x v="1"/>
    <x v="0"/>
    <s v="a.bakri"/>
    <n v="-9"/>
    <n v="-0.22500000000000001"/>
    <n v="0"/>
    <s v=""/>
    <s v="000000"/>
    <s v="X04588"/>
    <s v=""/>
    <s v="A00831"/>
    <n v="0"/>
    <n v="0"/>
    <x v="2"/>
  </r>
  <r>
    <x v="3"/>
    <s v="XA"/>
    <x v="6"/>
    <x v="3"/>
    <s v="RC9008"/>
    <s v="Rice Long Grade 1 Elngm 20Kg"/>
    <x v="9"/>
    <x v="1"/>
    <d v="2025-09-29T00:00:00"/>
    <s v="SCRP"/>
    <s v="HANDLING DAMAGE  - NC NO.28"/>
    <x v="105"/>
    <s v="Loss"/>
    <x v="1"/>
    <x v="1"/>
    <x v="0"/>
    <s v="a.bakri"/>
    <n v="-13"/>
    <n v="-0.26"/>
    <n v="31022.75345"/>
    <s v=""/>
    <s v="000000"/>
    <s v="X04589"/>
    <s v=""/>
    <s v="Q05972"/>
    <n v="0"/>
    <n v="-403295.79485000001"/>
    <x v="3"/>
  </r>
  <r>
    <x v="3"/>
    <s v="XA"/>
    <x v="6"/>
    <x v="5"/>
    <s v="LE0001"/>
    <s v="Lentil TAT 20KG"/>
    <x v="7"/>
    <x v="1"/>
    <d v="2025-09-29T00:00:00"/>
    <s v="SCRP"/>
    <s v="HANDLING DAMAE - NC NO. 9 , 15"/>
    <x v="106"/>
    <s v="Loss"/>
    <x v="1"/>
    <x v="1"/>
    <x v="0"/>
    <s v="a.bakri"/>
    <n v="-32"/>
    <n v="-0.64"/>
    <n v="45680.80154"/>
    <s v=""/>
    <s v="000000"/>
    <s v="X04590"/>
    <s v=""/>
    <s v="Q06200"/>
    <n v="0"/>
    <n v="-1461785.64928"/>
    <x v="3"/>
  </r>
  <r>
    <x v="3"/>
    <s v="XA"/>
    <x v="6"/>
    <x v="5"/>
    <s v="LE0001"/>
    <s v="Lentil TAT 20KG"/>
    <x v="7"/>
    <x v="1"/>
    <d v="2025-09-29T00:00:00"/>
    <s v="SCRP"/>
    <s v="HANDLING DAMAGE - NC NO. 25"/>
    <x v="107"/>
    <s v="Loss"/>
    <x v="1"/>
    <x v="1"/>
    <x v="0"/>
    <s v="a.bakri"/>
    <n v="-7"/>
    <n v="-0.14000000000000001"/>
    <n v="45680.80154"/>
    <s v=""/>
    <s v="000001"/>
    <s v="X04591"/>
    <s v=""/>
    <s v="Q06200"/>
    <n v="0"/>
    <n v="-319765.61077999999"/>
    <x v="3"/>
  </r>
  <r>
    <x v="3"/>
    <s v="XA"/>
    <x v="6"/>
    <x v="3"/>
    <s v="RC0302"/>
    <s v="Rice Long Damaged50"/>
    <x v="9"/>
    <x v="1"/>
    <d v="2025-09-29T00:00:00"/>
    <s v="ADJ"/>
    <s v="REPROCESSING DAMAGE - NC NO.28"/>
    <x v="105"/>
    <s v="Gain"/>
    <x v="1"/>
    <x v="1"/>
    <x v="0"/>
    <s v="a.bakri"/>
    <n v="2"/>
    <n v="0.1"/>
    <n v="0"/>
    <s v="XA0001"/>
    <s v="000000"/>
    <s v="A00908"/>
    <s v="C02959"/>
    <s v=""/>
    <n v="0"/>
    <n v="90000"/>
    <x v="1"/>
  </r>
  <r>
    <x v="3"/>
    <s v="XA"/>
    <x v="6"/>
    <x v="5"/>
    <s v="LE0304"/>
    <s v="Lentil Damage/waste 50KG"/>
    <x v="10"/>
    <x v="1"/>
    <d v="2025-09-29T00:00:00"/>
    <s v="ADJ"/>
    <s v="REPROCESSING DAMAG-NC NO.9,15"/>
    <x v="106"/>
    <s v="Gain"/>
    <x v="1"/>
    <x v="1"/>
    <x v="0"/>
    <s v="a.bakri"/>
    <n v="8"/>
    <n v="0.16"/>
    <n v="0"/>
    <s v="XA0001"/>
    <s v="000000"/>
    <s v="A00909"/>
    <s v="C02960"/>
    <s v=""/>
    <n v="0"/>
    <n v="200000"/>
    <x v="1"/>
  </r>
  <r>
    <x v="0"/>
    <s v="IS"/>
    <x v="7"/>
    <x v="2"/>
    <s v="WS0001"/>
    <s v="White Sugar"/>
    <x v="4"/>
    <x v="1"/>
    <d v="2025-01-29T00:00:00"/>
    <s v="ADJ"/>
    <s v="EXCESS - 11794"/>
    <x v="108"/>
    <s v="Gain"/>
    <x v="1"/>
    <x v="5"/>
    <x v="0"/>
    <s v="a.bakri"/>
    <n v="1"/>
    <n v="0.05"/>
    <n v="80496.589399999997"/>
    <s v=""/>
    <s v="000003"/>
    <s v="A00774"/>
    <s v="C02626"/>
    <s v=""/>
    <n v="0"/>
    <n v="80496.589399999997"/>
    <x v="1"/>
  </r>
  <r>
    <x v="0"/>
    <s v="IS"/>
    <x v="7"/>
    <x v="2"/>
    <s v="WS0001"/>
    <s v="White Sugar"/>
    <x v="4"/>
    <x v="1"/>
    <d v="2025-01-29T00:00:00"/>
    <s v="ADJ"/>
    <s v="EXCESS - 11891"/>
    <x v="108"/>
    <s v="Gain"/>
    <x v="1"/>
    <x v="5"/>
    <x v="0"/>
    <s v="a.bakri"/>
    <n v="3"/>
    <n v="0.15"/>
    <n v="80496.589399999997"/>
    <s v="IS0001"/>
    <s v="000004"/>
    <s v="A00775"/>
    <s v="C02627"/>
    <s v=""/>
    <n v="0"/>
    <n v="241489.76819999999"/>
    <x v="1"/>
  </r>
  <r>
    <x v="0"/>
    <s v="IS"/>
    <x v="7"/>
    <x v="4"/>
    <s v="IF0001"/>
    <s v="Flour Import Elngm 25Kg"/>
    <x v="5"/>
    <x v="1"/>
    <d v="2025-01-29T00:00:00"/>
    <s v="ADJ"/>
    <s v="EXCESS - 14328"/>
    <x v="108"/>
    <s v="Gain"/>
    <x v="1"/>
    <x v="5"/>
    <x v="0"/>
    <s v="a.bakri"/>
    <n v="1"/>
    <n v="2.5000000000000001E-2"/>
    <n v="29239.17352"/>
    <s v="IS0001"/>
    <s v="000014"/>
    <s v="A00776"/>
    <s v="C02628"/>
    <s v=""/>
    <n v="0"/>
    <n v="29239.17352"/>
    <x v="2"/>
  </r>
  <r>
    <x v="0"/>
    <s v="TF"/>
    <x v="7"/>
    <x v="4"/>
    <s v="IF0001"/>
    <s v="Flour Import Elngm 25Kg"/>
    <x v="5"/>
    <x v="1"/>
    <d v="2025-01-29T00:00:00"/>
    <s v="ADJ"/>
    <s v="EXCESS - 11831"/>
    <x v="108"/>
    <s v="Gain"/>
    <x v="1"/>
    <x v="5"/>
    <x v="0"/>
    <s v="a.bakri"/>
    <n v="1"/>
    <n v="2.5000000000000001E-2"/>
    <n v="29239.17352"/>
    <s v="TF0001"/>
    <s v="000013"/>
    <s v="A00777"/>
    <s v="C02629"/>
    <s v=""/>
    <n v="0"/>
    <n v="29239.17352"/>
    <x v="2"/>
  </r>
  <r>
    <x v="6"/>
    <s v="IS"/>
    <x v="7"/>
    <x v="5"/>
    <s v="LE0001"/>
    <s v="Lentil TAT 20KG"/>
    <x v="7"/>
    <x v="1"/>
    <d v="2025-03-04T00:00:00"/>
    <s v="ADJ"/>
    <s v="EXCESS - 13047 ALTAF"/>
    <x v="108"/>
    <s v="Gain"/>
    <x v="1"/>
    <x v="5"/>
    <x v="0"/>
    <s v="a.bakri"/>
    <n v="2"/>
    <n v="0.04"/>
    <n v="50018.234799999998"/>
    <s v="IS0001"/>
    <s v="000000"/>
    <s v="A00784"/>
    <s v="C02665"/>
    <s v=""/>
    <n v="0"/>
    <n v="100036.4696"/>
    <x v="3"/>
  </r>
  <r>
    <x v="6"/>
    <s v="IS"/>
    <x v="7"/>
    <x v="5"/>
    <s v="LE0001"/>
    <s v="Lentil TAT 20KG"/>
    <x v="7"/>
    <x v="1"/>
    <d v="2025-03-04T00:00:00"/>
    <s v="ADJ"/>
    <s v="EXCESS - 11898 ARIF&amp;ALMUBARK"/>
    <x v="108"/>
    <s v="Gain"/>
    <x v="1"/>
    <x v="5"/>
    <x v="0"/>
    <s v="a.bakri"/>
    <n v="2"/>
    <n v="0.04"/>
    <n v="50018.234799999998"/>
    <s v="IS0001"/>
    <s v="000001"/>
    <s v="A00785"/>
    <s v="C02666"/>
    <s v=""/>
    <n v="0"/>
    <n v="100036.4696"/>
    <x v="3"/>
  </r>
  <r>
    <x v="6"/>
    <s v="TJ"/>
    <x v="7"/>
    <x v="4"/>
    <s v="IF0001"/>
    <s v="Flour Import Elngm 25Kg"/>
    <x v="5"/>
    <x v="1"/>
    <d v="2025-03-04T00:00:00"/>
    <s v="ADJ"/>
    <s v="EXCESS - 11829 ANJAL"/>
    <x v="108"/>
    <s v="Gain"/>
    <x v="1"/>
    <x v="5"/>
    <x v="0"/>
    <s v="a.bakri"/>
    <n v="1"/>
    <n v="2.5000000000000001E-2"/>
    <n v="31777.27522"/>
    <s v="TJ0001"/>
    <s v="000000"/>
    <s v="A00786"/>
    <s v="C02667"/>
    <s v=""/>
    <n v="0"/>
    <n v="31777.27522"/>
    <x v="2"/>
  </r>
  <r>
    <x v="6"/>
    <s v="TJ"/>
    <x v="7"/>
    <x v="4"/>
    <s v="IF0001"/>
    <s v="Flour Import Elngm 25Kg"/>
    <x v="5"/>
    <x v="1"/>
    <d v="2025-03-04T00:00:00"/>
    <s v="ADJ"/>
    <s v="EXCESS - 11828 ANJAL"/>
    <x v="108"/>
    <s v="Gain"/>
    <x v="1"/>
    <x v="5"/>
    <x v="0"/>
    <s v="a.bakri"/>
    <n v="4"/>
    <n v="0.1"/>
    <n v="31777.27522"/>
    <s v="TJ0001"/>
    <s v="000001"/>
    <s v="A00787"/>
    <s v="C02668"/>
    <s v=""/>
    <n v="0"/>
    <n v="127109.10088"/>
    <x v="2"/>
  </r>
  <r>
    <x v="6"/>
    <s v="TJ"/>
    <x v="7"/>
    <x v="4"/>
    <s v="IF0001"/>
    <s v="Flour Import Elngm 25Kg"/>
    <x v="5"/>
    <x v="1"/>
    <d v="2025-03-04T00:00:00"/>
    <s v="ADJ"/>
    <s v="EXCESS - 11826 ANJAL"/>
    <x v="108"/>
    <s v="Gain"/>
    <x v="1"/>
    <x v="5"/>
    <x v="0"/>
    <s v="a.bakri"/>
    <n v="1"/>
    <n v="2.5000000000000001E-2"/>
    <n v="31777.27522"/>
    <s v="TJ0001"/>
    <s v="000002"/>
    <s v="A00788"/>
    <s v="C02669"/>
    <s v=""/>
    <n v="0"/>
    <n v="31777.27522"/>
    <x v="2"/>
  </r>
  <r>
    <x v="6"/>
    <s v="TJ"/>
    <x v="7"/>
    <x v="4"/>
    <s v="IF0001"/>
    <s v="Flour Import Elngm 25Kg"/>
    <x v="5"/>
    <x v="1"/>
    <d v="2025-03-04T00:00:00"/>
    <s v="ADJ"/>
    <s v="EXCESS - 11816 RIBA"/>
    <x v="108"/>
    <s v="Gain"/>
    <x v="1"/>
    <x v="5"/>
    <x v="0"/>
    <s v="a.bakri"/>
    <n v="1"/>
    <n v="2.5000000000000001E-2"/>
    <n v="31777.27522"/>
    <s v="TJ0001"/>
    <s v="000003"/>
    <s v="A00789"/>
    <s v="C02670"/>
    <s v=""/>
    <n v="0"/>
    <n v="31777.27522"/>
    <x v="2"/>
  </r>
  <r>
    <x v="8"/>
    <s v="TW"/>
    <x v="7"/>
    <x v="3"/>
    <s v="RC0006"/>
    <s v="Rice Short Grain Elngm 25Kg"/>
    <x v="3"/>
    <x v="1"/>
    <d v="2025-04-16T00:00:00"/>
    <s v="ADJ"/>
    <s v="EXCESS - 13066 KARKAR"/>
    <x v="108"/>
    <s v="Gain"/>
    <x v="1"/>
    <x v="5"/>
    <x v="0"/>
    <s v="a.bakri"/>
    <n v="1"/>
    <n v="2.5000000000000001E-2"/>
    <n v="49550.962500000001"/>
    <s v="TW0001"/>
    <s v="000000"/>
    <s v="A00792"/>
    <s v="C02693"/>
    <s v=""/>
    <n v="0"/>
    <n v="49550.962500000001"/>
    <x v="2"/>
  </r>
  <r>
    <x v="5"/>
    <s v="IS"/>
    <x v="7"/>
    <x v="2"/>
    <s v="WS0001"/>
    <s v="White Sugar"/>
    <x v="4"/>
    <x v="1"/>
    <d v="2025-05-11T00:00:00"/>
    <s v="ADJ"/>
    <s v="EXCESS - 16684 ALHAMADA"/>
    <x v="108"/>
    <s v="Gain"/>
    <x v="1"/>
    <x v="5"/>
    <x v="0"/>
    <s v="a.bakri"/>
    <n v="2"/>
    <n v="0.1"/>
    <n v="96566.186310000005"/>
    <s v="IS0001"/>
    <s v="000000"/>
    <s v="A00799"/>
    <s v="C02739"/>
    <s v=""/>
    <n v="0"/>
    <n v="193132.37262000001"/>
    <x v="1"/>
  </r>
  <r>
    <x v="5"/>
    <s v="IS"/>
    <x v="7"/>
    <x v="2"/>
    <s v="WS0001"/>
    <s v="White Sugar"/>
    <x v="4"/>
    <x v="1"/>
    <d v="2025-05-11T00:00:00"/>
    <s v="ADJ"/>
    <s v="EXCESS - 17028 BASHIR KARABAH"/>
    <x v="108"/>
    <s v="Gain"/>
    <x v="1"/>
    <x v="5"/>
    <x v="0"/>
    <s v="a.bakri"/>
    <n v="1"/>
    <n v="0.05"/>
    <n v="96566.186310000005"/>
    <s v="IS0001"/>
    <s v="000001"/>
    <s v="A00800"/>
    <s v="C02740"/>
    <s v=""/>
    <n v="0"/>
    <n v="96566.186310000005"/>
    <x v="1"/>
  </r>
  <r>
    <x v="5"/>
    <s v="IS"/>
    <x v="7"/>
    <x v="4"/>
    <s v="IF0001"/>
    <s v="Flour Import Elngm 25Kg"/>
    <x v="5"/>
    <x v="1"/>
    <d v="2025-05-13T00:00:00"/>
    <s v="ADJ"/>
    <s v="EXCESS - 12416 ANJAL"/>
    <x v="108"/>
    <s v="Gain"/>
    <x v="1"/>
    <x v="5"/>
    <x v="0"/>
    <s v="a.bakri"/>
    <n v="6"/>
    <n v="0.15"/>
    <n v="31301.811430000002"/>
    <s v="IS0001"/>
    <s v="000000"/>
    <s v="A00801"/>
    <s v="C02741"/>
    <s v=""/>
    <n v="0"/>
    <n v="187810.86858000001"/>
    <x v="2"/>
  </r>
  <r>
    <x v="5"/>
    <s v="IS"/>
    <x v="7"/>
    <x v="4"/>
    <s v="IF0001"/>
    <s v="Flour Import Elngm 25Kg"/>
    <x v="5"/>
    <x v="1"/>
    <d v="2025-05-13T00:00:00"/>
    <s v="ADJ"/>
    <s v="EXCESS - 14206 Privet co"/>
    <x v="108"/>
    <s v="Gain"/>
    <x v="1"/>
    <x v="5"/>
    <x v="0"/>
    <s v="a.bakri"/>
    <n v="6"/>
    <n v="0.15"/>
    <n v="31301.811430000002"/>
    <s v="IS0001"/>
    <s v="000001"/>
    <s v="A00802"/>
    <s v="C02742"/>
    <s v=""/>
    <n v="0"/>
    <n v="187810.86858000001"/>
    <x v="2"/>
  </r>
  <r>
    <x v="5"/>
    <s v="IS"/>
    <x v="7"/>
    <x v="4"/>
    <s v="IF0001"/>
    <s v="Flour Import Elngm 25Kg"/>
    <x v="5"/>
    <x v="1"/>
    <d v="2025-05-13T00:00:00"/>
    <s v="ADJ"/>
    <s v="EXCESS - 14207 Privet co."/>
    <x v="108"/>
    <s v="Gain"/>
    <x v="1"/>
    <x v="5"/>
    <x v="0"/>
    <s v="a.bakri"/>
    <n v="31"/>
    <n v="0.77500000000000002"/>
    <n v="31301.811430000002"/>
    <s v="IS0001"/>
    <s v="000002"/>
    <s v="A00803"/>
    <s v="C02743"/>
    <s v=""/>
    <n v="0"/>
    <n v="970356.15433000005"/>
    <x v="2"/>
  </r>
  <r>
    <x v="5"/>
    <s v="IS"/>
    <x v="7"/>
    <x v="4"/>
    <s v="IF0001"/>
    <s v="Flour Import Elngm 25Kg"/>
    <x v="5"/>
    <x v="1"/>
    <d v="2025-05-13T00:00:00"/>
    <s v="ADJ"/>
    <s v="EXCESS - 14220 Privet co."/>
    <x v="108"/>
    <s v="Gain"/>
    <x v="1"/>
    <x v="5"/>
    <x v="0"/>
    <s v="a.bakri"/>
    <n v="1"/>
    <n v="2.5000000000000001E-2"/>
    <n v="31301.811430000002"/>
    <s v="IS0001"/>
    <s v="000003"/>
    <s v="A00804"/>
    <s v="C02744"/>
    <s v=""/>
    <n v="0"/>
    <n v="31301.811430000002"/>
    <x v="2"/>
  </r>
  <r>
    <x v="5"/>
    <s v="IS"/>
    <x v="7"/>
    <x v="4"/>
    <s v="IF0001"/>
    <s v="Flour Import Elngm 25Kg"/>
    <x v="5"/>
    <x v="1"/>
    <d v="2025-05-13T00:00:00"/>
    <s v="ADJ"/>
    <s v="EXCESS - 14227 ALOMDA"/>
    <x v="108"/>
    <s v="Gain"/>
    <x v="1"/>
    <x v="5"/>
    <x v="0"/>
    <s v="a.bakri"/>
    <n v="1"/>
    <n v="2.5000000000000001E-2"/>
    <n v="31301.811430000002"/>
    <s v="IS0001"/>
    <s v="000004"/>
    <s v="A00805"/>
    <s v="C02745"/>
    <s v=""/>
    <n v="0"/>
    <n v="31301.811430000002"/>
    <x v="2"/>
  </r>
  <r>
    <x v="5"/>
    <s v="IS"/>
    <x v="7"/>
    <x v="4"/>
    <s v="IF0001"/>
    <s v="Flour Import Elngm 25Kg"/>
    <x v="5"/>
    <x v="1"/>
    <d v="2025-05-13T00:00:00"/>
    <s v="ADJ"/>
    <s v="EXCESS - 14229 ALOMDA"/>
    <x v="108"/>
    <s v="Gain"/>
    <x v="1"/>
    <x v="5"/>
    <x v="0"/>
    <s v="a.bakri"/>
    <n v="1"/>
    <n v="2.5000000000000001E-2"/>
    <n v="31301.811430000002"/>
    <s v="IS0001"/>
    <s v="000005"/>
    <s v="A00806"/>
    <s v="C02746"/>
    <s v=""/>
    <n v="0"/>
    <n v="31301.811430000002"/>
    <x v="2"/>
  </r>
  <r>
    <x v="5"/>
    <s v="IS"/>
    <x v="7"/>
    <x v="4"/>
    <s v="IF0001"/>
    <s v="Flour Import Elngm 25Kg"/>
    <x v="5"/>
    <x v="1"/>
    <d v="2025-05-13T00:00:00"/>
    <s v="ADJ"/>
    <s v="EXCESS - 16984 ALTAF"/>
    <x v="108"/>
    <s v="Gain"/>
    <x v="1"/>
    <x v="5"/>
    <x v="0"/>
    <s v="a.bakri"/>
    <n v="3"/>
    <n v="7.4999999999999997E-2"/>
    <n v="31301.811430000002"/>
    <s v="IS0001"/>
    <s v="000006"/>
    <s v="A00807"/>
    <s v="C02747"/>
    <s v=""/>
    <n v="0"/>
    <n v="93905.434290000005"/>
    <x v="2"/>
  </r>
  <r>
    <x v="5"/>
    <s v="IS"/>
    <x v="7"/>
    <x v="4"/>
    <s v="IF0001"/>
    <s v="Flour Import Elngm 25Kg"/>
    <x v="5"/>
    <x v="1"/>
    <d v="2025-05-13T00:00:00"/>
    <s v="ADJ"/>
    <s v="EXCESS - 16993 ALTAF"/>
    <x v="108"/>
    <s v="Gain"/>
    <x v="1"/>
    <x v="5"/>
    <x v="0"/>
    <s v="a.bakri"/>
    <n v="1"/>
    <n v="2.5000000000000001E-2"/>
    <n v="31301.811430000002"/>
    <s v="IS0001"/>
    <s v="000007"/>
    <s v="A00808"/>
    <s v="C02748"/>
    <s v=""/>
    <n v="0"/>
    <n v="31301.811430000002"/>
    <x v="2"/>
  </r>
  <r>
    <x v="5"/>
    <s v="IS"/>
    <x v="7"/>
    <x v="4"/>
    <s v="IF0001"/>
    <s v="Flour Import Elngm 25Kg"/>
    <x v="5"/>
    <x v="1"/>
    <d v="2025-05-13T00:00:00"/>
    <s v="ADJ"/>
    <s v="EXCESS - 16995 ALTAF"/>
    <x v="108"/>
    <s v="Gain"/>
    <x v="1"/>
    <x v="5"/>
    <x v="0"/>
    <s v="a.bakri"/>
    <n v="5"/>
    <n v="0.125"/>
    <n v="31301.811430000002"/>
    <s v="IS0001"/>
    <s v="000008"/>
    <s v="A00809"/>
    <s v="C02749"/>
    <s v=""/>
    <n v="0"/>
    <n v="156509.05715000001"/>
    <x v="2"/>
  </r>
  <r>
    <x v="5"/>
    <s v="IS"/>
    <x v="7"/>
    <x v="4"/>
    <s v="IF0001"/>
    <s v="Flour Import Elngm 25Kg"/>
    <x v="5"/>
    <x v="1"/>
    <d v="2025-05-13T00:00:00"/>
    <s v="ADJ"/>
    <s v="EXCESS - 17025 RIBA"/>
    <x v="108"/>
    <s v="Gain"/>
    <x v="1"/>
    <x v="5"/>
    <x v="0"/>
    <s v="a.bakri"/>
    <n v="2"/>
    <n v="0.05"/>
    <n v="31301.811430000002"/>
    <s v="IS0001"/>
    <s v="000009"/>
    <s v="A00810"/>
    <s v="C02750"/>
    <s v=""/>
    <n v="0"/>
    <n v="62603.622860000003"/>
    <x v="2"/>
  </r>
  <r>
    <x v="5"/>
    <s v="IS"/>
    <x v="7"/>
    <x v="4"/>
    <s v="IF0001"/>
    <s v="Flour Import Elngm 25Kg"/>
    <x v="5"/>
    <x v="1"/>
    <d v="2025-05-13T00:00:00"/>
    <s v="ADJ"/>
    <s v="EXCESS - 17115 ABURNAT"/>
    <x v="108"/>
    <s v="Gain"/>
    <x v="1"/>
    <x v="5"/>
    <x v="0"/>
    <s v="a.bakri"/>
    <n v="1"/>
    <n v="2.5000000000000001E-2"/>
    <n v="31301.811430000002"/>
    <s v="IS0001"/>
    <s v="000010"/>
    <s v="A00811"/>
    <s v="C02751"/>
    <s v=""/>
    <n v="0"/>
    <n v="31301.811430000002"/>
    <x v="2"/>
  </r>
  <r>
    <x v="5"/>
    <s v="IS"/>
    <x v="7"/>
    <x v="4"/>
    <s v="IF0001"/>
    <s v="Flour Import Elngm 25Kg"/>
    <x v="5"/>
    <x v="1"/>
    <d v="2025-05-13T00:00:00"/>
    <s v="ADJ"/>
    <s v="EXCESS - 18496 RIBA"/>
    <x v="108"/>
    <s v="Gain"/>
    <x v="1"/>
    <x v="5"/>
    <x v="0"/>
    <s v="a.bakri"/>
    <n v="5"/>
    <n v="0.125"/>
    <n v="31301.811430000002"/>
    <s v="IS0001"/>
    <s v="000011"/>
    <s v="A00812"/>
    <s v="C02752"/>
    <s v=""/>
    <n v="0"/>
    <n v="156509.05715000001"/>
    <x v="2"/>
  </r>
  <r>
    <x v="5"/>
    <s v="IS"/>
    <x v="7"/>
    <x v="4"/>
    <s v="IF0001"/>
    <s v="Flour Import Elngm 25Kg"/>
    <x v="5"/>
    <x v="1"/>
    <d v="2025-05-13T00:00:00"/>
    <s v="ADJ"/>
    <s v="EXCESS - 18635 ANJAL"/>
    <x v="108"/>
    <s v="Gain"/>
    <x v="1"/>
    <x v="5"/>
    <x v="0"/>
    <s v="a.bakri"/>
    <n v="1"/>
    <n v="2.5000000000000001E-2"/>
    <n v="31301.811430000002"/>
    <s v="IS0001"/>
    <s v="000012"/>
    <s v="A00813"/>
    <s v="C02753"/>
    <s v=""/>
    <n v="0"/>
    <n v="31301.811430000002"/>
    <x v="2"/>
  </r>
  <r>
    <x v="5"/>
    <s v="IS"/>
    <x v="7"/>
    <x v="4"/>
    <s v="IF0001"/>
    <s v="Flour Import Elngm 25Kg"/>
    <x v="5"/>
    <x v="1"/>
    <d v="2025-05-13T00:00:00"/>
    <s v="ADJ"/>
    <s v="EXCESS - 19151 ALOMDA"/>
    <x v="108"/>
    <s v="Gain"/>
    <x v="1"/>
    <x v="5"/>
    <x v="0"/>
    <s v="a.bakri"/>
    <n v="1"/>
    <n v="2.5000000000000001E-2"/>
    <n v="31301.811430000002"/>
    <s v="IS0001"/>
    <s v="000013"/>
    <s v="A00814"/>
    <s v="C02754"/>
    <s v=""/>
    <n v="0"/>
    <n v="31301.811430000002"/>
    <x v="2"/>
  </r>
  <r>
    <x v="5"/>
    <s v="IS"/>
    <x v="7"/>
    <x v="5"/>
    <s v="LE0001"/>
    <s v="Lentil TAT 20KG"/>
    <x v="7"/>
    <x v="1"/>
    <d v="2025-05-13T00:00:00"/>
    <s v="ADJ"/>
    <s v="EXCESS - 11895 ARIF &amp; MUBARK"/>
    <x v="108"/>
    <s v="Gain"/>
    <x v="1"/>
    <x v="5"/>
    <x v="0"/>
    <s v="a.bakri"/>
    <n v="1"/>
    <n v="0.02"/>
    <n v="49211.972889999997"/>
    <s v="IS0001"/>
    <s v="000000"/>
    <s v="A00815"/>
    <s v="C02755"/>
    <s v=""/>
    <n v="0"/>
    <n v="49211.972889999997"/>
    <x v="3"/>
  </r>
  <r>
    <x v="5"/>
    <s v="IS"/>
    <x v="7"/>
    <x v="5"/>
    <s v="LE0001"/>
    <s v="Lentil TAT 20KG"/>
    <x v="7"/>
    <x v="1"/>
    <d v="2025-05-13T00:00:00"/>
    <s v="ADJ"/>
    <s v="EXCESS - 13182 ABURNAT"/>
    <x v="108"/>
    <s v="Gain"/>
    <x v="1"/>
    <x v="5"/>
    <x v="0"/>
    <s v="a.bakri"/>
    <n v="1"/>
    <n v="0.02"/>
    <n v="49211.972889999997"/>
    <s v="IS0001"/>
    <s v="000001"/>
    <s v="A00816"/>
    <s v="C02756"/>
    <s v=""/>
    <n v="0"/>
    <n v="49211.972889999997"/>
    <x v="3"/>
  </r>
  <r>
    <x v="5"/>
    <s v="IS"/>
    <x v="7"/>
    <x v="5"/>
    <s v="LE0001"/>
    <s v="Lentil TAT 20KG"/>
    <x v="7"/>
    <x v="1"/>
    <d v="2025-05-13T00:00:00"/>
    <s v="ADJ"/>
    <s v="EXCESS - 13330 ABURNAT"/>
    <x v="108"/>
    <s v="Gain"/>
    <x v="1"/>
    <x v="5"/>
    <x v="0"/>
    <s v="a.bakri"/>
    <n v="2"/>
    <n v="0.04"/>
    <n v="49211.972889999997"/>
    <s v="IS0001"/>
    <s v="000002"/>
    <s v="A00817"/>
    <s v="C02757"/>
    <s v=""/>
    <n v="0"/>
    <n v="98423.945779999995"/>
    <x v="3"/>
  </r>
  <r>
    <x v="5"/>
    <s v="IS"/>
    <x v="7"/>
    <x v="5"/>
    <s v="LE0001"/>
    <s v="Lentil TAT 20KG"/>
    <x v="7"/>
    <x v="1"/>
    <d v="2025-05-13T00:00:00"/>
    <s v="ADJ"/>
    <s v="EXCESS - 16658 ABURNAT"/>
    <x v="108"/>
    <s v="Gain"/>
    <x v="1"/>
    <x v="5"/>
    <x v="0"/>
    <s v="a.bakri"/>
    <n v="4"/>
    <n v="0.08"/>
    <n v="49211.972889999997"/>
    <s v="IS0001"/>
    <s v="000003"/>
    <s v="A00818"/>
    <s v="C02758"/>
    <s v=""/>
    <n v="0"/>
    <n v="196847.89155999999"/>
    <x v="3"/>
  </r>
  <r>
    <x v="5"/>
    <s v="IS"/>
    <x v="7"/>
    <x v="5"/>
    <s v="LE0001"/>
    <s v="Lentil TAT 20KG"/>
    <x v="7"/>
    <x v="1"/>
    <d v="2025-05-13T00:00:00"/>
    <s v="ADJ"/>
    <s v="EXCESS - 17892 ALKASIR"/>
    <x v="108"/>
    <s v="Gain"/>
    <x v="1"/>
    <x v="5"/>
    <x v="0"/>
    <s v="a.bakri"/>
    <n v="2"/>
    <n v="0.04"/>
    <n v="49211.972889999997"/>
    <s v="IS0001"/>
    <s v="000004"/>
    <s v="A00819"/>
    <s v="C02759"/>
    <s v=""/>
    <n v="0"/>
    <n v="98423.945779999995"/>
    <x v="3"/>
  </r>
  <r>
    <x v="5"/>
    <s v="IS"/>
    <x v="7"/>
    <x v="2"/>
    <s v="WS0005"/>
    <s v="White Sugar"/>
    <x v="4"/>
    <x v="1"/>
    <d v="2025-05-13T00:00:00"/>
    <s v="ADJ"/>
    <s v="EXCESS - 12129 KHALID AWAD"/>
    <x v="108"/>
    <s v="Gain"/>
    <x v="1"/>
    <x v="5"/>
    <x v="0"/>
    <s v="a.bakri"/>
    <n v="3"/>
    <n v="0.15"/>
    <n v="96566.186310000005"/>
    <s v="IS0001"/>
    <s v="000000"/>
    <s v="A00820"/>
    <s v="C02760"/>
    <s v=""/>
    <n v="0"/>
    <n v="289698.55893"/>
    <x v="1"/>
  </r>
  <r>
    <x v="5"/>
    <s v="TK"/>
    <x v="7"/>
    <x v="5"/>
    <s v="LE0001"/>
    <s v="Lentil TAT 20KG"/>
    <x v="7"/>
    <x v="1"/>
    <d v="2025-05-13T00:00:00"/>
    <s v="ADJ"/>
    <s v="EXCESS - 18567 ARIF &amp; MUBARK"/>
    <x v="108"/>
    <s v="Gain"/>
    <x v="1"/>
    <x v="5"/>
    <x v="0"/>
    <s v="a.bakri"/>
    <n v="3"/>
    <n v="0.06"/>
    <n v="49211.972889999997"/>
    <s v="TK0001"/>
    <s v="000000"/>
    <s v="A00821"/>
    <s v="C02761"/>
    <s v=""/>
    <n v="0"/>
    <n v="147635.91866999998"/>
    <x v="3"/>
  </r>
  <r>
    <x v="5"/>
    <s v="TK"/>
    <x v="7"/>
    <x v="2"/>
    <s v="WS0005"/>
    <s v="White Sugar"/>
    <x v="4"/>
    <x v="1"/>
    <d v="2025-05-13T00:00:00"/>
    <s v="ADJ"/>
    <s v="EXCESS - 12256 ALASGALANI"/>
    <x v="108"/>
    <s v="Gain"/>
    <x v="1"/>
    <x v="5"/>
    <x v="0"/>
    <s v="a.bakri"/>
    <n v="1"/>
    <n v="0.05"/>
    <n v="96566.186310000005"/>
    <s v="TK0001"/>
    <s v="000000"/>
    <s v="A00822"/>
    <s v="C02762"/>
    <s v=""/>
    <n v="0"/>
    <n v="96566.186310000005"/>
    <x v="1"/>
  </r>
  <r>
    <x v="5"/>
    <s v="TW"/>
    <x v="7"/>
    <x v="4"/>
    <s v="NF0001"/>
    <s v="Alnajm Flour from Mill 25KG"/>
    <x v="15"/>
    <x v="1"/>
    <d v="2025-05-13T00:00:00"/>
    <s v="ADJ"/>
    <s v="EXCESS - 19494 ANJAL"/>
    <x v="108"/>
    <s v="Gain"/>
    <x v="1"/>
    <x v="5"/>
    <x v="0"/>
    <s v="a.bakri"/>
    <n v="1"/>
    <n v="2.5000000000000001E-2"/>
    <n v="31301.811430000002"/>
    <s v="TW0001"/>
    <s v="000000"/>
    <s v="A00823"/>
    <s v="C02763"/>
    <s v=""/>
    <n v="0"/>
    <n v="31301.811430000002"/>
    <x v="2"/>
  </r>
  <r>
    <x v="5"/>
    <s v="TW"/>
    <x v="7"/>
    <x v="4"/>
    <s v="IF0001"/>
    <s v="Flour Import Elngm 25Kg"/>
    <x v="5"/>
    <x v="1"/>
    <d v="2025-05-13T00:00:00"/>
    <s v="ADJ"/>
    <s v="EXCESS - 16009 ALASGALANI"/>
    <x v="108"/>
    <s v="Gain"/>
    <x v="1"/>
    <x v="5"/>
    <x v="0"/>
    <s v="a.bakri"/>
    <n v="2"/>
    <n v="0.05"/>
    <n v="31301.811430000002"/>
    <s v="TW0001"/>
    <s v="000000"/>
    <s v="A00824"/>
    <s v="C02764"/>
    <s v=""/>
    <n v="0"/>
    <n v="62603.622860000003"/>
    <x v="2"/>
  </r>
  <r>
    <x v="5"/>
    <s v="IS"/>
    <x v="7"/>
    <x v="4"/>
    <s v="IF0001"/>
    <s v="Flour Import Elngm 25Kg"/>
    <x v="5"/>
    <x v="1"/>
    <d v="2025-05-19T00:00:00"/>
    <s v="ADJ"/>
    <s v="EXCESS - 17004"/>
    <x v="108"/>
    <s v="Gain"/>
    <x v="1"/>
    <x v="5"/>
    <x v="0"/>
    <s v="a.bakri"/>
    <n v="1"/>
    <n v="2.5000000000000001E-2"/>
    <n v="31301.811430000002"/>
    <s v="IS0001"/>
    <s v="000000"/>
    <s v="A00829"/>
    <s v="C02772"/>
    <s v=""/>
    <n v="0"/>
    <n v="31301.811430000002"/>
    <x v="2"/>
  </r>
  <r>
    <x v="5"/>
    <s v="IS"/>
    <x v="7"/>
    <x v="2"/>
    <s v="WS0001"/>
    <s v="White Sugar"/>
    <x v="4"/>
    <x v="1"/>
    <d v="2025-05-27T00:00:00"/>
    <s v="ADJ"/>
    <s v="EXCESS - 16682 ALHAMADA"/>
    <x v="108"/>
    <s v="Gain"/>
    <x v="1"/>
    <x v="5"/>
    <x v="0"/>
    <s v="a.bakri"/>
    <n v="2"/>
    <n v="0.1"/>
    <n v="96566.186310000005"/>
    <s v="IS0001"/>
    <s v="000000"/>
    <s v="A00833"/>
    <s v="C02776"/>
    <s v=""/>
    <n v="0"/>
    <n v="193132.37262000001"/>
    <x v="1"/>
  </r>
  <r>
    <x v="4"/>
    <s v="TJ"/>
    <x v="7"/>
    <x v="4"/>
    <s v="IF0001"/>
    <s v="Flour Import Elngm 25Kg"/>
    <x v="5"/>
    <x v="1"/>
    <d v="2025-06-15T00:00:00"/>
    <s v="ADJ"/>
    <s v="EXCESS - 17144"/>
    <x v="108"/>
    <s v="Gain"/>
    <x v="1"/>
    <x v="5"/>
    <x v="0"/>
    <s v="a.bakri"/>
    <n v="1"/>
    <n v="2.5000000000000001E-2"/>
    <n v="24758.555840000001"/>
    <s v="TJ0001"/>
    <s v="000002"/>
    <s v="A00839"/>
    <s v="C02784"/>
    <s v=""/>
    <n v="0"/>
    <n v="24758.555840000001"/>
    <x v="2"/>
  </r>
  <r>
    <x v="4"/>
    <s v="TJ"/>
    <x v="7"/>
    <x v="4"/>
    <s v="IF0001"/>
    <s v="Flour Import Elngm 25Kg"/>
    <x v="5"/>
    <x v="1"/>
    <d v="2025-06-15T00:00:00"/>
    <s v="ADJ"/>
    <s v="EXCESS - 17114"/>
    <x v="108"/>
    <s v="Gain"/>
    <x v="1"/>
    <x v="5"/>
    <x v="0"/>
    <s v="a.bakri"/>
    <n v="2"/>
    <n v="0.05"/>
    <n v="24758.555840000001"/>
    <s v="TJ0001"/>
    <s v="000003"/>
    <s v="A00840"/>
    <s v="C02785"/>
    <s v=""/>
    <n v="0"/>
    <n v="49517.111680000002"/>
    <x v="2"/>
  </r>
  <r>
    <x v="5"/>
    <s v="TK"/>
    <x v="7"/>
    <x v="2"/>
    <s v="WS0001"/>
    <s v="White Sugar"/>
    <x v="4"/>
    <x v="1"/>
    <d v="2025-05-19T00:00:00"/>
    <s v="ADJ"/>
    <s v="EXCESS-  17166 Quick"/>
    <x v="108"/>
    <s v="Gain"/>
    <x v="1"/>
    <x v="5"/>
    <x v="0"/>
    <s v="a.bakri"/>
    <n v="2"/>
    <n v="0.1"/>
    <n v="96566.186310000005"/>
    <s v="TK0001"/>
    <s v="000003"/>
    <s v="A00827"/>
    <s v="C02770"/>
    <s v=""/>
    <n v="0"/>
    <n v="193132.37262000001"/>
    <x v="1"/>
  </r>
  <r>
    <x v="5"/>
    <s v="TK"/>
    <x v="7"/>
    <x v="2"/>
    <s v="WS0001"/>
    <s v="White Sugar"/>
    <x v="4"/>
    <x v="1"/>
    <d v="2025-05-19T00:00:00"/>
    <s v="ADJ"/>
    <s v="EXCESS - 17244 Riaba"/>
    <x v="108"/>
    <s v="Gain"/>
    <x v="1"/>
    <x v="5"/>
    <x v="0"/>
    <s v="a.bakri"/>
    <n v="2"/>
    <n v="0.1"/>
    <n v="96566.186310000005"/>
    <s v="TK0001"/>
    <s v="000004"/>
    <s v="A00828"/>
    <s v="C02771"/>
    <s v=""/>
    <n v="0"/>
    <n v="193132.37262000001"/>
    <x v="1"/>
  </r>
  <r>
    <x v="5"/>
    <s v="TK"/>
    <x v="7"/>
    <x v="2"/>
    <s v="WS0005"/>
    <s v="White Sugar"/>
    <x v="4"/>
    <x v="1"/>
    <d v="2025-05-19T00:00:00"/>
    <s v="ADJ"/>
    <s v="EXCESS - 12175 ALSANOSI"/>
    <x v="108"/>
    <s v="Gain"/>
    <x v="1"/>
    <x v="5"/>
    <x v="0"/>
    <s v="a.bakri"/>
    <n v="1"/>
    <n v="0.05"/>
    <n v="96566.186310000005"/>
    <s v="TK0001"/>
    <s v="000000"/>
    <s v="A00825"/>
    <s v="C02767"/>
    <s v=""/>
    <n v="0"/>
    <n v="96566.186310000005"/>
    <x v="1"/>
  </r>
  <r>
    <x v="5"/>
    <s v="TM"/>
    <x v="7"/>
    <x v="4"/>
    <s v="IF0001"/>
    <s v="Flour Import Elngm 25Kg"/>
    <x v="5"/>
    <x v="1"/>
    <d v="2025-05-19T00:00:00"/>
    <s v="ADJ"/>
    <s v="EXCESS - 17878 ALFADNI"/>
    <x v="108"/>
    <s v="Gain"/>
    <x v="1"/>
    <x v="5"/>
    <x v="0"/>
    <s v="a.bakri"/>
    <n v="11"/>
    <n v="0.27500000000000002"/>
    <n v="31301.811430000002"/>
    <s v="TM0001"/>
    <s v="000005"/>
    <s v="A00826"/>
    <s v="C02768"/>
    <s v=""/>
    <n v="0"/>
    <n v="344319.92573000002"/>
    <x v="2"/>
  </r>
  <r>
    <x v="4"/>
    <s v="IS"/>
    <x v="7"/>
    <x v="4"/>
    <s v="IF0001"/>
    <s v="Flour Import Elngm 25Kg"/>
    <x v="5"/>
    <x v="1"/>
    <d v="2025-06-25T00:00:00"/>
    <s v="ADJ"/>
    <s v="EXCESS -21473 RIBA"/>
    <x v="108"/>
    <s v="Gain"/>
    <x v="1"/>
    <x v="5"/>
    <x v="0"/>
    <s v="a.bakri"/>
    <n v="6"/>
    <n v="0.15"/>
    <n v="24758.555840000001"/>
    <s v="IS0001"/>
    <s v="000002"/>
    <s v="A00847"/>
    <s v="C02802"/>
    <s v=""/>
    <n v="0"/>
    <n v="148551.33504000001"/>
    <x v="2"/>
  </r>
  <r>
    <x v="4"/>
    <s v="TW"/>
    <x v="7"/>
    <x v="4"/>
    <s v="IF0001"/>
    <s v="Flour Import Elngm 25Kg"/>
    <x v="5"/>
    <x v="1"/>
    <d v="2025-06-25T00:00:00"/>
    <s v="ADJ"/>
    <s v="EXCESS -21462 QICK"/>
    <x v="108"/>
    <s v="Gain"/>
    <x v="1"/>
    <x v="5"/>
    <x v="0"/>
    <s v="a.bakri"/>
    <n v="1"/>
    <n v="2.5000000000000001E-2"/>
    <n v="24758.555840000001"/>
    <s v="TW0001"/>
    <s v="000017"/>
    <s v="A00846"/>
    <s v="C02801"/>
    <s v=""/>
    <n v="0"/>
    <n v="24758.555840000001"/>
    <x v="2"/>
  </r>
  <r>
    <x v="4"/>
    <s v="TW"/>
    <x v="7"/>
    <x v="2"/>
    <s v="WS0001"/>
    <s v="White Sugar"/>
    <x v="4"/>
    <x v="1"/>
    <d v="2025-06-25T00:00:00"/>
    <s v="ADJ"/>
    <s v="EXCESS - 17111 Y.HAMZA"/>
    <x v="108"/>
    <s v="Gain"/>
    <x v="1"/>
    <x v="5"/>
    <x v="0"/>
    <s v="a.bakri"/>
    <n v="2"/>
    <n v="0.1"/>
    <n v="83521.151800000007"/>
    <s v="TW0001"/>
    <s v="000002"/>
    <s v="A00845"/>
    <s v="C02800"/>
    <s v=""/>
    <n v="0"/>
    <n v="167042.30360000001"/>
    <x v="1"/>
  </r>
  <r>
    <x v="2"/>
    <s v="DK"/>
    <x v="7"/>
    <x v="3"/>
    <s v="RC9008"/>
    <s v="Rice Long Grade 1 Elngm 20Kg"/>
    <x v="9"/>
    <x v="1"/>
    <d v="2025-07-30T00:00:00"/>
    <s v="ADJ"/>
    <s v="EXCESS -  20680  - Arif Al Mub"/>
    <x v="108"/>
    <s v="Gain"/>
    <x v="1"/>
    <x v="5"/>
    <x v="0"/>
    <s v="702012"/>
    <n v="2"/>
    <n v="0.04"/>
    <n v="27661.955160000001"/>
    <s v="DK0001"/>
    <s v="000000"/>
    <s v="A00874"/>
    <s v="C02863"/>
    <s v=""/>
    <n v="0"/>
    <n v="55323.910320000003"/>
    <x v="3"/>
  </r>
  <r>
    <x v="2"/>
    <s v="TW"/>
    <x v="7"/>
    <x v="2"/>
    <s v="WS0001"/>
    <s v="White Sugar"/>
    <x v="4"/>
    <x v="1"/>
    <d v="2025-07-24T00:00:00"/>
    <s v="ADJ"/>
    <s v="EXCESS - 17122 WAHAG"/>
    <x v="108"/>
    <s v="Gain"/>
    <x v="1"/>
    <x v="5"/>
    <x v="0"/>
    <s v="a.bakri"/>
    <n v="2"/>
    <n v="0.1"/>
    <n v="78293.8171"/>
    <s v="TW0001"/>
    <s v="000001"/>
    <s v="A00872"/>
    <s v="C02859"/>
    <s v=""/>
    <n v="0"/>
    <n v="156587.6342"/>
    <x v="1"/>
  </r>
  <r>
    <x v="2"/>
    <s v="IS"/>
    <x v="7"/>
    <x v="3"/>
    <s v="RC9008"/>
    <s v="Rice Long Grade 1 Elngm 20Kg"/>
    <x v="9"/>
    <x v="1"/>
    <d v="2025-07-24T00:00:00"/>
    <s v="ADJ"/>
    <s v="OVER LOADED - 20678-9"/>
    <x v="108"/>
    <s v="Gain"/>
    <x v="1"/>
    <x v="5"/>
    <x v="0"/>
    <s v="a.bakri"/>
    <n v="6"/>
    <n v="0.12"/>
    <n v="27661.955160000001"/>
    <s v="IS0001"/>
    <s v="000000"/>
    <s v="A00869"/>
    <s v="C02856"/>
    <s v=""/>
    <n v="0"/>
    <n v="165971.73096000002"/>
    <x v="3"/>
  </r>
  <r>
    <x v="2"/>
    <s v="XA"/>
    <x v="7"/>
    <x v="3"/>
    <s v="RC9008"/>
    <s v="Rice Long Grade 1 Elngm 20Kg"/>
    <x v="9"/>
    <x v="1"/>
    <d v="2025-07-24T00:00:00"/>
    <s v="SCRP"/>
    <s v="OVER LOADED - 20678-9"/>
    <x v="108"/>
    <s v="Gain"/>
    <x v="1"/>
    <x v="5"/>
    <x v="0"/>
    <s v="a.bakri"/>
    <n v="-6"/>
    <n v="-0.12"/>
    <n v="27661.955160000001"/>
    <s v=""/>
    <s v="000000"/>
    <s v="X04437"/>
    <s v=""/>
    <s v="Q05972"/>
    <n v="0"/>
    <n v="-165971.73096000002"/>
    <x v="3"/>
  </r>
  <r>
    <x v="2"/>
    <s v="TW"/>
    <x v="7"/>
    <x v="2"/>
    <s v="WS0001"/>
    <s v="White Sugar"/>
    <x v="4"/>
    <x v="1"/>
    <d v="2025-07-24T00:00:00"/>
    <s v="ADJ"/>
    <s v="EXCESS - 17044 ALHAMDA"/>
    <x v="108"/>
    <s v="Gain"/>
    <x v="1"/>
    <x v="5"/>
    <x v="0"/>
    <s v="a.bakri"/>
    <n v="1"/>
    <n v="0.05"/>
    <n v="78293.8171"/>
    <s v="TW0001"/>
    <s v="000000"/>
    <s v="A00871"/>
    <s v="C02858"/>
    <s v=""/>
    <n v="0"/>
    <n v="78293.8171"/>
    <x v="1"/>
  </r>
  <r>
    <x v="2"/>
    <s v="IS"/>
    <x v="7"/>
    <x v="5"/>
    <s v="LE0001"/>
    <s v="Lentil TAT 20KG"/>
    <x v="7"/>
    <x v="1"/>
    <d v="2025-07-23T00:00:00"/>
    <s v="ADJ"/>
    <s v="EXCESS - 13701 ALWASEELA"/>
    <x v="108"/>
    <s v="Gain"/>
    <x v="1"/>
    <x v="5"/>
    <x v="0"/>
    <s v="a.bakri"/>
    <n v="1"/>
    <n v="0.02"/>
    <n v="41075.795080000004"/>
    <s v="IS0001"/>
    <s v="000017"/>
    <s v="A00863"/>
    <s v="C02839"/>
    <s v=""/>
    <n v="0"/>
    <n v="41075.795080000004"/>
    <x v="3"/>
  </r>
  <r>
    <x v="2"/>
    <s v="IS"/>
    <x v="7"/>
    <x v="5"/>
    <s v="LE0001"/>
    <s v="Lentil TAT 20KG"/>
    <x v="7"/>
    <x v="1"/>
    <d v="2025-07-23T00:00:00"/>
    <s v="ADJ"/>
    <s v="EXCESS - 20165 ALKASIR"/>
    <x v="108"/>
    <s v="Gain"/>
    <x v="1"/>
    <x v="5"/>
    <x v="0"/>
    <s v="a.bakri"/>
    <n v="1"/>
    <n v="0.02"/>
    <n v="41075.795080000004"/>
    <s v="IS0001"/>
    <s v="000018"/>
    <s v="A00864"/>
    <s v="C02840"/>
    <s v=""/>
    <n v="0"/>
    <n v="41075.795080000004"/>
    <x v="3"/>
  </r>
  <r>
    <x v="2"/>
    <s v="IS"/>
    <x v="7"/>
    <x v="5"/>
    <s v="LE0001"/>
    <s v="Lentil TAT 20KG"/>
    <x v="7"/>
    <x v="1"/>
    <d v="2025-07-23T00:00:00"/>
    <s v="ADJ"/>
    <s v="EXCESS - 20167 ALNWA"/>
    <x v="108"/>
    <s v="Gain"/>
    <x v="1"/>
    <x v="5"/>
    <x v="0"/>
    <s v="a.bakri"/>
    <n v="6"/>
    <n v="0.12"/>
    <n v="41075.795080000004"/>
    <s v="IS0001"/>
    <s v="000019"/>
    <s v="A00865"/>
    <s v="C02841"/>
    <s v=""/>
    <n v="0"/>
    <n v="246454.77048000001"/>
    <x v="3"/>
  </r>
  <r>
    <x v="2"/>
    <s v="IS"/>
    <x v="7"/>
    <x v="4"/>
    <s v="NF0001"/>
    <s v="Alnajm Flour from Mill 25KG"/>
    <x v="15"/>
    <x v="1"/>
    <d v="2025-07-23T00:00:00"/>
    <s v="ADJ"/>
    <s v="EXCESS - 21579 ANJAL"/>
    <x v="108"/>
    <s v="Gain"/>
    <x v="1"/>
    <x v="5"/>
    <x v="0"/>
    <s v="a.bakri"/>
    <n v="1"/>
    <n v="2.5000000000000001E-2"/>
    <n v="28919.106970000001"/>
    <s v="IS0001"/>
    <s v="000000"/>
    <s v="A00866"/>
    <s v="C02842"/>
    <s v=""/>
    <n v="0"/>
    <n v="28919.106970000001"/>
    <x v="2"/>
  </r>
  <r>
    <x v="2"/>
    <s v="XG"/>
    <x v="7"/>
    <x v="4"/>
    <s v="NF0001"/>
    <s v="Alnajm Flour from Mill 25KG"/>
    <x v="15"/>
    <x v="1"/>
    <d v="2025-07-23T00:00:00"/>
    <s v="ADJ"/>
    <s v="EXCESS - 21273 ALWAHSHAB"/>
    <x v="108"/>
    <s v="Gain"/>
    <x v="1"/>
    <x v="5"/>
    <x v="0"/>
    <s v="a.bakri"/>
    <n v="1"/>
    <n v="2.5000000000000001E-2"/>
    <n v="28919.106970000001"/>
    <s v="RC0000"/>
    <s v="000000"/>
    <s v="A00867"/>
    <s v="C02843"/>
    <s v=""/>
    <n v="0"/>
    <n v="28919.106970000001"/>
    <x v="2"/>
  </r>
  <r>
    <x v="2"/>
    <s v="XG"/>
    <x v="7"/>
    <x v="4"/>
    <s v="NF0001"/>
    <s v="Alnajm Flour from Mill 25KG"/>
    <x v="15"/>
    <x v="1"/>
    <d v="2025-07-23T00:00:00"/>
    <s v="ADJ"/>
    <s v="EXCESS - 21586 QUICK"/>
    <x v="108"/>
    <s v="Gain"/>
    <x v="1"/>
    <x v="5"/>
    <x v="0"/>
    <s v="a.bakri"/>
    <n v="1"/>
    <n v="2.5000000000000001E-2"/>
    <n v="28919.106970000001"/>
    <s v="RC0000"/>
    <s v="000001"/>
    <s v="A00868"/>
    <s v="C02844"/>
    <s v=""/>
    <n v="0"/>
    <n v="28919.106970000001"/>
    <x v="2"/>
  </r>
  <r>
    <x v="2"/>
    <s v="TW"/>
    <x v="7"/>
    <x v="2"/>
    <s v="WS0001"/>
    <s v="White Sugar"/>
    <x v="4"/>
    <x v="1"/>
    <d v="2025-07-20T00:00:00"/>
    <s v="ADJ"/>
    <s v="EXCESS - 17109 ALFADNI"/>
    <x v="108"/>
    <s v="Gain"/>
    <x v="1"/>
    <x v="5"/>
    <x v="0"/>
    <s v="a.bakri"/>
    <n v="1"/>
    <n v="0.05"/>
    <n v="78293.8171"/>
    <s v="TW0001"/>
    <s v="000000"/>
    <s v="A00858"/>
    <s v="C02833"/>
    <s v=""/>
    <n v="0"/>
    <n v="78293.8171"/>
    <x v="1"/>
  </r>
  <r>
    <x v="2"/>
    <s v="TW"/>
    <x v="7"/>
    <x v="4"/>
    <s v="IF0001"/>
    <s v="Flour Import Elngm 25Kg"/>
    <x v="5"/>
    <x v="1"/>
    <d v="2025-07-20T00:00:00"/>
    <s v="ADJ"/>
    <s v="EXCESS - 21462 QUICK"/>
    <x v="108"/>
    <s v="Gain"/>
    <x v="1"/>
    <x v="5"/>
    <x v="0"/>
    <s v="a.bakri"/>
    <n v="1"/>
    <n v="2.5000000000000001E-2"/>
    <n v="28919.106970000001"/>
    <s v="TW0001"/>
    <s v="000000"/>
    <s v="A00861"/>
    <s v="C02836"/>
    <s v=""/>
    <n v="0"/>
    <n v="28919.106970000001"/>
    <x v="2"/>
  </r>
  <r>
    <x v="2"/>
    <s v="TW"/>
    <x v="7"/>
    <x v="2"/>
    <s v="WS0001"/>
    <s v="White Sugar"/>
    <x v="4"/>
    <x v="1"/>
    <d v="2025-07-20T00:00:00"/>
    <s v="ADJ"/>
    <s v="EXCESS - 17107 ALSK"/>
    <x v="108"/>
    <s v="Gain"/>
    <x v="1"/>
    <x v="5"/>
    <x v="0"/>
    <s v="a.bakri"/>
    <n v="6"/>
    <n v="0.3"/>
    <n v="78293.8171"/>
    <s v="TW0001"/>
    <s v="000003"/>
    <s v="A00859"/>
    <s v="C02834"/>
    <s v=""/>
    <n v="0"/>
    <n v="469762.90260000003"/>
    <x v="1"/>
  </r>
  <r>
    <x v="2"/>
    <s v="IS"/>
    <x v="7"/>
    <x v="4"/>
    <s v="IF0001"/>
    <s v="Flour Import Elngm 25Kg"/>
    <x v="5"/>
    <x v="1"/>
    <d v="2025-07-20T00:00:00"/>
    <s v="ADJ"/>
    <s v="EXCESS - 21473 RIBA"/>
    <x v="108"/>
    <s v="Gain"/>
    <x v="1"/>
    <x v="5"/>
    <x v="0"/>
    <s v="a.bakri"/>
    <n v="6"/>
    <n v="0.15"/>
    <n v="28919.106970000001"/>
    <s v="IS0001"/>
    <s v="000000"/>
    <s v="A00862"/>
    <s v="C02837"/>
    <s v=""/>
    <n v="0"/>
    <n v="173514.64182000002"/>
    <x v="2"/>
  </r>
  <r>
    <x v="2"/>
    <s v="TW"/>
    <x v="7"/>
    <x v="4"/>
    <s v="IF0001"/>
    <s v="Flour Import Elngm 25Kg"/>
    <x v="5"/>
    <x v="1"/>
    <d v="2025-07-20T00:00:00"/>
    <s v="SCRP"/>
    <s v="CORRECTION - 21462 QUICK"/>
    <x v="108"/>
    <s v="Gain"/>
    <x v="1"/>
    <x v="5"/>
    <x v="0"/>
    <s v="a.bakri"/>
    <n v="-1"/>
    <n v="-2.5000000000000001E-2"/>
    <n v="28919.106970000001"/>
    <s v=""/>
    <s v="000001"/>
    <s v="X04415"/>
    <s v=""/>
    <s v="Q06225"/>
    <n v="0"/>
    <n v="-28919.106970000001"/>
    <x v="2"/>
  </r>
  <r>
    <x v="2"/>
    <s v="TW"/>
    <x v="7"/>
    <x v="2"/>
    <s v="WS0001"/>
    <s v="White Sugar"/>
    <x v="4"/>
    <x v="1"/>
    <d v="2025-07-20T00:00:00"/>
    <s v="ADJ"/>
    <s v="EXCESS - 17055 ALASGALANI"/>
    <x v="108"/>
    <s v="Gain"/>
    <x v="1"/>
    <x v="5"/>
    <x v="0"/>
    <s v="a.bakri"/>
    <n v="1"/>
    <n v="0.05"/>
    <n v="78293.8171"/>
    <s v="TW0001"/>
    <s v="000006"/>
    <s v="A00860"/>
    <s v="C02835"/>
    <s v=""/>
    <n v="0"/>
    <n v="78293.8171"/>
    <x v="1"/>
  </r>
  <r>
    <x v="2"/>
    <s v="IS"/>
    <x v="7"/>
    <x v="4"/>
    <s v="IF0001"/>
    <s v="Flour Import Elngm 25Kg"/>
    <x v="5"/>
    <x v="1"/>
    <d v="2025-07-20T00:00:00"/>
    <s v="SCRP"/>
    <s v="CORRECTION - 21473 RIBA"/>
    <x v="108"/>
    <s v="Gain"/>
    <x v="1"/>
    <x v="5"/>
    <x v="0"/>
    <s v="a.bakri"/>
    <n v="-6"/>
    <n v="-0.15"/>
    <n v="28919.106970000001"/>
    <s v=""/>
    <s v="000001"/>
    <s v="X04414"/>
    <s v=""/>
    <s v="Q06173"/>
    <n v="0"/>
    <n v="-173514.64182000002"/>
    <x v="2"/>
  </r>
  <r>
    <x v="7"/>
    <s v="XJ"/>
    <x v="7"/>
    <x v="4"/>
    <s v="IF0001"/>
    <s v="Flour Import Elngm 25Kg"/>
    <x v="5"/>
    <x v="1"/>
    <d v="2025-08-03T00:00:00"/>
    <s v="ADJ"/>
    <s v="TRANSPORT EXCESS 19274- Alumda"/>
    <x v="108"/>
    <s v="Gain"/>
    <x v="1"/>
    <x v="5"/>
    <x v="0"/>
    <s v="702012"/>
    <n v="2"/>
    <n v="0.05"/>
    <n v="37596.649819999999"/>
    <s v="XJ0001"/>
    <s v="000000"/>
    <s v="A00875"/>
    <s v="C02864"/>
    <s v=""/>
    <n v="0"/>
    <n v="75193.299639999997"/>
    <x v="2"/>
  </r>
  <r>
    <x v="7"/>
    <s v="IS"/>
    <x v="7"/>
    <x v="5"/>
    <s v="LE0001"/>
    <s v="Lentil TAT 20KG"/>
    <x v="7"/>
    <x v="1"/>
    <d v="2025-08-11T00:00:00"/>
    <s v="ADJ"/>
    <s v="EXCESS - 21155 DARKA"/>
    <x v="108"/>
    <s v="Gain"/>
    <x v="1"/>
    <x v="5"/>
    <x v="0"/>
    <s v="a.bakri"/>
    <n v="10"/>
    <n v="0.2"/>
    <n v="53401.105539999997"/>
    <s v="IS0001"/>
    <s v="000000"/>
    <s v="A00877"/>
    <s v="C02866"/>
    <s v=""/>
    <n v="0"/>
    <n v="534011.05539999995"/>
    <x v="3"/>
  </r>
  <r>
    <x v="7"/>
    <s v="IS"/>
    <x v="7"/>
    <x v="5"/>
    <s v="LE0001"/>
    <s v="Lentil TAT 20KG"/>
    <x v="7"/>
    <x v="1"/>
    <d v="2025-08-11T00:00:00"/>
    <s v="ADJ"/>
    <s v="EXCESS - 21169 ALTAF"/>
    <x v="108"/>
    <s v="Gain"/>
    <x v="1"/>
    <x v="5"/>
    <x v="0"/>
    <s v="a.bakri"/>
    <n v="1"/>
    <n v="0.02"/>
    <n v="53401.105539999997"/>
    <s v="IS0001"/>
    <s v="000001"/>
    <s v="A00878"/>
    <s v="C02867"/>
    <s v=""/>
    <n v="0"/>
    <n v="53401.105539999997"/>
    <x v="3"/>
  </r>
  <r>
    <x v="7"/>
    <s v="TM"/>
    <x v="7"/>
    <x v="4"/>
    <s v="IF0001"/>
    <s v="Flour Import Elngm 25Kg"/>
    <x v="5"/>
    <x v="1"/>
    <d v="2025-08-11T00:00:00"/>
    <s v="ADJ"/>
    <s v="EXCESS - 19281 ALOMDA"/>
    <x v="108"/>
    <s v="Gain"/>
    <x v="1"/>
    <x v="5"/>
    <x v="0"/>
    <s v="a.bakri"/>
    <n v="5"/>
    <n v="0.125"/>
    <n v="37596.649819999999"/>
    <s v="TM0001"/>
    <s v="000003"/>
    <s v="A00876"/>
    <s v="C02865"/>
    <s v=""/>
    <n v="0"/>
    <n v="187983.24909999999"/>
    <x v="2"/>
  </r>
  <r>
    <x v="7"/>
    <s v="IS"/>
    <x v="7"/>
    <x v="3"/>
    <s v="RC0004"/>
    <s v="Rice Long Grade 2 Elngm 20Kg"/>
    <x v="9"/>
    <x v="1"/>
    <d v="2025-08-17T00:00:00"/>
    <s v="SCRP"/>
    <s v="EXCESS - 10053 ARIF ALMUBARK"/>
    <x v="108"/>
    <s v="Gain"/>
    <x v="1"/>
    <x v="5"/>
    <x v="0"/>
    <s v="a.bakri"/>
    <n v="-2"/>
    <n v="-0.04"/>
    <n v="35962.273739999997"/>
    <s v=""/>
    <s v="000000"/>
    <s v="X04490"/>
    <s v=""/>
    <s v="Q05964"/>
    <n v="0"/>
    <n v="-71924.547479999994"/>
    <x v="3"/>
  </r>
  <r>
    <x v="7"/>
    <s v="IS"/>
    <x v="7"/>
    <x v="3"/>
    <s v="RC0004"/>
    <s v="Rice Long Grade 2 Elngm 20Kg"/>
    <x v="9"/>
    <x v="1"/>
    <d v="2025-08-17T00:00:00"/>
    <s v="ADJ"/>
    <s v="CORRECTION - X04490"/>
    <x v="108"/>
    <s v="Gain"/>
    <x v="1"/>
    <x v="5"/>
    <x v="0"/>
    <s v="a.bakri"/>
    <n v="2"/>
    <n v="0.04"/>
    <n v="35962.273739999997"/>
    <s v="IS0001"/>
    <s v="000001"/>
    <s v="A00880"/>
    <s v="C02889"/>
    <s v=""/>
    <n v="0"/>
    <n v="71924.547479999994"/>
    <x v="3"/>
  </r>
  <r>
    <x v="7"/>
    <s v="IS"/>
    <x v="7"/>
    <x v="3"/>
    <s v="RC0004"/>
    <s v="Rice Long Grade 2 Elngm 20Kg"/>
    <x v="9"/>
    <x v="1"/>
    <d v="2025-08-17T00:00:00"/>
    <s v="ADJ"/>
    <s v="EXCESS - 10053 ARIF &amp; ALMUBARK"/>
    <x v="108"/>
    <s v="Gain"/>
    <x v="1"/>
    <x v="5"/>
    <x v="0"/>
    <s v="a.bakri"/>
    <n v="2"/>
    <n v="0.04"/>
    <n v="35962.273739999997"/>
    <s v="IS0001"/>
    <s v="000002"/>
    <s v="A00881"/>
    <s v="C02890"/>
    <s v=""/>
    <n v="0"/>
    <n v="71924.547479999994"/>
    <x v="3"/>
  </r>
  <r>
    <x v="7"/>
    <s v="XI"/>
    <x v="7"/>
    <x v="5"/>
    <s v="LE0001"/>
    <s v="Lentil TAT 20KG"/>
    <x v="7"/>
    <x v="1"/>
    <d v="2025-08-27T00:00:00"/>
    <s v="ADJ"/>
    <s v="EXCESS"/>
    <x v="108"/>
    <s v="Gain"/>
    <x v="1"/>
    <x v="5"/>
    <x v="0"/>
    <s v="a.bakri"/>
    <n v="30"/>
    <n v="0.6"/>
    <n v="53401.105539999997"/>
    <s v="XI0001"/>
    <s v="000005"/>
    <s v="A00888"/>
    <s v="C02908"/>
    <s v=""/>
    <n v="0"/>
    <n v="1602033.1661999999"/>
    <x v="3"/>
  </r>
  <r>
    <x v="3"/>
    <s v="TJ"/>
    <x v="7"/>
    <x v="4"/>
    <s v="NF0001"/>
    <s v="Alnajm Flour from Mill 25KG"/>
    <x v="15"/>
    <x v="1"/>
    <d v="2025-09-17T00:00:00"/>
    <s v="ADJ"/>
    <s v="EXCESS - 3803"/>
    <x v="108"/>
    <s v="Gain"/>
    <x v="1"/>
    <x v="5"/>
    <x v="0"/>
    <s v="a.bakri"/>
    <n v="8"/>
    <n v="0.2"/>
    <n v="32432.643329999999"/>
    <s v="TJ0001"/>
    <s v="000000"/>
    <s v="A00891"/>
    <s v="C02931"/>
    <s v=""/>
    <n v="0"/>
    <n v="259461.14663999999"/>
    <x v="2"/>
  </r>
  <r>
    <x v="3"/>
    <s v="TJ"/>
    <x v="7"/>
    <x v="4"/>
    <s v="NF0001"/>
    <s v="Alnajm Flour from Mill 25KG"/>
    <x v="15"/>
    <x v="1"/>
    <d v="2025-09-17T00:00:00"/>
    <s v="ADJ"/>
    <s v="EXCESS - 3805"/>
    <x v="108"/>
    <s v="Gain"/>
    <x v="1"/>
    <x v="5"/>
    <x v="0"/>
    <s v="a.bakri"/>
    <n v="15"/>
    <n v="0.375"/>
    <n v="32432.643329999999"/>
    <s v="TJ0001"/>
    <s v="000001"/>
    <s v="A00892"/>
    <s v="C02932"/>
    <s v=""/>
    <n v="0"/>
    <n v="486489.64994999999"/>
    <x v="2"/>
  </r>
  <r>
    <x v="3"/>
    <s v="TJ"/>
    <x v="7"/>
    <x v="2"/>
    <s v="WS0001"/>
    <s v="White Sugar"/>
    <x v="4"/>
    <x v="1"/>
    <d v="2025-09-17T00:00:00"/>
    <s v="ADJ"/>
    <s v="EXCESS - 17197"/>
    <x v="108"/>
    <s v="Gain"/>
    <x v="1"/>
    <x v="5"/>
    <x v="0"/>
    <s v="a.bakri"/>
    <n v="4"/>
    <n v="0.2"/>
    <n v="87806.150020000001"/>
    <s v="TJ0001"/>
    <s v="000000"/>
    <s v="A00893"/>
    <s v="C02933"/>
    <s v=""/>
    <n v="0"/>
    <n v="351224.60008"/>
    <x v="1"/>
  </r>
  <r>
    <x v="3"/>
    <s v="XQ"/>
    <x v="7"/>
    <x v="2"/>
    <s v="WS0008"/>
    <s v="White Crystal Sugar"/>
    <x v="2"/>
    <x v="1"/>
    <d v="2025-09-17T00:00:00"/>
    <s v="ADJ"/>
    <s v="EXCESS - 145672"/>
    <x v="108"/>
    <s v="Gain"/>
    <x v="1"/>
    <x v="5"/>
    <x v="0"/>
    <s v="a.bakri"/>
    <n v="10"/>
    <n v="0.5"/>
    <n v="87806.150020000001"/>
    <s v="XQ0001"/>
    <s v="000000"/>
    <s v="A00894"/>
    <s v="C02934"/>
    <s v=""/>
    <n v="0"/>
    <n v="878061.50020000001"/>
    <x v="1"/>
  </r>
  <r>
    <x v="3"/>
    <s v="XQ"/>
    <x v="7"/>
    <x v="2"/>
    <s v="WS0008"/>
    <s v="White Crystal Sugar"/>
    <x v="2"/>
    <x v="1"/>
    <d v="2025-09-17T00:00:00"/>
    <s v="ADJ"/>
    <s v="EXCESS - 145662"/>
    <x v="108"/>
    <s v="Gain"/>
    <x v="1"/>
    <x v="5"/>
    <x v="0"/>
    <s v="a.bakri"/>
    <n v="6"/>
    <n v="0.3"/>
    <n v="87806.150020000001"/>
    <s v="XQ0001"/>
    <s v="000001"/>
    <s v="A00895"/>
    <s v="C02935"/>
    <s v=""/>
    <n v="0"/>
    <n v="526836.90012000001"/>
    <x v="1"/>
  </r>
  <r>
    <x v="3"/>
    <s v="IS"/>
    <x v="7"/>
    <x v="5"/>
    <s v="LE0001"/>
    <s v="Lentil TAT 20KG"/>
    <x v="7"/>
    <x v="1"/>
    <d v="2025-09-24T00:00:00"/>
    <s v="ADJ"/>
    <s v="EXCESS - 7000 ALNWA"/>
    <x v="108"/>
    <s v="Gain"/>
    <x v="1"/>
    <x v="5"/>
    <x v="0"/>
    <s v="a.bakri"/>
    <n v="2"/>
    <n v="0.04"/>
    <n v="45680.80154"/>
    <s v="IS0001"/>
    <s v="000000"/>
    <s v="A00903"/>
    <s v="C02947"/>
    <s v=""/>
    <n v="0"/>
    <n v="91361.603080000001"/>
    <x v="3"/>
  </r>
  <r>
    <x v="3"/>
    <s v="IS"/>
    <x v="7"/>
    <x v="5"/>
    <s v="LE0001"/>
    <s v="Lentil TAT 20KG"/>
    <x v="7"/>
    <x v="1"/>
    <d v="2025-09-24T00:00:00"/>
    <s v="ADJ"/>
    <s v="EXCESS - 6998 ABURNAT"/>
    <x v="108"/>
    <s v="Gain"/>
    <x v="1"/>
    <x v="5"/>
    <x v="0"/>
    <s v="a.bakri"/>
    <n v="2"/>
    <n v="0.04"/>
    <n v="45680.80154"/>
    <s v="IS0001"/>
    <s v="000001"/>
    <s v="A00904"/>
    <s v="C02948"/>
    <s v=""/>
    <n v="0"/>
    <n v="91361.603080000001"/>
    <x v="3"/>
  </r>
  <r>
    <x v="3"/>
    <s v="IS"/>
    <x v="7"/>
    <x v="4"/>
    <s v="NF0001"/>
    <s v="Alnajm Flour from Mill 25KG"/>
    <x v="15"/>
    <x v="1"/>
    <d v="2025-09-24T00:00:00"/>
    <s v="ADJ"/>
    <s v="EXCESS - 3542 ALKASIR"/>
    <x v="108"/>
    <s v="Gain"/>
    <x v="1"/>
    <x v="5"/>
    <x v="0"/>
    <s v="a.bakri"/>
    <n v="12"/>
    <n v="0.3"/>
    <n v="32432.643329999999"/>
    <s v="IS0001"/>
    <s v="000000"/>
    <s v="A00905"/>
    <s v="C02949"/>
    <s v=""/>
    <n v="0"/>
    <n v="389191.71996000002"/>
    <x v="2"/>
  </r>
  <r>
    <x v="3"/>
    <s v="IS"/>
    <x v="7"/>
    <x v="4"/>
    <s v="NF0001"/>
    <s v="Alnajm Flour from Mill 25KG"/>
    <x v="15"/>
    <x v="1"/>
    <d v="2025-09-24T00:00:00"/>
    <s v="ADJ"/>
    <s v="EXCESS - 3693 ANJAL"/>
    <x v="108"/>
    <s v="Gain"/>
    <x v="1"/>
    <x v="5"/>
    <x v="0"/>
    <s v="a.bakri"/>
    <n v="1"/>
    <n v="2.5000000000000001E-2"/>
    <n v="32432.643329999999"/>
    <s v="IS0001"/>
    <s v="000001"/>
    <s v="A00906"/>
    <s v="C02950"/>
    <s v=""/>
    <n v="0"/>
    <n v="32432.643329999999"/>
    <x v="2"/>
  </r>
  <r>
    <x v="3"/>
    <s v="XQ"/>
    <x v="7"/>
    <x v="3"/>
    <s v="RC0006"/>
    <s v="Rice Short Grain Elngm 25Kg"/>
    <x v="3"/>
    <x v="1"/>
    <d v="2025-09-29T00:00:00"/>
    <s v="ADJ"/>
    <s v="EXCESS - ALOMDA"/>
    <x v="108"/>
    <s v="Gain"/>
    <x v="1"/>
    <x v="5"/>
    <x v="0"/>
    <s v="a.bakri"/>
    <n v="4"/>
    <n v="0.1"/>
    <n v="48871.565979999999"/>
    <s v="XQ0001"/>
    <s v="000000"/>
    <s v="A00911"/>
    <s v="C02962"/>
    <s v=""/>
    <n v="0"/>
    <n v="195486.26392"/>
    <x v="2"/>
  </r>
  <r>
    <x v="3"/>
    <s v="TW"/>
    <x v="7"/>
    <x v="4"/>
    <s v="IF0001"/>
    <s v="Flour Import Elngm 25Kg"/>
    <x v="5"/>
    <x v="1"/>
    <d v="2025-09-29T00:00:00"/>
    <s v="ADJ"/>
    <s v="EXCESS - ANJAL"/>
    <x v="108"/>
    <s v="Gain"/>
    <x v="1"/>
    <x v="5"/>
    <x v="0"/>
    <s v="a.bakri"/>
    <n v="2"/>
    <n v="0.05"/>
    <n v="32432.643329999999"/>
    <s v="TW0001"/>
    <s v="000000"/>
    <s v="A00912"/>
    <s v="C02963"/>
    <s v=""/>
    <n v="0"/>
    <n v="64865.286659999998"/>
    <x v="2"/>
  </r>
  <r>
    <x v="8"/>
    <s v="XP"/>
    <x v="8"/>
    <x v="0"/>
    <s v="CO0001"/>
    <s v="Cotton - FG "/>
    <x v="35"/>
    <x v="0"/>
    <d v="2025-04-24T00:00:00"/>
    <s v="SCRP"/>
    <s v="SCALE DIFF - 1240.2"/>
    <x v="109"/>
    <s v="Loss"/>
    <x v="0"/>
    <x v="6"/>
    <x v="0"/>
    <s v="a.bakri"/>
    <n v="-0.81599999999999995"/>
    <n v="-0.81599999999999995"/>
    <n v="4242872.7759699998"/>
    <s v=""/>
    <s v="000000"/>
    <s v="X04019"/>
    <s v=""/>
    <s v="Q05945"/>
    <n v="0"/>
    <n v="-3462184.1851915196"/>
    <x v="0"/>
  </r>
  <r>
    <x v="8"/>
    <s v="XP"/>
    <x v="8"/>
    <x v="0"/>
    <s v="CO0001"/>
    <s v="Cotton - FG "/>
    <x v="35"/>
    <x v="0"/>
    <d v="2025-04-09T00:00:00"/>
    <s v="SCRP"/>
    <s v="SCALE DIFF - PACKAGING"/>
    <x v="110"/>
    <s v="Loss"/>
    <x v="0"/>
    <x v="6"/>
    <x v="0"/>
    <s v="a.bakri"/>
    <n v="-0.84499999999999997"/>
    <n v="-0.84499999999999997"/>
    <n v="4242872.7759699998"/>
    <s v=""/>
    <s v="000000"/>
    <s v="X03959"/>
    <s v=""/>
    <s v="Q05945"/>
    <n v="0"/>
    <n v="-3585227.4956946499"/>
    <x v="0"/>
  </r>
  <r>
    <x v="4"/>
    <s v="XP"/>
    <x v="8"/>
    <x v="0"/>
    <s v="CO0001"/>
    <s v="Cotton - FG "/>
    <x v="35"/>
    <x v="0"/>
    <d v="2025-06-16T00:00:00"/>
    <s v="SCRP"/>
    <s v="SCALE DIFF - PC 1248-1"/>
    <x v="111"/>
    <s v="Loss"/>
    <x v="0"/>
    <x v="6"/>
    <x v="0"/>
    <s v="a.bakri"/>
    <n v="-0.77200000000000002"/>
    <n v="-0.77200000000000002"/>
    <n v="3391825.72597"/>
    <s v=""/>
    <s v="000000"/>
    <s v="X04247"/>
    <s v=""/>
    <s v="CNC000738"/>
    <n v="0"/>
    <n v="-2618489.4604488402"/>
    <x v="0"/>
  </r>
  <r>
    <x v="4"/>
    <s v="XP"/>
    <x v="8"/>
    <x v="0"/>
    <s v="CO0001"/>
    <s v="Cotton - FG "/>
    <x v="35"/>
    <x v="0"/>
    <d v="2025-06-16T00:00:00"/>
    <s v="SCRP"/>
    <s v="SCALE DIFF - PC 1248-1"/>
    <x v="111"/>
    <s v="Loss"/>
    <x v="0"/>
    <x v="6"/>
    <x v="0"/>
    <s v="a.bakri"/>
    <n v="-0.55800000000000005"/>
    <n v="-0.55800000000000005"/>
    <n v="3391825.72597"/>
    <s v=""/>
    <s v="000001"/>
    <s v="X04247"/>
    <s v=""/>
    <s v="CNC000743"/>
    <n v="0"/>
    <n v="-1892638.7550912602"/>
    <x v="0"/>
  </r>
  <r>
    <x v="4"/>
    <s v="XP"/>
    <x v="8"/>
    <x v="0"/>
    <s v="CO0001"/>
    <s v="Cotton - FG "/>
    <x v="35"/>
    <x v="0"/>
    <d v="2025-06-16T00:00:00"/>
    <s v="SCRP"/>
    <s v="SCALE DIFF - PC 1240-3"/>
    <x v="112"/>
    <s v="Loss"/>
    <x v="0"/>
    <x v="6"/>
    <x v="0"/>
    <s v="a.bakri"/>
    <n v="-0.25800000000000001"/>
    <n v="-0.25800000000000001"/>
    <n v="3391825.72597"/>
    <s v=""/>
    <s v="000002"/>
    <s v="X04248"/>
    <s v=""/>
    <s v="CNC000743"/>
    <n v="0"/>
    <n v="-875091.03730026004"/>
    <x v="0"/>
  </r>
  <r>
    <x v="4"/>
    <s v="XP"/>
    <x v="8"/>
    <x v="0"/>
    <s v="CO0001"/>
    <s v="Cotton - FG "/>
    <x v="35"/>
    <x v="0"/>
    <d v="2025-06-16T00:00:00"/>
    <s v="SCRP"/>
    <s v="SCALE DIFF - PC 1240-3"/>
    <x v="112"/>
    <s v="Loss"/>
    <x v="0"/>
    <x v="6"/>
    <x v="0"/>
    <s v="a.bakri"/>
    <n v="-0.57199999999999995"/>
    <n v="-0.57199999999999995"/>
    <n v="3391825.72597"/>
    <s v=""/>
    <s v="000003"/>
    <s v="X04248"/>
    <s v=""/>
    <s v="CNC000748"/>
    <n v="0"/>
    <n v="-1940124.3152548398"/>
    <x v="0"/>
  </r>
  <r>
    <x v="6"/>
    <s v="TG"/>
    <x v="9"/>
    <x v="7"/>
    <s v="SM0101"/>
    <s v="Gadarif Sesame Raw"/>
    <x v="13"/>
    <x v="0"/>
    <d v="2025-03-03T00:00:00"/>
    <s v="SCRP"/>
    <s v="TRANSPORTATION LOSS - 5230 ALZAHRWAN"/>
    <x v="113"/>
    <s v="Loss"/>
    <x v="1"/>
    <x v="4"/>
    <x v="0"/>
    <s v="a.bakri"/>
    <n v="-0.94"/>
    <n v="-0.94"/>
    <n v="3870463.5"/>
    <s v=""/>
    <s v="000000"/>
    <s v="X03870"/>
    <s v=""/>
    <s v="Q06126"/>
    <n v="0"/>
    <n v="-3638235.69"/>
    <x v="0"/>
  </r>
  <r>
    <x v="0"/>
    <s v="TG"/>
    <x v="9"/>
    <x v="7"/>
    <s v="SM0101"/>
    <s v="Gadarif Sesame Raw"/>
    <x v="13"/>
    <x v="0"/>
    <d v="2025-01-05T00:00:00"/>
    <s v="SCRP"/>
    <s v="TRANSPORTATION LOSS - 5338 ALKASIR"/>
    <x v="114"/>
    <s v="Loss"/>
    <x v="1"/>
    <x v="4"/>
    <x v="0"/>
    <s v="a.bakri"/>
    <n v="-0.24"/>
    <n v="-0.24"/>
    <n v="3559457.5"/>
    <s v=""/>
    <s v="000002"/>
    <s v="X03715"/>
    <s v=""/>
    <s v="Q05990"/>
    <n v="0"/>
    <n v="-854269.79999999993"/>
    <x v="0"/>
  </r>
  <r>
    <x v="1"/>
    <s v="TG"/>
    <x v="9"/>
    <x v="7"/>
    <s v="SM0101"/>
    <s v="Gadarif Sesame Raw"/>
    <x v="13"/>
    <x v="0"/>
    <d v="2025-02-26T00:00:00"/>
    <s v="SCRP"/>
    <s v="TRANSPORTATION LOSS - 5212 ALKASIR"/>
    <x v="115"/>
    <s v="Loss"/>
    <x v="1"/>
    <x v="4"/>
    <x v="0"/>
    <s v="a.bakri"/>
    <n v="-0.17"/>
    <n v="-0.17"/>
    <n v="3854317.5"/>
    <s v=""/>
    <s v="000000"/>
    <s v="X03867"/>
    <s v=""/>
    <s v="Q06083"/>
    <n v="0"/>
    <n v="-655233.97500000009"/>
    <x v="0"/>
  </r>
  <r>
    <x v="1"/>
    <s v="TG"/>
    <x v="9"/>
    <x v="7"/>
    <s v="SM0101"/>
    <s v="Gadarif Sesame Raw"/>
    <x v="13"/>
    <x v="0"/>
    <d v="2025-02-09T00:00:00"/>
    <s v="SCRP"/>
    <s v="TRANSPORTATION LOSS - 5181 ABURNAT"/>
    <x v="116"/>
    <s v="Loss"/>
    <x v="1"/>
    <x v="4"/>
    <x v="0"/>
    <s v="a.bakri"/>
    <n v="-0.08"/>
    <n v="-0.08"/>
    <n v="3854317.5"/>
    <s v=""/>
    <s v="000001"/>
    <s v="X03848"/>
    <s v=""/>
    <s v="Q06055"/>
    <n v="0"/>
    <n v="-308345.40000000002"/>
    <x v="0"/>
  </r>
  <r>
    <x v="1"/>
    <s v="TG"/>
    <x v="9"/>
    <x v="7"/>
    <s v="SM0101"/>
    <s v="Gadarif Sesame Raw"/>
    <x v="13"/>
    <x v="0"/>
    <d v="2025-02-10T00:00:00"/>
    <s v="SCRP"/>
    <s v="TRANSPORTATION LOSS - 5181 ABURNAT"/>
    <x v="116"/>
    <s v="Loss"/>
    <x v="1"/>
    <x v="4"/>
    <x v="0"/>
    <s v="a.bakri"/>
    <n v="-0.35"/>
    <n v="-0.35"/>
    <n v="3854317.5"/>
    <s v=""/>
    <s v="000000"/>
    <s v="X03863"/>
    <s v=""/>
    <s v="Q06055"/>
    <n v="0"/>
    <n v="-1349011.125"/>
    <x v="0"/>
  </r>
  <r>
    <x v="8"/>
    <s v="TG"/>
    <x v="9"/>
    <x v="7"/>
    <s v="SM0101"/>
    <s v="Gadarif Sesame Raw"/>
    <x v="13"/>
    <x v="0"/>
    <d v="2025-04-21T00:00:00"/>
    <s v="SCRP"/>
    <s v="TRANSPORTATION LOSS - 5107 ALKASIR"/>
    <x v="117"/>
    <s v="Loss"/>
    <x v="1"/>
    <x v="4"/>
    <x v="0"/>
    <s v="a.bakri"/>
    <n v="-9.4E-2"/>
    <n v="-9.4E-2"/>
    <n v="3788405.5"/>
    <s v=""/>
    <s v="000001"/>
    <s v="X03986"/>
    <s v=""/>
    <s v="Q06176"/>
    <n v="0"/>
    <n v="-356110.11700000003"/>
    <x v="0"/>
  </r>
  <r>
    <x v="0"/>
    <s v="NT"/>
    <x v="9"/>
    <x v="7"/>
    <s v="SM0001"/>
    <s v="Gadarif Sesame - FG"/>
    <x v="16"/>
    <x v="0"/>
    <d v="2025-01-13T00:00:00"/>
    <s v="SCRP"/>
    <s v="TRANSPORTATION LOSS - 679 AZOZ"/>
    <x v="118"/>
    <s v="Loss"/>
    <x v="1"/>
    <x v="4"/>
    <x v="0"/>
    <s v="a.bakri"/>
    <n v="-1"/>
    <n v="-0.05"/>
    <n v="187339.86842000001"/>
    <s v=""/>
    <s v="000000"/>
    <s v="X03735"/>
    <s v=""/>
    <s v="P03646"/>
    <n v="0"/>
    <n v="-187339.86842000001"/>
    <x v="1"/>
  </r>
  <r>
    <x v="6"/>
    <s v="NT"/>
    <x v="9"/>
    <x v="7"/>
    <s v="SM0001"/>
    <s v="Gadarif Sesame - FG"/>
    <x v="16"/>
    <x v="0"/>
    <d v="2025-03-02T00:00:00"/>
    <s v="SCRP"/>
    <s v="TRANSPORTATION LOSS - 782 DALTA"/>
    <x v="118"/>
    <s v="Loss"/>
    <x v="1"/>
    <x v="4"/>
    <x v="0"/>
    <s v="a.bakri"/>
    <n v="-2"/>
    <n v="-0.1"/>
    <n v="203708.60526000001"/>
    <s v=""/>
    <s v="000000"/>
    <s v="X03869"/>
    <s v=""/>
    <s v="P03686"/>
    <n v="0"/>
    <n v="-407417.21052000002"/>
    <x v="1"/>
  </r>
  <r>
    <x v="0"/>
    <s v="IS"/>
    <x v="9"/>
    <x v="4"/>
    <s v="IF0001"/>
    <s v="Flour Import Elngm 25Kg"/>
    <x v="5"/>
    <x v="1"/>
    <d v="2025-01-13T00:00:00"/>
    <s v="SCRP"/>
    <s v="TRANSPORTATION LOSS - 5772 NYAS"/>
    <x v="118"/>
    <s v="Loss"/>
    <x v="1"/>
    <x v="4"/>
    <x v="0"/>
    <s v="a.bakri"/>
    <n v="-1"/>
    <n v="-2.5000000000000001E-2"/>
    <n v="29239.17352"/>
    <s v=""/>
    <s v="000000"/>
    <s v="X03718"/>
    <s v=""/>
    <s v="Q05953"/>
    <n v="0"/>
    <n v="-29239.17352"/>
    <x v="2"/>
  </r>
  <r>
    <x v="0"/>
    <s v="IS"/>
    <x v="9"/>
    <x v="4"/>
    <s v="IF0001"/>
    <s v="Flour Import Elngm 25Kg"/>
    <x v="5"/>
    <x v="1"/>
    <d v="2025-01-13T00:00:00"/>
    <s v="SCRP"/>
    <s v="TRANSPORTATION LOSS - 4881 ABURNAT"/>
    <x v="118"/>
    <s v="Loss"/>
    <x v="1"/>
    <x v="4"/>
    <x v="0"/>
    <s v="a.bakri"/>
    <n v="-3"/>
    <n v="-7.4999999999999997E-2"/>
    <n v="29239.17352"/>
    <s v=""/>
    <s v="000001"/>
    <s v="X03719"/>
    <s v=""/>
    <s v="Q05953"/>
    <n v="0"/>
    <n v="-87717.520560000004"/>
    <x v="2"/>
  </r>
  <r>
    <x v="0"/>
    <s v="IS"/>
    <x v="9"/>
    <x v="4"/>
    <s v="IF0001"/>
    <s v="Flour Import Elngm 25Kg"/>
    <x v="5"/>
    <x v="1"/>
    <d v="2025-01-13T00:00:00"/>
    <s v="SCRP"/>
    <s v="TRANSPORTATION LOSS - 11660 ALTAF"/>
    <x v="118"/>
    <s v="Loss"/>
    <x v="1"/>
    <x v="4"/>
    <x v="0"/>
    <s v="a.bakri"/>
    <n v="-1"/>
    <n v="-2.5000000000000001E-2"/>
    <n v="29239.17352"/>
    <s v=""/>
    <s v="000002"/>
    <s v="X03720"/>
    <s v=""/>
    <s v="Q05953"/>
    <n v="0"/>
    <n v="-29239.17352"/>
    <x v="2"/>
  </r>
  <r>
    <x v="0"/>
    <s v="IS"/>
    <x v="9"/>
    <x v="4"/>
    <s v="IF0001"/>
    <s v="Flour Import Elngm 25Kg"/>
    <x v="5"/>
    <x v="1"/>
    <d v="2025-01-13T00:00:00"/>
    <s v="SCRP"/>
    <s v="TRANSPORTATION LOSS - 14319 PRIVET CONTRACT"/>
    <x v="118"/>
    <s v="Loss"/>
    <x v="1"/>
    <x v="4"/>
    <x v="0"/>
    <s v="a.bakri"/>
    <n v="-2"/>
    <n v="-0.05"/>
    <n v="29239.17352"/>
    <s v=""/>
    <s v="000003"/>
    <s v="X03721"/>
    <s v=""/>
    <s v="Q05953"/>
    <n v="0"/>
    <n v="-58478.347040000001"/>
    <x v="2"/>
  </r>
  <r>
    <x v="0"/>
    <s v="IS"/>
    <x v="9"/>
    <x v="4"/>
    <s v="IF0001"/>
    <s v="Flour Import Elngm 25Kg"/>
    <x v="5"/>
    <x v="1"/>
    <d v="2025-01-13T00:00:00"/>
    <s v="SCRP"/>
    <s v="TRANSPORTATION LOSS - 14323 PRIVET CONTRACT"/>
    <x v="118"/>
    <s v="Loss"/>
    <x v="1"/>
    <x v="4"/>
    <x v="0"/>
    <s v="a.bakri"/>
    <n v="-4"/>
    <n v="-0.1"/>
    <n v="29239.17352"/>
    <s v=""/>
    <s v="000004"/>
    <s v="X03722"/>
    <s v=""/>
    <s v="Q05953"/>
    <n v="0"/>
    <n v="-116956.69408"/>
    <x v="2"/>
  </r>
  <r>
    <x v="0"/>
    <s v="IS"/>
    <x v="9"/>
    <x v="4"/>
    <s v="IF0001"/>
    <s v="Flour Import Elngm 25Kg"/>
    <x v="5"/>
    <x v="1"/>
    <d v="2025-01-13T00:00:00"/>
    <s v="SCRP"/>
    <s v="TRANSPORTATION LOSS - 5544 ALWASILA"/>
    <x v="118"/>
    <s v="Loss"/>
    <x v="1"/>
    <x v="4"/>
    <x v="0"/>
    <s v="a.bakri"/>
    <n v="-1"/>
    <n v="-2.5000000000000001E-2"/>
    <n v="29239.17352"/>
    <s v=""/>
    <s v="000005"/>
    <s v="X03723"/>
    <s v=""/>
    <s v="Q05953"/>
    <n v="0"/>
    <n v="-29239.17352"/>
    <x v="2"/>
  </r>
  <r>
    <x v="0"/>
    <s v="IS"/>
    <x v="9"/>
    <x v="4"/>
    <s v="IF0001"/>
    <s v="Flour Import Elngm 25Kg"/>
    <x v="5"/>
    <x v="1"/>
    <d v="2025-01-13T00:00:00"/>
    <s v="SCRP"/>
    <s v="TRANSPORTATION LOSS - 5549 YOUSIF ALFAKI"/>
    <x v="118"/>
    <s v="Loss"/>
    <x v="1"/>
    <x v="4"/>
    <x v="0"/>
    <s v="a.bakri"/>
    <n v="-15"/>
    <n v="-0.375"/>
    <n v="29239.17352"/>
    <s v=""/>
    <s v="000006"/>
    <s v="X03724"/>
    <s v=""/>
    <s v="Q05953"/>
    <n v="0"/>
    <n v="-438587.60279999999"/>
    <x v="2"/>
  </r>
  <r>
    <x v="0"/>
    <s v="IS"/>
    <x v="9"/>
    <x v="4"/>
    <s v="IF0001"/>
    <s v="Flour Import Elngm 25Kg"/>
    <x v="5"/>
    <x v="1"/>
    <d v="2025-01-13T00:00:00"/>
    <s v="SCRP"/>
    <s v="TRANSPORTATION LOSS - 7548 PRIVET CONTRACT"/>
    <x v="118"/>
    <s v="Loss"/>
    <x v="1"/>
    <x v="4"/>
    <x v="0"/>
    <s v="a.bakri"/>
    <n v="-2"/>
    <n v="-0.05"/>
    <n v="29239.17352"/>
    <s v=""/>
    <s v="000007"/>
    <s v="X03725"/>
    <s v=""/>
    <s v="Q05953"/>
    <n v="0"/>
    <n v="-58478.347040000001"/>
    <x v="2"/>
  </r>
  <r>
    <x v="0"/>
    <s v="IS"/>
    <x v="9"/>
    <x v="4"/>
    <s v="IF0001"/>
    <s v="Flour Import Elngm 25Kg"/>
    <x v="5"/>
    <x v="1"/>
    <d v="2025-01-13T00:00:00"/>
    <s v="SCRP"/>
    <s v="TRANSPORTATION LOSS - 7550 PRIVET CONTRACT"/>
    <x v="118"/>
    <s v="Loss"/>
    <x v="1"/>
    <x v="4"/>
    <x v="0"/>
    <s v="a.bakri"/>
    <n v="-2"/>
    <n v="-0.05"/>
    <n v="29239.17352"/>
    <s v=""/>
    <s v="000008"/>
    <s v="X03727"/>
    <s v=""/>
    <s v="Q05953"/>
    <n v="0"/>
    <n v="-58478.347040000001"/>
    <x v="2"/>
  </r>
  <r>
    <x v="0"/>
    <s v="IS"/>
    <x v="9"/>
    <x v="4"/>
    <s v="IF0001"/>
    <s v="Flour Import Elngm 25Kg"/>
    <x v="5"/>
    <x v="1"/>
    <d v="2025-01-13T00:00:00"/>
    <s v="SCRP"/>
    <s v="TRANSPORTATION LOSS - 11721 ARIF ALMUBARK"/>
    <x v="118"/>
    <s v="Loss"/>
    <x v="1"/>
    <x v="4"/>
    <x v="0"/>
    <s v="a.bakri"/>
    <n v="-7"/>
    <n v="-0.17499999999999999"/>
    <n v="29239.17352"/>
    <s v=""/>
    <s v="000009"/>
    <s v="X03728"/>
    <s v=""/>
    <s v="Q05953"/>
    <n v="0"/>
    <n v="-204674.21463999999"/>
    <x v="2"/>
  </r>
  <r>
    <x v="0"/>
    <s v="IS"/>
    <x v="9"/>
    <x v="4"/>
    <s v="IF0001"/>
    <s v="Flour Import Elngm 25Kg"/>
    <x v="5"/>
    <x v="1"/>
    <d v="2025-01-13T00:00:00"/>
    <s v="SCRP"/>
    <s v="TRANSPORTATION LOSS - 14302 PRIVET CONTRACT"/>
    <x v="118"/>
    <s v="Loss"/>
    <x v="1"/>
    <x v="4"/>
    <x v="0"/>
    <s v="a.bakri"/>
    <n v="-10"/>
    <n v="-0.25"/>
    <n v="29239.17352"/>
    <s v=""/>
    <s v="000010"/>
    <s v="X03729"/>
    <s v=""/>
    <s v="Q05953"/>
    <n v="0"/>
    <n v="-292391.7352"/>
    <x v="2"/>
  </r>
  <r>
    <x v="0"/>
    <s v="IS"/>
    <x v="9"/>
    <x v="4"/>
    <s v="IF0001"/>
    <s v="Flour Import Elngm 25Kg"/>
    <x v="5"/>
    <x v="1"/>
    <d v="2025-01-13T00:00:00"/>
    <s v="SCRP"/>
    <s v="TRANSPORTATION LOSS - 14325 PRIVET CONTRACT"/>
    <x v="118"/>
    <s v="Loss"/>
    <x v="1"/>
    <x v="4"/>
    <x v="0"/>
    <s v="a.bakri"/>
    <n v="-2"/>
    <n v="-0.05"/>
    <n v="29239.17352"/>
    <s v=""/>
    <s v="000011"/>
    <s v="X03730"/>
    <s v=""/>
    <s v="Q05953"/>
    <n v="0"/>
    <n v="-58478.347040000001"/>
    <x v="2"/>
  </r>
  <r>
    <x v="0"/>
    <s v="IS"/>
    <x v="9"/>
    <x v="4"/>
    <s v="NF0001"/>
    <s v="Alnajm Flour from Mill 25KG"/>
    <x v="15"/>
    <x v="1"/>
    <d v="2025-01-13T00:00:00"/>
    <s v="SCRP"/>
    <s v="TRANSPORTATION LOSS - 11096 ALWAHSHAB"/>
    <x v="118"/>
    <s v="Loss"/>
    <x v="1"/>
    <x v="4"/>
    <x v="0"/>
    <s v="a.bakri"/>
    <n v="-1"/>
    <n v="-2.5000000000000001E-2"/>
    <n v="22343.676599999999"/>
    <s v=""/>
    <s v="000000"/>
    <s v="X03731"/>
    <s v=""/>
    <s v="P03659"/>
    <n v="0"/>
    <n v="-22343.676599999999"/>
    <x v="2"/>
  </r>
  <r>
    <x v="0"/>
    <s v="IS"/>
    <x v="9"/>
    <x v="4"/>
    <s v="NF0001"/>
    <s v="Alnajm Flour from Mill 25KG"/>
    <x v="15"/>
    <x v="1"/>
    <d v="2025-01-13T00:00:00"/>
    <s v="SCRP"/>
    <s v="TRANSPORTATION LOSS - 10988 ANJAL"/>
    <x v="118"/>
    <s v="Loss"/>
    <x v="1"/>
    <x v="4"/>
    <x v="0"/>
    <s v="a.bakri"/>
    <n v="-1"/>
    <n v="-2.5000000000000001E-2"/>
    <n v="22343.676599999999"/>
    <s v=""/>
    <s v="000001"/>
    <s v="X03732"/>
    <s v=""/>
    <s v="P03659"/>
    <n v="0"/>
    <n v="-22343.676599999999"/>
    <x v="2"/>
  </r>
  <r>
    <x v="0"/>
    <s v="IS"/>
    <x v="9"/>
    <x v="4"/>
    <s v="NF0001"/>
    <s v="Alnajm Flour from Mill 25KG"/>
    <x v="15"/>
    <x v="1"/>
    <d v="2025-01-13T00:00:00"/>
    <s v="SCRP"/>
    <s v="TRANSPORTATION LOSS - 11004 ANJAL"/>
    <x v="118"/>
    <s v="Loss"/>
    <x v="1"/>
    <x v="4"/>
    <x v="0"/>
    <s v="a.bakri"/>
    <n v="-3"/>
    <n v="-7.4999999999999997E-2"/>
    <n v="22343.676599999999"/>
    <s v=""/>
    <s v="000002"/>
    <s v="X03733"/>
    <s v=""/>
    <s v="P03659"/>
    <n v="0"/>
    <n v="-67031.029799999989"/>
    <x v="2"/>
  </r>
  <r>
    <x v="0"/>
    <s v="IS"/>
    <x v="9"/>
    <x v="4"/>
    <s v="NF0001"/>
    <s v="Alnajm Flour from Mill 25KG"/>
    <x v="15"/>
    <x v="1"/>
    <d v="2025-01-13T00:00:00"/>
    <s v="SCRP"/>
    <s v="TRANSPORTATION LOSS - 11080 ANJAL"/>
    <x v="118"/>
    <s v="Loss"/>
    <x v="1"/>
    <x v="4"/>
    <x v="0"/>
    <s v="a.bakri"/>
    <n v="-1"/>
    <n v="-2.5000000000000001E-2"/>
    <n v="22343.676599999999"/>
    <s v=""/>
    <s v="000003"/>
    <s v="X03734"/>
    <s v=""/>
    <s v="P03659"/>
    <n v="0"/>
    <n v="-22343.676599999999"/>
    <x v="2"/>
  </r>
  <r>
    <x v="0"/>
    <s v="TF"/>
    <x v="9"/>
    <x v="4"/>
    <s v="IF0001"/>
    <s v="Flour Import Elngm 25Kg"/>
    <x v="5"/>
    <x v="1"/>
    <d v="2025-01-13T00:00:00"/>
    <s v="SCRP"/>
    <s v="TRANSPORTATION LOSS - 11663 ALKASIR"/>
    <x v="118"/>
    <s v="Loss"/>
    <x v="1"/>
    <x v="4"/>
    <x v="0"/>
    <s v="a.bakri"/>
    <n v="-7"/>
    <n v="-0.17499999999999999"/>
    <n v="29239.17352"/>
    <s v=""/>
    <s v="000007"/>
    <s v="X03736"/>
    <s v=""/>
    <s v="Q05968"/>
    <n v="0"/>
    <n v="-204674.21463999999"/>
    <x v="2"/>
  </r>
  <r>
    <x v="0"/>
    <s v="TF"/>
    <x v="9"/>
    <x v="4"/>
    <s v="IF0001"/>
    <s v="Flour Import Elngm 25Kg"/>
    <x v="5"/>
    <x v="1"/>
    <d v="2025-01-13T00:00:00"/>
    <s v="SCRP"/>
    <s v="TRANSPORTATION LOSS - 11708 ALWAHSHAB"/>
    <x v="118"/>
    <s v="Loss"/>
    <x v="1"/>
    <x v="4"/>
    <x v="0"/>
    <s v="a.bakri"/>
    <n v="-2"/>
    <n v="-0.05"/>
    <n v="29239.17352"/>
    <s v=""/>
    <s v="000008"/>
    <s v="X03737"/>
    <s v=""/>
    <s v="Q05968"/>
    <n v="0"/>
    <n v="-58478.347040000001"/>
    <x v="2"/>
  </r>
  <r>
    <x v="0"/>
    <s v="TF"/>
    <x v="9"/>
    <x v="4"/>
    <s v="IF0001"/>
    <s v="Flour Import Elngm 25Kg"/>
    <x v="5"/>
    <x v="1"/>
    <d v="2025-01-13T00:00:00"/>
    <s v="SCRP"/>
    <s v="TRANSPORTATION LOSS - 11726 ALTAF"/>
    <x v="118"/>
    <s v="Loss"/>
    <x v="1"/>
    <x v="4"/>
    <x v="0"/>
    <s v="a.bakri"/>
    <n v="-1"/>
    <n v="-2.5000000000000001E-2"/>
    <n v="29239.17352"/>
    <s v=""/>
    <s v="000009"/>
    <s v="X03738"/>
    <s v=""/>
    <s v="Q05968"/>
    <n v="0"/>
    <n v="-29239.17352"/>
    <x v="2"/>
  </r>
  <r>
    <x v="0"/>
    <s v="TF"/>
    <x v="9"/>
    <x v="4"/>
    <s v="NF0001"/>
    <s v="Alnajm Flour from Mill 25KG"/>
    <x v="15"/>
    <x v="1"/>
    <d v="2025-01-13T00:00:00"/>
    <s v="SCRP"/>
    <s v="TRANSPORTATION LOSS - 11132 ALWAHSHAB"/>
    <x v="118"/>
    <s v="Loss"/>
    <x v="1"/>
    <x v="4"/>
    <x v="0"/>
    <s v="a.bakri"/>
    <n v="-4"/>
    <n v="-0.1"/>
    <n v="22343.676599999999"/>
    <s v=""/>
    <s v="000000"/>
    <s v="X03739"/>
    <s v=""/>
    <s v="P03659"/>
    <n v="0"/>
    <n v="-89374.706399999995"/>
    <x v="2"/>
  </r>
  <r>
    <x v="0"/>
    <s v="TF"/>
    <x v="9"/>
    <x v="4"/>
    <s v="NF0001"/>
    <s v="Alnajm Flour from Mill 25KG"/>
    <x v="15"/>
    <x v="1"/>
    <d v="2025-01-13T00:00:00"/>
    <s v="SCRP"/>
    <s v="TRANSPORTATION LOSS - 10995 ALTARIQ ALZAKI"/>
    <x v="118"/>
    <s v="Loss"/>
    <x v="1"/>
    <x v="4"/>
    <x v="0"/>
    <s v="a.bakri"/>
    <n v="-1"/>
    <n v="-2.5000000000000001E-2"/>
    <n v="22343.676599999999"/>
    <s v=""/>
    <s v="000001"/>
    <s v="X03740"/>
    <s v=""/>
    <s v="P03659"/>
    <n v="0"/>
    <n v="-22343.676599999999"/>
    <x v="2"/>
  </r>
  <r>
    <x v="0"/>
    <s v="TF"/>
    <x v="9"/>
    <x v="4"/>
    <s v="NF0001"/>
    <s v="Alnajm Flour from Mill 25KG"/>
    <x v="15"/>
    <x v="1"/>
    <d v="2025-01-13T00:00:00"/>
    <s v="SCRP"/>
    <s v="TRANSPORTATION LOSS - 11136 ALWAHSHAB"/>
    <x v="118"/>
    <s v="Loss"/>
    <x v="1"/>
    <x v="4"/>
    <x v="0"/>
    <s v="a.bakri"/>
    <n v="-7"/>
    <n v="-0.17499999999999999"/>
    <n v="22343.676599999999"/>
    <s v=""/>
    <s v="000002"/>
    <s v="X03741"/>
    <s v=""/>
    <s v="P03659"/>
    <n v="0"/>
    <n v="-156405.73619999998"/>
    <x v="2"/>
  </r>
  <r>
    <x v="0"/>
    <s v="TF"/>
    <x v="9"/>
    <x v="4"/>
    <s v="NF0001"/>
    <s v="Alnajm Flour from Mill 25KG"/>
    <x v="15"/>
    <x v="1"/>
    <d v="2025-01-13T00:00:00"/>
    <s v="SCRP"/>
    <s v="TRANSPORTATION LOSS - 10975 ALASGALANI"/>
    <x v="118"/>
    <s v="Loss"/>
    <x v="1"/>
    <x v="4"/>
    <x v="0"/>
    <s v="a.bakri"/>
    <n v="-1"/>
    <n v="-2.5000000000000001E-2"/>
    <n v="22343.676599999999"/>
    <s v=""/>
    <s v="000003"/>
    <s v="X03742"/>
    <s v=""/>
    <s v="P03659"/>
    <n v="0"/>
    <n v="-22343.676599999999"/>
    <x v="2"/>
  </r>
  <r>
    <x v="0"/>
    <s v="TF"/>
    <x v="9"/>
    <x v="4"/>
    <s v="NF0001"/>
    <s v="Alnajm Flour from Mill 25KG"/>
    <x v="15"/>
    <x v="1"/>
    <d v="2025-01-13T00:00:00"/>
    <s v="SCRP"/>
    <s v="TRANSPORTATION LOSS - 10983 ANJAL"/>
    <x v="118"/>
    <s v="Loss"/>
    <x v="1"/>
    <x v="4"/>
    <x v="0"/>
    <s v="a.bakri"/>
    <n v="-4"/>
    <n v="-0.1"/>
    <n v="22343.676599999999"/>
    <s v=""/>
    <s v="000004"/>
    <s v="X03743"/>
    <s v=""/>
    <s v="P03659"/>
    <n v="0"/>
    <n v="-89374.706399999995"/>
    <x v="2"/>
  </r>
  <r>
    <x v="0"/>
    <s v="TJ"/>
    <x v="9"/>
    <x v="4"/>
    <s v="NF0001"/>
    <s v="Alnajm Flour from Mill 25KG"/>
    <x v="15"/>
    <x v="1"/>
    <d v="2025-01-13T00:00:00"/>
    <s v="SCRP"/>
    <s v="TRANSPORTATION LOSS - 11134 ANJAL"/>
    <x v="118"/>
    <s v="Loss"/>
    <x v="1"/>
    <x v="4"/>
    <x v="0"/>
    <s v="a.bakri"/>
    <n v="-14"/>
    <n v="-0.35"/>
    <n v="22343.676599999999"/>
    <s v=""/>
    <s v="000000"/>
    <s v="X03744"/>
    <s v=""/>
    <s v="P03658"/>
    <n v="0"/>
    <n v="-312811.47239999997"/>
    <x v="2"/>
  </r>
  <r>
    <x v="0"/>
    <s v="TJ"/>
    <x v="9"/>
    <x v="4"/>
    <s v="IF0001"/>
    <s v="Flour Import Elngm 25Kg"/>
    <x v="5"/>
    <x v="1"/>
    <d v="2025-01-13T00:00:00"/>
    <s v="SCRP"/>
    <s v="TRANSPORTATION LOSS - 14305 PRIVET CONTRACT"/>
    <x v="118"/>
    <s v="Loss"/>
    <x v="1"/>
    <x v="4"/>
    <x v="0"/>
    <s v="a.bakri"/>
    <n v="-28"/>
    <n v="-0.7"/>
    <n v="29239.17352"/>
    <s v=""/>
    <s v="000002"/>
    <s v="X03745"/>
    <s v=""/>
    <s v="Q05968"/>
    <n v="0"/>
    <n v="-818696.85855999996"/>
    <x v="2"/>
  </r>
  <r>
    <x v="0"/>
    <s v="TJ"/>
    <x v="9"/>
    <x v="4"/>
    <s v="IF0001"/>
    <s v="Flour Import Elngm 25Kg"/>
    <x v="5"/>
    <x v="1"/>
    <d v="2025-01-13T00:00:00"/>
    <s v="SCRP"/>
    <s v="TRANSPORTATION LOSS - 14308 PRIVET CONTRACT"/>
    <x v="118"/>
    <s v="Loss"/>
    <x v="1"/>
    <x v="4"/>
    <x v="0"/>
    <s v="a.bakri"/>
    <n v="-1"/>
    <n v="-2.5000000000000001E-2"/>
    <n v="29239.17352"/>
    <s v=""/>
    <s v="000003"/>
    <s v="X03746"/>
    <s v=""/>
    <s v="Q05968"/>
    <n v="0"/>
    <n v="-29239.17352"/>
    <x v="2"/>
  </r>
  <r>
    <x v="0"/>
    <s v="TJ"/>
    <x v="9"/>
    <x v="4"/>
    <s v="IF0001"/>
    <s v="Flour Import Elngm 25Kg"/>
    <x v="5"/>
    <x v="1"/>
    <d v="2025-01-13T00:00:00"/>
    <s v="SCRP"/>
    <s v="TRANSPORTATION LOSS - 14311 PRIVET CONTRACT"/>
    <x v="118"/>
    <s v="Loss"/>
    <x v="1"/>
    <x v="4"/>
    <x v="0"/>
    <s v="a.bakri"/>
    <n v="-1"/>
    <n v="-2.5000000000000001E-2"/>
    <n v="29239.17352"/>
    <s v=""/>
    <s v="000004"/>
    <s v="X03747"/>
    <s v=""/>
    <s v="Q05968"/>
    <n v="0"/>
    <n v="-29239.17352"/>
    <x v="2"/>
  </r>
  <r>
    <x v="0"/>
    <s v="TP"/>
    <x v="9"/>
    <x v="4"/>
    <s v="IF0001"/>
    <s v="Flour Import Elngm 25Kg"/>
    <x v="5"/>
    <x v="1"/>
    <d v="2025-01-13T00:00:00"/>
    <s v="SCRP"/>
    <s v="TRANSPORTATION LOSS - 9224 AZOZ"/>
    <x v="118"/>
    <s v="Loss"/>
    <x v="1"/>
    <x v="4"/>
    <x v="0"/>
    <s v="a.bakri"/>
    <n v="-1"/>
    <n v="-2.5000000000000001E-2"/>
    <n v="29239.17352"/>
    <s v=""/>
    <s v="000000"/>
    <s v="X03748"/>
    <s v=""/>
    <s v="Q05953"/>
    <n v="0"/>
    <n v="-29239.17352"/>
    <x v="2"/>
  </r>
  <r>
    <x v="0"/>
    <s v="TP"/>
    <x v="9"/>
    <x v="4"/>
    <s v="IF0001"/>
    <s v="Flour Import Elngm 25Kg"/>
    <x v="5"/>
    <x v="1"/>
    <d v="2025-01-13T00:00:00"/>
    <s v="SCRP"/>
    <s v="TRANSPORTATION LOSS - 9215 AZOZ"/>
    <x v="118"/>
    <s v="Loss"/>
    <x v="1"/>
    <x v="4"/>
    <x v="0"/>
    <s v="a.bakri"/>
    <n v="-32"/>
    <n v="-0.8"/>
    <n v="29239.17352"/>
    <s v=""/>
    <s v="000001"/>
    <s v="X03749"/>
    <s v=""/>
    <s v="Q05953"/>
    <n v="0"/>
    <n v="-935653.55264000001"/>
    <x v="2"/>
  </r>
  <r>
    <x v="0"/>
    <s v="TP"/>
    <x v="9"/>
    <x v="4"/>
    <s v="IF0001"/>
    <s v="Flour Import Elngm 25Kg"/>
    <x v="5"/>
    <x v="1"/>
    <d v="2025-01-13T00:00:00"/>
    <s v="SCRP"/>
    <s v="TRANSPORTATION LOSS - 9215 AZOZ"/>
    <x v="118"/>
    <s v="Loss"/>
    <x v="1"/>
    <x v="4"/>
    <x v="0"/>
    <s v="a.bakri"/>
    <n v="-13"/>
    <n v="-0.32500000000000001"/>
    <n v="29239.17352"/>
    <s v=""/>
    <s v="000002"/>
    <s v="X03749"/>
    <s v=""/>
    <s v="Q05953"/>
    <n v="0"/>
    <n v="-380109.25576000003"/>
    <x v="2"/>
  </r>
  <r>
    <x v="0"/>
    <s v="TP"/>
    <x v="9"/>
    <x v="4"/>
    <s v="IF0001"/>
    <s v="Flour Import Elngm 25Kg"/>
    <x v="5"/>
    <x v="1"/>
    <d v="2025-01-13T00:00:00"/>
    <s v="SCRP"/>
    <s v="TRANSPORTATION LOSS - 9690 AZOZ"/>
    <x v="118"/>
    <s v="Loss"/>
    <x v="1"/>
    <x v="4"/>
    <x v="0"/>
    <s v="a.bakri"/>
    <n v="-1"/>
    <n v="-2.5000000000000001E-2"/>
    <n v="29239.17352"/>
    <s v=""/>
    <s v="000003"/>
    <s v="X03750"/>
    <s v=""/>
    <s v="Q05968"/>
    <n v="0"/>
    <n v="-29239.17352"/>
    <x v="2"/>
  </r>
  <r>
    <x v="0"/>
    <s v="TP"/>
    <x v="9"/>
    <x v="4"/>
    <s v="IF0001"/>
    <s v="Flour Import Elngm 25Kg"/>
    <x v="5"/>
    <x v="1"/>
    <d v="2025-01-13T00:00:00"/>
    <s v="SCRP"/>
    <s v="TRANSPORTATION LOSS - 6676 AZOZ"/>
    <x v="118"/>
    <s v="Loss"/>
    <x v="1"/>
    <x v="4"/>
    <x v="0"/>
    <s v="a.bakri"/>
    <n v="-47"/>
    <n v="-1.175"/>
    <n v="29239.17352"/>
    <s v=""/>
    <s v="000004"/>
    <s v="X03751"/>
    <s v=""/>
    <s v="Q05968"/>
    <n v="0"/>
    <n v="-1374241.1554400001"/>
    <x v="2"/>
  </r>
  <r>
    <x v="0"/>
    <s v="XF"/>
    <x v="9"/>
    <x v="6"/>
    <s v="SM0002"/>
    <s v="White Sesame Non Gadarif - FG "/>
    <x v="18"/>
    <x v="0"/>
    <d v="2025-01-13T00:00:00"/>
    <s v="SCRP"/>
    <s v="TRANSPORTATION LOSS - 6960 WADALBALLA"/>
    <x v="118"/>
    <s v="Loss"/>
    <x v="1"/>
    <x v="4"/>
    <x v="0"/>
    <s v="a.bakri"/>
    <n v="-12"/>
    <n v="-0.6"/>
    <n v="177205.68421000001"/>
    <s v=""/>
    <s v="000000"/>
    <s v="X03752"/>
    <s v=""/>
    <s v="CNC000461"/>
    <n v="0"/>
    <n v="-2126468.2105200002"/>
    <x v="1"/>
  </r>
  <r>
    <x v="0"/>
    <s v="XF"/>
    <x v="9"/>
    <x v="6"/>
    <s v="SM0002"/>
    <s v="White Sesame Non Gadarif - FG "/>
    <x v="18"/>
    <x v="0"/>
    <d v="2025-01-13T00:00:00"/>
    <s v="SCRP"/>
    <s v="TRANSPORTATION LOSS - 1791 WADALBALLA"/>
    <x v="118"/>
    <s v="Loss"/>
    <x v="1"/>
    <x v="4"/>
    <x v="0"/>
    <s v="a.bakri"/>
    <n v="-6"/>
    <n v="-0.3"/>
    <n v="177205.68421000001"/>
    <s v=""/>
    <s v="000001"/>
    <s v="X03753"/>
    <s v=""/>
    <s v="CNC000461"/>
    <n v="0"/>
    <n v="-1063234.1052600001"/>
    <x v="1"/>
  </r>
  <r>
    <x v="0"/>
    <s v="XF"/>
    <x v="9"/>
    <x v="6"/>
    <s v="SM0002"/>
    <s v="White Sesame Non Gadarif - FG "/>
    <x v="18"/>
    <x v="0"/>
    <d v="2025-01-13T00:00:00"/>
    <s v="SCRP"/>
    <s v="TRANSPORTATION LOSS - 6959  WADALBALLA"/>
    <x v="118"/>
    <s v="Loss"/>
    <x v="1"/>
    <x v="4"/>
    <x v="0"/>
    <s v="a.bakri"/>
    <n v="-2"/>
    <n v="-0.1"/>
    <n v="177205.68421000001"/>
    <s v=""/>
    <s v="000002"/>
    <s v="X03754"/>
    <s v=""/>
    <s v="CNC000461"/>
    <n v="0"/>
    <n v="-354411.36842000001"/>
    <x v="1"/>
  </r>
  <r>
    <x v="0"/>
    <s v="TF"/>
    <x v="9"/>
    <x v="4"/>
    <s v="NF0001"/>
    <s v="Alnajm Flour from Mill 25KG"/>
    <x v="15"/>
    <x v="1"/>
    <d v="2025-01-14T00:00:00"/>
    <s v="SCRP"/>
    <s v="TRANSPORTATION LOSS - 14662 ALTAF"/>
    <x v="118"/>
    <s v="Loss"/>
    <x v="1"/>
    <x v="4"/>
    <x v="0"/>
    <s v="a.bakri"/>
    <n v="-1"/>
    <n v="-2.5000000000000001E-2"/>
    <n v="22343.676599999999"/>
    <s v=""/>
    <s v="000000"/>
    <s v="X03757"/>
    <s v=""/>
    <s v="P03659"/>
    <n v="0"/>
    <n v="-22343.676599999999"/>
    <x v="2"/>
  </r>
  <r>
    <x v="0"/>
    <s v="TF"/>
    <x v="9"/>
    <x v="4"/>
    <s v="NF0001"/>
    <s v="Alnajm Flour from Mill 25KG"/>
    <x v="15"/>
    <x v="1"/>
    <d v="2025-01-14T00:00:00"/>
    <s v="SCRP"/>
    <s v="TRANSPORTATION LOSS - 14590 ALWAHSHAB"/>
    <x v="118"/>
    <s v="Loss"/>
    <x v="1"/>
    <x v="4"/>
    <x v="0"/>
    <s v="a.bakri"/>
    <n v="-1"/>
    <n v="-2.5000000000000001E-2"/>
    <n v="22343.676599999999"/>
    <s v=""/>
    <s v="000001"/>
    <s v="X03758"/>
    <s v=""/>
    <s v="P03659"/>
    <n v="0"/>
    <n v="-22343.676599999999"/>
    <x v="2"/>
  </r>
  <r>
    <x v="0"/>
    <s v="IS"/>
    <x v="9"/>
    <x v="4"/>
    <s v="NF0001"/>
    <s v="Alnajm Flour from Mill 25KG"/>
    <x v="15"/>
    <x v="1"/>
    <d v="2025-01-14T00:00:00"/>
    <s v="SCRP"/>
    <s v="TRANSPORTATION LOSS - 14698 ANJAL"/>
    <x v="118"/>
    <s v="Loss"/>
    <x v="1"/>
    <x v="4"/>
    <x v="0"/>
    <s v="a.bakri"/>
    <n v="-1"/>
    <n v="-2.5000000000000001E-2"/>
    <n v="22343.676599999999"/>
    <s v=""/>
    <s v="000002"/>
    <s v="X03759"/>
    <s v=""/>
    <s v="P03659"/>
    <n v="0"/>
    <n v="-22343.676599999999"/>
    <x v="2"/>
  </r>
  <r>
    <x v="0"/>
    <s v="IS"/>
    <x v="9"/>
    <x v="4"/>
    <s v="NF0001"/>
    <s v="Alnajm Flour from Mill 25KG"/>
    <x v="15"/>
    <x v="1"/>
    <d v="2025-01-14T00:00:00"/>
    <s v="SCRP"/>
    <s v="TRANSPORTATION LOSS - 11349 ANJAL"/>
    <x v="118"/>
    <s v="Loss"/>
    <x v="1"/>
    <x v="4"/>
    <x v="0"/>
    <s v="a.bakri"/>
    <n v="-2"/>
    <n v="-0.05"/>
    <n v="22343.676599999999"/>
    <s v=""/>
    <s v="000003"/>
    <s v="X03760"/>
    <s v=""/>
    <s v="P03659"/>
    <n v="0"/>
    <n v="-44687.353199999998"/>
    <x v="2"/>
  </r>
  <r>
    <x v="0"/>
    <s v="IS"/>
    <x v="9"/>
    <x v="4"/>
    <s v="NF0001"/>
    <s v="Alnajm Flour from Mill 25KG"/>
    <x v="15"/>
    <x v="1"/>
    <d v="2025-01-14T00:00:00"/>
    <s v="SCRP"/>
    <s v="TRANSPORTATION LOSS - 14671 ALNWA"/>
    <x v="118"/>
    <s v="Loss"/>
    <x v="1"/>
    <x v="4"/>
    <x v="0"/>
    <s v="a.bakri"/>
    <n v="-4"/>
    <n v="-0.1"/>
    <n v="22343.676599999999"/>
    <s v=""/>
    <s v="000000"/>
    <s v="X03755"/>
    <s v=""/>
    <s v="P03659"/>
    <n v="0"/>
    <n v="-89374.706399999995"/>
    <x v="2"/>
  </r>
  <r>
    <x v="0"/>
    <s v="IS"/>
    <x v="9"/>
    <x v="4"/>
    <s v="NF0001"/>
    <s v="Alnajm Flour from Mill 25KG"/>
    <x v="15"/>
    <x v="1"/>
    <d v="2025-01-14T00:00:00"/>
    <s v="SCRP"/>
    <s v="TRANSPORTATION LOSS - 14702 ALKASIR"/>
    <x v="118"/>
    <s v="Loss"/>
    <x v="1"/>
    <x v="4"/>
    <x v="0"/>
    <s v="a.bakri"/>
    <n v="-1"/>
    <n v="-2.5000000000000001E-2"/>
    <n v="22343.676599999999"/>
    <s v=""/>
    <s v="000001"/>
    <s v="X03756"/>
    <s v=""/>
    <s v="P03659"/>
    <n v="0"/>
    <n v="-22343.676599999999"/>
    <x v="2"/>
  </r>
  <r>
    <x v="0"/>
    <s v="IS"/>
    <x v="9"/>
    <x v="4"/>
    <s v="IF0001"/>
    <s v="Flour Import Elngm 25Kg"/>
    <x v="5"/>
    <x v="1"/>
    <d v="2025-01-29T00:00:00"/>
    <s v="SCRP"/>
    <s v="TRANSPORTATION LOSS - 11717 ARIF&amp;MUBARK"/>
    <x v="118"/>
    <s v="Loss"/>
    <x v="1"/>
    <x v="4"/>
    <x v="0"/>
    <s v="a.bakri"/>
    <n v="-1"/>
    <n v="-2.5000000000000001E-2"/>
    <n v="29239.17352"/>
    <s v=""/>
    <s v="000000"/>
    <s v="X03778"/>
    <s v=""/>
    <s v="Q05968"/>
    <n v="0"/>
    <n v="-29239.17352"/>
    <x v="2"/>
  </r>
  <r>
    <x v="0"/>
    <s v="IS"/>
    <x v="9"/>
    <x v="4"/>
    <s v="IF0001"/>
    <s v="Flour Import Elngm 25Kg"/>
    <x v="5"/>
    <x v="1"/>
    <d v="2025-01-29T00:00:00"/>
    <s v="SCRP"/>
    <s v="TRANSPORTATION LOSS - 11680 DARKA"/>
    <x v="118"/>
    <s v="Loss"/>
    <x v="1"/>
    <x v="4"/>
    <x v="0"/>
    <s v="a.bakri"/>
    <n v="-4"/>
    <n v="-0.1"/>
    <n v="29239.17352"/>
    <s v=""/>
    <s v="000001"/>
    <s v="X03779"/>
    <s v=""/>
    <s v="Q05968"/>
    <n v="0"/>
    <n v="-116956.69408"/>
    <x v="2"/>
  </r>
  <r>
    <x v="0"/>
    <s v="IS"/>
    <x v="9"/>
    <x v="4"/>
    <s v="IF0001"/>
    <s v="Flour Import Elngm 25Kg"/>
    <x v="5"/>
    <x v="1"/>
    <d v="2025-01-29T00:00:00"/>
    <s v="SCRP"/>
    <s v="TRANSPORTATION LOSS - 11667 ABURNAT"/>
    <x v="118"/>
    <s v="Loss"/>
    <x v="1"/>
    <x v="4"/>
    <x v="0"/>
    <s v="a.bakri"/>
    <n v="-1"/>
    <n v="-2.5000000000000001E-2"/>
    <n v="29239.17352"/>
    <s v=""/>
    <s v="000002"/>
    <s v="X03780"/>
    <s v=""/>
    <s v="Q05968"/>
    <n v="0"/>
    <n v="-29239.17352"/>
    <x v="2"/>
  </r>
  <r>
    <x v="0"/>
    <s v="IS"/>
    <x v="9"/>
    <x v="4"/>
    <s v="IF0001"/>
    <s v="Flour Import Elngm 25Kg"/>
    <x v="5"/>
    <x v="1"/>
    <d v="2025-01-29T00:00:00"/>
    <s v="SCRP"/>
    <s v="TRANSPORTATION LOSS - 11705 ALNWA"/>
    <x v="118"/>
    <s v="Loss"/>
    <x v="1"/>
    <x v="4"/>
    <x v="0"/>
    <s v="a.bakri"/>
    <n v="-3"/>
    <n v="-7.4999999999999997E-2"/>
    <n v="29239.17352"/>
    <s v=""/>
    <s v="000003"/>
    <s v="X03781"/>
    <s v=""/>
    <s v="Q05968"/>
    <n v="0"/>
    <n v="-87717.520560000004"/>
    <x v="2"/>
  </r>
  <r>
    <x v="0"/>
    <s v="IS"/>
    <x v="9"/>
    <x v="4"/>
    <s v="IF0001"/>
    <s v="Flour Import Elngm 25Kg"/>
    <x v="5"/>
    <x v="1"/>
    <d v="2025-01-29T00:00:00"/>
    <s v="SCRP"/>
    <s v="TRANSPORTATION LOSS - 11659 ALTAF"/>
    <x v="118"/>
    <s v="Loss"/>
    <x v="1"/>
    <x v="4"/>
    <x v="0"/>
    <s v="a.bakri"/>
    <n v="-2"/>
    <n v="-0.05"/>
    <n v="29239.17352"/>
    <s v=""/>
    <s v="000004"/>
    <s v="X03782"/>
    <s v=""/>
    <s v="Q05968"/>
    <n v="0"/>
    <n v="-58478.347040000001"/>
    <x v="2"/>
  </r>
  <r>
    <x v="0"/>
    <s v="IS"/>
    <x v="9"/>
    <x v="4"/>
    <s v="IF0001"/>
    <s v="Flour Import Elngm 25Kg"/>
    <x v="5"/>
    <x v="1"/>
    <d v="2025-01-29T00:00:00"/>
    <s v="SCRP"/>
    <s v="TRANSPORTATION LOSS - 11699 BEAT"/>
    <x v="118"/>
    <s v="Loss"/>
    <x v="1"/>
    <x v="4"/>
    <x v="0"/>
    <s v="a.bakri"/>
    <n v="-3"/>
    <n v="-7.4999999999999997E-2"/>
    <n v="29239.17352"/>
    <s v=""/>
    <s v="000005"/>
    <s v="X03783"/>
    <s v=""/>
    <s v="Q05968"/>
    <n v="0"/>
    <n v="-87717.520560000004"/>
    <x v="2"/>
  </r>
  <r>
    <x v="0"/>
    <s v="IS"/>
    <x v="9"/>
    <x v="4"/>
    <s v="IF0001"/>
    <s v="Flour Import Elngm 25Kg"/>
    <x v="5"/>
    <x v="1"/>
    <d v="2025-01-29T00:00:00"/>
    <s v="SCRP"/>
    <s v="TRANSPORTATION LOSS - 11773 ABURNAT"/>
    <x v="118"/>
    <s v="Loss"/>
    <x v="1"/>
    <x v="4"/>
    <x v="0"/>
    <s v="a.bakri"/>
    <n v="-11"/>
    <n v="-0.27500000000000002"/>
    <n v="29239.17352"/>
    <s v=""/>
    <s v="000006"/>
    <s v="X03784"/>
    <s v=""/>
    <s v="Q05968"/>
    <n v="0"/>
    <n v="-321630.90872000001"/>
    <x v="2"/>
  </r>
  <r>
    <x v="0"/>
    <s v="IS"/>
    <x v="9"/>
    <x v="4"/>
    <s v="IF0001"/>
    <s v="Flour Import Elngm 25Kg"/>
    <x v="5"/>
    <x v="1"/>
    <d v="2025-01-29T00:00:00"/>
    <s v="SCRP"/>
    <s v="TRANSPORTATION LOSS - 11776 ALTAF"/>
    <x v="118"/>
    <s v="Loss"/>
    <x v="1"/>
    <x v="4"/>
    <x v="0"/>
    <s v="a.bakri"/>
    <n v="-3"/>
    <n v="-7.4999999999999997E-2"/>
    <n v="29239.17352"/>
    <s v=""/>
    <s v="000007"/>
    <s v="X03785"/>
    <s v=""/>
    <s v="Q05968"/>
    <n v="0"/>
    <n v="-87717.520560000004"/>
    <x v="2"/>
  </r>
  <r>
    <x v="0"/>
    <s v="IS"/>
    <x v="9"/>
    <x v="4"/>
    <s v="IF0001"/>
    <s v="Flour Import Elngm 25Kg"/>
    <x v="5"/>
    <x v="1"/>
    <d v="2025-01-29T00:00:00"/>
    <s v="SCRP"/>
    <s v="TRANSPORTATION LOSS - 11777 ALNWA"/>
    <x v="118"/>
    <s v="Loss"/>
    <x v="1"/>
    <x v="4"/>
    <x v="0"/>
    <s v="a.bakri"/>
    <n v="-1"/>
    <n v="-2.5000000000000001E-2"/>
    <n v="29239.17352"/>
    <s v=""/>
    <s v="000008"/>
    <s v="X03786"/>
    <s v=""/>
    <s v="Q05968"/>
    <n v="0"/>
    <n v="-29239.17352"/>
    <x v="2"/>
  </r>
  <r>
    <x v="0"/>
    <s v="IS"/>
    <x v="9"/>
    <x v="4"/>
    <s v="IF0001"/>
    <s v="Flour Import Elngm 25Kg"/>
    <x v="5"/>
    <x v="1"/>
    <d v="2025-01-29T00:00:00"/>
    <s v="SCRP"/>
    <s v="TRANSPORTATION LOSS - 11789 ALWAHSHAB"/>
    <x v="118"/>
    <s v="Loss"/>
    <x v="1"/>
    <x v="4"/>
    <x v="0"/>
    <s v="a.bakri"/>
    <n v="-1"/>
    <n v="-2.5000000000000001E-2"/>
    <n v="29239.17352"/>
    <s v=""/>
    <s v="000009"/>
    <s v="X03787"/>
    <s v=""/>
    <s v="Q05968"/>
    <n v="0"/>
    <n v="-29239.17352"/>
    <x v="2"/>
  </r>
  <r>
    <x v="0"/>
    <s v="IS"/>
    <x v="9"/>
    <x v="4"/>
    <s v="IF0001"/>
    <s v="Flour Import Elngm 25Kg"/>
    <x v="5"/>
    <x v="1"/>
    <d v="2025-01-29T00:00:00"/>
    <s v="SCRP"/>
    <s v="TRANSPORTATION LOSS - 14324 PRIVATE CONTRACT"/>
    <x v="118"/>
    <s v="Loss"/>
    <x v="1"/>
    <x v="4"/>
    <x v="0"/>
    <s v="a.bakri"/>
    <n v="-2"/>
    <n v="-0.05"/>
    <n v="29239.17352"/>
    <s v=""/>
    <s v="000010"/>
    <s v="X03788"/>
    <s v=""/>
    <s v="Q05968"/>
    <n v="0"/>
    <n v="-58478.347040000001"/>
    <x v="2"/>
  </r>
  <r>
    <x v="0"/>
    <s v="IS"/>
    <x v="9"/>
    <x v="4"/>
    <s v="IF0001"/>
    <s v="Flour Import Elngm 25Kg"/>
    <x v="5"/>
    <x v="1"/>
    <d v="2025-01-29T00:00:00"/>
    <s v="SCRP"/>
    <s v="TRANSPORTATION LOSS - 14326 PRIVATE CONTRACT"/>
    <x v="118"/>
    <s v="Loss"/>
    <x v="1"/>
    <x v="4"/>
    <x v="0"/>
    <s v="a.bakri"/>
    <n v="-3"/>
    <n v="-7.4999999999999997E-2"/>
    <n v="29239.17352"/>
    <s v=""/>
    <s v="000011"/>
    <s v="X03789"/>
    <s v=""/>
    <s v="Q05968"/>
    <n v="0"/>
    <n v="-87717.520560000004"/>
    <x v="2"/>
  </r>
  <r>
    <x v="0"/>
    <s v="IS"/>
    <x v="9"/>
    <x v="4"/>
    <s v="IF0001"/>
    <s v="Flour Import Elngm 25Kg"/>
    <x v="5"/>
    <x v="1"/>
    <d v="2025-01-29T00:00:00"/>
    <s v="SCRP"/>
    <s v="TRANSPORTATION LOSS - 14329 PRIVATE CONTRACT"/>
    <x v="118"/>
    <s v="Loss"/>
    <x v="1"/>
    <x v="4"/>
    <x v="0"/>
    <s v="a.bakri"/>
    <n v="-8"/>
    <n v="-0.2"/>
    <n v="29239.17352"/>
    <s v=""/>
    <s v="000012"/>
    <s v="X03790"/>
    <s v=""/>
    <s v="Q05968"/>
    <n v="0"/>
    <n v="-233913.38816"/>
    <x v="2"/>
  </r>
  <r>
    <x v="0"/>
    <s v="IS"/>
    <x v="9"/>
    <x v="4"/>
    <s v="IF0001"/>
    <s v="Flour Import Elngm 25Kg"/>
    <x v="5"/>
    <x v="1"/>
    <d v="2025-01-29T00:00:00"/>
    <s v="SCRP"/>
    <s v="TRANSPORTATION LOSS - 11872 DELTA"/>
    <x v="118"/>
    <s v="Loss"/>
    <x v="1"/>
    <x v="4"/>
    <x v="0"/>
    <s v="a.bakri"/>
    <n v="-16"/>
    <n v="-0.4"/>
    <n v="29239.17352"/>
    <s v=""/>
    <s v="000013"/>
    <s v="X03791"/>
    <s v=""/>
    <s v="Q05968"/>
    <n v="0"/>
    <n v="-467826.77632"/>
    <x v="2"/>
  </r>
  <r>
    <x v="0"/>
    <s v="IS"/>
    <x v="9"/>
    <x v="4"/>
    <s v="NF0001"/>
    <s v="Alnajm Flour from Mill 25KG"/>
    <x v="15"/>
    <x v="1"/>
    <d v="2025-01-29T00:00:00"/>
    <s v="SCRP"/>
    <s v="TRANSPORTATION LOSS - 11087 NYAS"/>
    <x v="118"/>
    <s v="Loss"/>
    <x v="1"/>
    <x v="4"/>
    <x v="0"/>
    <s v="a.bakri"/>
    <n v="-1"/>
    <n v="-2.5000000000000001E-2"/>
    <n v="22343.676599999999"/>
    <s v=""/>
    <s v="000000"/>
    <s v="X03792"/>
    <s v=""/>
    <s v="P03659"/>
    <n v="0"/>
    <n v="-22343.676599999999"/>
    <x v="2"/>
  </r>
  <r>
    <x v="0"/>
    <s v="IS"/>
    <x v="9"/>
    <x v="2"/>
    <s v="WS0001"/>
    <s v="White Sugar"/>
    <x v="4"/>
    <x v="1"/>
    <d v="2025-01-29T00:00:00"/>
    <s v="SCRP"/>
    <s v="TRANSPORTATION LOSS - 10646 KAMAL MAHGOUB"/>
    <x v="118"/>
    <s v="Loss"/>
    <x v="1"/>
    <x v="4"/>
    <x v="0"/>
    <s v="a.bakri"/>
    <n v="-1"/>
    <n v="-0.05"/>
    <n v="80496.589399999997"/>
    <s v=""/>
    <s v="000000"/>
    <s v="X03793"/>
    <s v=""/>
    <s v="Q05938"/>
    <n v="0"/>
    <n v="-80496.589399999997"/>
    <x v="1"/>
  </r>
  <r>
    <x v="0"/>
    <s v="IS"/>
    <x v="9"/>
    <x v="2"/>
    <s v="WS0001"/>
    <s v="White Sugar"/>
    <x v="4"/>
    <x v="1"/>
    <d v="2025-01-29T00:00:00"/>
    <s v="SCRP"/>
    <s v="TRANSPORTATION LOSS - 10640 KAMAL MAHGOUB"/>
    <x v="118"/>
    <s v="Loss"/>
    <x v="1"/>
    <x v="4"/>
    <x v="0"/>
    <s v="a.bakri"/>
    <n v="-1"/>
    <n v="-0.05"/>
    <n v="80496.589399999997"/>
    <s v=""/>
    <s v="000001"/>
    <s v="X03794"/>
    <s v=""/>
    <s v="Q05938"/>
    <n v="0"/>
    <n v="-80496.589399999997"/>
    <x v="1"/>
  </r>
  <r>
    <x v="0"/>
    <s v="IS"/>
    <x v="9"/>
    <x v="2"/>
    <s v="WS0001"/>
    <s v="White Sugar"/>
    <x v="4"/>
    <x v="1"/>
    <d v="2025-01-29T00:00:00"/>
    <s v="SCRP"/>
    <s v="TRANSPORTATION LOSS - 11867 DELTA"/>
    <x v="118"/>
    <s v="Loss"/>
    <x v="1"/>
    <x v="4"/>
    <x v="0"/>
    <s v="a.bakri"/>
    <n v="-2"/>
    <n v="-0.1"/>
    <n v="80496.589399999997"/>
    <s v=""/>
    <s v="000002"/>
    <s v="X03795"/>
    <s v=""/>
    <s v="Q05938"/>
    <n v="0"/>
    <n v="-160993.17879999999"/>
    <x v="1"/>
  </r>
  <r>
    <x v="0"/>
    <s v="TF"/>
    <x v="9"/>
    <x v="4"/>
    <s v="IF0001"/>
    <s v="Flour Import Elngm 25Kg"/>
    <x v="5"/>
    <x v="1"/>
    <d v="2025-01-29T00:00:00"/>
    <s v="SCRP"/>
    <s v="TRANSPORTATION LOSS - 11768 ALTAF"/>
    <x v="118"/>
    <s v="Loss"/>
    <x v="1"/>
    <x v="4"/>
    <x v="0"/>
    <s v="a.bakri"/>
    <n v="-6"/>
    <n v="-0.15"/>
    <n v="29239.17352"/>
    <s v=""/>
    <s v="000000"/>
    <s v="X03796"/>
    <s v=""/>
    <s v="Q05953"/>
    <n v="0"/>
    <n v="-175435.04112000001"/>
    <x v="2"/>
  </r>
  <r>
    <x v="0"/>
    <s v="TF"/>
    <x v="9"/>
    <x v="4"/>
    <s v="IF0001"/>
    <s v="Flour Import Elngm 25Kg"/>
    <x v="5"/>
    <x v="1"/>
    <d v="2025-01-29T00:00:00"/>
    <s v="SCRP"/>
    <s v="TRANSPORTATION LOSS - 11775 ALTAF"/>
    <x v="118"/>
    <s v="Loss"/>
    <x v="1"/>
    <x v="4"/>
    <x v="0"/>
    <s v="a.bakri"/>
    <n v="-3"/>
    <n v="-7.4999999999999997E-2"/>
    <n v="29239.17352"/>
    <s v=""/>
    <s v="000001"/>
    <s v="X03797"/>
    <s v=""/>
    <s v="Q05953"/>
    <n v="0"/>
    <n v="-87717.520560000004"/>
    <x v="2"/>
  </r>
  <r>
    <x v="0"/>
    <s v="TF"/>
    <x v="9"/>
    <x v="4"/>
    <s v="IF0001"/>
    <s v="Flour Import Elngm 25Kg"/>
    <x v="5"/>
    <x v="1"/>
    <d v="2025-01-29T00:00:00"/>
    <s v="SCRP"/>
    <s v="TRANSPORTATION LOSS - 11813 ANJAL"/>
    <x v="118"/>
    <s v="Loss"/>
    <x v="1"/>
    <x v="4"/>
    <x v="0"/>
    <s v="a.bakri"/>
    <n v="-1"/>
    <n v="-2.5000000000000001E-2"/>
    <n v="29239.17352"/>
    <s v=""/>
    <s v="000002"/>
    <s v="X03798"/>
    <s v=""/>
    <s v="Q05953"/>
    <n v="0"/>
    <n v="-29239.17352"/>
    <x v="2"/>
  </r>
  <r>
    <x v="0"/>
    <s v="TF"/>
    <x v="9"/>
    <x v="4"/>
    <s v="IF0001"/>
    <s v="Flour Import Elngm 25Kg"/>
    <x v="5"/>
    <x v="1"/>
    <d v="2025-01-29T00:00:00"/>
    <s v="SCRP"/>
    <s v="TRANSPORTATION LOSS - 11792 DARKA"/>
    <x v="118"/>
    <s v="Loss"/>
    <x v="1"/>
    <x v="4"/>
    <x v="0"/>
    <s v="a.bakri"/>
    <n v="-7"/>
    <n v="-0.17499999999999999"/>
    <n v="29239.17352"/>
    <s v=""/>
    <s v="000003"/>
    <s v="X03799"/>
    <s v=""/>
    <s v="Q05953"/>
    <n v="0"/>
    <n v="-204674.21463999999"/>
    <x v="2"/>
  </r>
  <r>
    <x v="0"/>
    <s v="TF"/>
    <x v="9"/>
    <x v="4"/>
    <s v="IF0001"/>
    <s v="Flour Import Elngm 25Kg"/>
    <x v="5"/>
    <x v="1"/>
    <d v="2025-01-29T00:00:00"/>
    <s v="SCRP"/>
    <s v="TRANSPORTATION LOSS - 11791 DARKA"/>
    <x v="118"/>
    <s v="Loss"/>
    <x v="1"/>
    <x v="4"/>
    <x v="0"/>
    <s v="a.bakri"/>
    <n v="-1"/>
    <n v="-2.5000000000000001E-2"/>
    <n v="29239.17352"/>
    <s v=""/>
    <s v="000004"/>
    <s v="X03800"/>
    <s v=""/>
    <s v="Q05953"/>
    <n v="0"/>
    <n v="-29239.17352"/>
    <x v="2"/>
  </r>
  <r>
    <x v="0"/>
    <s v="TF"/>
    <x v="9"/>
    <x v="4"/>
    <s v="IF0001"/>
    <s v="Flour Import Elngm 25Kg"/>
    <x v="5"/>
    <x v="1"/>
    <d v="2025-01-29T00:00:00"/>
    <s v="SCRP"/>
    <s v="TRANSPORTATION LOSS - 11852 RIBA"/>
    <x v="118"/>
    <s v="Loss"/>
    <x v="1"/>
    <x v="4"/>
    <x v="0"/>
    <s v="a.bakri"/>
    <n v="-4"/>
    <n v="-0.1"/>
    <n v="29239.17352"/>
    <s v=""/>
    <s v="000005"/>
    <s v="X03801"/>
    <s v=""/>
    <s v="Q05953"/>
    <n v="0"/>
    <n v="-116956.69408"/>
    <x v="2"/>
  </r>
  <r>
    <x v="0"/>
    <s v="TF"/>
    <x v="9"/>
    <x v="4"/>
    <s v="IF0001"/>
    <s v="Flour Import Elngm 25Kg"/>
    <x v="5"/>
    <x v="1"/>
    <d v="2025-01-29T00:00:00"/>
    <s v="SCRP"/>
    <s v="TRANSPORTATION LOSS - 11823 ALNAWAH"/>
    <x v="118"/>
    <s v="Loss"/>
    <x v="1"/>
    <x v="4"/>
    <x v="0"/>
    <s v="a.bakri"/>
    <n v="-1"/>
    <n v="-2.5000000000000001E-2"/>
    <n v="29239.17352"/>
    <s v=""/>
    <s v="000006"/>
    <s v="X03802"/>
    <s v=""/>
    <s v="Q05953"/>
    <n v="0"/>
    <n v="-29239.17352"/>
    <x v="2"/>
  </r>
  <r>
    <x v="0"/>
    <s v="TF"/>
    <x v="9"/>
    <x v="4"/>
    <s v="IF0001"/>
    <s v="Flour Import Elngm 25Kg"/>
    <x v="5"/>
    <x v="1"/>
    <d v="2025-01-29T00:00:00"/>
    <s v="SCRP"/>
    <s v="TRANSPORTATION LOSS - 11834 ALWASHAB"/>
    <x v="118"/>
    <s v="Loss"/>
    <x v="1"/>
    <x v="4"/>
    <x v="0"/>
    <s v="a.bakri"/>
    <n v="-1"/>
    <n v="-2.5000000000000001E-2"/>
    <n v="29239.17352"/>
    <s v=""/>
    <s v="000007"/>
    <s v="X03803"/>
    <s v=""/>
    <s v="Q05953"/>
    <n v="0"/>
    <n v="-29239.17352"/>
    <x v="2"/>
  </r>
  <r>
    <x v="0"/>
    <s v="TF"/>
    <x v="9"/>
    <x v="4"/>
    <s v="IF0001"/>
    <s v="Flour Import Elngm 25Kg"/>
    <x v="5"/>
    <x v="1"/>
    <d v="2025-01-29T00:00:00"/>
    <s v="SCRP"/>
    <s v="TRANSPORTATION LOSS - 11846 ANJAL"/>
    <x v="118"/>
    <s v="Loss"/>
    <x v="1"/>
    <x v="4"/>
    <x v="0"/>
    <s v="a.bakri"/>
    <n v="-6"/>
    <n v="-0.15"/>
    <n v="29239.17352"/>
    <s v=""/>
    <s v="000008"/>
    <s v="X03804"/>
    <s v=""/>
    <s v="Q05953"/>
    <n v="0"/>
    <n v="-175435.04112000001"/>
    <x v="2"/>
  </r>
  <r>
    <x v="0"/>
    <s v="TF"/>
    <x v="9"/>
    <x v="4"/>
    <s v="IF0001"/>
    <s v="Flour Import Elngm 25Kg"/>
    <x v="5"/>
    <x v="1"/>
    <d v="2025-01-29T00:00:00"/>
    <s v="SCRP"/>
    <s v="TRANSPORTATION LOSS - 11839 KAMAL ABASS"/>
    <x v="118"/>
    <s v="Loss"/>
    <x v="1"/>
    <x v="4"/>
    <x v="0"/>
    <s v="a.bakri"/>
    <n v="-4"/>
    <n v="-0.1"/>
    <n v="29239.17352"/>
    <s v=""/>
    <s v="000009"/>
    <s v="X03805"/>
    <s v=""/>
    <s v="Q05953"/>
    <n v="0"/>
    <n v="-116956.69408"/>
    <x v="2"/>
  </r>
  <r>
    <x v="0"/>
    <s v="TF"/>
    <x v="9"/>
    <x v="4"/>
    <s v="IF0001"/>
    <s v="Flour Import Elngm 25Kg"/>
    <x v="5"/>
    <x v="1"/>
    <d v="2025-01-29T00:00:00"/>
    <s v="SCRP"/>
    <s v="TRANSPORTATION LOSS - 11840 KAMAL ABASS"/>
    <x v="118"/>
    <s v="Loss"/>
    <x v="1"/>
    <x v="4"/>
    <x v="0"/>
    <s v="a.bakri"/>
    <n v="-2"/>
    <n v="-0.05"/>
    <n v="29239.17352"/>
    <s v=""/>
    <s v="000010"/>
    <s v="X03806"/>
    <s v=""/>
    <s v="Q05953"/>
    <n v="0"/>
    <n v="-58478.347040000001"/>
    <x v="2"/>
  </r>
  <r>
    <x v="0"/>
    <s v="TF"/>
    <x v="9"/>
    <x v="4"/>
    <s v="IF0001"/>
    <s v="Flour Import Elngm 25Kg"/>
    <x v="5"/>
    <x v="1"/>
    <d v="2025-01-29T00:00:00"/>
    <s v="SCRP"/>
    <s v="TRANSPORTATION LOSS - 11822 ALNAWAH"/>
    <x v="118"/>
    <s v="Loss"/>
    <x v="1"/>
    <x v="4"/>
    <x v="0"/>
    <s v="a.bakri"/>
    <n v="-2"/>
    <n v="-0.05"/>
    <n v="29239.17352"/>
    <s v=""/>
    <s v="000011"/>
    <s v="X03807"/>
    <s v=""/>
    <s v="Q05953"/>
    <n v="0"/>
    <n v="-58478.347040000001"/>
    <x v="2"/>
  </r>
  <r>
    <x v="0"/>
    <s v="TF"/>
    <x v="9"/>
    <x v="3"/>
    <s v="RC0004"/>
    <s v="Rice Long Grade 2 Elngm 20Kg"/>
    <x v="9"/>
    <x v="1"/>
    <d v="2025-01-29T00:00:00"/>
    <s v="SCRP"/>
    <s v="TRANSPORTATION LOSS - 11697 ALKASIR"/>
    <x v="118"/>
    <s v="Loss"/>
    <x v="1"/>
    <x v="4"/>
    <x v="0"/>
    <s v="a.bakri"/>
    <n v="-7"/>
    <n v="-0.14000000000000001"/>
    <n v="30148.652330000001"/>
    <s v=""/>
    <s v="000000"/>
    <s v="X03808"/>
    <s v=""/>
    <s v="Q05941"/>
    <n v="0"/>
    <n v="-211040.56630999999"/>
    <x v="3"/>
  </r>
  <r>
    <x v="0"/>
    <s v="TF"/>
    <x v="9"/>
    <x v="3"/>
    <s v="RC0004"/>
    <s v="Rice Long Grade 2 Elngm 20Kg"/>
    <x v="9"/>
    <x v="1"/>
    <d v="2025-01-29T00:00:00"/>
    <s v="SCRP"/>
    <s v="TRANSPORTATION LOSS - 11698 ALKASIR"/>
    <x v="118"/>
    <s v="Loss"/>
    <x v="1"/>
    <x v="4"/>
    <x v="0"/>
    <s v="a.bakri"/>
    <n v="-8"/>
    <n v="-0.16"/>
    <n v="30148.652330000001"/>
    <s v=""/>
    <s v="000001"/>
    <s v="X03809"/>
    <s v=""/>
    <s v="Q05941"/>
    <n v="0"/>
    <n v="-241189.21864000001"/>
    <x v="3"/>
  </r>
  <r>
    <x v="0"/>
    <s v="TF"/>
    <x v="9"/>
    <x v="4"/>
    <s v="IF0001"/>
    <s v="Flour Import Elngm 25Kg"/>
    <x v="5"/>
    <x v="1"/>
    <d v="2025-01-29T00:00:00"/>
    <s v="SCRP"/>
    <s v="TRANSPORTATION LOSS - 11831 ALWAHSHAB"/>
    <x v="118"/>
    <s v="Loss"/>
    <x v="1"/>
    <x v="4"/>
    <x v="0"/>
    <s v="a.bakri"/>
    <n v="-4"/>
    <n v="-0.1"/>
    <n v="29239.17352"/>
    <s v=""/>
    <s v="000012"/>
    <s v="X03813"/>
    <s v=""/>
    <s v="Q05953"/>
    <n v="0"/>
    <n v="-116956.69408"/>
    <x v="2"/>
  </r>
  <r>
    <x v="1"/>
    <s v="IS"/>
    <x v="9"/>
    <x v="4"/>
    <s v="IF0001"/>
    <s v="Flour Import Elngm 25Kg"/>
    <x v="5"/>
    <x v="1"/>
    <d v="2025-02-09T00:00:00"/>
    <s v="SCRP"/>
    <s v="TRANSPORTATION LOSS - 11814 ANJAL"/>
    <x v="118"/>
    <s v="Loss"/>
    <x v="1"/>
    <x v="4"/>
    <x v="0"/>
    <s v="a.bakri"/>
    <n v="-1"/>
    <n v="-2.5000000000000001E-2"/>
    <n v="31675.77131"/>
    <s v=""/>
    <s v="000000"/>
    <s v="X03833"/>
    <s v=""/>
    <s v="Q05953"/>
    <n v="0"/>
    <n v="-31675.77131"/>
    <x v="2"/>
  </r>
  <r>
    <x v="1"/>
    <s v="IS"/>
    <x v="9"/>
    <x v="4"/>
    <s v="IF0001"/>
    <s v="Flour Import Elngm 25Kg"/>
    <x v="5"/>
    <x v="1"/>
    <d v="2025-02-09T00:00:00"/>
    <s v="SCRP"/>
    <s v="TRANSPORTATION LOSS - 11859 ANJAL"/>
    <x v="118"/>
    <s v="Loss"/>
    <x v="1"/>
    <x v="4"/>
    <x v="0"/>
    <s v="a.bakri"/>
    <n v="-1"/>
    <n v="-2.5000000000000001E-2"/>
    <n v="31675.77131"/>
    <s v=""/>
    <s v="000001"/>
    <s v="X03834"/>
    <s v=""/>
    <s v="Q05953"/>
    <n v="0"/>
    <n v="-31675.77131"/>
    <x v="2"/>
  </r>
  <r>
    <x v="1"/>
    <s v="IS"/>
    <x v="9"/>
    <x v="4"/>
    <s v="IF0001"/>
    <s v="Flour Import Elngm 25Kg"/>
    <x v="5"/>
    <x v="1"/>
    <d v="2025-02-09T00:00:00"/>
    <s v="SCRP"/>
    <s v="TRANSPORTATION LOSS - 11864 ANJAL"/>
    <x v="118"/>
    <s v="Loss"/>
    <x v="1"/>
    <x v="4"/>
    <x v="0"/>
    <s v="a.bakri"/>
    <n v="-1"/>
    <n v="-2.5000000000000001E-2"/>
    <n v="31675.77131"/>
    <s v=""/>
    <s v="000002"/>
    <s v="X03835"/>
    <s v=""/>
    <s v="Q05953"/>
    <n v="0"/>
    <n v="-31675.77131"/>
    <x v="2"/>
  </r>
  <r>
    <x v="1"/>
    <s v="IS"/>
    <x v="9"/>
    <x v="4"/>
    <s v="IF0001"/>
    <s v="Flour Import Elngm 25Kg"/>
    <x v="5"/>
    <x v="1"/>
    <d v="2025-02-09T00:00:00"/>
    <s v="SCRP"/>
    <s v="TRANSPORTATION LOSS - 11937 ANJAL"/>
    <x v="118"/>
    <s v="Loss"/>
    <x v="1"/>
    <x v="4"/>
    <x v="0"/>
    <s v="a.bakri"/>
    <n v="-1"/>
    <n v="-2.5000000000000001E-2"/>
    <n v="31675.77131"/>
    <s v=""/>
    <s v="000003"/>
    <s v="X03836"/>
    <s v=""/>
    <s v="Q05953"/>
    <n v="0"/>
    <n v="-31675.77131"/>
    <x v="2"/>
  </r>
  <r>
    <x v="1"/>
    <s v="IS"/>
    <x v="9"/>
    <x v="4"/>
    <s v="IF0001"/>
    <s v="Flour Import Elngm 25Kg"/>
    <x v="5"/>
    <x v="1"/>
    <d v="2025-02-09T00:00:00"/>
    <s v="SCRP"/>
    <s v="TRANSPORTATION LOSS - 11957 DELTA"/>
    <x v="118"/>
    <s v="Loss"/>
    <x v="1"/>
    <x v="4"/>
    <x v="0"/>
    <s v="a.bakri"/>
    <n v="-3"/>
    <n v="-7.4999999999999997E-2"/>
    <n v="31675.77131"/>
    <s v=""/>
    <s v="000004"/>
    <s v="X03837"/>
    <s v=""/>
    <s v="Q05953"/>
    <n v="0"/>
    <n v="-95027.313930000004"/>
    <x v="2"/>
  </r>
  <r>
    <x v="1"/>
    <s v="IS"/>
    <x v="9"/>
    <x v="4"/>
    <s v="IF0001"/>
    <s v="Flour Import Elngm 25Kg"/>
    <x v="5"/>
    <x v="1"/>
    <d v="2025-02-09T00:00:00"/>
    <s v="SCRP"/>
    <s v="TRANSPORTATION LOSS - 11959 DELTA"/>
    <x v="118"/>
    <s v="Loss"/>
    <x v="1"/>
    <x v="4"/>
    <x v="0"/>
    <s v="a.bakri"/>
    <n v="-2"/>
    <n v="-0.05"/>
    <n v="31675.77131"/>
    <s v=""/>
    <s v="000005"/>
    <s v="X03838"/>
    <s v=""/>
    <s v="Q05953"/>
    <n v="0"/>
    <n v="-63351.54262"/>
    <x v="2"/>
  </r>
  <r>
    <x v="1"/>
    <s v="IS"/>
    <x v="9"/>
    <x v="4"/>
    <s v="IF0001"/>
    <s v="Flour Import Elngm 25Kg"/>
    <x v="5"/>
    <x v="1"/>
    <d v="2025-02-09T00:00:00"/>
    <s v="SCRP"/>
    <s v="TRANSPORTATION LOSS - 11954 BIG BOSS"/>
    <x v="118"/>
    <s v="Loss"/>
    <x v="1"/>
    <x v="4"/>
    <x v="0"/>
    <s v="a.bakri"/>
    <n v="-15"/>
    <n v="-0.375"/>
    <n v="31675.77131"/>
    <s v=""/>
    <s v="000006"/>
    <s v="X03839"/>
    <s v=""/>
    <s v="Q05953"/>
    <n v="0"/>
    <n v="-475136.56965000002"/>
    <x v="2"/>
  </r>
  <r>
    <x v="1"/>
    <s v="IS"/>
    <x v="9"/>
    <x v="4"/>
    <s v="NF0001"/>
    <s v="Alnajm Flour from Mill 25KG"/>
    <x v="15"/>
    <x v="1"/>
    <d v="2025-02-09T00:00:00"/>
    <s v="SCRP"/>
    <s v="TRANSPORTATION LOSS - 19353 ANJAL"/>
    <x v="118"/>
    <s v="Loss"/>
    <x v="1"/>
    <x v="4"/>
    <x v="0"/>
    <s v="a.bakri"/>
    <n v="-1"/>
    <n v="-2.5000000000000001E-2"/>
    <n v="31675.77131"/>
    <s v=""/>
    <s v="000000"/>
    <s v="X03840"/>
    <s v=""/>
    <s v="P03659"/>
    <n v="0"/>
    <n v="-31675.77131"/>
    <x v="2"/>
  </r>
  <r>
    <x v="1"/>
    <s v="IS"/>
    <x v="9"/>
    <x v="2"/>
    <s v="WS0001"/>
    <s v="White Sugar"/>
    <x v="4"/>
    <x v="1"/>
    <d v="2025-02-09T00:00:00"/>
    <s v="SCRP"/>
    <s v="TRANSPORTATION LOSS - 11868 DELTA"/>
    <x v="118"/>
    <s v="Loss"/>
    <x v="1"/>
    <x v="4"/>
    <x v="0"/>
    <s v="a.bakri"/>
    <n v="-1"/>
    <n v="-0.05"/>
    <n v="90996.144530000005"/>
    <s v=""/>
    <s v="000000"/>
    <s v="X03841"/>
    <s v=""/>
    <s v="Q05938"/>
    <n v="0"/>
    <n v="-90996.144530000005"/>
    <x v="1"/>
  </r>
  <r>
    <x v="1"/>
    <s v="NT"/>
    <x v="9"/>
    <x v="6"/>
    <s v="SM0002"/>
    <s v="White Sesame Non Gadarif - FG "/>
    <x v="18"/>
    <x v="0"/>
    <d v="2025-02-09T00:00:00"/>
    <s v="SCRP"/>
    <s v="TRANSPORTATION LOSS - 694 ALNWA"/>
    <x v="118"/>
    <s v="Loss"/>
    <x v="1"/>
    <x v="4"/>
    <x v="0"/>
    <s v="a.bakri"/>
    <n v="-1"/>
    <n v="-0.05"/>
    <n v="191933.78946999999"/>
    <s v=""/>
    <s v="000000"/>
    <s v="X03842"/>
    <s v=""/>
    <s v="CNC000466"/>
    <n v="0"/>
    <n v="-191933.78946999999"/>
    <x v="1"/>
  </r>
  <r>
    <x v="1"/>
    <s v="TF"/>
    <x v="9"/>
    <x v="4"/>
    <s v="IF0001"/>
    <s v="Flour Import Elngm 25Kg"/>
    <x v="5"/>
    <x v="1"/>
    <d v="2025-02-09T00:00:00"/>
    <s v="SCRP"/>
    <s v="TRANSPORTATION LOSS - 11875 ALNAWAH"/>
    <x v="118"/>
    <s v="Loss"/>
    <x v="1"/>
    <x v="4"/>
    <x v="0"/>
    <s v="a.bakri"/>
    <n v="-3"/>
    <n v="-7.4999999999999997E-2"/>
    <n v="31675.77131"/>
    <s v=""/>
    <s v="000000"/>
    <s v="X03843"/>
    <s v=""/>
    <s v="Q06007"/>
    <n v="0"/>
    <n v="-95027.313930000004"/>
    <x v="2"/>
  </r>
  <r>
    <x v="1"/>
    <s v="TF"/>
    <x v="9"/>
    <x v="4"/>
    <s v="IF0001"/>
    <s v="Flour Import Elngm 25Kg"/>
    <x v="5"/>
    <x v="1"/>
    <d v="2025-02-09T00:00:00"/>
    <s v="SCRP"/>
    <s v="TRANSPORTATION LOSS - 11883 RIBA"/>
    <x v="118"/>
    <s v="Loss"/>
    <x v="1"/>
    <x v="4"/>
    <x v="0"/>
    <s v="a.bakri"/>
    <n v="-4"/>
    <n v="-0.1"/>
    <n v="31675.77131"/>
    <s v=""/>
    <s v="000001"/>
    <s v="X03844"/>
    <s v=""/>
    <s v="Q06007"/>
    <n v="0"/>
    <n v="-126703.08524"/>
    <x v="2"/>
  </r>
  <r>
    <x v="1"/>
    <s v="TF"/>
    <x v="9"/>
    <x v="4"/>
    <s v="IF0001"/>
    <s v="Flour Import Elngm 25Kg"/>
    <x v="5"/>
    <x v="1"/>
    <d v="2025-02-09T00:00:00"/>
    <s v="SCRP"/>
    <s v="TRANSPORTATION LOSS - 11921 RIBA"/>
    <x v="118"/>
    <s v="Loss"/>
    <x v="1"/>
    <x v="4"/>
    <x v="0"/>
    <s v="a.bakri"/>
    <n v="-3"/>
    <n v="-7.4999999999999997E-2"/>
    <n v="31675.77131"/>
    <s v=""/>
    <s v="000002"/>
    <s v="X03845"/>
    <s v=""/>
    <s v="Q06007"/>
    <n v="0"/>
    <n v="-95027.313930000004"/>
    <x v="2"/>
  </r>
  <r>
    <x v="1"/>
    <s v="TF"/>
    <x v="9"/>
    <x v="4"/>
    <s v="IF0001"/>
    <s v="Flour Import Elngm 25Kg"/>
    <x v="5"/>
    <x v="1"/>
    <d v="2025-02-09T00:00:00"/>
    <s v="SCRP"/>
    <s v="TRANSPORTATION LOSS - 11926 ARIF&amp;MUBARK"/>
    <x v="118"/>
    <s v="Loss"/>
    <x v="1"/>
    <x v="4"/>
    <x v="0"/>
    <s v="a.bakri"/>
    <n v="-1"/>
    <n v="-2.5000000000000001E-2"/>
    <n v="31675.77131"/>
    <s v=""/>
    <s v="000003"/>
    <s v="X03846"/>
    <s v=""/>
    <s v="Q06007"/>
    <n v="0"/>
    <n v="-31675.77131"/>
    <x v="2"/>
  </r>
  <r>
    <x v="1"/>
    <s v="TJ"/>
    <x v="9"/>
    <x v="4"/>
    <s v="IF0001"/>
    <s v="Flour Import Elngm 25Kg"/>
    <x v="5"/>
    <x v="1"/>
    <d v="2025-02-09T00:00:00"/>
    <s v="SCRP"/>
    <s v="TRANSPORTATION LOSS - 11665 DARKA"/>
    <x v="118"/>
    <s v="Loss"/>
    <x v="1"/>
    <x v="4"/>
    <x v="0"/>
    <s v="a.bakri"/>
    <n v="-5"/>
    <n v="-0.125"/>
    <n v="31675.77131"/>
    <s v=""/>
    <s v="000000"/>
    <s v="X03849"/>
    <s v=""/>
    <s v="Q06007"/>
    <n v="0"/>
    <n v="-158378.85655"/>
    <x v="2"/>
  </r>
  <r>
    <x v="1"/>
    <s v="TJ"/>
    <x v="9"/>
    <x v="4"/>
    <s v="IF0001"/>
    <s v="Flour Import Elngm 25Kg"/>
    <x v="5"/>
    <x v="1"/>
    <d v="2025-02-09T00:00:00"/>
    <s v="SCRP"/>
    <s v="TRANSPORTATION LOSS - 11764 BEST"/>
    <x v="118"/>
    <s v="Loss"/>
    <x v="1"/>
    <x v="4"/>
    <x v="0"/>
    <s v="a.bakri"/>
    <n v="-2"/>
    <n v="-0.05"/>
    <n v="31675.77131"/>
    <s v=""/>
    <s v="000001"/>
    <s v="X03850"/>
    <s v=""/>
    <s v="Q06007"/>
    <n v="0"/>
    <n v="-63351.54262"/>
    <x v="2"/>
  </r>
  <r>
    <x v="1"/>
    <s v="TJ"/>
    <x v="9"/>
    <x v="4"/>
    <s v="IF0001"/>
    <s v="Flour Import Elngm 25Kg"/>
    <x v="5"/>
    <x v="1"/>
    <d v="2025-02-09T00:00:00"/>
    <s v="SCRP"/>
    <s v="TRANSPORTATION LOSS - 11803 RIBA"/>
    <x v="118"/>
    <s v="Loss"/>
    <x v="1"/>
    <x v="4"/>
    <x v="0"/>
    <s v="a.bakri"/>
    <n v="-2"/>
    <n v="-0.05"/>
    <n v="31675.77131"/>
    <s v=""/>
    <s v="000002"/>
    <s v="X03851"/>
    <s v=""/>
    <s v="Q06007"/>
    <n v="0"/>
    <n v="-63351.54262"/>
    <x v="2"/>
  </r>
  <r>
    <x v="1"/>
    <s v="TJ"/>
    <x v="9"/>
    <x v="4"/>
    <s v="IF0001"/>
    <s v="Flour Import Elngm 25Kg"/>
    <x v="5"/>
    <x v="1"/>
    <d v="2025-02-09T00:00:00"/>
    <s v="SCRP"/>
    <s v="TRANSPORTATION LOSS - 11811 ANJAL"/>
    <x v="118"/>
    <s v="Loss"/>
    <x v="1"/>
    <x v="4"/>
    <x v="0"/>
    <s v="a.bakri"/>
    <n v="-1"/>
    <n v="-2.5000000000000001E-2"/>
    <n v="31675.77131"/>
    <s v=""/>
    <s v="000003"/>
    <s v="X03852"/>
    <s v=""/>
    <s v="Q06007"/>
    <n v="0"/>
    <n v="-31675.77131"/>
    <x v="2"/>
  </r>
  <r>
    <x v="1"/>
    <s v="TJ"/>
    <x v="9"/>
    <x v="4"/>
    <s v="IF0001"/>
    <s v="Flour Import Elngm 25Kg"/>
    <x v="5"/>
    <x v="1"/>
    <d v="2025-02-09T00:00:00"/>
    <s v="SCRP"/>
    <s v="TRANSPORTATION LOSS - 11812 ANJAL"/>
    <x v="118"/>
    <s v="Loss"/>
    <x v="1"/>
    <x v="4"/>
    <x v="0"/>
    <s v="a.bakri"/>
    <n v="-1"/>
    <n v="-2.5000000000000001E-2"/>
    <n v="31675.77131"/>
    <s v=""/>
    <s v="000004"/>
    <s v="X03853"/>
    <s v=""/>
    <s v="Q06007"/>
    <n v="0"/>
    <n v="-31675.77131"/>
    <x v="2"/>
  </r>
  <r>
    <x v="1"/>
    <s v="TJ"/>
    <x v="9"/>
    <x v="4"/>
    <s v="IF0001"/>
    <s v="Flour Import Elngm 25Kg"/>
    <x v="5"/>
    <x v="1"/>
    <d v="2025-02-09T00:00:00"/>
    <s v="SCRP"/>
    <s v="TRANSPORTATION LOSS - 11815 RIBA"/>
    <x v="118"/>
    <s v="Loss"/>
    <x v="1"/>
    <x v="4"/>
    <x v="0"/>
    <s v="a.bakri"/>
    <n v="-4"/>
    <n v="-0.1"/>
    <n v="31675.77131"/>
    <s v=""/>
    <s v="000005"/>
    <s v="X03854"/>
    <s v=""/>
    <s v="Q06007"/>
    <n v="0"/>
    <n v="-126703.08524"/>
    <x v="2"/>
  </r>
  <r>
    <x v="1"/>
    <s v="TJ"/>
    <x v="9"/>
    <x v="2"/>
    <s v="WS0001"/>
    <s v="White Sugar"/>
    <x v="4"/>
    <x v="1"/>
    <d v="2025-02-09T00:00:00"/>
    <s v="SCRP"/>
    <s v="TRANSPORTATION LOSS - 11869 DELTA"/>
    <x v="118"/>
    <s v="Loss"/>
    <x v="1"/>
    <x v="4"/>
    <x v="0"/>
    <s v="a.bakri"/>
    <n v="-6"/>
    <n v="-0.3"/>
    <n v="90996.144530000005"/>
    <s v=""/>
    <s v="000000"/>
    <s v="X03855"/>
    <s v=""/>
    <s v="Q05938"/>
    <n v="0"/>
    <n v="-545976.86718000006"/>
    <x v="1"/>
  </r>
  <r>
    <x v="1"/>
    <s v="TJ"/>
    <x v="9"/>
    <x v="2"/>
    <s v="WS0001"/>
    <s v="White Sugar"/>
    <x v="4"/>
    <x v="1"/>
    <d v="2025-02-09T00:00:00"/>
    <s v="SCRP"/>
    <s v="TRANSPORTATION LOSS - 11870 DELTA"/>
    <x v="118"/>
    <s v="Loss"/>
    <x v="1"/>
    <x v="4"/>
    <x v="0"/>
    <s v="a.bakri"/>
    <n v="-8"/>
    <n v="-0.4"/>
    <n v="90996.144530000005"/>
    <s v=""/>
    <s v="000001"/>
    <s v="X03856"/>
    <s v=""/>
    <s v="Q05938"/>
    <n v="0"/>
    <n v="-727969.15624000004"/>
    <x v="1"/>
  </r>
  <r>
    <x v="1"/>
    <s v="TW"/>
    <x v="9"/>
    <x v="4"/>
    <s v="IF0001"/>
    <s v="Flour Import Elngm 25Kg"/>
    <x v="5"/>
    <x v="1"/>
    <d v="2025-02-09T00:00:00"/>
    <s v="SCRP"/>
    <s v="TRANSPORTATION LOSS - 11909 ARIF&amp;MUBARK"/>
    <x v="118"/>
    <s v="Loss"/>
    <x v="1"/>
    <x v="4"/>
    <x v="0"/>
    <s v="a.bakri"/>
    <n v="-7"/>
    <n v="-0.17499999999999999"/>
    <n v="31675.77131"/>
    <s v=""/>
    <s v="000000"/>
    <s v="X03857"/>
    <s v=""/>
    <s v="Q06007"/>
    <n v="0"/>
    <n v="-221730.39916999999"/>
    <x v="2"/>
  </r>
  <r>
    <x v="1"/>
    <s v="TW"/>
    <x v="9"/>
    <x v="4"/>
    <s v="IF0001"/>
    <s v="Flour Import Elngm 25Kg"/>
    <x v="5"/>
    <x v="1"/>
    <d v="2025-02-09T00:00:00"/>
    <s v="SCRP"/>
    <s v="TRANSPORTATION LOSS - 11918 RIBA"/>
    <x v="118"/>
    <s v="Loss"/>
    <x v="1"/>
    <x v="4"/>
    <x v="0"/>
    <s v="a.bakri"/>
    <n v="-1"/>
    <n v="-2.5000000000000001E-2"/>
    <n v="31675.77131"/>
    <s v=""/>
    <s v="000001"/>
    <s v="X03859"/>
    <s v=""/>
    <s v="Q06007"/>
    <n v="0"/>
    <n v="-31675.77131"/>
    <x v="2"/>
  </r>
  <r>
    <x v="1"/>
    <s v="TW"/>
    <x v="9"/>
    <x v="4"/>
    <s v="IF0001"/>
    <s v="Flour Import Elngm 25Kg"/>
    <x v="5"/>
    <x v="1"/>
    <d v="2025-02-09T00:00:00"/>
    <s v="SCRP"/>
    <s v="TRANSPORTATION LOSS - 11927 ARIF&amp;MUBARK"/>
    <x v="118"/>
    <s v="Loss"/>
    <x v="1"/>
    <x v="4"/>
    <x v="0"/>
    <s v="a.bakri"/>
    <n v="-1"/>
    <n v="-2.5000000000000001E-2"/>
    <n v="31675.77131"/>
    <s v=""/>
    <s v="000002"/>
    <s v="X03860"/>
    <s v=""/>
    <s v="Q06007"/>
    <n v="0"/>
    <n v="-31675.77131"/>
    <x v="2"/>
  </r>
  <r>
    <x v="1"/>
    <s v="TW"/>
    <x v="9"/>
    <x v="4"/>
    <s v="IF0001"/>
    <s v="Flour Import Elngm 25Kg"/>
    <x v="5"/>
    <x v="1"/>
    <d v="2025-02-09T00:00:00"/>
    <s v="SCRP"/>
    <s v="TRANSPORTATION LOSS - 11946 KHALID AWAD"/>
    <x v="118"/>
    <s v="Loss"/>
    <x v="1"/>
    <x v="4"/>
    <x v="0"/>
    <s v="a.bakri"/>
    <n v="-2"/>
    <n v="-0.05"/>
    <n v="31675.77131"/>
    <s v=""/>
    <s v="000003"/>
    <s v="X03861"/>
    <s v=""/>
    <s v="Q06007"/>
    <n v="0"/>
    <n v="-63351.54262"/>
    <x v="2"/>
  </r>
  <r>
    <x v="8"/>
    <s v="XP"/>
    <x v="9"/>
    <x v="7"/>
    <s v="SM0001"/>
    <s v="Gadarif Sesame - FG"/>
    <x v="16"/>
    <x v="0"/>
    <d v="2025-04-08T00:00:00"/>
    <s v="SCRP"/>
    <s v="TRANSPORTATION LOSS - 7648 DELTA"/>
    <x v="118"/>
    <s v="Loss"/>
    <x v="1"/>
    <x v="4"/>
    <x v="0"/>
    <s v="a.bakri"/>
    <n v="-2"/>
    <n v="-0.1"/>
    <n v="199389.76316"/>
    <s v=""/>
    <s v="000000"/>
    <s v="X03957"/>
    <s v=""/>
    <s v="CNC000738"/>
    <n v="0"/>
    <n v="-398779.52632"/>
    <x v="1"/>
  </r>
  <r>
    <x v="8"/>
    <s v="XP"/>
    <x v="9"/>
    <x v="7"/>
    <s v="SM0001"/>
    <s v="Gadarif Sesame - FG"/>
    <x v="16"/>
    <x v="0"/>
    <d v="2025-04-08T00:00:00"/>
    <s v="SCRP"/>
    <s v="TRANSPORTATION LOSS - 7649 DELTA"/>
    <x v="118"/>
    <s v="Loss"/>
    <x v="1"/>
    <x v="4"/>
    <x v="0"/>
    <s v="a.bakri"/>
    <n v="-3"/>
    <n v="-0.15"/>
    <n v="199389.76316"/>
    <s v=""/>
    <s v="000001"/>
    <s v="X03958"/>
    <s v=""/>
    <s v="CNC000738"/>
    <n v="0"/>
    <n v="-598169.28948000004"/>
    <x v="1"/>
  </r>
  <r>
    <x v="6"/>
    <s v="IS"/>
    <x v="9"/>
    <x v="4"/>
    <s v="NF0001"/>
    <s v="Alnajm Flour from Mill 25KG"/>
    <x v="15"/>
    <x v="1"/>
    <d v="2025-03-04T00:00:00"/>
    <s v="SCRP"/>
    <s v="TRANSPORTATION LOSS - 19433 ANJAL"/>
    <x v="118"/>
    <s v="Loss"/>
    <x v="1"/>
    <x v="4"/>
    <x v="0"/>
    <s v="a.bakri"/>
    <n v="-1"/>
    <n v="-2.5000000000000001E-2"/>
    <n v="31777.27522"/>
    <s v=""/>
    <s v="000000"/>
    <s v="X03884"/>
    <s v=""/>
    <s v="P03659"/>
    <n v="0"/>
    <n v="-31777.27522"/>
    <x v="2"/>
  </r>
  <r>
    <x v="6"/>
    <s v="IS"/>
    <x v="9"/>
    <x v="2"/>
    <s v="WS0005"/>
    <s v="White Sugar"/>
    <x v="4"/>
    <x v="1"/>
    <d v="2025-03-04T00:00:00"/>
    <s v="SCRP"/>
    <s v="TRANSPORTATION LOSS - 12123 DARKA"/>
    <x v="118"/>
    <s v="Loss"/>
    <x v="1"/>
    <x v="4"/>
    <x v="0"/>
    <s v="a.bakri"/>
    <n v="-1"/>
    <n v="-0.05"/>
    <n v="81012.933590000001"/>
    <s v=""/>
    <s v="000000"/>
    <s v="X03885"/>
    <s v=""/>
    <s v="Q06075"/>
    <n v="0"/>
    <n v="-81012.933590000001"/>
    <x v="1"/>
  </r>
  <r>
    <x v="6"/>
    <s v="IS"/>
    <x v="9"/>
    <x v="2"/>
    <s v="WS0005"/>
    <s v="White Sugar"/>
    <x v="4"/>
    <x v="1"/>
    <d v="2025-03-04T00:00:00"/>
    <s v="SCRP"/>
    <s v="TRANSPORTATION LOSS - 12146 RIBA"/>
    <x v="118"/>
    <s v="Loss"/>
    <x v="1"/>
    <x v="4"/>
    <x v="0"/>
    <s v="a.bakri"/>
    <n v="-1"/>
    <n v="-0.05"/>
    <n v="81012.933590000001"/>
    <s v=""/>
    <s v="000001"/>
    <s v="X03886"/>
    <s v=""/>
    <s v="Q06075"/>
    <n v="0"/>
    <n v="-81012.933590000001"/>
    <x v="1"/>
  </r>
  <r>
    <x v="6"/>
    <s v="IS"/>
    <x v="9"/>
    <x v="2"/>
    <s v="WS0005"/>
    <s v="White Sugar"/>
    <x v="4"/>
    <x v="1"/>
    <d v="2025-03-04T00:00:00"/>
    <s v="SCRP"/>
    <s v="TRANSPORTATION LOSS - 12215 RIBA"/>
    <x v="118"/>
    <s v="Loss"/>
    <x v="1"/>
    <x v="4"/>
    <x v="0"/>
    <s v="a.bakri"/>
    <n v="-1"/>
    <n v="-0.05"/>
    <n v="81012.933590000001"/>
    <s v=""/>
    <s v="000002"/>
    <s v="X03887"/>
    <s v=""/>
    <s v="Q06075"/>
    <n v="0"/>
    <n v="-81012.933590000001"/>
    <x v="1"/>
  </r>
  <r>
    <x v="6"/>
    <s v="IS"/>
    <x v="9"/>
    <x v="2"/>
    <s v="WS0005"/>
    <s v="White Sugar"/>
    <x v="4"/>
    <x v="1"/>
    <d v="2025-03-04T00:00:00"/>
    <s v="SCRP"/>
    <s v="TRANSPORTATION LOSS - 12225 RIBA"/>
    <x v="118"/>
    <s v="Loss"/>
    <x v="1"/>
    <x v="4"/>
    <x v="0"/>
    <s v="a.bakri"/>
    <n v="-7"/>
    <n v="-0.35"/>
    <n v="81012.933590000001"/>
    <s v=""/>
    <s v="000003"/>
    <s v="X03888"/>
    <s v=""/>
    <s v="Q06075"/>
    <n v="0"/>
    <n v="-567090.53512999997"/>
    <x v="1"/>
  </r>
  <r>
    <x v="6"/>
    <s v="IS"/>
    <x v="9"/>
    <x v="2"/>
    <s v="WS0005"/>
    <s v="White Sugar"/>
    <x v="4"/>
    <x v="1"/>
    <d v="2025-03-04T00:00:00"/>
    <s v="SCRP"/>
    <s v="TRANSPORTATION LOSS - 12228 DELTA"/>
    <x v="118"/>
    <s v="Loss"/>
    <x v="1"/>
    <x v="4"/>
    <x v="0"/>
    <s v="a.bakri"/>
    <n v="-1"/>
    <n v="-0.05"/>
    <n v="81012.933590000001"/>
    <s v=""/>
    <s v="000004"/>
    <s v="X03889"/>
    <s v=""/>
    <s v="Q06075"/>
    <n v="0"/>
    <n v="-81012.933590000001"/>
    <x v="1"/>
  </r>
  <r>
    <x v="6"/>
    <s v="IS"/>
    <x v="9"/>
    <x v="4"/>
    <s v="IF0001"/>
    <s v="Flour Import Elngm 25Kg"/>
    <x v="5"/>
    <x v="1"/>
    <d v="2025-03-04T00:00:00"/>
    <s v="SCRP"/>
    <s v="TRANSPORTATION LOSS - 11951 DELTA"/>
    <x v="118"/>
    <s v="Loss"/>
    <x v="1"/>
    <x v="4"/>
    <x v="0"/>
    <s v="a.bakri"/>
    <n v="-1"/>
    <n v="-2.5000000000000001E-2"/>
    <n v="31777.27522"/>
    <s v=""/>
    <s v="000000"/>
    <s v="X03871"/>
    <s v=""/>
    <s v="Q06007"/>
    <n v="0"/>
    <n v="-31777.27522"/>
    <x v="2"/>
  </r>
  <r>
    <x v="6"/>
    <s v="IS"/>
    <x v="9"/>
    <x v="4"/>
    <s v="IF0001"/>
    <s v="Flour Import Elngm 25Kg"/>
    <x v="5"/>
    <x v="1"/>
    <d v="2025-03-04T00:00:00"/>
    <s v="SCRP"/>
    <s v="TRANSPORTATION LOSS - 11860 ANJAL"/>
    <x v="118"/>
    <s v="Loss"/>
    <x v="1"/>
    <x v="4"/>
    <x v="0"/>
    <s v="a.bakri"/>
    <n v="-1"/>
    <n v="-2.5000000000000001E-2"/>
    <n v="31777.27522"/>
    <s v=""/>
    <s v="000001"/>
    <s v="X03872"/>
    <s v=""/>
    <s v="Q06007"/>
    <n v="0"/>
    <n v="-31777.27522"/>
    <x v="2"/>
  </r>
  <r>
    <x v="6"/>
    <s v="IS"/>
    <x v="9"/>
    <x v="4"/>
    <s v="IF0001"/>
    <s v="Flour Import Elngm 25Kg"/>
    <x v="5"/>
    <x v="1"/>
    <d v="2025-03-04T00:00:00"/>
    <s v="SCRP"/>
    <s v="TRANSPORTATION LOSS - 14201 privet contract"/>
    <x v="118"/>
    <s v="Loss"/>
    <x v="1"/>
    <x v="4"/>
    <x v="0"/>
    <s v="a.bakri"/>
    <n v="-1"/>
    <n v="-2.5000000000000001E-2"/>
    <n v="31777.27522"/>
    <s v=""/>
    <s v="000002"/>
    <s v="X03873"/>
    <s v=""/>
    <s v="Q06007"/>
    <n v="0"/>
    <n v="-31777.27522"/>
    <x v="2"/>
  </r>
  <r>
    <x v="6"/>
    <s v="IS"/>
    <x v="9"/>
    <x v="4"/>
    <s v="IF0001"/>
    <s v="Flour Import Elngm 25Kg"/>
    <x v="5"/>
    <x v="1"/>
    <d v="2025-03-04T00:00:00"/>
    <s v="SCRP"/>
    <s v="TRANSPORTATION LOSS - 14204 privet contract"/>
    <x v="118"/>
    <s v="Loss"/>
    <x v="1"/>
    <x v="4"/>
    <x v="0"/>
    <s v="a.bakri"/>
    <n v="-2"/>
    <n v="-0.05"/>
    <n v="31777.27522"/>
    <s v=""/>
    <s v="000003"/>
    <s v="X03874"/>
    <s v=""/>
    <s v="Q06007"/>
    <n v="0"/>
    <n v="-63554.550439999999"/>
    <x v="2"/>
  </r>
  <r>
    <x v="6"/>
    <s v="IS"/>
    <x v="9"/>
    <x v="4"/>
    <s v="IF0001"/>
    <s v="Flour Import Elngm 25Kg"/>
    <x v="5"/>
    <x v="1"/>
    <d v="2025-03-04T00:00:00"/>
    <s v="SCRP"/>
    <s v="TRANSPORTATION LOSS - 14217 privet contract"/>
    <x v="118"/>
    <s v="Loss"/>
    <x v="1"/>
    <x v="4"/>
    <x v="0"/>
    <s v="a.bakri"/>
    <n v="-13"/>
    <n v="-0.32500000000000001"/>
    <n v="31777.27522"/>
    <s v=""/>
    <s v="000004"/>
    <s v="X03875"/>
    <s v=""/>
    <s v="Q06007"/>
    <n v="0"/>
    <n v="-413104.57786000002"/>
    <x v="2"/>
  </r>
  <r>
    <x v="6"/>
    <s v="IS"/>
    <x v="9"/>
    <x v="4"/>
    <s v="IF0001"/>
    <s v="Flour Import Elngm 25Kg"/>
    <x v="5"/>
    <x v="1"/>
    <d v="2025-03-04T00:00:00"/>
    <s v="SCRP"/>
    <s v="TRANSPORTATION LOSS - 14332 privet contract"/>
    <x v="118"/>
    <s v="Loss"/>
    <x v="1"/>
    <x v="4"/>
    <x v="0"/>
    <s v="a.bakri"/>
    <n v="-2"/>
    <n v="-0.05"/>
    <n v="31777.27522"/>
    <s v=""/>
    <s v="000005"/>
    <s v="X03876"/>
    <s v=""/>
    <s v="Q06007"/>
    <n v="0"/>
    <n v="-63554.550439999999"/>
    <x v="2"/>
  </r>
  <r>
    <x v="6"/>
    <s v="IS"/>
    <x v="9"/>
    <x v="4"/>
    <s v="IF0001"/>
    <s v="Flour Import Elngm 25Kg"/>
    <x v="5"/>
    <x v="1"/>
    <d v="2025-03-04T00:00:00"/>
    <s v="SCRP"/>
    <s v="TRANSPORTATION LOSS - 14335 ALOMDA"/>
    <x v="118"/>
    <s v="Loss"/>
    <x v="1"/>
    <x v="4"/>
    <x v="0"/>
    <s v="a.bakri"/>
    <n v="-5"/>
    <n v="-0.125"/>
    <n v="31777.27522"/>
    <s v=""/>
    <s v="000006"/>
    <s v="X03877"/>
    <s v=""/>
    <s v="Q06007"/>
    <n v="0"/>
    <n v="-158886.37609999999"/>
    <x v="2"/>
  </r>
  <r>
    <x v="6"/>
    <s v="IS"/>
    <x v="9"/>
    <x v="4"/>
    <s v="IF0001"/>
    <s v="Flour Import Elngm 25Kg"/>
    <x v="5"/>
    <x v="1"/>
    <d v="2025-03-04T00:00:00"/>
    <s v="SCRP"/>
    <s v="TRANSPORTATION LOSS - 14338 ALOMDA"/>
    <x v="118"/>
    <s v="Loss"/>
    <x v="1"/>
    <x v="4"/>
    <x v="0"/>
    <s v="a.bakri"/>
    <n v="-1"/>
    <n v="-2.5000000000000001E-2"/>
    <n v="31777.27522"/>
    <s v=""/>
    <s v="000007"/>
    <s v="X03878"/>
    <s v=""/>
    <s v="Q06007"/>
    <n v="0"/>
    <n v="-31777.27522"/>
    <x v="2"/>
  </r>
  <r>
    <x v="6"/>
    <s v="IS"/>
    <x v="9"/>
    <x v="4"/>
    <s v="IF0001"/>
    <s v="Flour Import Elngm 25Kg"/>
    <x v="5"/>
    <x v="1"/>
    <d v="2025-03-04T00:00:00"/>
    <s v="SCRP"/>
    <s v="TRANSPORTATION LOSS - 14339 ALOMDA"/>
    <x v="118"/>
    <s v="Loss"/>
    <x v="1"/>
    <x v="4"/>
    <x v="0"/>
    <s v="a.bakri"/>
    <n v="-2"/>
    <n v="-0.05"/>
    <n v="31777.27522"/>
    <s v=""/>
    <s v="000008"/>
    <s v="X03879"/>
    <s v=""/>
    <s v="Q06007"/>
    <n v="0"/>
    <n v="-63554.550439999999"/>
    <x v="2"/>
  </r>
  <r>
    <x v="6"/>
    <s v="IS"/>
    <x v="9"/>
    <x v="4"/>
    <s v="IF0001"/>
    <s v="Flour Import Elngm 25Kg"/>
    <x v="5"/>
    <x v="1"/>
    <d v="2025-03-04T00:00:00"/>
    <s v="SCRP"/>
    <s v="TRANSPORTATION LOSS - 14344 privet contract"/>
    <x v="118"/>
    <s v="Loss"/>
    <x v="1"/>
    <x v="4"/>
    <x v="0"/>
    <s v="a.bakri"/>
    <n v="-1"/>
    <n v="-2.5000000000000001E-2"/>
    <n v="31777.27522"/>
    <s v=""/>
    <s v="000009"/>
    <s v="X03880"/>
    <s v=""/>
    <s v="Q06007"/>
    <n v="0"/>
    <n v="-31777.27522"/>
    <x v="2"/>
  </r>
  <r>
    <x v="6"/>
    <s v="IS"/>
    <x v="9"/>
    <x v="5"/>
    <s v="LE0001"/>
    <s v="Lentil TAT 20KG"/>
    <x v="7"/>
    <x v="1"/>
    <d v="2025-03-04T00:00:00"/>
    <s v="SCRP"/>
    <s v="TRANSPORTATION LOSS - 11897 ARIF&amp;ALMUBARK"/>
    <x v="118"/>
    <s v="Loss"/>
    <x v="1"/>
    <x v="4"/>
    <x v="0"/>
    <s v="a.bakri"/>
    <n v="-6"/>
    <n v="-0.12"/>
    <n v="50018.234799999998"/>
    <s v=""/>
    <s v="000002"/>
    <s v="X03881"/>
    <s v=""/>
    <s v="Q06109"/>
    <n v="0"/>
    <n v="-300109.40879999998"/>
    <x v="3"/>
  </r>
  <r>
    <x v="6"/>
    <s v="IS"/>
    <x v="9"/>
    <x v="5"/>
    <s v="LE0001"/>
    <s v="Lentil TAT 20KG"/>
    <x v="7"/>
    <x v="1"/>
    <d v="2025-03-04T00:00:00"/>
    <s v="SCRP"/>
    <s v="TRANSPORTATION LOSS - 13129 ABURNAT"/>
    <x v="118"/>
    <s v="Loss"/>
    <x v="1"/>
    <x v="4"/>
    <x v="0"/>
    <s v="a.bakri"/>
    <n v="-2"/>
    <n v="-0.04"/>
    <n v="50018.234799999998"/>
    <s v=""/>
    <s v="000003"/>
    <s v="X03882"/>
    <s v=""/>
    <s v="Q06109"/>
    <n v="0"/>
    <n v="-100036.4696"/>
    <x v="3"/>
  </r>
  <r>
    <x v="6"/>
    <s v="IS"/>
    <x v="9"/>
    <x v="5"/>
    <s v="LE0001"/>
    <s v="Lentil TAT 20KG"/>
    <x v="7"/>
    <x v="1"/>
    <d v="2025-03-04T00:00:00"/>
    <s v="SCRP"/>
    <s v="TRANSPORTATION LOSS - 13144 ALTAF"/>
    <x v="118"/>
    <s v="Loss"/>
    <x v="1"/>
    <x v="4"/>
    <x v="0"/>
    <s v="a.bakri"/>
    <n v="-2"/>
    <n v="-0.04"/>
    <n v="50018.234799999998"/>
    <s v=""/>
    <s v="000004"/>
    <s v="X03883"/>
    <s v=""/>
    <s v="Q06109"/>
    <n v="0"/>
    <n v="-100036.4696"/>
    <x v="3"/>
  </r>
  <r>
    <x v="6"/>
    <s v="IS"/>
    <x v="9"/>
    <x v="2"/>
    <s v="WS0005"/>
    <s v="White Sugar"/>
    <x v="4"/>
    <x v="1"/>
    <d v="2025-03-04T00:00:00"/>
    <s v="SCRP"/>
    <s v="TRANSPORTATION LOSS - 12195 DELTA"/>
    <x v="118"/>
    <s v="Loss"/>
    <x v="1"/>
    <x v="4"/>
    <x v="0"/>
    <s v="a.bakri"/>
    <n v="-2"/>
    <n v="-0.1"/>
    <n v="81012.933590000001"/>
    <s v=""/>
    <s v="000005"/>
    <s v="X03890"/>
    <s v=""/>
    <s v="Q06075"/>
    <n v="0"/>
    <n v="-162025.86718"/>
    <x v="1"/>
  </r>
  <r>
    <x v="6"/>
    <s v="TK"/>
    <x v="9"/>
    <x v="2"/>
    <s v="WS0005"/>
    <s v="White Sugar"/>
    <x v="4"/>
    <x v="1"/>
    <d v="2025-03-04T00:00:00"/>
    <s v="SCRP"/>
    <s v="TRANSPORTATION LOSS - 12176 ALSNOSI"/>
    <x v="118"/>
    <s v="Loss"/>
    <x v="1"/>
    <x v="4"/>
    <x v="0"/>
    <s v="a.bakri"/>
    <n v="-2"/>
    <n v="-0.1"/>
    <n v="81012.933590000001"/>
    <s v=""/>
    <s v="000000"/>
    <s v="X03891"/>
    <s v=""/>
    <s v="Q06075"/>
    <n v="0"/>
    <n v="-162025.86718"/>
    <x v="1"/>
  </r>
  <r>
    <x v="6"/>
    <s v="TW"/>
    <x v="9"/>
    <x v="4"/>
    <s v="IF0001"/>
    <s v="Flour Import Elngm 25Kg"/>
    <x v="5"/>
    <x v="1"/>
    <d v="2025-03-04T00:00:00"/>
    <s v="SCRP"/>
    <s v="TRANSPORTATION LOSS - 11893 RIBA"/>
    <x v="118"/>
    <s v="Loss"/>
    <x v="1"/>
    <x v="4"/>
    <x v="0"/>
    <s v="a.bakri"/>
    <n v="-1"/>
    <n v="-2.5000000000000001E-2"/>
    <n v="31777.27522"/>
    <s v=""/>
    <s v="000000"/>
    <s v="X03892"/>
    <s v=""/>
    <s v="Q06120"/>
    <n v="0"/>
    <n v="-31777.27522"/>
    <x v="2"/>
  </r>
  <r>
    <x v="6"/>
    <s v="TW"/>
    <x v="9"/>
    <x v="4"/>
    <s v="IF0001"/>
    <s v="Flour Import Elngm 25Kg"/>
    <x v="5"/>
    <x v="1"/>
    <d v="2025-03-04T00:00:00"/>
    <s v="SCRP"/>
    <s v="TRANSPORTATION LOSS - 11894 RIBA"/>
    <x v="118"/>
    <s v="Loss"/>
    <x v="1"/>
    <x v="4"/>
    <x v="0"/>
    <s v="a.bakri"/>
    <n v="-1"/>
    <n v="-2.5000000000000001E-2"/>
    <n v="31777.27522"/>
    <s v=""/>
    <s v="000001"/>
    <s v="X03893"/>
    <s v=""/>
    <s v="Q06120"/>
    <n v="0"/>
    <n v="-31777.27522"/>
    <x v="2"/>
  </r>
  <r>
    <x v="6"/>
    <s v="TW"/>
    <x v="9"/>
    <x v="3"/>
    <s v="RC0006"/>
    <s v="Rice Short Grain Elngm 25Kg"/>
    <x v="3"/>
    <x v="1"/>
    <d v="2025-03-04T00:00:00"/>
    <s v="SCRP"/>
    <s v="TRANSPORTATION LOSS - 13058 ANJAL"/>
    <x v="118"/>
    <s v="Loss"/>
    <x v="1"/>
    <x v="4"/>
    <x v="0"/>
    <s v="a.bakri"/>
    <n v="-6"/>
    <n v="-0.15"/>
    <n v="50522.55"/>
    <s v=""/>
    <s v="000000"/>
    <s v="X03894"/>
    <s v=""/>
    <s v="Q06110"/>
    <n v="0"/>
    <n v="-303135.30000000005"/>
    <x v="2"/>
  </r>
  <r>
    <x v="6"/>
    <s v="TW"/>
    <x v="9"/>
    <x v="3"/>
    <s v="RC0006"/>
    <s v="Rice Short Grain Elngm 25Kg"/>
    <x v="3"/>
    <x v="1"/>
    <d v="2025-03-04T00:00:00"/>
    <s v="SCRP"/>
    <s v="TRANSPORTATION LOSS - 13060 ANJAL"/>
    <x v="118"/>
    <s v="Loss"/>
    <x v="1"/>
    <x v="4"/>
    <x v="0"/>
    <s v="a.bakri"/>
    <n v="-2"/>
    <n v="-0.05"/>
    <n v="50522.55"/>
    <s v=""/>
    <s v="000001"/>
    <s v="X03895"/>
    <s v=""/>
    <s v="Q06110"/>
    <n v="0"/>
    <n v="-101045.1"/>
    <x v="2"/>
  </r>
  <r>
    <x v="6"/>
    <s v="TW"/>
    <x v="9"/>
    <x v="3"/>
    <s v="RC0006"/>
    <s v="Rice Short Grain Elngm 25Kg"/>
    <x v="3"/>
    <x v="1"/>
    <d v="2025-03-04T00:00:00"/>
    <s v="SCRP"/>
    <s v="TRANSPORTATION LOSS - 13059 ANJAL"/>
    <x v="118"/>
    <s v="Loss"/>
    <x v="1"/>
    <x v="4"/>
    <x v="0"/>
    <s v="a.bakri"/>
    <n v="-3"/>
    <n v="-7.4999999999999997E-2"/>
    <n v="50522.55"/>
    <s v=""/>
    <s v="000002"/>
    <s v="X03896"/>
    <s v=""/>
    <s v="Q06110"/>
    <n v="0"/>
    <n v="-151567.65000000002"/>
    <x v="2"/>
  </r>
  <r>
    <x v="6"/>
    <s v="XA"/>
    <x v="9"/>
    <x v="4"/>
    <s v="IF0001"/>
    <s v="Flour Import Elngm 25Kg"/>
    <x v="5"/>
    <x v="1"/>
    <d v="2025-03-05T00:00:00"/>
    <s v="SCRP"/>
    <s v="TRANSPORTATION LOSS - 2301 DELTA"/>
    <x v="118"/>
    <s v="Loss"/>
    <x v="1"/>
    <x v="4"/>
    <x v="0"/>
    <s v="a.bakri"/>
    <n v="-10"/>
    <n v="-0.25"/>
    <n v="31777.27522"/>
    <s v=""/>
    <s v="000000"/>
    <s v="X03897"/>
    <s v=""/>
    <s v="Q05953"/>
    <n v="0"/>
    <n v="-317772.75219999999"/>
    <x v="2"/>
  </r>
  <r>
    <x v="6"/>
    <s v="TP"/>
    <x v="9"/>
    <x v="5"/>
    <s v="LE0001"/>
    <s v="Lentil TAT 20KG"/>
    <x v="7"/>
    <x v="1"/>
    <d v="2025-03-05T00:00:00"/>
    <s v="SCRP"/>
    <s v="TRANSPORTATION LOSS - 112 DELTA"/>
    <x v="118"/>
    <s v="Loss"/>
    <x v="1"/>
    <x v="4"/>
    <x v="0"/>
    <s v="a.bakri"/>
    <n v="-3"/>
    <n v="-0.06"/>
    <n v="50018.234799999998"/>
    <s v=""/>
    <s v="000000"/>
    <s v="X03898"/>
    <s v=""/>
    <s v="Q06119"/>
    <n v="0"/>
    <n v="-150054.70439999999"/>
    <x v="3"/>
  </r>
  <r>
    <x v="6"/>
    <s v="IS"/>
    <x v="9"/>
    <x v="4"/>
    <s v="IF0001"/>
    <s v="Flour Import Elngm 25Kg"/>
    <x v="5"/>
    <x v="1"/>
    <d v="2025-03-17T00:00:00"/>
    <s v="SCRP"/>
    <s v="TRANSPORTATION LOSS - 12427 ANJAL"/>
    <x v="118"/>
    <s v="Loss"/>
    <x v="1"/>
    <x v="4"/>
    <x v="0"/>
    <s v="a.bakri"/>
    <n v="-1"/>
    <n v="-2.5000000000000001E-2"/>
    <n v="31777.27522"/>
    <s v=""/>
    <s v="000000"/>
    <s v="X03899"/>
    <s v=""/>
    <s v="Q06086"/>
    <n v="0"/>
    <n v="-31777.27522"/>
    <x v="2"/>
  </r>
  <r>
    <x v="6"/>
    <s v="IS"/>
    <x v="9"/>
    <x v="4"/>
    <s v="IF0001"/>
    <s v="Flour Import Elngm 25Kg"/>
    <x v="5"/>
    <x v="1"/>
    <d v="2025-03-17T00:00:00"/>
    <s v="SCRP"/>
    <s v="TRANSPORTATION LOSS - 12428 ALNAWAH"/>
    <x v="118"/>
    <s v="Loss"/>
    <x v="1"/>
    <x v="4"/>
    <x v="0"/>
    <s v="a.bakri"/>
    <n v="-1"/>
    <n v="-2.5000000000000001E-2"/>
    <n v="31777.27522"/>
    <s v=""/>
    <s v="000001"/>
    <s v="X03900"/>
    <s v=""/>
    <s v="Q06086"/>
    <n v="0"/>
    <n v="-31777.27522"/>
    <x v="2"/>
  </r>
  <r>
    <x v="6"/>
    <s v="IS"/>
    <x v="9"/>
    <x v="4"/>
    <s v="IF0001"/>
    <s v="Flour Import Elngm 25Kg"/>
    <x v="5"/>
    <x v="1"/>
    <d v="2025-03-17T00:00:00"/>
    <s v="SCRP"/>
    <s v="TRANSPORTATION LOSS - 12465 ALTAF"/>
    <x v="118"/>
    <s v="Loss"/>
    <x v="1"/>
    <x v="4"/>
    <x v="0"/>
    <s v="a.bakri"/>
    <n v="-1"/>
    <n v="-2.5000000000000001E-2"/>
    <n v="31777.27522"/>
    <s v=""/>
    <s v="000002"/>
    <s v="X03901"/>
    <s v=""/>
    <s v="Q06086"/>
    <n v="0"/>
    <n v="-31777.27522"/>
    <x v="2"/>
  </r>
  <r>
    <x v="6"/>
    <s v="IS"/>
    <x v="9"/>
    <x v="4"/>
    <s v="IF0001"/>
    <s v="Flour Import Elngm 25Kg"/>
    <x v="5"/>
    <x v="1"/>
    <d v="2025-03-17T00:00:00"/>
    <s v="SCRP"/>
    <s v="TRANSPORTATION LOSS - 12466 ALTAF"/>
    <x v="118"/>
    <s v="Loss"/>
    <x v="1"/>
    <x v="4"/>
    <x v="0"/>
    <s v="a.bakri"/>
    <n v="-1"/>
    <n v="-2.5000000000000001E-2"/>
    <n v="31777.27522"/>
    <s v=""/>
    <s v="000003"/>
    <s v="X03902"/>
    <s v=""/>
    <s v="Q06086"/>
    <n v="0"/>
    <n v="-31777.27522"/>
    <x v="2"/>
  </r>
  <r>
    <x v="6"/>
    <s v="IS"/>
    <x v="9"/>
    <x v="4"/>
    <s v="IF0001"/>
    <s v="Flour Import Elngm 25Kg"/>
    <x v="5"/>
    <x v="1"/>
    <d v="2025-03-17T00:00:00"/>
    <s v="SCRP"/>
    <s v="TRANSPORTATION LOSS - 15070 ALTAF"/>
    <x v="118"/>
    <s v="Loss"/>
    <x v="1"/>
    <x v="4"/>
    <x v="0"/>
    <s v="a.bakri"/>
    <n v="-2"/>
    <n v="-0.05"/>
    <n v="31777.27522"/>
    <s v=""/>
    <s v="000004"/>
    <s v="X03904"/>
    <s v=""/>
    <s v="Q06086"/>
    <n v="0"/>
    <n v="-63554.550439999999"/>
    <x v="2"/>
  </r>
  <r>
    <x v="6"/>
    <s v="IS"/>
    <x v="9"/>
    <x v="4"/>
    <s v="IF0001"/>
    <s v="Flour Import Elngm 25Kg"/>
    <x v="5"/>
    <x v="1"/>
    <d v="2025-03-17T00:00:00"/>
    <s v="SCRP"/>
    <s v="TRANSPORTATION LOSS - 15080 ALNAWAH"/>
    <x v="118"/>
    <s v="Loss"/>
    <x v="1"/>
    <x v="4"/>
    <x v="0"/>
    <s v="a.bakri"/>
    <n v="-17"/>
    <n v="-0.42499999999999999"/>
    <n v="31777.27522"/>
    <s v=""/>
    <s v="000005"/>
    <s v="X03905"/>
    <s v=""/>
    <s v="Q06086"/>
    <n v="0"/>
    <n v="-540213.67874"/>
    <x v="2"/>
  </r>
  <r>
    <x v="6"/>
    <s v="IS"/>
    <x v="9"/>
    <x v="4"/>
    <s v="IF0001"/>
    <s v="Flour Import Elngm 25Kg"/>
    <x v="5"/>
    <x v="1"/>
    <d v="2025-03-17T00:00:00"/>
    <s v="SCRP"/>
    <s v="TRANSPORTATION LOSS - 15089 ALNAWAH"/>
    <x v="118"/>
    <s v="Loss"/>
    <x v="1"/>
    <x v="4"/>
    <x v="0"/>
    <s v="a.bakri"/>
    <n v="-1"/>
    <n v="-2.5000000000000001E-2"/>
    <n v="31777.27522"/>
    <s v=""/>
    <s v="000006"/>
    <s v="X03906"/>
    <s v=""/>
    <s v="Q06086"/>
    <n v="0"/>
    <n v="-31777.27522"/>
    <x v="2"/>
  </r>
  <r>
    <x v="6"/>
    <s v="IS"/>
    <x v="9"/>
    <x v="4"/>
    <s v="IF0001"/>
    <s v="Flour Import Elngm 25Kg"/>
    <x v="5"/>
    <x v="1"/>
    <d v="2025-03-17T00:00:00"/>
    <s v="SCRP"/>
    <s v="TRANSPORTATION LOSS - 15100 ALNAWAH"/>
    <x v="118"/>
    <s v="Loss"/>
    <x v="1"/>
    <x v="4"/>
    <x v="0"/>
    <s v="a.bakri"/>
    <n v="-3"/>
    <n v="-7.4999999999999997E-2"/>
    <n v="31777.27522"/>
    <s v=""/>
    <s v="000007"/>
    <s v="X03907"/>
    <s v=""/>
    <s v="Q06086"/>
    <n v="0"/>
    <n v="-95331.825660000002"/>
    <x v="2"/>
  </r>
  <r>
    <x v="6"/>
    <s v="IS"/>
    <x v="9"/>
    <x v="4"/>
    <s v="IF0001"/>
    <s v="Flour Import Elngm 25Kg"/>
    <x v="5"/>
    <x v="1"/>
    <d v="2025-03-17T00:00:00"/>
    <s v="SCRP"/>
    <s v="TRANSPORTATION LOSS - 15901 AlKASIR"/>
    <x v="118"/>
    <s v="Loss"/>
    <x v="1"/>
    <x v="4"/>
    <x v="0"/>
    <s v="a.bakri"/>
    <n v="-1"/>
    <n v="-2.5000000000000001E-2"/>
    <n v="31777.27522"/>
    <s v=""/>
    <s v="000008"/>
    <s v="X03908"/>
    <s v=""/>
    <s v="Q06086"/>
    <n v="0"/>
    <n v="-31777.27522"/>
    <x v="2"/>
  </r>
  <r>
    <x v="6"/>
    <s v="IS"/>
    <x v="9"/>
    <x v="4"/>
    <s v="IF0001"/>
    <s v="Flour Import Elngm 25Kg"/>
    <x v="5"/>
    <x v="1"/>
    <d v="2025-03-17T00:00:00"/>
    <s v="SCRP"/>
    <s v="TRANSPORTATION LOSS - 15084 ALTARIQ ALZAKI"/>
    <x v="118"/>
    <s v="Loss"/>
    <x v="1"/>
    <x v="4"/>
    <x v="0"/>
    <s v="a.bakri"/>
    <n v="-5"/>
    <n v="-0.125"/>
    <n v="31777.27522"/>
    <s v=""/>
    <s v="000009"/>
    <s v="X03909"/>
    <s v=""/>
    <s v="Q06086"/>
    <n v="0"/>
    <n v="-158886.37609999999"/>
    <x v="2"/>
  </r>
  <r>
    <x v="6"/>
    <s v="IS"/>
    <x v="9"/>
    <x v="5"/>
    <s v="LE0001"/>
    <s v="Lentil TAT 20KG"/>
    <x v="7"/>
    <x v="1"/>
    <d v="2025-03-17T00:00:00"/>
    <s v="SCRP"/>
    <s v="TRANSPORTATION LOSS - 13199 ABURNAT"/>
    <x v="118"/>
    <s v="Loss"/>
    <x v="1"/>
    <x v="4"/>
    <x v="0"/>
    <s v="a.bakri"/>
    <n v="-2"/>
    <n v="-0.04"/>
    <n v="50018.234799999998"/>
    <s v=""/>
    <s v="000000"/>
    <s v="X03910"/>
    <s v=""/>
    <s v="Q06122"/>
    <n v="0"/>
    <n v="-100036.4696"/>
    <x v="3"/>
  </r>
  <r>
    <x v="6"/>
    <s v="IS"/>
    <x v="9"/>
    <x v="2"/>
    <s v="WS0005"/>
    <s v="White Sugar"/>
    <x v="4"/>
    <x v="1"/>
    <d v="2025-03-17T00:00:00"/>
    <s v="SCRP"/>
    <s v="TRANSPORTATION LOSS - 12188 RIBA"/>
    <x v="118"/>
    <s v="Loss"/>
    <x v="1"/>
    <x v="4"/>
    <x v="0"/>
    <s v="a.bakri"/>
    <n v="-2"/>
    <n v="-0.1"/>
    <n v="81012.933590000001"/>
    <s v=""/>
    <s v="000000"/>
    <s v="X03911"/>
    <s v=""/>
    <s v="Q06075"/>
    <n v="0"/>
    <n v="-162025.86718"/>
    <x v="1"/>
  </r>
  <r>
    <x v="6"/>
    <s v="IS"/>
    <x v="9"/>
    <x v="2"/>
    <s v="WS0005"/>
    <s v="White Sugar"/>
    <x v="4"/>
    <x v="1"/>
    <d v="2025-03-17T00:00:00"/>
    <s v="SCRP"/>
    <s v="TRANSPORTATION LOSS - 12190 RIBA"/>
    <x v="118"/>
    <s v="Loss"/>
    <x v="1"/>
    <x v="4"/>
    <x v="0"/>
    <s v="a.bakri"/>
    <n v="-2"/>
    <n v="-0.1"/>
    <n v="81012.933590000001"/>
    <s v=""/>
    <s v="000001"/>
    <s v="X03912"/>
    <s v=""/>
    <s v="Q06075"/>
    <n v="0"/>
    <n v="-162025.86718"/>
    <x v="1"/>
  </r>
  <r>
    <x v="6"/>
    <s v="IS"/>
    <x v="9"/>
    <x v="2"/>
    <s v="WS0005"/>
    <s v="White Sugar"/>
    <x v="4"/>
    <x v="1"/>
    <d v="2025-03-17T00:00:00"/>
    <s v="SCRP"/>
    <s v="TRANSPORTATION LOSS - 12217 RIBA"/>
    <x v="118"/>
    <s v="Loss"/>
    <x v="1"/>
    <x v="4"/>
    <x v="0"/>
    <s v="a.bakri"/>
    <n v="-1"/>
    <n v="-0.05"/>
    <n v="81012.933590000001"/>
    <s v=""/>
    <s v="000002"/>
    <s v="X03913"/>
    <s v=""/>
    <s v="Q06075"/>
    <n v="0"/>
    <n v="-81012.933590000001"/>
    <x v="1"/>
  </r>
  <r>
    <x v="6"/>
    <s v="TJ"/>
    <x v="9"/>
    <x v="3"/>
    <s v="RC0004"/>
    <s v="Rice Long Grade 2 Elngm 20Kg"/>
    <x v="9"/>
    <x v="1"/>
    <d v="2025-03-17T00:00:00"/>
    <s v="SCRP"/>
    <s v="TRANSPORTATION LOSS - 11879 DELTA"/>
    <x v="118"/>
    <s v="Loss"/>
    <x v="1"/>
    <x v="4"/>
    <x v="0"/>
    <s v="a.bakri"/>
    <n v="-1"/>
    <n v="-0.02"/>
    <n v="32720.865839999999"/>
    <s v=""/>
    <s v="000000"/>
    <s v="X03914"/>
    <s v=""/>
    <s v="Q05963"/>
    <n v="0"/>
    <n v="-32720.865839999999"/>
    <x v="3"/>
  </r>
  <r>
    <x v="6"/>
    <s v="TU"/>
    <x v="9"/>
    <x v="3"/>
    <s v="RC0006"/>
    <s v="Rice Short Grain Elngm 25Kg"/>
    <x v="3"/>
    <x v="1"/>
    <d v="2025-03-17T00:00:00"/>
    <s v="SCRP"/>
    <s v="TRANSPORTATION LOSS - 13188 ALTAF"/>
    <x v="118"/>
    <s v="Loss"/>
    <x v="1"/>
    <x v="4"/>
    <x v="0"/>
    <s v="a.bakri"/>
    <n v="-2"/>
    <n v="-0.05"/>
    <n v="50522.55"/>
    <s v=""/>
    <s v="000000"/>
    <s v="X03915"/>
    <s v=""/>
    <s v="Q06110"/>
    <n v="0"/>
    <n v="-101045.1"/>
    <x v="2"/>
  </r>
  <r>
    <x v="6"/>
    <s v="TU"/>
    <x v="9"/>
    <x v="3"/>
    <s v="RC0006"/>
    <s v="Rice Short Grain Elngm 25Kg"/>
    <x v="3"/>
    <x v="1"/>
    <d v="2025-03-17T00:00:00"/>
    <s v="SCRP"/>
    <s v="TRANSPORTATION LOSS - 13191 ALTAF"/>
    <x v="118"/>
    <s v="Loss"/>
    <x v="1"/>
    <x v="4"/>
    <x v="0"/>
    <s v="a.bakri"/>
    <n v="-28"/>
    <n v="-0.7"/>
    <n v="50522.55"/>
    <s v=""/>
    <s v="000001"/>
    <s v="X03916"/>
    <s v=""/>
    <s v="Q06110"/>
    <n v="0"/>
    <n v="-1414631.4000000001"/>
    <x v="2"/>
  </r>
  <r>
    <x v="6"/>
    <s v="TW"/>
    <x v="9"/>
    <x v="4"/>
    <s v="NF0001"/>
    <s v="Alnajm Flour from Mill 25KG"/>
    <x v="15"/>
    <x v="1"/>
    <d v="2025-03-17T00:00:00"/>
    <s v="SCRP"/>
    <s v="TRANSPORTATION LOSS - 19572 Y.HAMZA"/>
    <x v="118"/>
    <s v="Loss"/>
    <x v="1"/>
    <x v="4"/>
    <x v="0"/>
    <s v="a.bakri"/>
    <n v="-2"/>
    <n v="-0.05"/>
    <n v="31777.27522"/>
    <s v=""/>
    <s v="000000"/>
    <s v="X03917"/>
    <s v=""/>
    <s v="P03680"/>
    <n v="0"/>
    <n v="-63554.550439999999"/>
    <x v="2"/>
  </r>
  <r>
    <x v="6"/>
    <s v="TW"/>
    <x v="9"/>
    <x v="4"/>
    <s v="NF0001"/>
    <s v="Alnajm Flour from Mill 25KG"/>
    <x v="15"/>
    <x v="1"/>
    <d v="2025-03-17T00:00:00"/>
    <s v="SCRP"/>
    <s v="TRANSPORTATION LOSS - 19542 Y.HAMZA"/>
    <x v="118"/>
    <s v="Loss"/>
    <x v="1"/>
    <x v="4"/>
    <x v="0"/>
    <s v="a.bakri"/>
    <n v="-15"/>
    <n v="-0.375"/>
    <n v="31777.27522"/>
    <s v=""/>
    <s v="000001"/>
    <s v="X03918"/>
    <s v=""/>
    <s v="P03680"/>
    <n v="0"/>
    <n v="-476659.12829999998"/>
    <x v="2"/>
  </r>
  <r>
    <x v="6"/>
    <s v="TW"/>
    <x v="9"/>
    <x v="4"/>
    <s v="IF0001"/>
    <s v="Flour Import Elngm 25Kg"/>
    <x v="5"/>
    <x v="1"/>
    <d v="2025-03-17T00:00:00"/>
    <s v="SCRP"/>
    <s v="TRANSPORTATION LOSS - 12411 K.AWAD"/>
    <x v="118"/>
    <s v="Loss"/>
    <x v="1"/>
    <x v="4"/>
    <x v="0"/>
    <s v="a.bakri"/>
    <n v="-1"/>
    <n v="-2.5000000000000001E-2"/>
    <n v="31777.27522"/>
    <s v=""/>
    <s v="000000"/>
    <s v="X03919"/>
    <s v=""/>
    <s v="Q06120"/>
    <n v="0"/>
    <n v="-31777.27522"/>
    <x v="2"/>
  </r>
  <r>
    <x v="6"/>
    <s v="TW"/>
    <x v="9"/>
    <x v="4"/>
    <s v="IF0001"/>
    <s v="Flour Import Elngm 25Kg"/>
    <x v="5"/>
    <x v="1"/>
    <d v="2025-03-17T00:00:00"/>
    <s v="SCRP"/>
    <s v="TRANSPORTATION LOSS - 12410 K.AWAD"/>
    <x v="118"/>
    <s v="Loss"/>
    <x v="1"/>
    <x v="4"/>
    <x v="0"/>
    <s v="a.bakri"/>
    <n v="-7"/>
    <n v="-0.17499999999999999"/>
    <n v="31777.27522"/>
    <s v=""/>
    <s v="000001"/>
    <s v="X03920"/>
    <s v=""/>
    <s v="Q06120"/>
    <n v="0"/>
    <n v="-222440.92653999999"/>
    <x v="2"/>
  </r>
  <r>
    <x v="6"/>
    <s v="TW"/>
    <x v="9"/>
    <x v="5"/>
    <s v="LE0001"/>
    <s v="Lentil TAT 20KG"/>
    <x v="7"/>
    <x v="1"/>
    <d v="2025-03-17T00:00:00"/>
    <s v="SCRP"/>
    <s v="TRANSPORTATION LOSS - 13175 ABURNAT"/>
    <x v="118"/>
    <s v="Loss"/>
    <x v="1"/>
    <x v="4"/>
    <x v="0"/>
    <s v="a.bakri"/>
    <n v="-5"/>
    <n v="-0.1"/>
    <n v="50018.234799999998"/>
    <s v=""/>
    <s v="000000"/>
    <s v="X03921"/>
    <s v=""/>
    <s v="Q06122"/>
    <n v="0"/>
    <n v="-250091.174"/>
    <x v="3"/>
  </r>
  <r>
    <x v="6"/>
    <s v="TW"/>
    <x v="9"/>
    <x v="5"/>
    <s v="LE0001"/>
    <s v="Lentil TAT 20KG"/>
    <x v="7"/>
    <x v="1"/>
    <d v="2025-03-17T00:00:00"/>
    <s v="SCRP"/>
    <s v="TRANSPORTATION LOSS - 13132 ABURNAT"/>
    <x v="118"/>
    <s v="Loss"/>
    <x v="1"/>
    <x v="4"/>
    <x v="0"/>
    <s v="a.bakri"/>
    <n v="-1"/>
    <n v="-0.02"/>
    <n v="50018.234799999998"/>
    <s v=""/>
    <s v="000001"/>
    <s v="X03922"/>
    <s v=""/>
    <s v="Q06122"/>
    <n v="0"/>
    <n v="-50018.234799999998"/>
    <x v="3"/>
  </r>
  <r>
    <x v="6"/>
    <s v="TW"/>
    <x v="9"/>
    <x v="5"/>
    <s v="LE0001"/>
    <s v="Lentil TAT 20KG"/>
    <x v="7"/>
    <x v="1"/>
    <d v="2025-03-17T00:00:00"/>
    <s v="SCRP"/>
    <s v="TRANSPORTATION LOSS - 13133 ALASGALANI"/>
    <x v="118"/>
    <s v="Loss"/>
    <x v="1"/>
    <x v="4"/>
    <x v="0"/>
    <s v="a.bakri"/>
    <n v="-1"/>
    <n v="-0.02"/>
    <n v="50018.234799999998"/>
    <s v=""/>
    <s v="000002"/>
    <s v="X03923"/>
    <s v=""/>
    <s v="Q06122"/>
    <n v="0"/>
    <n v="-50018.234799999998"/>
    <x v="3"/>
  </r>
  <r>
    <x v="6"/>
    <s v="TW"/>
    <x v="9"/>
    <x v="3"/>
    <s v="RC0006"/>
    <s v="Rice Short Grain Elngm 25Kg"/>
    <x v="3"/>
    <x v="1"/>
    <d v="2025-03-17T00:00:00"/>
    <s v="SCRP"/>
    <s v="TRANSPORTATION LOSS - 13167 ALFADNI"/>
    <x v="118"/>
    <s v="Loss"/>
    <x v="1"/>
    <x v="4"/>
    <x v="0"/>
    <s v="a.bakri"/>
    <n v="-1"/>
    <n v="-2.5000000000000001E-2"/>
    <n v="50522.55"/>
    <s v=""/>
    <s v="000000"/>
    <s v="X03924"/>
    <s v=""/>
    <s v="Q06110"/>
    <n v="0"/>
    <n v="-50522.55"/>
    <x v="2"/>
  </r>
  <r>
    <x v="6"/>
    <s v="TW"/>
    <x v="9"/>
    <x v="3"/>
    <s v="RC0006"/>
    <s v="Rice Short Grain Elngm 25Kg"/>
    <x v="3"/>
    <x v="1"/>
    <d v="2025-03-17T00:00:00"/>
    <s v="SCRP"/>
    <s v="TRANSPORTATION LOSS - 13165 ALFADNI"/>
    <x v="118"/>
    <s v="Loss"/>
    <x v="1"/>
    <x v="4"/>
    <x v="0"/>
    <s v="a.bakri"/>
    <n v="-9"/>
    <n v="-0.22500000000000001"/>
    <n v="50522.55"/>
    <s v=""/>
    <s v="000001"/>
    <s v="X03925"/>
    <s v=""/>
    <s v="Q06110"/>
    <n v="0"/>
    <n v="-454702.95"/>
    <x v="2"/>
  </r>
  <r>
    <x v="6"/>
    <s v="TW"/>
    <x v="9"/>
    <x v="3"/>
    <s v="RC0006"/>
    <s v="Rice Short Grain Elngm 25Kg"/>
    <x v="3"/>
    <x v="1"/>
    <d v="2025-03-17T00:00:00"/>
    <s v="SCRP"/>
    <s v="TRANSPORTATION LOSS - 13162 ALFADNI"/>
    <x v="118"/>
    <s v="Loss"/>
    <x v="1"/>
    <x v="4"/>
    <x v="0"/>
    <s v="a.bakri"/>
    <n v="-2"/>
    <n v="-0.05"/>
    <n v="50522.55"/>
    <s v=""/>
    <s v="000002"/>
    <s v="X03926"/>
    <s v=""/>
    <s v="Q06110"/>
    <n v="0"/>
    <n v="-101045.1"/>
    <x v="2"/>
  </r>
  <r>
    <x v="6"/>
    <s v="TW"/>
    <x v="9"/>
    <x v="3"/>
    <s v="RC0006"/>
    <s v="Rice Short Grain Elngm 25Kg"/>
    <x v="3"/>
    <x v="1"/>
    <d v="2025-03-17T00:00:00"/>
    <s v="SCRP"/>
    <s v="TRANSPORTATION LOSS - 13161 ALFADNI"/>
    <x v="118"/>
    <s v="Loss"/>
    <x v="1"/>
    <x v="4"/>
    <x v="0"/>
    <s v="a.bakri"/>
    <n v="-2"/>
    <n v="-0.05"/>
    <n v="50522.55"/>
    <s v=""/>
    <s v="000003"/>
    <s v="X03927"/>
    <s v=""/>
    <s v="Q06110"/>
    <n v="0"/>
    <n v="-101045.1"/>
    <x v="2"/>
  </r>
  <r>
    <x v="6"/>
    <s v="TW"/>
    <x v="9"/>
    <x v="3"/>
    <s v="RC0006"/>
    <s v="Rice Short Grain Elngm 25Kg"/>
    <x v="3"/>
    <x v="1"/>
    <d v="2025-03-17T00:00:00"/>
    <s v="SCRP"/>
    <s v="TRANSPORTATION LOSS - 13062 ANJAL"/>
    <x v="118"/>
    <s v="Loss"/>
    <x v="1"/>
    <x v="4"/>
    <x v="0"/>
    <s v="a.bakri"/>
    <n v="-8"/>
    <n v="-0.2"/>
    <n v="50522.55"/>
    <s v=""/>
    <s v="000004"/>
    <s v="X03928"/>
    <s v=""/>
    <s v="Q06110"/>
    <n v="0"/>
    <n v="-404180.4"/>
    <x v="2"/>
  </r>
  <r>
    <x v="6"/>
    <s v="IS"/>
    <x v="9"/>
    <x v="4"/>
    <s v="IF0001"/>
    <s v="Flour Import Elngm 25Kg"/>
    <x v="5"/>
    <x v="1"/>
    <d v="2025-03-27T00:00:00"/>
    <s v="SCRP"/>
    <s v="TRANSPORTATION LOSS - 16024 ARIF ALMUBARK"/>
    <x v="118"/>
    <s v="Loss"/>
    <x v="1"/>
    <x v="4"/>
    <x v="0"/>
    <s v="a.bakri"/>
    <n v="-3"/>
    <n v="-7.4999999999999997E-2"/>
    <n v="31777.27522"/>
    <s v=""/>
    <s v="000255"/>
    <s v="X03944"/>
    <s v=""/>
    <s v="Q06120"/>
    <n v="0"/>
    <n v="-95331.825660000002"/>
    <x v="2"/>
  </r>
  <r>
    <x v="6"/>
    <s v="IS"/>
    <x v="9"/>
    <x v="4"/>
    <s v="IF0001"/>
    <s v="Flour Import Elngm 25Kg"/>
    <x v="5"/>
    <x v="1"/>
    <d v="2025-03-27T00:00:00"/>
    <s v="SCRP"/>
    <s v="TRANSPORTATION LOSS - 15998 ARIF ALMUBARK"/>
    <x v="118"/>
    <s v="Loss"/>
    <x v="1"/>
    <x v="4"/>
    <x v="0"/>
    <s v="a.bakri"/>
    <n v="-1"/>
    <n v="-2.5000000000000001E-2"/>
    <n v="31777.27522"/>
    <s v=""/>
    <s v="000256"/>
    <s v="X03945"/>
    <s v=""/>
    <s v="Q06120"/>
    <n v="0"/>
    <n v="-31777.27522"/>
    <x v="2"/>
  </r>
  <r>
    <x v="6"/>
    <s v="IS"/>
    <x v="9"/>
    <x v="4"/>
    <s v="IF0001"/>
    <s v="Flour Import Elngm 25Kg"/>
    <x v="5"/>
    <x v="1"/>
    <d v="2025-03-27T00:00:00"/>
    <s v="SCRP"/>
    <s v="TRANSPORTATION LOSS - 15099 ABURNAT"/>
    <x v="118"/>
    <s v="Loss"/>
    <x v="1"/>
    <x v="4"/>
    <x v="0"/>
    <s v="a.bakri"/>
    <n v="-1"/>
    <n v="-2.5000000000000001E-2"/>
    <n v="31777.27522"/>
    <s v=""/>
    <s v="000257"/>
    <s v="X03946"/>
    <s v=""/>
    <s v="Q06120"/>
    <n v="0"/>
    <n v="-31777.27522"/>
    <x v="2"/>
  </r>
  <r>
    <x v="6"/>
    <s v="IS"/>
    <x v="9"/>
    <x v="5"/>
    <s v="LE0001"/>
    <s v="Lentil TAT 20KG"/>
    <x v="7"/>
    <x v="1"/>
    <d v="2025-03-27T00:00:00"/>
    <s v="SCRP"/>
    <s v="TRANSPORTATION LOSS - 13321 ALTAF"/>
    <x v="118"/>
    <s v="Loss"/>
    <x v="1"/>
    <x v="4"/>
    <x v="0"/>
    <s v="a.bakri"/>
    <n v="-1"/>
    <n v="-0.02"/>
    <n v="50018.234799999998"/>
    <s v=""/>
    <s v="000037"/>
    <s v="X03947"/>
    <s v=""/>
    <s v="Q06138"/>
    <n v="0"/>
    <n v="-50018.234799999998"/>
    <x v="3"/>
  </r>
  <r>
    <x v="6"/>
    <s v="IS"/>
    <x v="9"/>
    <x v="5"/>
    <s v="LE0001"/>
    <s v="Lentil TAT 20KG"/>
    <x v="7"/>
    <x v="1"/>
    <d v="2025-03-27T00:00:00"/>
    <s v="SCRP"/>
    <s v="TRANSPORTATION LOSS - 13323 ABURNAT"/>
    <x v="118"/>
    <s v="Loss"/>
    <x v="1"/>
    <x v="4"/>
    <x v="0"/>
    <s v="a.bakri"/>
    <n v="-2"/>
    <n v="-0.04"/>
    <n v="50018.234799999998"/>
    <s v=""/>
    <s v="000038"/>
    <s v="X03948"/>
    <s v=""/>
    <s v="Q06138"/>
    <n v="0"/>
    <n v="-100036.4696"/>
    <x v="3"/>
  </r>
  <r>
    <x v="6"/>
    <s v="IS"/>
    <x v="9"/>
    <x v="5"/>
    <s v="LE0001"/>
    <s v="Lentil TAT 20KG"/>
    <x v="7"/>
    <x v="1"/>
    <d v="2025-03-27T00:00:00"/>
    <s v="SCRP"/>
    <s v="TRANSPORTATION LOSS - 13332 ABURNAT"/>
    <x v="118"/>
    <s v="Loss"/>
    <x v="1"/>
    <x v="4"/>
    <x v="0"/>
    <s v="a.bakri"/>
    <n v="-1"/>
    <n v="-0.02"/>
    <n v="50018.234799999998"/>
    <s v=""/>
    <s v="000039"/>
    <s v="X03949"/>
    <s v=""/>
    <s v="Q06138"/>
    <n v="0"/>
    <n v="-50018.234799999998"/>
    <x v="3"/>
  </r>
  <r>
    <x v="6"/>
    <s v="IS"/>
    <x v="9"/>
    <x v="5"/>
    <s v="LE0001"/>
    <s v="Lentil TAT 20KG"/>
    <x v="7"/>
    <x v="1"/>
    <d v="2025-03-27T00:00:00"/>
    <s v="SCRP"/>
    <s v="TRANSPORTATION LOSS - 13364 ABURNAT"/>
    <x v="118"/>
    <s v="Loss"/>
    <x v="1"/>
    <x v="4"/>
    <x v="0"/>
    <s v="a.bakri"/>
    <n v="-6"/>
    <n v="-0.12"/>
    <n v="50018.234799999998"/>
    <s v=""/>
    <s v="000040"/>
    <s v="X03950"/>
    <s v=""/>
    <s v="Q06138"/>
    <n v="0"/>
    <n v="-300109.40879999998"/>
    <x v="3"/>
  </r>
  <r>
    <x v="6"/>
    <s v="TM"/>
    <x v="9"/>
    <x v="4"/>
    <s v="IF0001"/>
    <s v="Flour Import Elngm 25Kg"/>
    <x v="5"/>
    <x v="1"/>
    <d v="2025-03-27T00:00:00"/>
    <s v="SCRP"/>
    <s v="TRANSPORTATION LOSS - 15994 ALWAHSHAB"/>
    <x v="118"/>
    <s v="Loss"/>
    <x v="1"/>
    <x v="4"/>
    <x v="0"/>
    <s v="a.bakri"/>
    <n v="-10"/>
    <n v="-0.25"/>
    <n v="31777.27522"/>
    <s v=""/>
    <s v="000004"/>
    <s v="X03951"/>
    <s v=""/>
    <s v="Q06133"/>
    <n v="0"/>
    <n v="-317772.75219999999"/>
    <x v="2"/>
  </r>
  <r>
    <x v="6"/>
    <s v="TM"/>
    <x v="9"/>
    <x v="4"/>
    <s v="IF0001"/>
    <s v="Flour Import Elngm 25Kg"/>
    <x v="5"/>
    <x v="1"/>
    <d v="2025-03-27T00:00:00"/>
    <s v="SCRP"/>
    <s v="TRANSPORTATION LOSS - 16005 ALASGALANI"/>
    <x v="118"/>
    <s v="Loss"/>
    <x v="1"/>
    <x v="4"/>
    <x v="0"/>
    <s v="a.bakri"/>
    <n v="-7"/>
    <n v="-0.17499999999999999"/>
    <n v="31777.27522"/>
    <s v=""/>
    <s v="000005"/>
    <s v="X03952"/>
    <s v=""/>
    <s v="Q06133"/>
    <n v="0"/>
    <n v="-222440.92653999999"/>
    <x v="2"/>
  </r>
  <r>
    <x v="6"/>
    <s v="TU"/>
    <x v="9"/>
    <x v="4"/>
    <s v="IF0001"/>
    <s v="Flour Import Elngm 25Kg"/>
    <x v="5"/>
    <x v="1"/>
    <d v="2025-03-27T00:00:00"/>
    <s v="SCRP"/>
    <s v="TRANSPORTATION LOSS - 16017 ANJAL"/>
    <x v="118"/>
    <s v="Loss"/>
    <x v="1"/>
    <x v="4"/>
    <x v="0"/>
    <s v="a.bakri"/>
    <n v="-2"/>
    <n v="-0.05"/>
    <n v="31777.27522"/>
    <s v=""/>
    <s v="000000"/>
    <s v="X03953"/>
    <s v=""/>
    <s v="Q06133"/>
    <n v="0"/>
    <n v="-63554.550439999999"/>
    <x v="2"/>
  </r>
  <r>
    <x v="6"/>
    <s v="TU"/>
    <x v="9"/>
    <x v="4"/>
    <s v="IF0001"/>
    <s v="Flour Import Elngm 25Kg"/>
    <x v="5"/>
    <x v="1"/>
    <d v="2025-03-27T00:00:00"/>
    <s v="SCRP"/>
    <s v="TRANSPORTATION LOSS - 16082 ALTAF"/>
    <x v="118"/>
    <s v="Loss"/>
    <x v="1"/>
    <x v="4"/>
    <x v="0"/>
    <s v="a.bakri"/>
    <n v="-6"/>
    <n v="-0.15"/>
    <n v="31777.27522"/>
    <s v=""/>
    <s v="000001"/>
    <s v="X03954"/>
    <s v=""/>
    <s v="Q06133"/>
    <n v="0"/>
    <n v="-190663.65132"/>
    <x v="2"/>
  </r>
  <r>
    <x v="8"/>
    <s v="IS"/>
    <x v="9"/>
    <x v="4"/>
    <s v="IF0001"/>
    <s v="Flour Import Elngm 25Kg"/>
    <x v="5"/>
    <x v="1"/>
    <d v="2025-04-13T00:00:00"/>
    <s v="SCRP"/>
    <s v="TRANSPORTATION LOSS - 19327 RAIBA"/>
    <x v="118"/>
    <s v="Loss"/>
    <x v="1"/>
    <x v="4"/>
    <x v="0"/>
    <s v="a.bakri"/>
    <n v="-2"/>
    <n v="-0.05"/>
    <n v="30927.350320000001"/>
    <s v=""/>
    <s v="000000"/>
    <s v="X03964"/>
    <s v=""/>
    <s v="Q06120"/>
    <n v="0"/>
    <n v="-61854.700640000003"/>
    <x v="2"/>
  </r>
  <r>
    <x v="8"/>
    <s v="IS"/>
    <x v="9"/>
    <x v="4"/>
    <s v="IF0001"/>
    <s v="Flour Import Elngm 25Kg"/>
    <x v="5"/>
    <x v="1"/>
    <d v="2025-04-13T00:00:00"/>
    <s v="SCRP"/>
    <s v="TRANSPORTATION LOSS - 11686 ALTAF"/>
    <x v="118"/>
    <s v="Loss"/>
    <x v="1"/>
    <x v="4"/>
    <x v="0"/>
    <s v="a.bakri"/>
    <n v="-4"/>
    <n v="-0.1"/>
    <n v="30927.350320000001"/>
    <s v=""/>
    <s v="000001"/>
    <s v="X03965"/>
    <s v=""/>
    <s v="Q06120"/>
    <n v="0"/>
    <n v="-123709.40128000001"/>
    <x v="2"/>
  </r>
  <r>
    <x v="8"/>
    <s v="TM"/>
    <x v="9"/>
    <x v="5"/>
    <s v="LE0001"/>
    <s v="Lentil TAT 20KG"/>
    <x v="7"/>
    <x v="1"/>
    <d v="2025-04-13T00:00:00"/>
    <s v="SCRP"/>
    <s v="TRANSPORTATION LOSS - 13243 ALWASEELA"/>
    <x v="118"/>
    <s v="Loss"/>
    <x v="1"/>
    <x v="4"/>
    <x v="0"/>
    <s v="a.bakri"/>
    <n v="-2"/>
    <n v="-0.04"/>
    <n v="48291.345670000002"/>
    <s v=""/>
    <s v="000000"/>
    <s v="X03960"/>
    <s v=""/>
    <s v="Q06130"/>
    <n v="0"/>
    <n v="-96582.691340000005"/>
    <x v="3"/>
  </r>
  <r>
    <x v="8"/>
    <s v="TM"/>
    <x v="9"/>
    <x v="5"/>
    <s v="LE0001"/>
    <s v="Lentil TAT 20KG"/>
    <x v="7"/>
    <x v="1"/>
    <d v="2025-04-13T00:00:00"/>
    <s v="SCRP"/>
    <s v="TRANSPORTATION LOSS - 13242 ALWASEELA"/>
    <x v="118"/>
    <s v="Loss"/>
    <x v="1"/>
    <x v="4"/>
    <x v="0"/>
    <s v="a.bakri"/>
    <n v="-2"/>
    <n v="-0.04"/>
    <n v="48291.345670000002"/>
    <s v=""/>
    <s v="000001"/>
    <s v="X03961"/>
    <s v=""/>
    <s v="Q06130"/>
    <n v="0"/>
    <n v="-96582.691340000005"/>
    <x v="3"/>
  </r>
  <r>
    <x v="8"/>
    <s v="TM"/>
    <x v="9"/>
    <x v="5"/>
    <s v="LE0001"/>
    <s v="Lentil TAT 20KG"/>
    <x v="7"/>
    <x v="1"/>
    <d v="2025-04-13T00:00:00"/>
    <s v="SCRP"/>
    <s v="TRANSPORTATION LOSS - 13240 ALTAF"/>
    <x v="118"/>
    <s v="Loss"/>
    <x v="1"/>
    <x v="4"/>
    <x v="0"/>
    <s v="a.bakri"/>
    <n v="-2"/>
    <n v="-0.04"/>
    <n v="48291.345670000002"/>
    <s v=""/>
    <s v="000002"/>
    <s v="X03962"/>
    <s v=""/>
    <s v="Q06130"/>
    <n v="0"/>
    <n v="-96582.691340000005"/>
    <x v="3"/>
  </r>
  <r>
    <x v="8"/>
    <s v="TM"/>
    <x v="9"/>
    <x v="5"/>
    <s v="LE0001"/>
    <s v="Lentil TAT 20KG"/>
    <x v="7"/>
    <x v="1"/>
    <d v="2025-04-13T00:00:00"/>
    <s v="SCRP"/>
    <s v="TRANSPORTATION LOSS - 13240 ALTAF"/>
    <x v="118"/>
    <s v="Loss"/>
    <x v="1"/>
    <x v="4"/>
    <x v="0"/>
    <s v="a.bakri"/>
    <n v="-2"/>
    <n v="-0.04"/>
    <n v="48291.345670000002"/>
    <s v=""/>
    <s v="000003"/>
    <s v="X03962"/>
    <s v=""/>
    <s v="Q06130"/>
    <n v="0"/>
    <n v="-96582.691340000005"/>
    <x v="3"/>
  </r>
  <r>
    <x v="8"/>
    <s v="TM"/>
    <x v="9"/>
    <x v="5"/>
    <s v="LE0001"/>
    <s v="Lentil TAT 20KG"/>
    <x v="7"/>
    <x v="1"/>
    <d v="2025-04-13T00:00:00"/>
    <s v="SCRP"/>
    <s v="TRANSPORTATION LOSS - 13241 ALWASEELA"/>
    <x v="118"/>
    <s v="Loss"/>
    <x v="1"/>
    <x v="4"/>
    <x v="0"/>
    <s v="a.bakri"/>
    <n v="-2"/>
    <n v="-0.04"/>
    <n v="48291.345670000002"/>
    <s v=""/>
    <s v="000004"/>
    <s v="X03963"/>
    <s v=""/>
    <s v="Q06130"/>
    <n v="0"/>
    <n v="-96582.691340000005"/>
    <x v="3"/>
  </r>
  <r>
    <x v="8"/>
    <s v="IS"/>
    <x v="9"/>
    <x v="5"/>
    <s v="LE0001"/>
    <s v="Lentil TAT 20KG"/>
    <x v="7"/>
    <x v="1"/>
    <d v="2025-04-14T00:00:00"/>
    <s v="SCRP"/>
    <s v="TRANSPORTATION LOSS - 17894 ARIF &amp; MUBARK"/>
    <x v="118"/>
    <s v="Loss"/>
    <x v="1"/>
    <x v="4"/>
    <x v="0"/>
    <s v="a.bakri"/>
    <n v="-1"/>
    <n v="-0.02"/>
    <n v="48291.345670000002"/>
    <s v=""/>
    <s v="000000"/>
    <s v="X03966"/>
    <s v=""/>
    <s v="Q06138"/>
    <n v="0"/>
    <n v="-48291.345670000002"/>
    <x v="3"/>
  </r>
  <r>
    <x v="8"/>
    <s v="IS"/>
    <x v="9"/>
    <x v="4"/>
    <s v="NF0001"/>
    <s v="Alnajm Flour from Mill 25KG"/>
    <x v="15"/>
    <x v="1"/>
    <d v="2025-04-14T00:00:00"/>
    <s v="SCRP"/>
    <s v="TRANSPORTATION LOSS - 19493 ANJAL"/>
    <x v="118"/>
    <s v="Loss"/>
    <x v="1"/>
    <x v="4"/>
    <x v="0"/>
    <s v="a.bakri"/>
    <n v="-2"/>
    <n v="-0.05"/>
    <n v="30927.350320000001"/>
    <s v=""/>
    <s v="000000"/>
    <s v="X03967"/>
    <s v=""/>
    <s v="P03679"/>
    <n v="0"/>
    <n v="-61854.700640000003"/>
    <x v="2"/>
  </r>
  <r>
    <x v="8"/>
    <s v="IS"/>
    <x v="9"/>
    <x v="2"/>
    <s v="WS0005"/>
    <s v="White Sugar"/>
    <x v="4"/>
    <x v="1"/>
    <d v="2025-04-14T00:00:00"/>
    <s v="SCRP"/>
    <s v="TRANSPORTATION LOSS - 12097 ALASGALANI"/>
    <x v="118"/>
    <s v="Loss"/>
    <x v="1"/>
    <x v="4"/>
    <x v="0"/>
    <s v="a.bakri"/>
    <n v="-4"/>
    <n v="-0.2"/>
    <n v="81012.933590000001"/>
    <s v=""/>
    <s v="000000"/>
    <s v="X03968"/>
    <s v=""/>
    <s v="Q06075"/>
    <n v="0"/>
    <n v="-324051.73436"/>
    <x v="1"/>
  </r>
  <r>
    <x v="8"/>
    <s v="IS"/>
    <x v="9"/>
    <x v="2"/>
    <s v="WS0005"/>
    <s v="White Sugar"/>
    <x v="4"/>
    <x v="1"/>
    <d v="2025-04-14T00:00:00"/>
    <s v="SCRP"/>
    <s v="TRANSPORTATION LOSS - 12142 ALASGALANI"/>
    <x v="118"/>
    <s v="Loss"/>
    <x v="1"/>
    <x v="4"/>
    <x v="0"/>
    <s v="a.bakri"/>
    <n v="-1"/>
    <n v="-0.05"/>
    <n v="81012.933590000001"/>
    <s v=""/>
    <s v="000001"/>
    <s v="X03969"/>
    <s v=""/>
    <s v="Q06075"/>
    <n v="0"/>
    <n v="-81012.933590000001"/>
    <x v="1"/>
  </r>
  <r>
    <x v="8"/>
    <s v="IS"/>
    <x v="9"/>
    <x v="2"/>
    <s v="WS0005"/>
    <s v="White Sugar"/>
    <x v="4"/>
    <x v="1"/>
    <d v="2025-04-14T00:00:00"/>
    <s v="SCRP"/>
    <s v="TRANSPORTATION LOSS - 12224 RIBA"/>
    <x v="118"/>
    <s v="Loss"/>
    <x v="1"/>
    <x v="4"/>
    <x v="0"/>
    <s v="a.bakri"/>
    <n v="-1"/>
    <n v="-0.05"/>
    <n v="81012.933590000001"/>
    <s v=""/>
    <s v="000002"/>
    <s v="X03970"/>
    <s v=""/>
    <s v="Q06075"/>
    <n v="0"/>
    <n v="-81012.933590000001"/>
    <x v="1"/>
  </r>
  <r>
    <x v="8"/>
    <s v="IS"/>
    <x v="9"/>
    <x v="2"/>
    <s v="WS0005"/>
    <s v="White Sugar"/>
    <x v="4"/>
    <x v="1"/>
    <d v="2025-04-14T00:00:00"/>
    <s v="SCRP"/>
    <s v="TRANSPORTATION LOSS - 12108 RIBA"/>
    <x v="118"/>
    <s v="Loss"/>
    <x v="1"/>
    <x v="4"/>
    <x v="0"/>
    <s v="a.bakri"/>
    <n v="-1"/>
    <n v="-0.05"/>
    <n v="81012.933590000001"/>
    <s v=""/>
    <s v="000003"/>
    <s v="X03971"/>
    <s v=""/>
    <s v="Q06075"/>
    <n v="0"/>
    <n v="-81012.933590000001"/>
    <x v="1"/>
  </r>
  <r>
    <x v="8"/>
    <s v="IS"/>
    <x v="9"/>
    <x v="2"/>
    <s v="WS0005"/>
    <s v="White Sugar"/>
    <x v="4"/>
    <x v="1"/>
    <d v="2025-04-14T00:00:00"/>
    <s v="SCRP"/>
    <s v="TRANSPORTATION LOSS - 12105 RIBA"/>
    <x v="118"/>
    <s v="Loss"/>
    <x v="1"/>
    <x v="4"/>
    <x v="0"/>
    <s v="a.bakri"/>
    <n v="-1"/>
    <n v="-0.05"/>
    <n v="81012.933590000001"/>
    <s v=""/>
    <s v="000004"/>
    <s v="X03972"/>
    <s v=""/>
    <s v="Q06075"/>
    <n v="0"/>
    <n v="-81012.933590000001"/>
    <x v="1"/>
  </r>
  <r>
    <x v="8"/>
    <s v="IS"/>
    <x v="9"/>
    <x v="2"/>
    <s v="WS0005"/>
    <s v="White Sugar"/>
    <x v="4"/>
    <x v="1"/>
    <d v="2025-04-14T00:00:00"/>
    <s v="SCRP"/>
    <s v="TRANSPORTATION LOSS - 18458 ALKHTOT ALSAHLIA"/>
    <x v="118"/>
    <s v="Loss"/>
    <x v="1"/>
    <x v="4"/>
    <x v="0"/>
    <s v="a.bakri"/>
    <n v="-2"/>
    <n v="-0.1"/>
    <n v="81012.933590000001"/>
    <s v=""/>
    <s v="000005"/>
    <s v="X03973"/>
    <s v=""/>
    <s v="Q06075"/>
    <n v="0"/>
    <n v="-162025.86718"/>
    <x v="1"/>
  </r>
  <r>
    <x v="8"/>
    <s v="IS"/>
    <x v="9"/>
    <x v="2"/>
    <s v="WS0005"/>
    <s v="White Sugar"/>
    <x v="4"/>
    <x v="1"/>
    <d v="2025-04-14T00:00:00"/>
    <s v="SCRP"/>
    <s v="TRANSPORTATION LOSS - 18459 ALKHTOT ALSAHLIA"/>
    <x v="118"/>
    <s v="Loss"/>
    <x v="1"/>
    <x v="4"/>
    <x v="0"/>
    <s v="a.bakri"/>
    <n v="-3"/>
    <n v="-0.15"/>
    <n v="81012.933590000001"/>
    <s v=""/>
    <s v="000006"/>
    <s v="X03974"/>
    <s v=""/>
    <s v="Q06075"/>
    <n v="0"/>
    <n v="-243038.80077"/>
    <x v="1"/>
  </r>
  <r>
    <x v="8"/>
    <s v="TJ"/>
    <x v="9"/>
    <x v="4"/>
    <s v="IF0001"/>
    <s v="Flour Import Elngm 25Kg"/>
    <x v="5"/>
    <x v="1"/>
    <d v="2025-04-14T00:00:00"/>
    <s v="SCRP"/>
    <s v="TRANSPORTATION LOSS - 5534 S.T"/>
    <x v="118"/>
    <s v="Loss"/>
    <x v="1"/>
    <x v="4"/>
    <x v="0"/>
    <s v="a.bakri"/>
    <n v="-1"/>
    <n v="-2.5000000000000001E-2"/>
    <n v="30927.350320000001"/>
    <s v=""/>
    <s v="000000"/>
    <s v="X03975"/>
    <s v=""/>
    <s v="Q06086"/>
    <n v="0"/>
    <n v="-30927.350320000001"/>
    <x v="2"/>
  </r>
  <r>
    <x v="8"/>
    <s v="TK"/>
    <x v="9"/>
    <x v="2"/>
    <s v="WS0005"/>
    <s v="White Sugar"/>
    <x v="4"/>
    <x v="1"/>
    <d v="2025-04-14T00:00:00"/>
    <s v="SCRP"/>
    <s v="TRANSPORTATION LOSS - 12253 ALASGALANI"/>
    <x v="118"/>
    <s v="Loss"/>
    <x v="1"/>
    <x v="4"/>
    <x v="0"/>
    <s v="a.bakri"/>
    <n v="-2"/>
    <n v="-0.1"/>
    <n v="81012.933590000001"/>
    <s v=""/>
    <s v="000000"/>
    <s v="X03976"/>
    <s v=""/>
    <s v="Q06075"/>
    <n v="0"/>
    <n v="-162025.86718"/>
    <x v="1"/>
  </r>
  <r>
    <x v="8"/>
    <s v="TW"/>
    <x v="9"/>
    <x v="4"/>
    <s v="IF0001"/>
    <s v="Flour Import Elngm 25Kg"/>
    <x v="5"/>
    <x v="1"/>
    <d v="2025-04-14T00:00:00"/>
    <s v="SCRP"/>
    <s v="TRANSPORTATION LOSS - 19335 ARIF &amp; MUBARK"/>
    <x v="118"/>
    <s v="Loss"/>
    <x v="1"/>
    <x v="4"/>
    <x v="0"/>
    <s v="a.bakri"/>
    <n v="-1"/>
    <n v="-2.5000000000000001E-2"/>
    <n v="30927.350320000001"/>
    <s v=""/>
    <s v="000000"/>
    <s v="X03977"/>
    <s v=""/>
    <s v="Q06133"/>
    <n v="0"/>
    <n v="-30927.350320000001"/>
    <x v="2"/>
  </r>
  <r>
    <x v="8"/>
    <s v="TW"/>
    <x v="9"/>
    <x v="4"/>
    <s v="IF0001"/>
    <s v="Flour Import Elngm 25Kg"/>
    <x v="5"/>
    <x v="1"/>
    <d v="2025-04-14T00:00:00"/>
    <s v="SCRP"/>
    <s v="TRANSPORTATION LOSS - 12453 ALKASIR"/>
    <x v="118"/>
    <s v="Loss"/>
    <x v="1"/>
    <x v="4"/>
    <x v="0"/>
    <s v="a.bakri"/>
    <n v="-1"/>
    <n v="-2.5000000000000001E-2"/>
    <n v="30927.350320000001"/>
    <s v=""/>
    <s v="000001"/>
    <s v="X03978"/>
    <s v=""/>
    <s v="Q06133"/>
    <n v="0"/>
    <n v="-30927.350320000001"/>
    <x v="2"/>
  </r>
  <r>
    <x v="8"/>
    <s v="TW"/>
    <x v="9"/>
    <x v="4"/>
    <s v="IF0001"/>
    <s v="Flour Import Elngm 25Kg"/>
    <x v="5"/>
    <x v="1"/>
    <d v="2025-04-14T00:00:00"/>
    <s v="SCRP"/>
    <s v="TRANSPORTATION LOSS - 19329 ANJAL"/>
    <x v="118"/>
    <s v="Loss"/>
    <x v="1"/>
    <x v="4"/>
    <x v="0"/>
    <s v="a.bakri"/>
    <n v="-3"/>
    <n v="-7.4999999999999997E-2"/>
    <n v="30927.350320000001"/>
    <s v=""/>
    <s v="000002"/>
    <s v="X03979"/>
    <s v=""/>
    <s v="Q06133"/>
    <n v="0"/>
    <n v="-92782.050960000008"/>
    <x v="2"/>
  </r>
  <r>
    <x v="8"/>
    <s v="TW"/>
    <x v="9"/>
    <x v="3"/>
    <s v="RC0006"/>
    <s v="Rice Short Grain Elngm 25Kg"/>
    <x v="3"/>
    <x v="1"/>
    <d v="2025-04-16T00:00:00"/>
    <s v="SCRP"/>
    <s v="TRANSPORTATION LOSS - 13066 KARKAR"/>
    <x v="118"/>
    <s v="Loss"/>
    <x v="1"/>
    <x v="4"/>
    <x v="0"/>
    <s v="a.bakri"/>
    <n v="-1"/>
    <n v="-2.5000000000000001E-2"/>
    <n v="49550.962500000001"/>
    <s v=""/>
    <s v="000001"/>
    <s v="X03981"/>
    <s v=""/>
    <s v="A00792"/>
    <n v="0"/>
    <n v="-49550.962500000001"/>
    <x v="2"/>
  </r>
  <r>
    <x v="5"/>
    <s v="IS"/>
    <x v="9"/>
    <x v="5"/>
    <s v="LE0001"/>
    <s v="Lentil TAT 20KG"/>
    <x v="7"/>
    <x v="1"/>
    <d v="2025-05-05T00:00:00"/>
    <s v="SCRP"/>
    <s v="TRANSPORTATION LOSS - 16655 ABURNAT"/>
    <x v="118"/>
    <s v="Loss"/>
    <x v="1"/>
    <x v="4"/>
    <x v="0"/>
    <s v="a.bakri"/>
    <n v="-2"/>
    <n v="-0.04"/>
    <n v="49211.972889999997"/>
    <s v=""/>
    <s v="000000"/>
    <s v="X04037"/>
    <s v=""/>
    <s v="Q06155"/>
    <n v="0"/>
    <n v="-98423.945779999995"/>
    <x v="3"/>
  </r>
  <r>
    <x v="5"/>
    <s v="IS"/>
    <x v="9"/>
    <x v="2"/>
    <s v="WS0001"/>
    <s v="White Sugar"/>
    <x v="4"/>
    <x v="1"/>
    <d v="2025-05-05T00:00:00"/>
    <s v="SCRP"/>
    <s v="TRANSPORTATION LOSS - 16681 ALHAMADA"/>
    <x v="118"/>
    <s v="Loss"/>
    <x v="1"/>
    <x v="4"/>
    <x v="0"/>
    <s v="a.bakri"/>
    <n v="-2"/>
    <n v="-0.1"/>
    <n v="96566.186310000005"/>
    <s v=""/>
    <s v="000000"/>
    <s v="X04038"/>
    <s v=""/>
    <s v="Q05938"/>
    <n v="0"/>
    <n v="-193132.37262000001"/>
    <x v="1"/>
  </r>
  <r>
    <x v="5"/>
    <s v="IS"/>
    <x v="9"/>
    <x v="2"/>
    <s v="WS0001"/>
    <s v="White Sugar"/>
    <x v="4"/>
    <x v="1"/>
    <d v="2025-05-05T00:00:00"/>
    <s v="SCRP"/>
    <s v="TRANSPORTATION LOSS - 16688 ALHAMADA"/>
    <x v="118"/>
    <s v="Loss"/>
    <x v="1"/>
    <x v="4"/>
    <x v="0"/>
    <s v="a.bakri"/>
    <n v="-2"/>
    <n v="-0.1"/>
    <n v="96566.186310000005"/>
    <s v=""/>
    <s v="000001"/>
    <s v="X04039"/>
    <s v=""/>
    <s v="Q05938"/>
    <n v="0"/>
    <n v="-193132.37262000001"/>
    <x v="1"/>
  </r>
  <r>
    <x v="5"/>
    <s v="TJ"/>
    <x v="9"/>
    <x v="3"/>
    <s v="RC0004"/>
    <s v="Rice Long Grade 2 Elngm 20Kg"/>
    <x v="9"/>
    <x v="1"/>
    <d v="2025-05-05T00:00:00"/>
    <s v="SCRP"/>
    <s v="TRANSPORTATION LOSS - 18571 ARIF &amp; MUBARK"/>
    <x v="118"/>
    <s v="Loss"/>
    <x v="1"/>
    <x v="4"/>
    <x v="0"/>
    <s v="a.bakri"/>
    <n v="-1"/>
    <n v="-0.02"/>
    <n v="31067.20391"/>
    <s v=""/>
    <s v="000000"/>
    <s v="X04040"/>
    <s v=""/>
    <s v="Q05964"/>
    <n v="0"/>
    <n v="-31067.20391"/>
    <x v="3"/>
  </r>
  <r>
    <x v="5"/>
    <s v="TM"/>
    <x v="9"/>
    <x v="4"/>
    <s v="IF0001"/>
    <s v="Flour Import Elngm 25Kg"/>
    <x v="5"/>
    <x v="1"/>
    <d v="2025-05-05T00:00:00"/>
    <s v="SCRP"/>
    <s v="TRANSPORTATION LOSS - 17882 ALFADNI"/>
    <x v="118"/>
    <s v="Loss"/>
    <x v="1"/>
    <x v="4"/>
    <x v="0"/>
    <s v="a.bakri"/>
    <n v="-2"/>
    <n v="-0.05"/>
    <n v="31301.811430000002"/>
    <s v=""/>
    <s v="000000"/>
    <s v="X04041"/>
    <s v=""/>
    <s v="Q06133"/>
    <n v="0"/>
    <n v="-62603.622860000003"/>
    <x v="2"/>
  </r>
  <r>
    <x v="5"/>
    <s v="TM"/>
    <x v="9"/>
    <x v="4"/>
    <s v="IF0001"/>
    <s v="Flour Import Elngm 25Kg"/>
    <x v="5"/>
    <x v="1"/>
    <d v="2025-05-05T00:00:00"/>
    <s v="SCRP"/>
    <s v="TRANSPORTATION LOSS - 16047 ALASGALANI"/>
    <x v="118"/>
    <s v="Loss"/>
    <x v="1"/>
    <x v="4"/>
    <x v="0"/>
    <s v="a.bakri"/>
    <n v="-3"/>
    <n v="-7.4999999999999997E-2"/>
    <n v="31301.811430000002"/>
    <s v=""/>
    <s v="000001"/>
    <s v="X04042"/>
    <s v=""/>
    <s v="Q06133"/>
    <n v="0"/>
    <n v="-93905.434290000005"/>
    <x v="2"/>
  </r>
  <r>
    <x v="5"/>
    <s v="TM"/>
    <x v="9"/>
    <x v="4"/>
    <s v="IF0001"/>
    <s v="Flour Import Elngm 25Kg"/>
    <x v="5"/>
    <x v="1"/>
    <d v="2025-05-05T00:00:00"/>
    <s v="SCRP"/>
    <s v="TRANSPORTATION LOSS - 17875 ALASGALANI"/>
    <x v="118"/>
    <s v="Loss"/>
    <x v="1"/>
    <x v="4"/>
    <x v="0"/>
    <s v="a.bakri"/>
    <n v="-1"/>
    <n v="-2.5000000000000001E-2"/>
    <n v="31301.811430000002"/>
    <s v=""/>
    <s v="000002"/>
    <s v="X04043"/>
    <s v=""/>
    <s v="Q06133"/>
    <n v="0"/>
    <n v="-31301.811430000002"/>
    <x v="2"/>
  </r>
  <r>
    <x v="5"/>
    <s v="TM"/>
    <x v="9"/>
    <x v="4"/>
    <s v="IF0001"/>
    <s v="Flour Import Elngm 25Kg"/>
    <x v="5"/>
    <x v="1"/>
    <d v="2025-05-05T00:00:00"/>
    <s v="SCRP"/>
    <s v="TRANSPORTATION LOSS - 17875 ALASGALANI"/>
    <x v="118"/>
    <s v="Loss"/>
    <x v="1"/>
    <x v="4"/>
    <x v="0"/>
    <s v="a.bakri"/>
    <n v="-2"/>
    <n v="-0.05"/>
    <n v="31301.811430000002"/>
    <s v=""/>
    <s v="000003"/>
    <s v="X04043"/>
    <s v=""/>
    <s v="Q06133"/>
    <n v="0"/>
    <n v="-62603.622860000003"/>
    <x v="2"/>
  </r>
  <r>
    <x v="5"/>
    <s v="TM"/>
    <x v="9"/>
    <x v="4"/>
    <s v="IF0001"/>
    <s v="Flour Import Elngm 25Kg"/>
    <x v="5"/>
    <x v="1"/>
    <d v="2025-05-05T00:00:00"/>
    <s v="SCRP"/>
    <s v="TRANSPORTATION LOSS - 17875 ALASGALANI"/>
    <x v="118"/>
    <s v="Loss"/>
    <x v="1"/>
    <x v="4"/>
    <x v="0"/>
    <s v="a.bakri"/>
    <n v="-1"/>
    <n v="-2.5000000000000001E-2"/>
    <n v="31301.811430000002"/>
    <s v=""/>
    <s v="000004"/>
    <s v="X04043"/>
    <s v=""/>
    <s v="Q06133"/>
    <n v="0"/>
    <n v="-31301.811430000002"/>
    <x v="2"/>
  </r>
  <r>
    <x v="5"/>
    <s v="TM"/>
    <x v="9"/>
    <x v="4"/>
    <s v="IF0001"/>
    <s v="Flour Import Elngm 25Kg"/>
    <x v="5"/>
    <x v="1"/>
    <d v="2025-05-05T00:00:00"/>
    <s v="SCRP"/>
    <s v="TRANSPORTATION LOSS - 17875 ALASGALANI"/>
    <x v="118"/>
    <s v="Loss"/>
    <x v="1"/>
    <x v="4"/>
    <x v="0"/>
    <s v="a.bakri"/>
    <n v="-1"/>
    <n v="-2.5000000000000001E-2"/>
    <n v="31301.811430000002"/>
    <s v=""/>
    <s v="000005"/>
    <s v="X04043"/>
    <s v=""/>
    <s v="Q06133"/>
    <n v="0"/>
    <n v="-31301.811430000002"/>
    <x v="2"/>
  </r>
  <r>
    <x v="5"/>
    <s v="TM"/>
    <x v="9"/>
    <x v="4"/>
    <s v="IF0001"/>
    <s v="Flour Import Elngm 25Kg"/>
    <x v="5"/>
    <x v="1"/>
    <d v="2025-05-05T00:00:00"/>
    <s v="SCRP"/>
    <s v="TRANSPORTATION LOSS - 17878 ALFADNI"/>
    <x v="118"/>
    <s v="Loss"/>
    <x v="1"/>
    <x v="4"/>
    <x v="0"/>
    <s v="a.bakri"/>
    <n v="-1"/>
    <n v="-2.5000000000000001E-2"/>
    <n v="31301.811430000002"/>
    <s v=""/>
    <s v="000006"/>
    <s v="X04044"/>
    <s v=""/>
    <s v="Q06133"/>
    <n v="0"/>
    <n v="-31301.811430000002"/>
    <x v="2"/>
  </r>
  <r>
    <x v="5"/>
    <s v="TM"/>
    <x v="9"/>
    <x v="4"/>
    <s v="IF0001"/>
    <s v="Flour Import Elngm 25Kg"/>
    <x v="5"/>
    <x v="1"/>
    <d v="2025-05-05T00:00:00"/>
    <s v="SCRP"/>
    <s v="TRANSPORTATION LOSS - 17883 ALFADNI"/>
    <x v="118"/>
    <s v="Loss"/>
    <x v="1"/>
    <x v="4"/>
    <x v="0"/>
    <s v="a.bakri"/>
    <n v="-1"/>
    <n v="-2.5000000000000001E-2"/>
    <n v="31301.811430000002"/>
    <s v=""/>
    <s v="000007"/>
    <s v="X04045"/>
    <s v=""/>
    <s v="Q06133"/>
    <n v="0"/>
    <n v="-31301.811430000002"/>
    <x v="2"/>
  </r>
  <r>
    <x v="5"/>
    <s v="TW"/>
    <x v="9"/>
    <x v="4"/>
    <s v="IF0001"/>
    <s v="Flour Import Elngm 25Kg"/>
    <x v="5"/>
    <x v="1"/>
    <d v="2025-05-05T00:00:00"/>
    <s v="SCRP"/>
    <s v="TRANSPORTATION LOSS - 16039 ALASGALANI"/>
    <x v="118"/>
    <s v="Loss"/>
    <x v="1"/>
    <x v="4"/>
    <x v="0"/>
    <s v="a.bakri"/>
    <n v="-1"/>
    <n v="-2.5000000000000001E-2"/>
    <n v="31301.811430000002"/>
    <s v=""/>
    <s v="000000"/>
    <s v="X04046"/>
    <s v=""/>
    <s v="Q06185"/>
    <n v="0"/>
    <n v="-31301.811430000002"/>
    <x v="2"/>
  </r>
  <r>
    <x v="5"/>
    <s v="TW"/>
    <x v="9"/>
    <x v="4"/>
    <s v="IF0001"/>
    <s v="Flour Import Elngm 25Kg"/>
    <x v="5"/>
    <x v="1"/>
    <d v="2025-05-05T00:00:00"/>
    <s v="SCRP"/>
    <s v="TRANSPORTATION LOSS - 17877 ALASGALANI"/>
    <x v="118"/>
    <s v="Loss"/>
    <x v="1"/>
    <x v="4"/>
    <x v="0"/>
    <s v="a.bakri"/>
    <n v="-1"/>
    <n v="-2.5000000000000001E-2"/>
    <n v="31301.811430000002"/>
    <s v=""/>
    <s v="000001"/>
    <s v="X04047"/>
    <s v=""/>
    <s v="Q06185"/>
    <n v="0"/>
    <n v="-31301.811430000002"/>
    <x v="2"/>
  </r>
  <r>
    <x v="5"/>
    <s v="TW"/>
    <x v="9"/>
    <x v="4"/>
    <s v="IF0001"/>
    <s v="Flour Import Elngm 25Kg"/>
    <x v="5"/>
    <x v="1"/>
    <d v="2025-05-05T00:00:00"/>
    <s v="SCRP"/>
    <s v="TRANSPORTATION LOSS - 17874 ALASGALANI"/>
    <x v="118"/>
    <s v="Loss"/>
    <x v="1"/>
    <x v="4"/>
    <x v="0"/>
    <s v="a.bakri"/>
    <n v="-1"/>
    <n v="-2.5000000000000001E-2"/>
    <n v="31301.811430000002"/>
    <s v=""/>
    <s v="000002"/>
    <s v="X04048"/>
    <s v=""/>
    <s v="Q06185"/>
    <n v="0"/>
    <n v="-31301.811430000002"/>
    <x v="2"/>
  </r>
  <r>
    <x v="5"/>
    <s v="TW"/>
    <x v="9"/>
    <x v="4"/>
    <s v="IF0001"/>
    <s v="Flour Import Elngm 25Kg"/>
    <x v="5"/>
    <x v="1"/>
    <d v="2025-05-05T00:00:00"/>
    <s v="SCRP"/>
    <s v="TRANSPORTATION LOSS - 16083 ALASGALANI"/>
    <x v="118"/>
    <s v="Loss"/>
    <x v="1"/>
    <x v="4"/>
    <x v="0"/>
    <s v="a.bakri"/>
    <n v="-2"/>
    <n v="-0.05"/>
    <n v="31301.811430000002"/>
    <s v=""/>
    <s v="000003"/>
    <s v="X04049"/>
    <s v=""/>
    <s v="Q06185"/>
    <n v="0"/>
    <n v="-62603.622860000003"/>
    <x v="2"/>
  </r>
  <r>
    <x v="5"/>
    <s v="TW"/>
    <x v="9"/>
    <x v="4"/>
    <s v="IF0001"/>
    <s v="Flour Import Elngm 25Kg"/>
    <x v="5"/>
    <x v="1"/>
    <d v="2025-05-05T00:00:00"/>
    <s v="SCRP"/>
    <s v="TRANSPORTATION LOSS - 16097 ALASGALANI"/>
    <x v="118"/>
    <s v="Loss"/>
    <x v="1"/>
    <x v="4"/>
    <x v="0"/>
    <s v="a.bakri"/>
    <n v="-1"/>
    <n v="-2.5000000000000001E-2"/>
    <n v="31301.811430000002"/>
    <s v=""/>
    <s v="000004"/>
    <s v="X04050"/>
    <s v=""/>
    <s v="Q06185"/>
    <n v="0"/>
    <n v="-31301.811430000002"/>
    <x v="2"/>
  </r>
  <r>
    <x v="5"/>
    <s v="TW"/>
    <x v="9"/>
    <x v="4"/>
    <s v="IF0001"/>
    <s v="Flour Import Elngm 25Kg"/>
    <x v="5"/>
    <x v="1"/>
    <d v="2025-05-05T00:00:00"/>
    <s v="SCRP"/>
    <s v="TRANSPORTATION LOSS - 16096 ALASGALANI"/>
    <x v="118"/>
    <s v="Loss"/>
    <x v="1"/>
    <x v="4"/>
    <x v="0"/>
    <s v="a.bakri"/>
    <n v="-2"/>
    <n v="-0.05"/>
    <n v="31301.811430000002"/>
    <s v=""/>
    <s v="000005"/>
    <s v="X04051"/>
    <s v=""/>
    <s v="Q06185"/>
    <n v="0"/>
    <n v="-62603.622860000003"/>
    <x v="2"/>
  </r>
  <r>
    <x v="5"/>
    <s v="TW"/>
    <x v="9"/>
    <x v="4"/>
    <s v="NF0001"/>
    <s v="Alnajm Flour from Mill 25KG"/>
    <x v="15"/>
    <x v="1"/>
    <d v="2025-05-05T00:00:00"/>
    <s v="SCRP"/>
    <s v="TRANSPORTATION LOSS - 19541 Y.HAMZA"/>
    <x v="118"/>
    <s v="Loss"/>
    <x v="1"/>
    <x v="4"/>
    <x v="0"/>
    <s v="a.bakri"/>
    <n v="-2"/>
    <n v="-0.05"/>
    <n v="31301.811430000002"/>
    <s v=""/>
    <s v="000000"/>
    <s v="X04053"/>
    <s v=""/>
    <s v="CNC000741"/>
    <n v="0"/>
    <n v="-62603.622860000003"/>
    <x v="2"/>
  </r>
  <r>
    <x v="8"/>
    <s v="XP"/>
    <x v="9"/>
    <x v="6"/>
    <s v="SM0002"/>
    <s v="White Sesame Non Gadarif - FG "/>
    <x v="18"/>
    <x v="0"/>
    <d v="2025-04-23T00:00:00"/>
    <s v="SCRP"/>
    <s v="TRANSPORTATION LOSS - 9760 WD ELBLA"/>
    <x v="118"/>
    <s v="Loss"/>
    <x v="1"/>
    <x v="4"/>
    <x v="0"/>
    <s v="a.bakri"/>
    <n v="-1"/>
    <n v="-0.05"/>
    <n v="188251.76316"/>
    <s v=""/>
    <s v="000000"/>
    <s v="X03990"/>
    <s v=""/>
    <s v="CNC000743"/>
    <n v="0"/>
    <n v="-188251.76316"/>
    <x v="1"/>
  </r>
  <r>
    <x v="8"/>
    <s v="XP"/>
    <x v="9"/>
    <x v="6"/>
    <s v="SM0002"/>
    <s v="White Sesame Non Gadarif - FG "/>
    <x v="18"/>
    <x v="0"/>
    <d v="2025-04-23T00:00:00"/>
    <s v="SCRP"/>
    <s v="TRANSPORTATION LOSS - 65614 DALTA"/>
    <x v="118"/>
    <s v="Loss"/>
    <x v="1"/>
    <x v="4"/>
    <x v="0"/>
    <s v="a.bakri"/>
    <n v="-1"/>
    <n v="-0.05"/>
    <n v="188251.76316"/>
    <s v=""/>
    <s v="000001"/>
    <s v="X03991"/>
    <s v=""/>
    <s v="CNC000743"/>
    <n v="0"/>
    <n v="-188251.76316"/>
    <x v="1"/>
  </r>
  <r>
    <x v="8"/>
    <s v="IS"/>
    <x v="9"/>
    <x v="4"/>
    <s v="IF0001"/>
    <s v="Flour Import Elngm 25Kg"/>
    <x v="5"/>
    <x v="1"/>
    <d v="2025-04-24T00:00:00"/>
    <s v="SCRP"/>
    <s v="TRANSPORTATION LOSS - 15967 ALWAHSHAB"/>
    <x v="118"/>
    <s v="Loss"/>
    <x v="1"/>
    <x v="4"/>
    <x v="0"/>
    <s v="a.bakri"/>
    <n v="-1"/>
    <n v="-2.5000000000000001E-2"/>
    <n v="30927.350320000001"/>
    <s v=""/>
    <s v="000031"/>
    <s v="X03992"/>
    <s v=""/>
    <s v="Q06086"/>
    <n v="0"/>
    <n v="-30927.350320000001"/>
    <x v="2"/>
  </r>
  <r>
    <x v="8"/>
    <s v="IS"/>
    <x v="9"/>
    <x v="4"/>
    <s v="IF0001"/>
    <s v="Flour Import Elngm 25Kg"/>
    <x v="5"/>
    <x v="1"/>
    <d v="2025-04-24T00:00:00"/>
    <s v="SCRP"/>
    <s v="TRANSPORTATION LOSS - 15991 ALWAHSHAB"/>
    <x v="118"/>
    <s v="Loss"/>
    <x v="1"/>
    <x v="4"/>
    <x v="0"/>
    <s v="a.bakri"/>
    <n v="-4"/>
    <n v="-0.1"/>
    <n v="30927.350320000001"/>
    <s v=""/>
    <s v="000032"/>
    <s v="X03993"/>
    <s v=""/>
    <s v="Q06086"/>
    <n v="0"/>
    <n v="-123709.40128000001"/>
    <x v="2"/>
  </r>
  <r>
    <x v="8"/>
    <s v="IS"/>
    <x v="9"/>
    <x v="4"/>
    <s v="IF0001"/>
    <s v="Flour Import Elngm 25Kg"/>
    <x v="5"/>
    <x v="1"/>
    <d v="2025-04-24T00:00:00"/>
    <s v="SCRP"/>
    <s v="TRANSPORTATION LOSS - 15991 ALWAHSHAB"/>
    <x v="118"/>
    <s v="Loss"/>
    <x v="1"/>
    <x v="4"/>
    <x v="0"/>
    <s v="a.bakri"/>
    <n v="-6"/>
    <n v="-0.15"/>
    <n v="30927.350320000001"/>
    <s v=""/>
    <s v="000033"/>
    <s v="X03993"/>
    <s v=""/>
    <s v="Q06086"/>
    <n v="0"/>
    <n v="-185564.10192000002"/>
    <x v="2"/>
  </r>
  <r>
    <x v="8"/>
    <s v="IS"/>
    <x v="9"/>
    <x v="4"/>
    <s v="IF0001"/>
    <s v="Flour Import Elngm 25Kg"/>
    <x v="5"/>
    <x v="1"/>
    <d v="2025-04-24T00:00:00"/>
    <s v="SCRP"/>
    <s v="TRANSPORTATION LOSS - 12467 ALTAF"/>
    <x v="118"/>
    <s v="Loss"/>
    <x v="1"/>
    <x v="4"/>
    <x v="0"/>
    <s v="a.bakri"/>
    <n v="-2"/>
    <n v="-0.05"/>
    <n v="30927.350320000001"/>
    <s v=""/>
    <s v="000034"/>
    <s v="X03994"/>
    <s v=""/>
    <s v="Q06086"/>
    <n v="0"/>
    <n v="-61854.700640000003"/>
    <x v="2"/>
  </r>
  <r>
    <x v="8"/>
    <s v="IS"/>
    <x v="9"/>
    <x v="4"/>
    <s v="IF0001"/>
    <s v="Flour Import Elngm 25Kg"/>
    <x v="5"/>
    <x v="1"/>
    <d v="2025-04-24T00:00:00"/>
    <s v="SCRP"/>
    <s v="TRANSPORTATION LOSS - 15069 ALTAF"/>
    <x v="118"/>
    <s v="Loss"/>
    <x v="1"/>
    <x v="4"/>
    <x v="0"/>
    <s v="a.bakri"/>
    <n v="-2"/>
    <n v="-0.05"/>
    <n v="30927.350320000001"/>
    <s v=""/>
    <s v="000035"/>
    <s v="X03995"/>
    <s v=""/>
    <s v="Q06086"/>
    <n v="0"/>
    <n v="-61854.700640000003"/>
    <x v="2"/>
  </r>
  <r>
    <x v="8"/>
    <s v="IS"/>
    <x v="9"/>
    <x v="4"/>
    <s v="IF0001"/>
    <s v="Flour Import Elngm 25Kg"/>
    <x v="5"/>
    <x v="1"/>
    <d v="2025-04-24T00:00:00"/>
    <s v="SCRP"/>
    <s v="TRANSPORTATION LOSS - 15083 ALTARIK ALZAKI"/>
    <x v="118"/>
    <s v="Loss"/>
    <x v="1"/>
    <x v="4"/>
    <x v="0"/>
    <s v="a.bakri"/>
    <n v="-1"/>
    <n v="-2.5000000000000001E-2"/>
    <n v="30927.350320000001"/>
    <s v=""/>
    <s v="000036"/>
    <s v="X03996"/>
    <s v=""/>
    <s v="Q06086"/>
    <n v="0"/>
    <n v="-30927.350320000001"/>
    <x v="2"/>
  </r>
  <r>
    <x v="8"/>
    <s v="IS"/>
    <x v="9"/>
    <x v="4"/>
    <s v="IF0001"/>
    <s v="Flour Import Elngm 25Kg"/>
    <x v="5"/>
    <x v="1"/>
    <d v="2025-04-24T00:00:00"/>
    <s v="SCRP"/>
    <s v="TRANSPORTATION LOSS - 14225 ALOMDA"/>
    <x v="118"/>
    <s v="Loss"/>
    <x v="1"/>
    <x v="4"/>
    <x v="0"/>
    <s v="a.bakri"/>
    <n v="-1"/>
    <n v="-2.5000000000000001E-2"/>
    <n v="30927.350320000001"/>
    <s v=""/>
    <s v="000037"/>
    <s v="X03997"/>
    <s v=""/>
    <s v="Q06086"/>
    <n v="0"/>
    <n v="-30927.350320000001"/>
    <x v="2"/>
  </r>
  <r>
    <x v="8"/>
    <s v="IS"/>
    <x v="9"/>
    <x v="4"/>
    <s v="IF0001"/>
    <s v="Flour Import Elngm 25Kg"/>
    <x v="5"/>
    <x v="1"/>
    <d v="2025-04-24T00:00:00"/>
    <s v="SCRP"/>
    <s v="TRANSPORTATION LOSS - 14226 ALOMDA"/>
    <x v="118"/>
    <s v="Loss"/>
    <x v="1"/>
    <x v="4"/>
    <x v="0"/>
    <s v="a.bakri"/>
    <n v="-1"/>
    <n v="-2.5000000000000001E-2"/>
    <n v="30927.350320000001"/>
    <s v=""/>
    <s v="000038"/>
    <s v="X03998"/>
    <s v=""/>
    <s v="Q06086"/>
    <n v="0"/>
    <n v="-30927.350320000001"/>
    <x v="2"/>
  </r>
  <r>
    <x v="8"/>
    <s v="IS"/>
    <x v="9"/>
    <x v="4"/>
    <s v="IF0001"/>
    <s v="Flour Import Elngm 25Kg"/>
    <x v="5"/>
    <x v="1"/>
    <d v="2025-04-24T00:00:00"/>
    <s v="SCRP"/>
    <s v="TRANSPORTATION LOSS - 14228 ALOMDA"/>
    <x v="118"/>
    <s v="Loss"/>
    <x v="1"/>
    <x v="4"/>
    <x v="0"/>
    <s v="a.bakri"/>
    <n v="-1"/>
    <n v="-2.5000000000000001E-2"/>
    <n v="30927.350320000001"/>
    <s v=""/>
    <s v="000039"/>
    <s v="X03999"/>
    <s v=""/>
    <s v="Q06086"/>
    <n v="0"/>
    <n v="-30927.350320000001"/>
    <x v="2"/>
  </r>
  <r>
    <x v="8"/>
    <s v="IS"/>
    <x v="9"/>
    <x v="4"/>
    <s v="IF0001"/>
    <s v="Flour Import Elngm 25Kg"/>
    <x v="5"/>
    <x v="1"/>
    <d v="2025-04-24T00:00:00"/>
    <s v="SCRP"/>
    <s v="TRANSPORTATION LOSS - 14231 ALOMDA"/>
    <x v="118"/>
    <s v="Loss"/>
    <x v="1"/>
    <x v="4"/>
    <x v="0"/>
    <s v="a.bakri"/>
    <n v="-1"/>
    <n v="-2.5000000000000001E-2"/>
    <n v="30927.350320000001"/>
    <s v=""/>
    <s v="000040"/>
    <s v="X04000"/>
    <s v=""/>
    <s v="Q06086"/>
    <n v="0"/>
    <n v="-30927.350320000001"/>
    <x v="2"/>
  </r>
  <r>
    <x v="8"/>
    <s v="IS"/>
    <x v="9"/>
    <x v="4"/>
    <s v="IF0001"/>
    <s v="Flour Import Elngm 25Kg"/>
    <x v="5"/>
    <x v="1"/>
    <d v="2025-04-24T00:00:00"/>
    <s v="SCRP"/>
    <s v="TRANSPORTATION LOSS - 14233 ALOMDA"/>
    <x v="118"/>
    <s v="Loss"/>
    <x v="1"/>
    <x v="4"/>
    <x v="0"/>
    <s v="a.bakri"/>
    <n v="-8"/>
    <n v="-0.2"/>
    <n v="30927.350320000001"/>
    <s v=""/>
    <s v="000041"/>
    <s v="X04001"/>
    <s v=""/>
    <s v="Q06086"/>
    <n v="0"/>
    <n v="-247418.80256000001"/>
    <x v="2"/>
  </r>
  <r>
    <x v="8"/>
    <s v="IS"/>
    <x v="9"/>
    <x v="4"/>
    <s v="IF0001"/>
    <s v="Flour Import Elngm 25Kg"/>
    <x v="5"/>
    <x v="1"/>
    <d v="2025-04-24T00:00:00"/>
    <s v="SCRP"/>
    <s v="TRANSPORTATION LOSS - 14234 ALOMDA"/>
    <x v="118"/>
    <s v="Loss"/>
    <x v="1"/>
    <x v="4"/>
    <x v="0"/>
    <s v="a.bakri"/>
    <n v="-1"/>
    <n v="-2.5000000000000001E-2"/>
    <n v="30927.350320000001"/>
    <s v=""/>
    <s v="000044"/>
    <s v="X04002"/>
    <s v=""/>
    <s v="Q06086"/>
    <n v="0"/>
    <n v="-30927.350320000001"/>
    <x v="2"/>
  </r>
  <r>
    <x v="8"/>
    <s v="IS"/>
    <x v="9"/>
    <x v="4"/>
    <s v="IF0001"/>
    <s v="Flour Import Elngm 25Kg"/>
    <x v="5"/>
    <x v="1"/>
    <d v="2025-04-24T00:00:00"/>
    <s v="SCRP"/>
    <s v="TRANSPORTATION LOSS - 14240 ALOMDA"/>
    <x v="118"/>
    <s v="Loss"/>
    <x v="1"/>
    <x v="4"/>
    <x v="0"/>
    <s v="a.bakri"/>
    <n v="-6"/>
    <n v="-0.15"/>
    <n v="30927.350320000001"/>
    <s v=""/>
    <s v="000047"/>
    <s v="X04003"/>
    <s v=""/>
    <s v="Q06086"/>
    <n v="0"/>
    <n v="-185564.10192000002"/>
    <x v="2"/>
  </r>
  <r>
    <x v="8"/>
    <s v="IS"/>
    <x v="9"/>
    <x v="4"/>
    <s v="IF0001"/>
    <s v="Flour Import Elngm 25Kg"/>
    <x v="5"/>
    <x v="1"/>
    <d v="2025-04-24T00:00:00"/>
    <s v="SCRP"/>
    <s v="TRANSPORTATION LOSS - 14243 ALOMDA"/>
    <x v="118"/>
    <s v="Loss"/>
    <x v="1"/>
    <x v="4"/>
    <x v="0"/>
    <s v="a.bakri"/>
    <n v="-5"/>
    <n v="-0.125"/>
    <n v="30927.350320000001"/>
    <s v=""/>
    <s v="000048"/>
    <s v="X04004"/>
    <s v=""/>
    <s v="Q06086"/>
    <n v="0"/>
    <n v="-154636.75160000002"/>
    <x v="2"/>
  </r>
  <r>
    <x v="8"/>
    <s v="IS"/>
    <x v="9"/>
    <x v="4"/>
    <s v="IF0001"/>
    <s v="Flour Import Elngm 25Kg"/>
    <x v="5"/>
    <x v="1"/>
    <d v="2025-04-24T00:00:00"/>
    <s v="SCRP"/>
    <s v="TRANSPORTATION LOSS - 14245 ALOMDA"/>
    <x v="118"/>
    <s v="Loss"/>
    <x v="1"/>
    <x v="4"/>
    <x v="0"/>
    <s v="a.bakri"/>
    <n v="-6"/>
    <n v="-0.15"/>
    <n v="30927.350320000001"/>
    <s v=""/>
    <s v="000051"/>
    <s v="X04005"/>
    <s v=""/>
    <s v="Q06086"/>
    <n v="0"/>
    <n v="-185564.10192000002"/>
    <x v="2"/>
  </r>
  <r>
    <x v="8"/>
    <s v="IS"/>
    <x v="9"/>
    <x v="4"/>
    <s v="IF0001"/>
    <s v="Flour Import Elngm 25Kg"/>
    <x v="5"/>
    <x v="1"/>
    <d v="2025-04-24T00:00:00"/>
    <s v="SCRP"/>
    <s v="TRANSPORTATION LOSS - 14247 ALOMDA"/>
    <x v="118"/>
    <s v="Loss"/>
    <x v="1"/>
    <x v="4"/>
    <x v="0"/>
    <s v="a.bakri"/>
    <n v="-1"/>
    <n v="-2.5000000000000001E-2"/>
    <n v="30927.350320000001"/>
    <s v=""/>
    <s v="000054"/>
    <s v="X04006"/>
    <s v=""/>
    <s v="Q06086"/>
    <n v="0"/>
    <n v="-30927.350320000001"/>
    <x v="2"/>
  </r>
  <r>
    <x v="8"/>
    <s v="IS"/>
    <x v="9"/>
    <x v="4"/>
    <s v="IF0001"/>
    <s v="Flour Import Elngm 25Kg"/>
    <x v="5"/>
    <x v="1"/>
    <d v="2025-04-24T00:00:00"/>
    <s v="SCRP"/>
    <s v="TRANSPORTATION LOSS - 14249 ALOMDA"/>
    <x v="118"/>
    <s v="Loss"/>
    <x v="1"/>
    <x v="4"/>
    <x v="0"/>
    <s v="a.bakri"/>
    <n v="-6"/>
    <n v="-0.15"/>
    <n v="30927.350320000001"/>
    <s v=""/>
    <s v="000055"/>
    <s v="X04007"/>
    <s v=""/>
    <s v="Q06086"/>
    <n v="0"/>
    <n v="-185564.10192000002"/>
    <x v="2"/>
  </r>
  <r>
    <x v="8"/>
    <s v="IS"/>
    <x v="9"/>
    <x v="4"/>
    <s v="IF0001"/>
    <s v="Flour Import Elngm 25Kg"/>
    <x v="5"/>
    <x v="1"/>
    <d v="2025-04-24T00:00:00"/>
    <s v="SCRP"/>
    <s v="TRANSPORTATION LOSS - 15960 ALWASEELA"/>
    <x v="118"/>
    <s v="Loss"/>
    <x v="1"/>
    <x v="4"/>
    <x v="0"/>
    <s v="a.bakri"/>
    <n v="-7"/>
    <n v="-0.17499999999999999"/>
    <n v="30927.350320000001"/>
    <s v=""/>
    <s v="000058"/>
    <s v="X04008"/>
    <s v=""/>
    <s v="Q06086"/>
    <n v="0"/>
    <n v="-216491.45224000001"/>
    <x v="2"/>
  </r>
  <r>
    <x v="8"/>
    <s v="IS"/>
    <x v="9"/>
    <x v="4"/>
    <s v="IF0001"/>
    <s v="Flour Import Elngm 25Kg"/>
    <x v="5"/>
    <x v="1"/>
    <d v="2025-04-24T00:00:00"/>
    <s v="SCRP"/>
    <s v="TRANSPORTATION LOSS - 15980 K.MAHJOUB"/>
    <x v="118"/>
    <s v="Loss"/>
    <x v="1"/>
    <x v="4"/>
    <x v="0"/>
    <s v="a.bakri"/>
    <n v="-2"/>
    <n v="-0.05"/>
    <n v="30927.350320000001"/>
    <s v=""/>
    <s v="000059"/>
    <s v="X04009"/>
    <s v=""/>
    <s v="Q06086"/>
    <n v="0"/>
    <n v="-61854.700640000003"/>
    <x v="2"/>
  </r>
  <r>
    <x v="8"/>
    <s v="IS"/>
    <x v="9"/>
    <x v="4"/>
    <s v="IF0001"/>
    <s v="Flour Import Elngm 25Kg"/>
    <x v="5"/>
    <x v="1"/>
    <d v="2025-04-24T00:00:00"/>
    <s v="SCRP"/>
    <s v="TRANSPORTATION LOSS - 17888 ALASGALANI"/>
    <x v="118"/>
    <s v="Loss"/>
    <x v="1"/>
    <x v="4"/>
    <x v="0"/>
    <s v="a.bakri"/>
    <n v="-2"/>
    <n v="-0.05"/>
    <n v="30927.350320000001"/>
    <s v=""/>
    <s v="000063"/>
    <s v="X04010"/>
    <s v=""/>
    <s v="Q06086"/>
    <n v="0"/>
    <n v="-61854.700640000003"/>
    <x v="2"/>
  </r>
  <r>
    <x v="8"/>
    <s v="IS"/>
    <x v="9"/>
    <x v="4"/>
    <s v="IF0001"/>
    <s v="Flour Import Elngm 25Kg"/>
    <x v="5"/>
    <x v="1"/>
    <d v="2025-04-24T00:00:00"/>
    <s v="SCRP"/>
    <s v="TRANSPORTATION LOSS - 18472 DLATA"/>
    <x v="118"/>
    <s v="Loss"/>
    <x v="1"/>
    <x v="4"/>
    <x v="0"/>
    <s v="a.bakri"/>
    <n v="-1"/>
    <n v="-2.5000000000000001E-2"/>
    <n v="30927.350320000001"/>
    <s v=""/>
    <s v="000065"/>
    <s v="X04011"/>
    <s v=""/>
    <s v="Q06086"/>
    <n v="0"/>
    <n v="-30927.350320000001"/>
    <x v="2"/>
  </r>
  <r>
    <x v="8"/>
    <s v="IS"/>
    <x v="9"/>
    <x v="4"/>
    <s v="IF0001"/>
    <s v="Flour Import Elngm 25Kg"/>
    <x v="5"/>
    <x v="1"/>
    <d v="2025-04-24T00:00:00"/>
    <s v="SCRP"/>
    <s v="TRANSPORTATION LOSS - 18474 DALTA"/>
    <x v="118"/>
    <s v="Loss"/>
    <x v="1"/>
    <x v="4"/>
    <x v="0"/>
    <s v="a.bakri"/>
    <n v="-1"/>
    <n v="-2.5000000000000001E-2"/>
    <n v="30927.350320000001"/>
    <s v=""/>
    <s v="000067"/>
    <s v="X04012"/>
    <s v=""/>
    <s v="Q06086"/>
    <n v="0"/>
    <n v="-30927.350320000001"/>
    <x v="2"/>
  </r>
  <r>
    <x v="8"/>
    <s v="IS"/>
    <x v="9"/>
    <x v="4"/>
    <s v="IF0001"/>
    <s v="Flour Import Elngm 25Kg"/>
    <x v="5"/>
    <x v="1"/>
    <d v="2025-04-24T00:00:00"/>
    <s v="SCRP"/>
    <s v="TRANSPORTATION LOSS - 18477 DALTA"/>
    <x v="118"/>
    <s v="Loss"/>
    <x v="1"/>
    <x v="4"/>
    <x v="0"/>
    <s v="a.bakri"/>
    <n v="-3"/>
    <n v="-7.4999999999999997E-2"/>
    <n v="30927.350320000001"/>
    <s v=""/>
    <s v="000068"/>
    <s v="X04013"/>
    <s v=""/>
    <s v="Q06086"/>
    <n v="0"/>
    <n v="-92782.050960000008"/>
    <x v="2"/>
  </r>
  <r>
    <x v="8"/>
    <s v="IS"/>
    <x v="9"/>
    <x v="4"/>
    <s v="IF0001"/>
    <s v="Flour Import Elngm 25Kg"/>
    <x v="5"/>
    <x v="1"/>
    <d v="2025-04-24T00:00:00"/>
    <s v="SCRP"/>
    <s v="TRANSPORTATION LOSS - 18478 DALTA"/>
    <x v="118"/>
    <s v="Loss"/>
    <x v="1"/>
    <x v="4"/>
    <x v="0"/>
    <s v="a.bakri"/>
    <n v="-1"/>
    <n v="-2.5000000000000001E-2"/>
    <n v="30927.350320000001"/>
    <s v=""/>
    <s v="000071"/>
    <s v="X04014"/>
    <s v=""/>
    <s v="Q06086"/>
    <n v="0"/>
    <n v="-30927.350320000001"/>
    <x v="2"/>
  </r>
  <r>
    <x v="8"/>
    <s v="IS"/>
    <x v="9"/>
    <x v="4"/>
    <s v="IF0001"/>
    <s v="Flour Import Elngm 25Kg"/>
    <x v="5"/>
    <x v="1"/>
    <d v="2025-04-24T00:00:00"/>
    <s v="SCRP"/>
    <s v="TRANSPORTATION LOSS - 18618 RIBA"/>
    <x v="118"/>
    <s v="Loss"/>
    <x v="1"/>
    <x v="4"/>
    <x v="0"/>
    <s v="a.bakri"/>
    <n v="-6"/>
    <n v="-0.15"/>
    <n v="30927.350320000001"/>
    <s v=""/>
    <s v="000074"/>
    <s v="X04015"/>
    <s v=""/>
    <s v="Q06086"/>
    <n v="0"/>
    <n v="-185564.10192000002"/>
    <x v="2"/>
  </r>
  <r>
    <x v="8"/>
    <s v="IS"/>
    <x v="9"/>
    <x v="4"/>
    <s v="IF0001"/>
    <s v="Flour Import Elngm 25Kg"/>
    <x v="5"/>
    <x v="1"/>
    <d v="2025-04-24T00:00:00"/>
    <s v="SCRP"/>
    <s v="TRANSPORTATION LOSS - 18482 RIBA"/>
    <x v="118"/>
    <s v="Loss"/>
    <x v="1"/>
    <x v="4"/>
    <x v="0"/>
    <s v="a.bakri"/>
    <n v="-4"/>
    <n v="-0.1"/>
    <n v="30927.350320000001"/>
    <s v=""/>
    <s v="000078"/>
    <s v="X04016"/>
    <s v=""/>
    <s v="Q06086"/>
    <n v="0"/>
    <n v="-123709.40128000001"/>
    <x v="2"/>
  </r>
  <r>
    <x v="8"/>
    <s v="IS"/>
    <x v="9"/>
    <x v="4"/>
    <s v="IF0001"/>
    <s v="Flour Import Elngm 25Kg"/>
    <x v="5"/>
    <x v="1"/>
    <d v="2025-04-24T00:00:00"/>
    <s v="SCRP"/>
    <s v="TRANSPORTATION LOSS - 18499 RIBA"/>
    <x v="118"/>
    <s v="Loss"/>
    <x v="1"/>
    <x v="4"/>
    <x v="0"/>
    <s v="a.bakri"/>
    <n v="-2"/>
    <n v="-0.05"/>
    <n v="30927.350320000001"/>
    <s v=""/>
    <s v="000080"/>
    <s v="X04017"/>
    <s v=""/>
    <s v="Q06086"/>
    <n v="0"/>
    <n v="-61854.700640000003"/>
    <x v="2"/>
  </r>
  <r>
    <x v="8"/>
    <s v="IS"/>
    <x v="9"/>
    <x v="4"/>
    <s v="IF0001"/>
    <s v="Flour Import Elngm 25Kg"/>
    <x v="5"/>
    <x v="1"/>
    <d v="2025-04-24T00:00:00"/>
    <s v="SCRP"/>
    <s v="TRANSPORTATION LOSS - 18500 RIBA"/>
    <x v="118"/>
    <s v="Loss"/>
    <x v="1"/>
    <x v="4"/>
    <x v="0"/>
    <s v="a.bakri"/>
    <n v="-4"/>
    <n v="-0.1"/>
    <n v="30927.350320000001"/>
    <s v=""/>
    <s v="000083"/>
    <s v="X04018"/>
    <s v=""/>
    <s v="Q06086"/>
    <n v="0"/>
    <n v="-123709.40128000001"/>
    <x v="2"/>
  </r>
  <r>
    <x v="8"/>
    <s v="IS"/>
    <x v="9"/>
    <x v="4"/>
    <s v="IF0001"/>
    <s v="Flour Import Elngm 25Kg"/>
    <x v="5"/>
    <x v="1"/>
    <d v="2025-04-24T00:00:00"/>
    <s v="SCRP"/>
    <s v="TRANSPORTATION LOSS - 18471 QUICK"/>
    <x v="118"/>
    <s v="Loss"/>
    <x v="1"/>
    <x v="4"/>
    <x v="0"/>
    <s v="a.bakri"/>
    <n v="-7"/>
    <n v="-0.17499999999999999"/>
    <n v="30927.350320000001"/>
    <s v=""/>
    <s v="000139"/>
    <s v="X04020"/>
    <s v=""/>
    <s v="Q06086"/>
    <n v="0"/>
    <n v="-216491.45224000001"/>
    <x v="2"/>
  </r>
  <r>
    <x v="8"/>
    <s v="IS"/>
    <x v="9"/>
    <x v="4"/>
    <s v="IF0001"/>
    <s v="Flour Import Elngm 25Kg"/>
    <x v="5"/>
    <x v="1"/>
    <d v="2025-04-24T00:00:00"/>
    <s v="SCRP"/>
    <s v="TRANSPORTATION LOSS - 18604 ARIF &amp; MUBARK"/>
    <x v="118"/>
    <s v="Loss"/>
    <x v="1"/>
    <x v="4"/>
    <x v="0"/>
    <s v="a.bakri"/>
    <n v="-1"/>
    <n v="-2.5000000000000001E-2"/>
    <n v="30927.350320000001"/>
    <s v=""/>
    <s v="000140"/>
    <s v="X04021"/>
    <s v=""/>
    <s v="Q06086"/>
    <n v="0"/>
    <n v="-30927.350320000001"/>
    <x v="2"/>
  </r>
  <r>
    <x v="8"/>
    <s v="IS"/>
    <x v="9"/>
    <x v="4"/>
    <s v="IF0001"/>
    <s v="Flour Import Elngm 25Kg"/>
    <x v="5"/>
    <x v="1"/>
    <d v="2025-04-24T00:00:00"/>
    <s v="SCRP"/>
    <s v="TRANSPORTATION LOSS - 18640 ALTAF"/>
    <x v="118"/>
    <s v="Loss"/>
    <x v="1"/>
    <x v="4"/>
    <x v="0"/>
    <s v="a.bakri"/>
    <n v="-1"/>
    <n v="-2.5000000000000001E-2"/>
    <n v="30927.350320000001"/>
    <s v=""/>
    <s v="000141"/>
    <s v="X04022"/>
    <s v=""/>
    <s v="Q06086"/>
    <n v="0"/>
    <n v="-30927.350320000001"/>
    <x v="2"/>
  </r>
  <r>
    <x v="8"/>
    <s v="IS"/>
    <x v="9"/>
    <x v="4"/>
    <s v="IF0001"/>
    <s v="Flour Import Elngm 25Kg"/>
    <x v="5"/>
    <x v="1"/>
    <d v="2025-04-24T00:00:00"/>
    <s v="SCRP"/>
    <s v="TRANSPORTATION LOSS - 18641 ALTAF"/>
    <x v="118"/>
    <s v="Loss"/>
    <x v="1"/>
    <x v="4"/>
    <x v="0"/>
    <s v="a.bakri"/>
    <n v="-3"/>
    <n v="-7.4999999999999997E-2"/>
    <n v="30927.350320000001"/>
    <s v=""/>
    <s v="000142"/>
    <s v="X04023"/>
    <s v=""/>
    <s v="Q06086"/>
    <n v="0"/>
    <n v="-92782.050960000008"/>
    <x v="2"/>
  </r>
  <r>
    <x v="8"/>
    <s v="IS"/>
    <x v="9"/>
    <x v="4"/>
    <s v="IF0001"/>
    <s v="Flour Import Elngm 25Kg"/>
    <x v="5"/>
    <x v="1"/>
    <d v="2025-04-24T00:00:00"/>
    <s v="SCRP"/>
    <s v="TRANSPORTATION LOSS - 18650 ALTAF"/>
    <x v="118"/>
    <s v="Loss"/>
    <x v="1"/>
    <x v="4"/>
    <x v="0"/>
    <s v="a.bakri"/>
    <n v="-1"/>
    <n v="-2.5000000000000001E-2"/>
    <n v="30927.350320000001"/>
    <s v=""/>
    <s v="000143"/>
    <s v="X04024"/>
    <s v=""/>
    <s v="Q06086"/>
    <n v="0"/>
    <n v="-30927.350320000001"/>
    <x v="2"/>
  </r>
  <r>
    <x v="8"/>
    <s v="IS"/>
    <x v="9"/>
    <x v="4"/>
    <s v="IF0001"/>
    <s v="Flour Import Elngm 25Kg"/>
    <x v="5"/>
    <x v="1"/>
    <d v="2025-04-24T00:00:00"/>
    <s v="SCRP"/>
    <s v="TRANSPORTATION LOSS - 18676 DALTA"/>
    <x v="118"/>
    <s v="Loss"/>
    <x v="1"/>
    <x v="4"/>
    <x v="0"/>
    <s v="a.bakri"/>
    <n v="-1"/>
    <n v="-2.5000000000000001E-2"/>
    <n v="30927.350320000001"/>
    <s v=""/>
    <s v="000144"/>
    <s v="X04025"/>
    <s v=""/>
    <s v="Q06086"/>
    <n v="0"/>
    <n v="-30927.350320000001"/>
    <x v="2"/>
  </r>
  <r>
    <x v="8"/>
    <s v="IS"/>
    <x v="9"/>
    <x v="4"/>
    <s v="IF0001"/>
    <s v="Flour Import Elngm 25Kg"/>
    <x v="5"/>
    <x v="1"/>
    <d v="2025-04-24T00:00:00"/>
    <s v="SCRP"/>
    <s v="TRANSPORTATION LOSS - 18639 ANJAL"/>
    <x v="118"/>
    <s v="Loss"/>
    <x v="1"/>
    <x v="4"/>
    <x v="0"/>
    <s v="a.bakri"/>
    <n v="-1"/>
    <n v="-2.5000000000000001E-2"/>
    <n v="30927.350320000001"/>
    <s v=""/>
    <s v="000145"/>
    <s v="X04026"/>
    <s v=""/>
    <s v="Q06086"/>
    <n v="0"/>
    <n v="-30927.350320000001"/>
    <x v="2"/>
  </r>
  <r>
    <x v="8"/>
    <s v="IS"/>
    <x v="9"/>
    <x v="4"/>
    <s v="IF0001"/>
    <s v="Flour Import Elngm 25Kg"/>
    <x v="5"/>
    <x v="1"/>
    <d v="2025-04-24T00:00:00"/>
    <s v="SCRP"/>
    <s v="TRANSPORTATION LOSS - 19152 ALOMDA"/>
    <x v="118"/>
    <s v="Loss"/>
    <x v="1"/>
    <x v="4"/>
    <x v="0"/>
    <s v="a.bakri"/>
    <n v="-5"/>
    <n v="-0.125"/>
    <n v="30927.350320000001"/>
    <s v=""/>
    <s v="000146"/>
    <s v="X04027"/>
    <s v=""/>
    <s v="Q06086"/>
    <n v="0"/>
    <n v="-154636.75160000002"/>
    <x v="2"/>
  </r>
  <r>
    <x v="8"/>
    <s v="IS"/>
    <x v="9"/>
    <x v="4"/>
    <s v="IF0001"/>
    <s v="Flour Import Elngm 25Kg"/>
    <x v="5"/>
    <x v="1"/>
    <d v="2025-04-24T00:00:00"/>
    <s v="SCRP"/>
    <s v="TRANSPORTATION LOSS - 18651 ALTAF"/>
    <x v="118"/>
    <s v="Loss"/>
    <x v="1"/>
    <x v="4"/>
    <x v="0"/>
    <s v="a.bakri"/>
    <n v="-2"/>
    <n v="-0.05"/>
    <n v="30927.350320000001"/>
    <s v=""/>
    <s v="000147"/>
    <s v="X04028"/>
    <s v=""/>
    <s v="Q06086"/>
    <n v="0"/>
    <n v="-61854.700640000003"/>
    <x v="2"/>
  </r>
  <r>
    <x v="8"/>
    <s v="IS"/>
    <x v="9"/>
    <x v="5"/>
    <s v="LE0001"/>
    <s v="Lentil TAT 20KG"/>
    <x v="7"/>
    <x v="1"/>
    <d v="2025-04-24T00:00:00"/>
    <s v="SCRP"/>
    <s v="TRANSPORTATION LOSS - 16654 ABURNAT"/>
    <x v="118"/>
    <s v="Loss"/>
    <x v="1"/>
    <x v="4"/>
    <x v="0"/>
    <s v="a.bakri"/>
    <n v="-3"/>
    <n v="-0.06"/>
    <n v="48291.345670000002"/>
    <s v=""/>
    <s v="000000"/>
    <s v="X04029"/>
    <s v=""/>
    <s v="Q06106"/>
    <n v="0"/>
    <n v="-144874.03701"/>
    <x v="3"/>
  </r>
  <r>
    <x v="8"/>
    <s v="IS"/>
    <x v="9"/>
    <x v="5"/>
    <s v="LE0001"/>
    <s v="Lentil TAT 20KG"/>
    <x v="7"/>
    <x v="1"/>
    <d v="2025-04-24T00:00:00"/>
    <s v="SCRP"/>
    <s v="TRANSPORTATION LOSS - 16657 ABURNAT"/>
    <x v="118"/>
    <s v="Loss"/>
    <x v="1"/>
    <x v="4"/>
    <x v="0"/>
    <s v="a.bakri"/>
    <n v="-6"/>
    <n v="-0.12"/>
    <n v="48291.345670000002"/>
    <s v=""/>
    <s v="000001"/>
    <s v="X04030"/>
    <s v=""/>
    <s v="Q06106"/>
    <n v="0"/>
    <n v="-289748.07402"/>
    <x v="3"/>
  </r>
  <r>
    <x v="8"/>
    <s v="IS"/>
    <x v="9"/>
    <x v="5"/>
    <s v="LE0001"/>
    <s v="Lentil TAT 20KG"/>
    <x v="7"/>
    <x v="1"/>
    <d v="2025-04-24T00:00:00"/>
    <s v="SCRP"/>
    <s v="TRANSPORTATION LOSS - 16659 ABURNAT"/>
    <x v="118"/>
    <s v="Loss"/>
    <x v="1"/>
    <x v="4"/>
    <x v="0"/>
    <s v="a.bakri"/>
    <n v="-1"/>
    <n v="-0.02"/>
    <n v="48291.345670000002"/>
    <s v=""/>
    <s v="000002"/>
    <s v="X04031"/>
    <s v=""/>
    <s v="Q06106"/>
    <n v="0"/>
    <n v="-48291.345670000002"/>
    <x v="3"/>
  </r>
  <r>
    <x v="8"/>
    <s v="IS"/>
    <x v="9"/>
    <x v="3"/>
    <s v="RC0001"/>
    <s v="Rice Short Grain Dalian"/>
    <x v="3"/>
    <x v="1"/>
    <d v="2025-04-24T00:00:00"/>
    <s v="SCRP"/>
    <s v="TRANSPORTATION LOSS - 18565 ALTAF"/>
    <x v="118"/>
    <s v="Loss"/>
    <x v="1"/>
    <x v="4"/>
    <x v="0"/>
    <s v="a.bakri"/>
    <n v="-3"/>
    <n v="-7.4999999999999997E-2"/>
    <n v="49550.962500000001"/>
    <s v=""/>
    <s v="000000"/>
    <s v="X04032"/>
    <s v=""/>
    <s v="Q05158"/>
    <n v="0"/>
    <n v="-148652.88750000001"/>
    <x v="2"/>
  </r>
  <r>
    <x v="8"/>
    <s v="IS"/>
    <x v="9"/>
    <x v="3"/>
    <s v="RC0004"/>
    <s v="Rice Long Grade 2 Elngm 20Kg"/>
    <x v="9"/>
    <x v="1"/>
    <d v="2025-04-24T00:00:00"/>
    <s v="SCRP"/>
    <s v="TRANSPORTATION LOSS - 18557 ARIF &amp; MUBARK"/>
    <x v="118"/>
    <s v="Loss"/>
    <x v="1"/>
    <x v="4"/>
    <x v="0"/>
    <s v="a.bakri"/>
    <n v="-5"/>
    <n v="-0.1"/>
    <n v="32091.618419999999"/>
    <s v=""/>
    <s v="000000"/>
    <s v="X04033"/>
    <s v=""/>
    <s v="Q05930"/>
    <n v="0"/>
    <n v="-160458.09210000001"/>
    <x v="3"/>
  </r>
  <r>
    <x v="5"/>
    <s v="IS"/>
    <x v="9"/>
    <x v="4"/>
    <s v="IF0001"/>
    <s v="Flour Import Elngm 25Kg"/>
    <x v="5"/>
    <x v="1"/>
    <d v="2025-05-15T00:00:00"/>
    <s v="SCRP"/>
    <s v="TRANSPORTATION LOSS - 16992 ANJAL"/>
    <x v="118"/>
    <s v="Loss"/>
    <x v="1"/>
    <x v="4"/>
    <x v="0"/>
    <s v="a.bakri"/>
    <n v="-4"/>
    <n v="-0.1"/>
    <n v="31301.811430000002"/>
    <s v=""/>
    <s v="000000"/>
    <s v="X04073"/>
    <s v=""/>
    <s v="A00801"/>
    <n v="0"/>
    <n v="-125207.24572000001"/>
    <x v="2"/>
  </r>
  <r>
    <x v="5"/>
    <s v="IS"/>
    <x v="9"/>
    <x v="4"/>
    <s v="IF0001"/>
    <s v="Flour Import Elngm 25Kg"/>
    <x v="5"/>
    <x v="1"/>
    <d v="2025-05-15T00:00:00"/>
    <s v="SCRP"/>
    <s v="TRANSPORTATION LOSS - 16999 ANJAL"/>
    <x v="118"/>
    <s v="Loss"/>
    <x v="1"/>
    <x v="4"/>
    <x v="0"/>
    <s v="a.bakri"/>
    <n v="-1"/>
    <n v="-2.5000000000000001E-2"/>
    <n v="31301.811430000002"/>
    <s v=""/>
    <s v="000001"/>
    <s v="X04074"/>
    <s v=""/>
    <s v="A00801"/>
    <n v="0"/>
    <n v="-31301.811430000002"/>
    <x v="2"/>
  </r>
  <r>
    <x v="5"/>
    <s v="IS"/>
    <x v="9"/>
    <x v="4"/>
    <s v="IF0001"/>
    <s v="Flour Import Elngm 25Kg"/>
    <x v="5"/>
    <x v="1"/>
    <d v="2025-05-15T00:00:00"/>
    <s v="SCRP"/>
    <s v="TRANSPORTATION LOSS - 17005 DARKA"/>
    <x v="118"/>
    <s v="Loss"/>
    <x v="1"/>
    <x v="4"/>
    <x v="0"/>
    <s v="a.bakri"/>
    <n v="-1"/>
    <n v="-2.5000000000000001E-2"/>
    <n v="31301.811430000002"/>
    <s v=""/>
    <s v="000002"/>
    <s v="X04075"/>
    <s v=""/>
    <s v="A00801"/>
    <n v="0"/>
    <n v="-31301.811430000002"/>
    <x v="2"/>
  </r>
  <r>
    <x v="5"/>
    <s v="IS"/>
    <x v="9"/>
    <x v="4"/>
    <s v="IF0001"/>
    <s v="Flour Import Elngm 25Kg"/>
    <x v="5"/>
    <x v="1"/>
    <d v="2025-05-15T00:00:00"/>
    <s v="SCRP"/>
    <s v="TRANSPORTATION LOSS - 17005 DARKA"/>
    <x v="118"/>
    <s v="Loss"/>
    <x v="1"/>
    <x v="4"/>
    <x v="0"/>
    <s v="a.bakri"/>
    <n v="-1"/>
    <n v="-2.5000000000000001E-2"/>
    <n v="31301.811430000002"/>
    <s v=""/>
    <s v="000003"/>
    <s v="X04075"/>
    <s v=""/>
    <s v="A00802"/>
    <n v="0"/>
    <n v="-31301.811430000002"/>
    <x v="2"/>
  </r>
  <r>
    <x v="5"/>
    <s v="IS"/>
    <x v="9"/>
    <x v="4"/>
    <s v="IF0001"/>
    <s v="Flour Import Elngm 25Kg"/>
    <x v="5"/>
    <x v="1"/>
    <d v="2025-05-15T00:00:00"/>
    <s v="SCRP"/>
    <s v="TRANSPORTATION LOSS - 17010 DARKA"/>
    <x v="118"/>
    <s v="Loss"/>
    <x v="1"/>
    <x v="4"/>
    <x v="0"/>
    <s v="a.bakri"/>
    <n v="-1"/>
    <n v="-2.5000000000000001E-2"/>
    <n v="31301.811430000002"/>
    <s v=""/>
    <s v="000004"/>
    <s v="X04076"/>
    <s v=""/>
    <s v="A00802"/>
    <n v="0"/>
    <n v="-31301.811430000002"/>
    <x v="2"/>
  </r>
  <r>
    <x v="5"/>
    <s v="IS"/>
    <x v="9"/>
    <x v="4"/>
    <s v="IF0001"/>
    <s v="Flour Import Elngm 25Kg"/>
    <x v="5"/>
    <x v="1"/>
    <d v="2025-05-15T00:00:00"/>
    <s v="SCRP"/>
    <s v="TRANSPORTATION LOSS - 17014 DARKA"/>
    <x v="118"/>
    <s v="Loss"/>
    <x v="1"/>
    <x v="4"/>
    <x v="0"/>
    <s v="a.bakri"/>
    <n v="-4"/>
    <n v="-0.1"/>
    <n v="31301.811430000002"/>
    <s v=""/>
    <s v="000005"/>
    <s v="X04077"/>
    <s v=""/>
    <s v="A00802"/>
    <n v="0"/>
    <n v="-125207.24572000001"/>
    <x v="2"/>
  </r>
  <r>
    <x v="5"/>
    <s v="IS"/>
    <x v="9"/>
    <x v="4"/>
    <s v="IF0001"/>
    <s v="Flour Import Elngm 25Kg"/>
    <x v="5"/>
    <x v="1"/>
    <d v="2025-05-15T00:00:00"/>
    <s v="SCRP"/>
    <s v="TRANSPORTATION LOSS - 17014 DARKA"/>
    <x v="118"/>
    <s v="Loss"/>
    <x v="1"/>
    <x v="4"/>
    <x v="0"/>
    <s v="a.bakri"/>
    <n v="-1"/>
    <n v="-2.5000000000000001E-2"/>
    <n v="31301.811430000002"/>
    <s v=""/>
    <s v="000006"/>
    <s v="X04077"/>
    <s v=""/>
    <s v="A00803"/>
    <n v="0"/>
    <n v="-31301.811430000002"/>
    <x v="2"/>
  </r>
  <r>
    <x v="5"/>
    <s v="IS"/>
    <x v="9"/>
    <x v="4"/>
    <s v="IF0001"/>
    <s v="Flour Import Elngm 25Kg"/>
    <x v="5"/>
    <x v="1"/>
    <d v="2025-05-15T00:00:00"/>
    <s v="SCRP"/>
    <s v="TRANSPORTATION LOSS - 17060 ANJAL"/>
    <x v="118"/>
    <s v="Loss"/>
    <x v="1"/>
    <x v="4"/>
    <x v="0"/>
    <s v="a.bakri"/>
    <n v="-7"/>
    <n v="-0.17499999999999999"/>
    <n v="31301.811430000002"/>
    <s v=""/>
    <s v="000007"/>
    <s v="X04078"/>
    <s v=""/>
    <s v="A00803"/>
    <n v="0"/>
    <n v="-219112.68001000001"/>
    <x v="2"/>
  </r>
  <r>
    <x v="5"/>
    <s v="IS"/>
    <x v="9"/>
    <x v="4"/>
    <s v="IF0001"/>
    <s v="Flour Import Elngm 25Kg"/>
    <x v="5"/>
    <x v="1"/>
    <d v="2025-05-15T00:00:00"/>
    <s v="SCRP"/>
    <s v="TRANSPORTATION LOSS - 17088 ANJAL"/>
    <x v="118"/>
    <s v="Loss"/>
    <x v="1"/>
    <x v="4"/>
    <x v="0"/>
    <s v="a.bakri"/>
    <n v="-1"/>
    <n v="-2.5000000000000001E-2"/>
    <n v="31301.811430000002"/>
    <s v=""/>
    <s v="000008"/>
    <s v="X04079"/>
    <s v=""/>
    <s v="A00803"/>
    <n v="0"/>
    <n v="-31301.811430000002"/>
    <x v="2"/>
  </r>
  <r>
    <x v="5"/>
    <s v="IS"/>
    <x v="9"/>
    <x v="4"/>
    <s v="IF0001"/>
    <s v="Flour Import Elngm 25Kg"/>
    <x v="5"/>
    <x v="1"/>
    <d v="2025-05-15T00:00:00"/>
    <s v="SCRP"/>
    <s v="TRANSPORTATION LOSS - 16973 ALTARIQ ALZAKI"/>
    <x v="118"/>
    <s v="Loss"/>
    <x v="1"/>
    <x v="4"/>
    <x v="0"/>
    <s v="a.bakri"/>
    <n v="-5"/>
    <n v="-0.125"/>
    <n v="31301.811430000002"/>
    <s v=""/>
    <s v="000009"/>
    <s v="X04080"/>
    <s v=""/>
    <s v="A00803"/>
    <n v="0"/>
    <n v="-156509.05715000001"/>
    <x v="2"/>
  </r>
  <r>
    <x v="5"/>
    <s v="IS"/>
    <x v="9"/>
    <x v="4"/>
    <s v="IF0001"/>
    <s v="Flour Import Elngm 25Kg"/>
    <x v="5"/>
    <x v="1"/>
    <d v="2025-05-15T00:00:00"/>
    <s v="SCRP"/>
    <s v="TRANSPORTATION LOSS - 16976 ALTARIQ ALZAKI"/>
    <x v="118"/>
    <s v="Loss"/>
    <x v="1"/>
    <x v="4"/>
    <x v="0"/>
    <s v="a.bakri"/>
    <n v="-4"/>
    <n v="-0.1"/>
    <n v="31301.811430000002"/>
    <s v=""/>
    <s v="000010"/>
    <s v="X04081"/>
    <s v=""/>
    <s v="A00803"/>
    <n v="0"/>
    <n v="-125207.24572000001"/>
    <x v="2"/>
  </r>
  <r>
    <x v="5"/>
    <s v="IS"/>
    <x v="9"/>
    <x v="4"/>
    <s v="IF0001"/>
    <s v="Flour Import Elngm 25Kg"/>
    <x v="5"/>
    <x v="1"/>
    <d v="2025-05-15T00:00:00"/>
    <s v="SCRP"/>
    <s v="TRANSPORTATION LOSS - 16998 DARKA"/>
    <x v="118"/>
    <s v="Loss"/>
    <x v="1"/>
    <x v="4"/>
    <x v="0"/>
    <s v="a.bakri"/>
    <n v="-5"/>
    <n v="-0.125"/>
    <n v="31301.811430000002"/>
    <s v=""/>
    <s v="000011"/>
    <s v="X04082"/>
    <s v=""/>
    <s v="A00803"/>
    <n v="0"/>
    <n v="-156509.05715000001"/>
    <x v="2"/>
  </r>
  <r>
    <x v="5"/>
    <s v="IS"/>
    <x v="9"/>
    <x v="4"/>
    <s v="IF0001"/>
    <s v="Flour Import Elngm 25Kg"/>
    <x v="5"/>
    <x v="1"/>
    <d v="2025-05-27T00:00:00"/>
    <s v="SCRP"/>
    <s v="TRANSPORTATION LOSS - 16975 ALWASEELA"/>
    <x v="118"/>
    <s v="Loss"/>
    <x v="1"/>
    <x v="4"/>
    <x v="0"/>
    <s v="a.bakri"/>
    <n v="-1"/>
    <n v="-2.5000000000000001E-2"/>
    <n v="31301.811430000002"/>
    <s v=""/>
    <s v="000160"/>
    <s v="X04119"/>
    <s v=""/>
    <s v="Q06133"/>
    <n v="0"/>
    <n v="-31301.811430000002"/>
    <x v="2"/>
  </r>
  <r>
    <x v="5"/>
    <s v="IS"/>
    <x v="9"/>
    <x v="4"/>
    <s v="IF0001"/>
    <s v="Flour Import Elngm 25Kg"/>
    <x v="5"/>
    <x v="1"/>
    <d v="2025-05-27T00:00:00"/>
    <s v="SCRP"/>
    <s v="TRANSPORTATION LOSS - 17009 ABURNAT"/>
    <x v="118"/>
    <s v="Loss"/>
    <x v="1"/>
    <x v="4"/>
    <x v="0"/>
    <s v="a.bakri"/>
    <n v="-2"/>
    <n v="-0.05"/>
    <n v="31301.811430000002"/>
    <s v=""/>
    <s v="000161"/>
    <s v="X04120"/>
    <s v=""/>
    <s v="Q06133"/>
    <n v="0"/>
    <n v="-62603.622860000003"/>
    <x v="2"/>
  </r>
  <r>
    <x v="5"/>
    <s v="IS"/>
    <x v="9"/>
    <x v="4"/>
    <s v="IF0001"/>
    <s v="Flour Import Elngm 25Kg"/>
    <x v="5"/>
    <x v="1"/>
    <d v="2025-05-27T00:00:00"/>
    <s v="SCRP"/>
    <s v="TRANSPORTATION LOSS - 17037 ALWASEELA"/>
    <x v="118"/>
    <s v="Loss"/>
    <x v="1"/>
    <x v="4"/>
    <x v="0"/>
    <s v="a.bakri"/>
    <n v="-3"/>
    <n v="-7.4999999999999997E-2"/>
    <n v="31301.811430000002"/>
    <s v=""/>
    <s v="000162"/>
    <s v="X04121"/>
    <s v=""/>
    <s v="Q06133"/>
    <n v="0"/>
    <n v="-93905.434290000005"/>
    <x v="2"/>
  </r>
  <r>
    <x v="5"/>
    <s v="IS"/>
    <x v="9"/>
    <x v="4"/>
    <s v="IF0001"/>
    <s v="Flour Import Elngm 25Kg"/>
    <x v="5"/>
    <x v="1"/>
    <d v="2025-05-27T00:00:00"/>
    <s v="SCRP"/>
    <s v="TRANSPORTATION LOSS - 17063 ANJAL"/>
    <x v="118"/>
    <s v="Loss"/>
    <x v="1"/>
    <x v="4"/>
    <x v="0"/>
    <s v="a.bakri"/>
    <n v="-2"/>
    <n v="-0.05"/>
    <n v="31301.811430000002"/>
    <s v=""/>
    <s v="000163"/>
    <s v="X04122"/>
    <s v=""/>
    <s v="Q06133"/>
    <n v="0"/>
    <n v="-62603.622860000003"/>
    <x v="2"/>
  </r>
  <r>
    <x v="5"/>
    <s v="IS"/>
    <x v="9"/>
    <x v="4"/>
    <s v="IF0001"/>
    <s v="Flour Import Elngm 25Kg"/>
    <x v="5"/>
    <x v="1"/>
    <d v="2025-05-27T00:00:00"/>
    <s v="SCRP"/>
    <s v="TRANSPORTATION LOSS - 17070 ALNAWAH"/>
    <x v="118"/>
    <s v="Loss"/>
    <x v="1"/>
    <x v="4"/>
    <x v="0"/>
    <s v="a.bakri"/>
    <n v="-1"/>
    <n v="-2.5000000000000001E-2"/>
    <n v="31301.811430000002"/>
    <s v=""/>
    <s v="000164"/>
    <s v="X04123"/>
    <s v=""/>
    <s v="Q06133"/>
    <n v="0"/>
    <n v="-31301.811430000002"/>
    <x v="2"/>
  </r>
  <r>
    <x v="5"/>
    <s v="IS"/>
    <x v="9"/>
    <x v="4"/>
    <s v="IF0001"/>
    <s v="Flour Import Elngm 25Kg"/>
    <x v="5"/>
    <x v="1"/>
    <d v="2025-05-27T00:00:00"/>
    <s v="SCRP"/>
    <s v="TRANSPORTATION LOSS - 17086 AlKASIR"/>
    <x v="118"/>
    <s v="Loss"/>
    <x v="1"/>
    <x v="4"/>
    <x v="0"/>
    <s v="a.bakri"/>
    <n v="-1"/>
    <n v="-2.5000000000000001E-2"/>
    <n v="31301.811430000002"/>
    <s v=""/>
    <s v="000165"/>
    <s v="X04124"/>
    <s v=""/>
    <s v="Q06133"/>
    <n v="0"/>
    <n v="-31301.811430000002"/>
    <x v="2"/>
  </r>
  <r>
    <x v="5"/>
    <s v="IS"/>
    <x v="9"/>
    <x v="4"/>
    <s v="IF0001"/>
    <s v="Flour Import Elngm 25Kg"/>
    <x v="5"/>
    <x v="1"/>
    <d v="2025-05-27T00:00:00"/>
    <s v="SCRP"/>
    <s v="TRANSPORTATION LOSS - 17138 ALTAF"/>
    <x v="118"/>
    <s v="Loss"/>
    <x v="1"/>
    <x v="4"/>
    <x v="0"/>
    <s v="a.bakri"/>
    <n v="-15"/>
    <n v="-0.375"/>
    <n v="31301.811430000002"/>
    <s v=""/>
    <s v="000166"/>
    <s v="X04125"/>
    <s v=""/>
    <s v="Q06133"/>
    <n v="0"/>
    <n v="-469527.17145000002"/>
    <x v="2"/>
  </r>
  <r>
    <x v="5"/>
    <s v="IS"/>
    <x v="9"/>
    <x v="4"/>
    <s v="IF0001"/>
    <s v="Flour Import Elngm 25Kg"/>
    <x v="5"/>
    <x v="1"/>
    <d v="2025-05-27T00:00:00"/>
    <s v="SCRP"/>
    <s v="TRANSPORTATION LOSS - 17173 ANJAL"/>
    <x v="118"/>
    <s v="Loss"/>
    <x v="1"/>
    <x v="4"/>
    <x v="0"/>
    <s v="a.bakri"/>
    <n v="-3"/>
    <n v="-7.4999999999999997E-2"/>
    <n v="31301.811430000002"/>
    <s v=""/>
    <s v="000167"/>
    <s v="X04126"/>
    <s v=""/>
    <s v="Q06133"/>
    <n v="0"/>
    <n v="-93905.434290000005"/>
    <x v="2"/>
  </r>
  <r>
    <x v="5"/>
    <s v="IS"/>
    <x v="9"/>
    <x v="4"/>
    <s v="IF0001"/>
    <s v="Flour Import Elngm 25Kg"/>
    <x v="5"/>
    <x v="1"/>
    <d v="2025-05-27T00:00:00"/>
    <s v="SCRP"/>
    <s v="TRANSPORTATION LOSS - 17181 RIBA"/>
    <x v="118"/>
    <s v="Loss"/>
    <x v="1"/>
    <x v="4"/>
    <x v="0"/>
    <s v="a.bakri"/>
    <n v="-5"/>
    <n v="-0.125"/>
    <n v="31301.811430000002"/>
    <s v=""/>
    <s v="000168"/>
    <s v="X04127"/>
    <s v=""/>
    <s v="Q06133"/>
    <n v="0"/>
    <n v="-156509.05715000001"/>
    <x v="2"/>
  </r>
  <r>
    <x v="5"/>
    <s v="IS"/>
    <x v="9"/>
    <x v="4"/>
    <s v="IF0001"/>
    <s v="Flour Import Elngm 25Kg"/>
    <x v="5"/>
    <x v="1"/>
    <d v="2025-05-27T00:00:00"/>
    <s v="SCRP"/>
    <s v="TRANSPORTATION LOSS - 17036 ALWASEELA"/>
    <x v="118"/>
    <s v="Loss"/>
    <x v="1"/>
    <x v="4"/>
    <x v="0"/>
    <s v="a.bakri"/>
    <n v="-8"/>
    <n v="-0.2"/>
    <n v="31301.811430000002"/>
    <s v=""/>
    <s v="000169"/>
    <s v="X04128"/>
    <s v=""/>
    <s v="Q06133"/>
    <n v="0"/>
    <n v="-250414.49144000001"/>
    <x v="2"/>
  </r>
  <r>
    <x v="5"/>
    <s v="IS"/>
    <x v="9"/>
    <x v="4"/>
    <s v="IF0001"/>
    <s v="Flour Import Elngm 25Kg"/>
    <x v="5"/>
    <x v="1"/>
    <d v="2025-05-27T00:00:00"/>
    <s v="SCRP"/>
    <s v="TRANSPORTATION LOSS - 17116 ALTAF"/>
    <x v="118"/>
    <s v="Loss"/>
    <x v="1"/>
    <x v="4"/>
    <x v="0"/>
    <s v="a.bakri"/>
    <n v="-1"/>
    <n v="-2.5000000000000001E-2"/>
    <n v="31301.811430000002"/>
    <s v=""/>
    <s v="000170"/>
    <s v="X04129"/>
    <s v=""/>
    <s v="Q06133"/>
    <n v="0"/>
    <n v="-31301.811430000002"/>
    <x v="2"/>
  </r>
  <r>
    <x v="5"/>
    <s v="IS"/>
    <x v="9"/>
    <x v="4"/>
    <s v="IF0001"/>
    <s v="Flour Import Elngm 25Kg"/>
    <x v="5"/>
    <x v="1"/>
    <d v="2025-05-27T00:00:00"/>
    <s v="SCRP"/>
    <s v="TRANSPORTATION LOSS - 17147 ALTAF"/>
    <x v="118"/>
    <s v="Loss"/>
    <x v="1"/>
    <x v="4"/>
    <x v="0"/>
    <s v="a.bakri"/>
    <n v="-1"/>
    <n v="-2.5000000000000001E-2"/>
    <n v="31301.811430000002"/>
    <s v=""/>
    <s v="000171"/>
    <s v="X04130"/>
    <s v=""/>
    <s v="Q06133"/>
    <n v="0"/>
    <n v="-31301.811430000002"/>
    <x v="2"/>
  </r>
  <r>
    <x v="5"/>
    <s v="IS"/>
    <x v="9"/>
    <x v="4"/>
    <s v="IF0001"/>
    <s v="Flour Import Elngm 25Kg"/>
    <x v="5"/>
    <x v="1"/>
    <d v="2025-05-27T00:00:00"/>
    <s v="SCRP"/>
    <s v="TRANSPORTATION LOSS - 17154 ALNAWAH"/>
    <x v="118"/>
    <s v="Loss"/>
    <x v="1"/>
    <x v="4"/>
    <x v="0"/>
    <s v="a.bakri"/>
    <n v="-8"/>
    <n v="-0.2"/>
    <n v="31301.811430000002"/>
    <s v=""/>
    <s v="000172"/>
    <s v="X04131"/>
    <s v=""/>
    <s v="Q06133"/>
    <n v="0"/>
    <n v="-250414.49144000001"/>
    <x v="2"/>
  </r>
  <r>
    <x v="5"/>
    <s v="IS"/>
    <x v="9"/>
    <x v="4"/>
    <s v="IF0001"/>
    <s v="Flour Import Elngm 25Kg"/>
    <x v="5"/>
    <x v="1"/>
    <d v="2025-05-27T00:00:00"/>
    <s v="SCRP"/>
    <s v="TRANSPORTATION LOSS - 17251 RIBA"/>
    <x v="118"/>
    <s v="Loss"/>
    <x v="1"/>
    <x v="4"/>
    <x v="0"/>
    <s v="a.bakri"/>
    <n v="-3"/>
    <n v="-7.4999999999999997E-2"/>
    <n v="31301.811430000002"/>
    <s v=""/>
    <s v="000173"/>
    <s v="X04132"/>
    <s v=""/>
    <s v="Q06133"/>
    <n v="0"/>
    <n v="-93905.434290000005"/>
    <x v="2"/>
  </r>
  <r>
    <x v="5"/>
    <s v="IS"/>
    <x v="9"/>
    <x v="4"/>
    <s v="IF0001"/>
    <s v="Flour Import Elngm 25Kg"/>
    <x v="5"/>
    <x v="1"/>
    <d v="2025-05-27T00:00:00"/>
    <s v="SCRP"/>
    <s v="TRANSPORTATION LOSS - 17265 RIBA"/>
    <x v="118"/>
    <s v="Loss"/>
    <x v="1"/>
    <x v="4"/>
    <x v="0"/>
    <s v="a.bakri"/>
    <n v="-2"/>
    <n v="-0.05"/>
    <n v="31301.811430000002"/>
    <s v=""/>
    <s v="000174"/>
    <s v="X04133"/>
    <s v=""/>
    <s v="Q06133"/>
    <n v="0"/>
    <n v="-62603.622860000003"/>
    <x v="2"/>
  </r>
  <r>
    <x v="5"/>
    <s v="IS"/>
    <x v="9"/>
    <x v="4"/>
    <s v="IF0001"/>
    <s v="Flour Import Elngm 25Kg"/>
    <x v="5"/>
    <x v="1"/>
    <d v="2025-05-27T00:00:00"/>
    <s v="SCRP"/>
    <s v="TRANSPORTATION LOSS - 17273 RIBA"/>
    <x v="118"/>
    <s v="Loss"/>
    <x v="1"/>
    <x v="4"/>
    <x v="0"/>
    <s v="a.bakri"/>
    <n v="-10"/>
    <n v="-0.25"/>
    <n v="31301.811430000002"/>
    <s v=""/>
    <s v="000175"/>
    <s v="X04134"/>
    <s v=""/>
    <s v="Q06133"/>
    <n v="0"/>
    <n v="-313018.11430000002"/>
    <x v="2"/>
  </r>
  <r>
    <x v="5"/>
    <s v="IS"/>
    <x v="9"/>
    <x v="4"/>
    <s v="IF0001"/>
    <s v="Flour Import Elngm 25Kg"/>
    <x v="5"/>
    <x v="1"/>
    <d v="2025-05-27T00:00:00"/>
    <s v="SCRP"/>
    <s v="TRANSPORTATION LOSS - 16910 ALTAF"/>
    <x v="118"/>
    <s v="Loss"/>
    <x v="1"/>
    <x v="4"/>
    <x v="0"/>
    <s v="a.bakri"/>
    <n v="-15"/>
    <n v="-0.375"/>
    <n v="31301.811430000002"/>
    <s v=""/>
    <s v="000176"/>
    <s v="X04135"/>
    <s v=""/>
    <s v="Q06133"/>
    <n v="0"/>
    <n v="-469527.17145000002"/>
    <x v="2"/>
  </r>
  <r>
    <x v="5"/>
    <s v="IS"/>
    <x v="9"/>
    <x v="4"/>
    <s v="IF0001"/>
    <s v="Flour Import Elngm 25Kg"/>
    <x v="5"/>
    <x v="1"/>
    <d v="2025-05-27T00:00:00"/>
    <s v="SCRP"/>
    <s v="TRANSPORTATION LOSS - 17266 RIBA"/>
    <x v="118"/>
    <s v="Loss"/>
    <x v="1"/>
    <x v="4"/>
    <x v="0"/>
    <s v="a.bakri"/>
    <n v="-2"/>
    <n v="-0.05"/>
    <n v="31301.811430000002"/>
    <s v=""/>
    <s v="000177"/>
    <s v="X04136"/>
    <s v=""/>
    <s v="Q06133"/>
    <n v="0"/>
    <n v="-62603.622860000003"/>
    <x v="2"/>
  </r>
  <r>
    <x v="5"/>
    <s v="IS"/>
    <x v="9"/>
    <x v="4"/>
    <s v="IF0001"/>
    <s v="Flour Import Elngm 25Kg"/>
    <x v="5"/>
    <x v="1"/>
    <d v="2025-05-27T00:00:00"/>
    <s v="SCRP"/>
    <s v="TRANSPORTATION LOSS - 17272 RIBA"/>
    <x v="118"/>
    <s v="Loss"/>
    <x v="1"/>
    <x v="4"/>
    <x v="0"/>
    <s v="a.bakri"/>
    <n v="-6"/>
    <n v="-0.15"/>
    <n v="31301.811430000002"/>
    <s v=""/>
    <s v="000178"/>
    <s v="X04137"/>
    <s v=""/>
    <s v="Q06133"/>
    <n v="0"/>
    <n v="-187810.86858000001"/>
    <x v="2"/>
  </r>
  <r>
    <x v="5"/>
    <s v="IS"/>
    <x v="9"/>
    <x v="4"/>
    <s v="IF0001"/>
    <s v="Flour Import Elngm 25Kg"/>
    <x v="5"/>
    <x v="1"/>
    <d v="2025-05-27T00:00:00"/>
    <s v="SCRP"/>
    <s v="TRANSPORTATION LOSS - 17290 ABURNAT"/>
    <x v="118"/>
    <s v="Loss"/>
    <x v="1"/>
    <x v="4"/>
    <x v="0"/>
    <s v="a.bakri"/>
    <n v="-9"/>
    <n v="-0.22500000000000001"/>
    <n v="31301.811430000002"/>
    <s v=""/>
    <s v="000179"/>
    <s v="X04138"/>
    <s v=""/>
    <s v="Q06133"/>
    <n v="0"/>
    <n v="-281716.30287000001"/>
    <x v="2"/>
  </r>
  <r>
    <x v="5"/>
    <s v="IS"/>
    <x v="9"/>
    <x v="4"/>
    <s v="IF0001"/>
    <s v="Flour Import Elngm 25Kg"/>
    <x v="5"/>
    <x v="1"/>
    <d v="2025-05-27T00:00:00"/>
    <s v="SCRP"/>
    <s v="TRANSPORTATION LOSS - 17372 ANJAL"/>
    <x v="118"/>
    <s v="Loss"/>
    <x v="1"/>
    <x v="4"/>
    <x v="0"/>
    <s v="a.bakri"/>
    <n v="-10"/>
    <n v="-0.25"/>
    <n v="31301.811430000002"/>
    <s v=""/>
    <s v="000180"/>
    <s v="X04139"/>
    <s v=""/>
    <s v="Q06133"/>
    <n v="0"/>
    <n v="-313018.11430000002"/>
    <x v="2"/>
  </r>
  <r>
    <x v="4"/>
    <s v="IS"/>
    <x v="9"/>
    <x v="4"/>
    <s v="IF0001"/>
    <s v="Flour Import Elngm 25Kg"/>
    <x v="5"/>
    <x v="1"/>
    <d v="2025-06-15T00:00:00"/>
    <s v="SCRP"/>
    <s v="TRANSPORTATION LOSS 17253 DELTA"/>
    <x v="118"/>
    <s v="Loss"/>
    <x v="1"/>
    <x v="4"/>
    <x v="0"/>
    <s v="a.bakri"/>
    <n v="-2"/>
    <n v="-0.05"/>
    <n v="24758.555840000001"/>
    <s v=""/>
    <s v="000000"/>
    <s v="X04154"/>
    <s v=""/>
    <s v="Q06188"/>
    <n v="0"/>
    <n v="-49517.111680000002"/>
    <x v="2"/>
  </r>
  <r>
    <x v="4"/>
    <s v="IS"/>
    <x v="9"/>
    <x v="4"/>
    <s v="IF0001"/>
    <s v="Flour Import Elngm 25Kg"/>
    <x v="5"/>
    <x v="1"/>
    <d v="2025-06-15T00:00:00"/>
    <s v="SCRP"/>
    <s v="TRANSPORTATION LOSS 17325 DELTA"/>
    <x v="118"/>
    <s v="Loss"/>
    <x v="1"/>
    <x v="4"/>
    <x v="0"/>
    <s v="a.bakri"/>
    <n v="-2"/>
    <n v="-0.05"/>
    <n v="24758.555840000001"/>
    <s v=""/>
    <s v="000001"/>
    <s v="X04155"/>
    <s v=""/>
    <s v="Q06188"/>
    <n v="0"/>
    <n v="-49517.111680000002"/>
    <x v="2"/>
  </r>
  <r>
    <x v="4"/>
    <s v="IS"/>
    <x v="9"/>
    <x v="4"/>
    <s v="IF0001"/>
    <s v="Flour Import Elngm 25Kg"/>
    <x v="5"/>
    <x v="1"/>
    <d v="2025-06-15T00:00:00"/>
    <s v="SCRP"/>
    <s v="TRANSPORTATION LOSS 17326 DELTA"/>
    <x v="118"/>
    <s v="Loss"/>
    <x v="1"/>
    <x v="4"/>
    <x v="0"/>
    <s v="a.bakri"/>
    <n v="-7"/>
    <n v="-0.17499999999999999"/>
    <n v="24758.555840000001"/>
    <s v=""/>
    <s v="000002"/>
    <s v="X04156"/>
    <s v=""/>
    <s v="Q06188"/>
    <n v="0"/>
    <n v="-173309.89088000002"/>
    <x v="2"/>
  </r>
  <r>
    <x v="4"/>
    <s v="IS"/>
    <x v="9"/>
    <x v="4"/>
    <s v="IF0001"/>
    <s v="Flour Import Elngm 25Kg"/>
    <x v="5"/>
    <x v="1"/>
    <d v="2025-06-15T00:00:00"/>
    <s v="SCRP"/>
    <s v="TRANSPORTATION LOSS 17338 Y.HAMZA"/>
    <x v="118"/>
    <s v="Loss"/>
    <x v="1"/>
    <x v="4"/>
    <x v="0"/>
    <s v="a.bakri"/>
    <n v="-1"/>
    <n v="-2.5000000000000001E-2"/>
    <n v="24758.555840000001"/>
    <s v=""/>
    <s v="000003"/>
    <s v="X04158"/>
    <s v=""/>
    <s v="Q06188"/>
    <n v="0"/>
    <n v="-24758.555840000001"/>
    <x v="2"/>
  </r>
  <r>
    <x v="4"/>
    <s v="IS"/>
    <x v="9"/>
    <x v="4"/>
    <s v="IF0001"/>
    <s v="Flour Import Elngm 25Kg"/>
    <x v="5"/>
    <x v="1"/>
    <d v="2025-06-15T00:00:00"/>
    <s v="SCRP"/>
    <s v="TRANSPORTATION LOSS 17344 ALWASEELA"/>
    <x v="118"/>
    <s v="Loss"/>
    <x v="1"/>
    <x v="4"/>
    <x v="0"/>
    <s v="a.bakri"/>
    <n v="-3"/>
    <n v="-7.4999999999999997E-2"/>
    <n v="24758.555840000001"/>
    <s v=""/>
    <s v="000004"/>
    <s v="X04159"/>
    <s v=""/>
    <s v="Q06188"/>
    <n v="0"/>
    <n v="-74275.667520000003"/>
    <x v="2"/>
  </r>
  <r>
    <x v="4"/>
    <s v="IS"/>
    <x v="9"/>
    <x v="4"/>
    <s v="IF0001"/>
    <s v="Flour Import Elngm 25Kg"/>
    <x v="5"/>
    <x v="1"/>
    <d v="2025-06-15T00:00:00"/>
    <s v="SCRP"/>
    <s v="TRANSPORTATION LOSS 20271 DELTA"/>
    <x v="118"/>
    <s v="Loss"/>
    <x v="1"/>
    <x v="4"/>
    <x v="0"/>
    <s v="a.bakri"/>
    <n v="-1"/>
    <n v="-2.5000000000000001E-2"/>
    <n v="24758.555840000001"/>
    <s v=""/>
    <s v="000005"/>
    <s v="X04160"/>
    <s v=""/>
    <s v="Q06188"/>
    <n v="0"/>
    <n v="-24758.555840000001"/>
    <x v="2"/>
  </r>
  <r>
    <x v="4"/>
    <s v="IS"/>
    <x v="9"/>
    <x v="4"/>
    <s v="IF0001"/>
    <s v="Flour Import Elngm 25Kg"/>
    <x v="5"/>
    <x v="1"/>
    <d v="2025-06-15T00:00:00"/>
    <s v="SCRP"/>
    <s v="TRANSPORTATION LOSS 21316 ANJAL"/>
    <x v="118"/>
    <s v="Loss"/>
    <x v="1"/>
    <x v="4"/>
    <x v="0"/>
    <s v="a.bakri"/>
    <n v="-1"/>
    <n v="-2.5000000000000001E-2"/>
    <n v="24758.555840000001"/>
    <s v=""/>
    <s v="000006"/>
    <s v="X04161"/>
    <s v=""/>
    <s v="Q06188"/>
    <n v="0"/>
    <n v="-24758.555840000001"/>
    <x v="2"/>
  </r>
  <r>
    <x v="4"/>
    <s v="IS"/>
    <x v="9"/>
    <x v="4"/>
    <s v="IF0001"/>
    <s v="Flour Import Elngm 25Kg"/>
    <x v="5"/>
    <x v="1"/>
    <d v="2025-06-15T00:00:00"/>
    <s v="SCRP"/>
    <s v="TRANSPORTATION LOSS 21335 ANJAL"/>
    <x v="118"/>
    <s v="Loss"/>
    <x v="1"/>
    <x v="4"/>
    <x v="0"/>
    <s v="a.bakri"/>
    <n v="-2"/>
    <n v="-0.05"/>
    <n v="24758.555840000001"/>
    <s v=""/>
    <s v="000007"/>
    <s v="X04162"/>
    <s v=""/>
    <s v="Q06188"/>
    <n v="0"/>
    <n v="-49517.111680000002"/>
    <x v="2"/>
  </r>
  <r>
    <x v="4"/>
    <s v="IS"/>
    <x v="9"/>
    <x v="4"/>
    <s v="IF0001"/>
    <s v="Flour Import Elngm 25Kg"/>
    <x v="5"/>
    <x v="1"/>
    <d v="2025-06-15T00:00:00"/>
    <s v="SCRP"/>
    <s v="TRANSPORTATION LOSS 21368 B.KADABA"/>
    <x v="118"/>
    <s v="Loss"/>
    <x v="1"/>
    <x v="4"/>
    <x v="0"/>
    <s v="a.bakri"/>
    <n v="-7"/>
    <n v="-0.17499999999999999"/>
    <n v="24758.555840000001"/>
    <s v=""/>
    <s v="000008"/>
    <s v="X04163"/>
    <s v=""/>
    <s v="Q06188"/>
    <n v="0"/>
    <n v="-173309.89088000002"/>
    <x v="2"/>
  </r>
  <r>
    <x v="4"/>
    <s v="IS"/>
    <x v="9"/>
    <x v="4"/>
    <s v="IF0001"/>
    <s v="Flour Import Elngm 25Kg"/>
    <x v="5"/>
    <x v="1"/>
    <d v="2025-06-15T00:00:00"/>
    <s v="SCRP"/>
    <s v="TRANSPORTATION LOSS 17356 DELTA"/>
    <x v="118"/>
    <s v="Loss"/>
    <x v="1"/>
    <x v="4"/>
    <x v="0"/>
    <s v="a.bakri"/>
    <n v="-3"/>
    <n v="-7.4999999999999997E-2"/>
    <n v="24758.555840000001"/>
    <s v=""/>
    <s v="000009"/>
    <s v="X04164"/>
    <s v=""/>
    <s v="Q06188"/>
    <n v="0"/>
    <n v="-74275.667520000003"/>
    <x v="2"/>
  </r>
  <r>
    <x v="4"/>
    <s v="IS"/>
    <x v="9"/>
    <x v="4"/>
    <s v="IF0001"/>
    <s v="Flour Import Elngm 25Kg"/>
    <x v="5"/>
    <x v="1"/>
    <d v="2025-06-15T00:00:00"/>
    <s v="SCRP"/>
    <s v="TRANSPORTATION LOSS 16038 K.MAHJOUB"/>
    <x v="118"/>
    <s v="Loss"/>
    <x v="1"/>
    <x v="4"/>
    <x v="0"/>
    <s v="a.bakri"/>
    <n v="-2"/>
    <n v="-0.05"/>
    <n v="24758.555840000001"/>
    <s v=""/>
    <s v="000010"/>
    <s v="X04165"/>
    <s v=""/>
    <s v="Q06188"/>
    <n v="0"/>
    <n v="-49517.111680000002"/>
    <x v="2"/>
  </r>
  <r>
    <x v="4"/>
    <s v="IS"/>
    <x v="9"/>
    <x v="5"/>
    <s v="LE0001"/>
    <s v="Lentil TAT 20KG"/>
    <x v="7"/>
    <x v="1"/>
    <d v="2025-06-15T00:00:00"/>
    <s v="SCRP"/>
    <s v="TRANSPORTATION LOSS 13689 ALTAF"/>
    <x v="118"/>
    <s v="Loss"/>
    <x v="1"/>
    <x v="4"/>
    <x v="0"/>
    <s v="a.bakri"/>
    <n v="-2"/>
    <n v="-0.04"/>
    <n v="37806.777110000003"/>
    <s v=""/>
    <s v="000000"/>
    <s v="X04166"/>
    <s v=""/>
    <s v="Q06221"/>
    <n v="0"/>
    <n v="-75613.554220000005"/>
    <x v="3"/>
  </r>
  <r>
    <x v="5"/>
    <s v="IS"/>
    <x v="9"/>
    <x v="4"/>
    <s v="NF0001"/>
    <s v="Alnajm Flour from Mill 25KG"/>
    <x v="15"/>
    <x v="1"/>
    <d v="2025-05-27T00:00:00"/>
    <s v="SCRP"/>
    <s v="TRANSPORTATION LOSS - 22542 ANJAL"/>
    <x v="118"/>
    <s v="Loss"/>
    <x v="1"/>
    <x v="4"/>
    <x v="0"/>
    <s v="a.bakri"/>
    <n v="-1"/>
    <n v="-2.5000000000000001E-2"/>
    <n v="31301.811430000002"/>
    <s v=""/>
    <s v="000000"/>
    <s v="X04140"/>
    <s v=""/>
    <s v="P03705"/>
    <n v="0"/>
    <n v="-31301.811430000002"/>
    <x v="2"/>
  </r>
  <r>
    <x v="4"/>
    <s v="IS"/>
    <x v="9"/>
    <x v="4"/>
    <s v="NF0001"/>
    <s v="Alnajm Flour from Mill 25KG"/>
    <x v="15"/>
    <x v="1"/>
    <d v="2025-06-15T00:00:00"/>
    <s v="SCRP"/>
    <s v="TRANSPORTATION LOSS 274188 ABUMOMEN"/>
    <x v="118"/>
    <s v="Loss"/>
    <x v="1"/>
    <x v="4"/>
    <x v="0"/>
    <s v="a.bakri"/>
    <n v="-5"/>
    <n v="-0.125"/>
    <n v="24758.555840000001"/>
    <s v=""/>
    <s v="000000"/>
    <s v="X04167"/>
    <s v=""/>
    <s v="P03708"/>
    <n v="0"/>
    <n v="-123792.7792"/>
    <x v="2"/>
  </r>
  <r>
    <x v="5"/>
    <s v="IS"/>
    <x v="9"/>
    <x v="2"/>
    <s v="WS0001"/>
    <s v="White Sugar"/>
    <x v="4"/>
    <x v="1"/>
    <d v="2025-05-19T00:00:00"/>
    <s v="SCRP"/>
    <s v="TRANSPORTATION LOSS - 17091 B.KARABAH"/>
    <x v="118"/>
    <s v="Loss"/>
    <x v="1"/>
    <x v="4"/>
    <x v="0"/>
    <s v="a.bakri"/>
    <n v="-1"/>
    <n v="-0.05"/>
    <n v="96566.186310000005"/>
    <s v=""/>
    <s v="000000"/>
    <s v="X04084"/>
    <s v=""/>
    <s v="Q05938"/>
    <n v="0"/>
    <n v="-96566.186310000005"/>
    <x v="1"/>
  </r>
  <r>
    <x v="5"/>
    <s v="IS"/>
    <x v="9"/>
    <x v="2"/>
    <s v="WS0001"/>
    <s v="White Sugar"/>
    <x v="4"/>
    <x v="1"/>
    <d v="2025-05-19T00:00:00"/>
    <s v="SCRP"/>
    <s v="TRANSPORTATION LOSS - 17093 B.KARABAH"/>
    <x v="118"/>
    <s v="Loss"/>
    <x v="1"/>
    <x v="4"/>
    <x v="0"/>
    <s v="a.bakri"/>
    <n v="-1"/>
    <n v="-0.05"/>
    <n v="96566.186310000005"/>
    <s v=""/>
    <s v="000001"/>
    <s v="X04085"/>
    <s v=""/>
    <s v="Q05938"/>
    <n v="0"/>
    <n v="-96566.186310000005"/>
    <x v="1"/>
  </r>
  <r>
    <x v="5"/>
    <s v="IS"/>
    <x v="9"/>
    <x v="2"/>
    <s v="WS0001"/>
    <s v="White Sugar"/>
    <x v="4"/>
    <x v="1"/>
    <d v="2025-05-19T00:00:00"/>
    <s v="SCRP"/>
    <s v="TRANSPORTATION LOSS - 17095 B.KARABAH"/>
    <x v="118"/>
    <s v="Loss"/>
    <x v="1"/>
    <x v="4"/>
    <x v="0"/>
    <s v="a.bakri"/>
    <n v="-1"/>
    <n v="-0.05"/>
    <n v="96566.186310000005"/>
    <s v=""/>
    <s v="000002"/>
    <s v="X04086"/>
    <s v=""/>
    <s v="Q05938"/>
    <n v="0"/>
    <n v="-96566.186310000005"/>
    <x v="1"/>
  </r>
  <r>
    <x v="5"/>
    <s v="IS"/>
    <x v="9"/>
    <x v="2"/>
    <s v="WS0001"/>
    <s v="White Sugar"/>
    <x v="4"/>
    <x v="1"/>
    <d v="2025-05-19T00:00:00"/>
    <s v="SCRP"/>
    <s v="TRANSPORTATION LOSS - 18599 ALHAMADA"/>
    <x v="118"/>
    <s v="Loss"/>
    <x v="1"/>
    <x v="4"/>
    <x v="0"/>
    <s v="a.bakri"/>
    <n v="-10"/>
    <n v="-0.5"/>
    <n v="96566.186310000005"/>
    <s v=""/>
    <s v="000003"/>
    <s v="X04087"/>
    <s v=""/>
    <s v="Q05938"/>
    <n v="0"/>
    <n v="-965661.86310000008"/>
    <x v="1"/>
  </r>
  <r>
    <x v="5"/>
    <s v="IS"/>
    <x v="9"/>
    <x v="2"/>
    <s v="WS0001"/>
    <s v="White Sugar"/>
    <x v="4"/>
    <x v="1"/>
    <d v="2025-05-19T00:00:00"/>
    <s v="SCRP"/>
    <s v="TRANSPORTATION LOSS - 16663 ALKHOTOT ALSAHLIA"/>
    <x v="118"/>
    <s v="Loss"/>
    <x v="1"/>
    <x v="4"/>
    <x v="0"/>
    <s v="a.bakri"/>
    <n v="-3"/>
    <n v="-0.15"/>
    <n v="96566.186310000005"/>
    <s v=""/>
    <s v="000004"/>
    <s v="X04088"/>
    <s v=""/>
    <s v="Q05938"/>
    <n v="0"/>
    <n v="-289698.55893"/>
    <x v="1"/>
  </r>
  <r>
    <x v="5"/>
    <s v="IS"/>
    <x v="9"/>
    <x v="2"/>
    <s v="WS0001"/>
    <s v="White Sugar"/>
    <x v="4"/>
    <x v="1"/>
    <d v="2025-05-19T00:00:00"/>
    <s v="SCRP"/>
    <s v="TRANSPORTATION LOSS - 16666 ALTARIQ ALZAKI"/>
    <x v="118"/>
    <s v="Loss"/>
    <x v="1"/>
    <x v="4"/>
    <x v="0"/>
    <s v="a.bakri"/>
    <n v="-1"/>
    <n v="-0.05"/>
    <n v="96566.186310000005"/>
    <s v=""/>
    <s v="000005"/>
    <s v="X04089"/>
    <s v=""/>
    <s v="Q05938"/>
    <n v="0"/>
    <n v="-96566.186310000005"/>
    <x v="1"/>
  </r>
  <r>
    <x v="5"/>
    <s v="IS"/>
    <x v="9"/>
    <x v="2"/>
    <s v="WS0001"/>
    <s v="White Sugar"/>
    <x v="4"/>
    <x v="1"/>
    <d v="2025-05-19T00:00:00"/>
    <s v="SCRP"/>
    <s v="TRANSPORTATION LOSS - 16968 ALKHOTOT ALSAHLIA"/>
    <x v="118"/>
    <s v="Loss"/>
    <x v="1"/>
    <x v="4"/>
    <x v="0"/>
    <s v="a.bakri"/>
    <n v="-1"/>
    <n v="-0.05"/>
    <n v="96566.186310000005"/>
    <s v=""/>
    <s v="000006"/>
    <s v="X04090"/>
    <s v=""/>
    <s v="Q05938"/>
    <n v="0"/>
    <n v="-96566.186310000005"/>
    <x v="1"/>
  </r>
  <r>
    <x v="5"/>
    <s v="IS"/>
    <x v="9"/>
    <x v="2"/>
    <s v="WS0001"/>
    <s v="White Sugar"/>
    <x v="4"/>
    <x v="1"/>
    <d v="2025-05-19T00:00:00"/>
    <s v="SCRP"/>
    <s v="TRANSPORTATION LOSS - 17029 ALKHOTOT ALSAHLIA"/>
    <x v="118"/>
    <s v="Loss"/>
    <x v="1"/>
    <x v="4"/>
    <x v="0"/>
    <s v="a.bakri"/>
    <n v="-8"/>
    <n v="-0.4"/>
    <n v="96566.186310000005"/>
    <s v=""/>
    <s v="000007"/>
    <s v="X04091"/>
    <s v=""/>
    <s v="Q05938"/>
    <n v="0"/>
    <n v="-772529.49048000004"/>
    <x v="1"/>
  </r>
  <r>
    <x v="5"/>
    <s v="IS"/>
    <x v="9"/>
    <x v="2"/>
    <s v="WS0001"/>
    <s v="White Sugar"/>
    <x v="4"/>
    <x v="1"/>
    <d v="2025-05-19T00:00:00"/>
    <s v="SCRP"/>
    <s v="TRANSPORTATION LOSS - 17203 ANJAL"/>
    <x v="118"/>
    <s v="Loss"/>
    <x v="1"/>
    <x v="4"/>
    <x v="0"/>
    <s v="a.bakri"/>
    <n v="-1"/>
    <n v="-0.05"/>
    <n v="96566.186310000005"/>
    <s v=""/>
    <s v="000008"/>
    <s v="X04092"/>
    <s v=""/>
    <s v="Q05938"/>
    <n v="0"/>
    <n v="-96566.186310000005"/>
    <x v="1"/>
  </r>
  <r>
    <x v="5"/>
    <s v="IS"/>
    <x v="9"/>
    <x v="2"/>
    <s v="WS0001"/>
    <s v="White Sugar"/>
    <x v="4"/>
    <x v="1"/>
    <d v="2025-05-19T00:00:00"/>
    <s v="SCRP"/>
    <s v="TRANSPORTATION LOSS - 17066 ALASGALANI"/>
    <x v="118"/>
    <s v="Loss"/>
    <x v="1"/>
    <x v="4"/>
    <x v="0"/>
    <s v="a.bakri"/>
    <n v="-4"/>
    <n v="-0.2"/>
    <n v="96566.186310000005"/>
    <s v=""/>
    <s v="000009"/>
    <s v="X04093"/>
    <s v=""/>
    <s v="Q05938"/>
    <n v="0"/>
    <n v="-386264.74524000002"/>
    <x v="1"/>
  </r>
  <r>
    <x v="5"/>
    <s v="IS"/>
    <x v="9"/>
    <x v="2"/>
    <s v="WS0001"/>
    <s v="White Sugar"/>
    <x v="4"/>
    <x v="1"/>
    <d v="2025-05-19T00:00:00"/>
    <s v="SCRP"/>
    <s v="TRANSPORTATION LOSS - 18584 KHALID AWAD"/>
    <x v="118"/>
    <s v="Loss"/>
    <x v="1"/>
    <x v="4"/>
    <x v="0"/>
    <s v="a.bakri"/>
    <n v="-1"/>
    <n v="-0.05"/>
    <n v="96566.186310000005"/>
    <s v=""/>
    <s v="000010"/>
    <s v="X04094"/>
    <s v=""/>
    <s v="Q05938"/>
    <n v="0"/>
    <n v="-96566.186310000005"/>
    <x v="1"/>
  </r>
  <r>
    <x v="5"/>
    <s v="IS"/>
    <x v="9"/>
    <x v="2"/>
    <s v="WS0001"/>
    <s v="White Sugar"/>
    <x v="4"/>
    <x v="1"/>
    <d v="2025-05-19T00:00:00"/>
    <s v="SCRP"/>
    <s v="TRANSPORTATION LOSS - 18586 ALKHOTOT ALSAHLIA"/>
    <x v="118"/>
    <s v="Loss"/>
    <x v="1"/>
    <x v="4"/>
    <x v="0"/>
    <s v="a.bakri"/>
    <n v="-1"/>
    <n v="-0.05"/>
    <n v="96566.186310000005"/>
    <s v=""/>
    <s v="000011"/>
    <s v="X04095"/>
    <s v=""/>
    <s v="Q05938"/>
    <n v="0"/>
    <n v="-96566.186310000005"/>
    <x v="1"/>
  </r>
  <r>
    <x v="5"/>
    <s v="IS"/>
    <x v="9"/>
    <x v="2"/>
    <s v="WS0001"/>
    <s v="White Sugar"/>
    <x v="4"/>
    <x v="1"/>
    <d v="2025-05-19T00:00:00"/>
    <s v="SCRP"/>
    <s v="TRANSPORTATION LOSS - 17235 ALWAHSHAB"/>
    <x v="118"/>
    <s v="Loss"/>
    <x v="1"/>
    <x v="4"/>
    <x v="0"/>
    <s v="a.bakri"/>
    <n v="-1"/>
    <n v="-0.05"/>
    <n v="96566.186310000005"/>
    <s v=""/>
    <s v="000012"/>
    <s v="X04096"/>
    <s v=""/>
    <s v="Q05938"/>
    <n v="0"/>
    <n v="-96566.186310000005"/>
    <x v="1"/>
  </r>
  <r>
    <x v="5"/>
    <s v="IS"/>
    <x v="9"/>
    <x v="2"/>
    <s v="WS0001"/>
    <s v="White Sugar"/>
    <x v="4"/>
    <x v="1"/>
    <d v="2025-05-19T00:00:00"/>
    <s v="SCRP"/>
    <s v="TRANSPORTATION LOSS - 17202 DELTA"/>
    <x v="118"/>
    <s v="Loss"/>
    <x v="1"/>
    <x v="4"/>
    <x v="0"/>
    <s v="a.bakri"/>
    <n v="-1"/>
    <n v="-0.05"/>
    <n v="96566.186310000005"/>
    <s v=""/>
    <s v="000013"/>
    <s v="X04097"/>
    <s v=""/>
    <s v="Q05938"/>
    <n v="0"/>
    <n v="-96566.186310000005"/>
    <x v="1"/>
  </r>
  <r>
    <x v="5"/>
    <s v="IS"/>
    <x v="9"/>
    <x v="2"/>
    <s v="WS0001"/>
    <s v="White Sugar"/>
    <x v="4"/>
    <x v="1"/>
    <d v="2025-05-19T00:00:00"/>
    <s v="SCRP"/>
    <s v="TRANSPORTATION LOSS - 16971 ALKHOTOT ALSAHLIA"/>
    <x v="118"/>
    <s v="Loss"/>
    <x v="1"/>
    <x v="4"/>
    <x v="0"/>
    <s v="a.bakri"/>
    <n v="-3"/>
    <n v="-0.15"/>
    <n v="96566.186310000005"/>
    <s v=""/>
    <s v="000014"/>
    <s v="X04098"/>
    <s v=""/>
    <s v="Q05938"/>
    <n v="0"/>
    <n v="-289698.55893"/>
    <x v="1"/>
  </r>
  <r>
    <x v="5"/>
    <s v="IS"/>
    <x v="9"/>
    <x v="2"/>
    <s v="WS0001"/>
    <s v="White Sugar"/>
    <x v="4"/>
    <x v="1"/>
    <d v="2025-05-19T00:00:00"/>
    <s v="SCRP"/>
    <s v="TRANSPORTATION LOSS - 16682 ALHAMADA"/>
    <x v="118"/>
    <s v="Loss"/>
    <x v="1"/>
    <x v="4"/>
    <x v="0"/>
    <s v="a.bakri"/>
    <n v="-2"/>
    <n v="-0.1"/>
    <n v="96566.186310000005"/>
    <s v=""/>
    <s v="000015"/>
    <s v="X04106"/>
    <s v=""/>
    <s v="Q05938"/>
    <n v="0"/>
    <n v="-193132.37262000001"/>
    <x v="1"/>
  </r>
  <r>
    <x v="4"/>
    <s v="TF"/>
    <x v="9"/>
    <x v="4"/>
    <s v="IF0001"/>
    <s v="Flour Import Elngm 25Kg"/>
    <x v="5"/>
    <x v="1"/>
    <d v="2025-06-15T00:00:00"/>
    <s v="SCRP"/>
    <s v="TRANSPORTATION LOSS 12318 RIBA"/>
    <x v="118"/>
    <s v="Loss"/>
    <x v="1"/>
    <x v="4"/>
    <x v="0"/>
    <s v="a.bakri"/>
    <n v="-8"/>
    <n v="-0.2"/>
    <n v="24758.555840000001"/>
    <s v=""/>
    <s v="000000"/>
    <s v="X04208"/>
    <s v=""/>
    <s v="Q06225"/>
    <n v="0"/>
    <n v="-198068.44672000001"/>
    <x v="2"/>
  </r>
  <r>
    <x v="4"/>
    <s v="TF"/>
    <x v="9"/>
    <x v="4"/>
    <s v="IF0001"/>
    <s v="Flour Import Elngm 25Kg"/>
    <x v="5"/>
    <x v="1"/>
    <d v="2025-06-15T00:00:00"/>
    <s v="SCRP"/>
    <s v="TRANSPORTATION LOSS 17328 DELTA"/>
    <x v="118"/>
    <s v="Loss"/>
    <x v="1"/>
    <x v="4"/>
    <x v="0"/>
    <s v="a.bakri"/>
    <n v="-2"/>
    <n v="-0.05"/>
    <n v="24758.555840000001"/>
    <s v=""/>
    <s v="000001"/>
    <s v="X04209"/>
    <s v=""/>
    <s v="Q06225"/>
    <n v="0"/>
    <n v="-49517.111680000002"/>
    <x v="2"/>
  </r>
  <r>
    <x v="4"/>
    <s v="TF"/>
    <x v="9"/>
    <x v="4"/>
    <s v="IF0001"/>
    <s v="Flour Import Elngm 25Kg"/>
    <x v="5"/>
    <x v="1"/>
    <d v="2025-06-15T00:00:00"/>
    <s v="SCRP"/>
    <s v="TRANSPORTATION LOSS 17402 RIBA"/>
    <x v="118"/>
    <s v="Loss"/>
    <x v="1"/>
    <x v="4"/>
    <x v="0"/>
    <s v="a.bakri"/>
    <n v="-2"/>
    <n v="-0.05"/>
    <n v="24758.555840000001"/>
    <s v=""/>
    <s v="000002"/>
    <s v="X04210"/>
    <s v=""/>
    <s v="Q06225"/>
    <n v="0"/>
    <n v="-49517.111680000002"/>
    <x v="2"/>
  </r>
  <r>
    <x v="4"/>
    <s v="TF"/>
    <x v="9"/>
    <x v="4"/>
    <s v="IF0001"/>
    <s v="Flour Import Elngm 25Kg"/>
    <x v="5"/>
    <x v="1"/>
    <d v="2025-06-15T00:00:00"/>
    <s v="SCRP"/>
    <s v="TRANSPORTATION LOSS 17424 RIBA"/>
    <x v="118"/>
    <s v="Loss"/>
    <x v="1"/>
    <x v="4"/>
    <x v="0"/>
    <s v="a.bakri"/>
    <n v="-2"/>
    <n v="-0.05"/>
    <n v="24758.555840000001"/>
    <s v=""/>
    <s v="000003"/>
    <s v="X04211"/>
    <s v=""/>
    <s v="Q06225"/>
    <n v="0"/>
    <n v="-49517.111680000002"/>
    <x v="2"/>
  </r>
  <r>
    <x v="4"/>
    <s v="TF"/>
    <x v="9"/>
    <x v="4"/>
    <s v="IF0001"/>
    <s v="Flour Import Elngm 25Kg"/>
    <x v="5"/>
    <x v="1"/>
    <d v="2025-06-15T00:00:00"/>
    <s v="SCRP"/>
    <s v="TRANSPORTATION LOSS 17437 RIBA"/>
    <x v="118"/>
    <s v="Loss"/>
    <x v="1"/>
    <x v="4"/>
    <x v="0"/>
    <s v="a.bakri"/>
    <n v="-2"/>
    <n v="-0.05"/>
    <n v="24758.555840000001"/>
    <s v=""/>
    <s v="000004"/>
    <s v="X04212"/>
    <s v=""/>
    <s v="Q06225"/>
    <n v="0"/>
    <n v="-49517.111680000002"/>
    <x v="2"/>
  </r>
  <r>
    <x v="4"/>
    <s v="TF"/>
    <x v="9"/>
    <x v="4"/>
    <s v="IF0001"/>
    <s v="Flour Import Elngm 25Kg"/>
    <x v="5"/>
    <x v="1"/>
    <d v="2025-06-15T00:00:00"/>
    <s v="SCRP"/>
    <s v="TRANSPORTATION LOSS 21302 DELTA"/>
    <x v="118"/>
    <s v="Loss"/>
    <x v="1"/>
    <x v="4"/>
    <x v="0"/>
    <s v="a.bakri"/>
    <n v="-1"/>
    <n v="-2.5000000000000001E-2"/>
    <n v="24758.555840000001"/>
    <s v=""/>
    <s v="000005"/>
    <s v="X04213"/>
    <s v=""/>
    <s v="Q06225"/>
    <n v="0"/>
    <n v="-24758.555840000001"/>
    <x v="2"/>
  </r>
  <r>
    <x v="4"/>
    <s v="TF"/>
    <x v="9"/>
    <x v="4"/>
    <s v="IF0001"/>
    <s v="Flour Import Elngm 25Kg"/>
    <x v="5"/>
    <x v="1"/>
    <d v="2025-06-15T00:00:00"/>
    <s v="SCRP"/>
    <s v="TRANSPORTATION LOSS 21306 ANJAL"/>
    <x v="118"/>
    <s v="Loss"/>
    <x v="1"/>
    <x v="4"/>
    <x v="0"/>
    <s v="a.bakri"/>
    <n v="-7"/>
    <n v="-0.17499999999999999"/>
    <n v="24758.555840000001"/>
    <s v=""/>
    <s v="000006"/>
    <s v="X04214"/>
    <s v=""/>
    <s v="Q06225"/>
    <n v="0"/>
    <n v="-173309.89088000002"/>
    <x v="2"/>
  </r>
  <r>
    <x v="4"/>
    <s v="TF"/>
    <x v="9"/>
    <x v="5"/>
    <s v="LE0001"/>
    <s v="Lentil TAT 20KG"/>
    <x v="7"/>
    <x v="1"/>
    <d v="2025-06-15T00:00:00"/>
    <s v="SCRP"/>
    <s v="TRANSPORTATION LOSS 13585 DARKA"/>
    <x v="118"/>
    <s v="Loss"/>
    <x v="1"/>
    <x v="4"/>
    <x v="0"/>
    <s v="a.bakri"/>
    <n v="-1"/>
    <n v="-0.02"/>
    <n v="37806.777110000003"/>
    <s v=""/>
    <s v="000000"/>
    <s v="X04168"/>
    <s v=""/>
    <s v="Q06221"/>
    <n v="0"/>
    <n v="-37806.777110000003"/>
    <x v="3"/>
  </r>
  <r>
    <x v="4"/>
    <s v="TF"/>
    <x v="9"/>
    <x v="5"/>
    <s v="LE0001"/>
    <s v="Lentil TAT 20KG"/>
    <x v="7"/>
    <x v="1"/>
    <d v="2025-06-15T00:00:00"/>
    <s v="SCRP"/>
    <s v="TRANSPORTATION LOSS 13591 ABURNAT"/>
    <x v="118"/>
    <s v="Loss"/>
    <x v="1"/>
    <x v="4"/>
    <x v="0"/>
    <s v="a.bakri"/>
    <n v="-3"/>
    <n v="-0.06"/>
    <n v="37806.777110000003"/>
    <s v=""/>
    <s v="000001"/>
    <s v="X04169"/>
    <s v=""/>
    <s v="Q06221"/>
    <n v="0"/>
    <n v="-113420.33133000002"/>
    <x v="3"/>
  </r>
  <r>
    <x v="4"/>
    <s v="TF"/>
    <x v="9"/>
    <x v="5"/>
    <s v="LE0001"/>
    <s v="Lentil TAT 20KG"/>
    <x v="7"/>
    <x v="1"/>
    <d v="2025-06-15T00:00:00"/>
    <s v="SCRP"/>
    <s v="TRANSPORTATION LOSS 13592 ARIF ALMUBARK"/>
    <x v="118"/>
    <s v="Loss"/>
    <x v="1"/>
    <x v="4"/>
    <x v="0"/>
    <s v="a.bakri"/>
    <n v="-1"/>
    <n v="-0.02"/>
    <n v="37806.777110000003"/>
    <s v=""/>
    <s v="000002"/>
    <s v="X04170"/>
    <s v=""/>
    <s v="Q06221"/>
    <n v="0"/>
    <n v="-37806.777110000003"/>
    <x v="3"/>
  </r>
  <r>
    <x v="4"/>
    <s v="TF"/>
    <x v="9"/>
    <x v="5"/>
    <s v="LE0001"/>
    <s v="Lentil TAT 20KG"/>
    <x v="7"/>
    <x v="1"/>
    <d v="2025-06-15T00:00:00"/>
    <s v="SCRP"/>
    <s v="TRANSPORTATION LOSS 13662 ALKASER"/>
    <x v="118"/>
    <s v="Loss"/>
    <x v="1"/>
    <x v="4"/>
    <x v="0"/>
    <s v="a.bakri"/>
    <n v="-10"/>
    <n v="-0.2"/>
    <n v="37806.777110000003"/>
    <s v=""/>
    <s v="000003"/>
    <s v="X04171"/>
    <s v=""/>
    <s v="Q06221"/>
    <n v="0"/>
    <n v="-378067.77110000001"/>
    <x v="3"/>
  </r>
  <r>
    <x v="4"/>
    <s v="TF"/>
    <x v="9"/>
    <x v="5"/>
    <s v="LE0001"/>
    <s v="Lentil TAT 20KG"/>
    <x v="7"/>
    <x v="1"/>
    <d v="2025-06-15T00:00:00"/>
    <s v="SCRP"/>
    <s v="TRANSPORTATION LOSS 13670 ABURNAT"/>
    <x v="118"/>
    <s v="Loss"/>
    <x v="1"/>
    <x v="4"/>
    <x v="0"/>
    <s v="a.bakri"/>
    <n v="-4"/>
    <n v="-0.08"/>
    <n v="37806.777110000003"/>
    <s v=""/>
    <s v="000004"/>
    <s v="X04172"/>
    <s v=""/>
    <s v="Q06221"/>
    <n v="0"/>
    <n v="-151227.10844000001"/>
    <x v="3"/>
  </r>
  <r>
    <x v="4"/>
    <s v="TF"/>
    <x v="9"/>
    <x v="5"/>
    <s v="LE0001"/>
    <s v="Lentil TAT 20KG"/>
    <x v="7"/>
    <x v="1"/>
    <d v="2025-06-15T00:00:00"/>
    <s v="SCRP"/>
    <s v="TRANSPORTATION LOSS 13671 ABURNAT"/>
    <x v="118"/>
    <s v="Loss"/>
    <x v="1"/>
    <x v="4"/>
    <x v="0"/>
    <s v="a.bakri"/>
    <n v="-11"/>
    <n v="-0.22"/>
    <n v="37806.777110000003"/>
    <s v=""/>
    <s v="000005"/>
    <s v="X04173"/>
    <s v=""/>
    <s v="Q06221"/>
    <n v="0"/>
    <n v="-415874.54821000004"/>
    <x v="3"/>
  </r>
  <r>
    <x v="4"/>
    <s v="TF"/>
    <x v="9"/>
    <x v="5"/>
    <s v="LE0001"/>
    <s v="Lentil TAT 20KG"/>
    <x v="7"/>
    <x v="1"/>
    <d v="2025-06-15T00:00:00"/>
    <s v="SCRP"/>
    <s v="TRANSPORTATION LOSS 13688 ALNAWAH"/>
    <x v="118"/>
    <s v="Loss"/>
    <x v="1"/>
    <x v="4"/>
    <x v="0"/>
    <s v="a.bakri"/>
    <n v="-4"/>
    <n v="-0.08"/>
    <n v="37806.777110000003"/>
    <s v=""/>
    <s v="000006"/>
    <s v="X04174"/>
    <s v=""/>
    <s v="Q06221"/>
    <n v="0"/>
    <n v="-151227.10844000001"/>
    <x v="3"/>
  </r>
  <r>
    <x v="4"/>
    <s v="TF"/>
    <x v="9"/>
    <x v="5"/>
    <s v="LE0001"/>
    <s v="Lentil TAT 20KG"/>
    <x v="7"/>
    <x v="1"/>
    <d v="2025-06-15T00:00:00"/>
    <s v="SCRP"/>
    <s v="TRANSPORTATION LOSS 13699 ALNAWAH"/>
    <x v="118"/>
    <s v="Loss"/>
    <x v="1"/>
    <x v="4"/>
    <x v="0"/>
    <s v="a.bakri"/>
    <n v="-3"/>
    <n v="-0.06"/>
    <n v="37806.777110000003"/>
    <s v=""/>
    <s v="000007"/>
    <s v="X04175"/>
    <s v=""/>
    <s v="Q06221"/>
    <n v="0"/>
    <n v="-113420.33133000002"/>
    <x v="3"/>
  </r>
  <r>
    <x v="4"/>
    <s v="TF"/>
    <x v="9"/>
    <x v="2"/>
    <s v="WS0001"/>
    <s v="White Sugar"/>
    <x v="4"/>
    <x v="1"/>
    <d v="2025-06-15T00:00:00"/>
    <s v="SCRP"/>
    <s v="TRANSPORTATION LOSS 16672 ALWASEELA"/>
    <x v="118"/>
    <s v="Loss"/>
    <x v="1"/>
    <x v="4"/>
    <x v="0"/>
    <s v="a.bakri"/>
    <n v="-14"/>
    <n v="-0.7"/>
    <n v="83521.151800000007"/>
    <s v=""/>
    <s v="000000"/>
    <s v="X04176"/>
    <s v=""/>
    <s v="Q06189"/>
    <n v="0"/>
    <n v="-1169296.1252000001"/>
    <x v="1"/>
  </r>
  <r>
    <x v="4"/>
    <s v="TF"/>
    <x v="9"/>
    <x v="2"/>
    <s v="WS0001"/>
    <s v="White Sugar"/>
    <x v="4"/>
    <x v="1"/>
    <d v="2025-06-15T00:00:00"/>
    <s v="SCRP"/>
    <s v="TRANSPORTATION LOSS 16677 ALWASEELA"/>
    <x v="118"/>
    <s v="Loss"/>
    <x v="1"/>
    <x v="4"/>
    <x v="0"/>
    <s v="a.bakri"/>
    <n v="-9"/>
    <n v="-0.45"/>
    <n v="83521.151800000007"/>
    <s v=""/>
    <s v="000001"/>
    <s v="X04177"/>
    <s v=""/>
    <s v="Q06189"/>
    <n v="0"/>
    <n v="-751690.36620000005"/>
    <x v="1"/>
  </r>
  <r>
    <x v="4"/>
    <s v="TF"/>
    <x v="9"/>
    <x v="2"/>
    <s v="WS0001"/>
    <s v="White Sugar"/>
    <x v="4"/>
    <x v="1"/>
    <d v="2025-06-15T00:00:00"/>
    <s v="SCRP"/>
    <s v="TRANSPORTATION LOSS 16693 ALASGALANI"/>
    <x v="118"/>
    <s v="Loss"/>
    <x v="1"/>
    <x v="4"/>
    <x v="0"/>
    <s v="a.bakri"/>
    <n v="-5"/>
    <n v="-0.25"/>
    <n v="83521.151800000007"/>
    <s v=""/>
    <s v="000002"/>
    <s v="X04178"/>
    <s v=""/>
    <s v="Q06189"/>
    <n v="0"/>
    <n v="-417605.75900000002"/>
    <x v="1"/>
  </r>
  <r>
    <x v="4"/>
    <s v="TF"/>
    <x v="9"/>
    <x v="2"/>
    <s v="WS0001"/>
    <s v="White Sugar"/>
    <x v="4"/>
    <x v="1"/>
    <d v="2025-06-15T00:00:00"/>
    <s v="SCRP"/>
    <s v="TRANSPORTATION LOSS 16700 ALASGALANI"/>
    <x v="118"/>
    <s v="Loss"/>
    <x v="1"/>
    <x v="4"/>
    <x v="0"/>
    <s v="a.bakri"/>
    <n v="-16"/>
    <n v="-0.8"/>
    <n v="83521.151800000007"/>
    <s v=""/>
    <s v="000003"/>
    <s v="X04179"/>
    <s v=""/>
    <s v="Q06189"/>
    <n v="0"/>
    <n v="-1336338.4288000001"/>
    <x v="1"/>
  </r>
  <r>
    <x v="4"/>
    <s v="TF"/>
    <x v="9"/>
    <x v="2"/>
    <s v="WS0001"/>
    <s v="White Sugar"/>
    <x v="4"/>
    <x v="1"/>
    <d v="2025-06-15T00:00:00"/>
    <s v="SCRP"/>
    <s v="TRANSPORTATION LOSS 16951 ALASGALANI"/>
    <x v="118"/>
    <s v="Loss"/>
    <x v="1"/>
    <x v="4"/>
    <x v="0"/>
    <s v="a.bakri"/>
    <n v="-34"/>
    <n v="-1.7"/>
    <n v="83521.151800000007"/>
    <s v=""/>
    <s v="000004"/>
    <s v="X04180"/>
    <s v=""/>
    <s v="Q06189"/>
    <n v="0"/>
    <n v="-2839719.1612000004"/>
    <x v="1"/>
  </r>
  <r>
    <x v="4"/>
    <s v="TF"/>
    <x v="9"/>
    <x v="2"/>
    <s v="WS0001"/>
    <s v="White Sugar"/>
    <x v="4"/>
    <x v="1"/>
    <d v="2025-06-15T00:00:00"/>
    <s v="SCRP"/>
    <s v="TRANSPORTATION LOSS 17052 DARKA"/>
    <x v="118"/>
    <s v="Loss"/>
    <x v="1"/>
    <x v="4"/>
    <x v="0"/>
    <s v="a.bakri"/>
    <n v="-2"/>
    <n v="-0.1"/>
    <n v="83521.151800000007"/>
    <s v=""/>
    <s v="000005"/>
    <s v="X04181"/>
    <s v=""/>
    <s v="Q06189"/>
    <n v="0"/>
    <n v="-167042.30360000001"/>
    <x v="1"/>
  </r>
  <r>
    <x v="4"/>
    <s v="TF"/>
    <x v="9"/>
    <x v="2"/>
    <s v="WS0001"/>
    <s v="White Sugar"/>
    <x v="4"/>
    <x v="1"/>
    <d v="2025-06-15T00:00:00"/>
    <s v="SCRP"/>
    <s v="TRANSPORTATION LOSS 17056 ALASGALANI"/>
    <x v="118"/>
    <s v="Loss"/>
    <x v="1"/>
    <x v="4"/>
    <x v="0"/>
    <s v="a.bakri"/>
    <n v="-13"/>
    <n v="-0.65"/>
    <n v="83521.151800000007"/>
    <s v=""/>
    <s v="000006"/>
    <s v="X04182"/>
    <s v=""/>
    <s v="Q06189"/>
    <n v="0"/>
    <n v="-1085774.9734"/>
    <x v="1"/>
  </r>
  <r>
    <x v="4"/>
    <s v="TF"/>
    <x v="9"/>
    <x v="2"/>
    <s v="WS0001"/>
    <s v="White Sugar"/>
    <x v="4"/>
    <x v="1"/>
    <d v="2025-06-15T00:00:00"/>
    <s v="SCRP"/>
    <s v="TRANSPORTATION LOSS 17057 ALWASEELA"/>
    <x v="118"/>
    <s v="Loss"/>
    <x v="1"/>
    <x v="4"/>
    <x v="0"/>
    <s v="a.bakri"/>
    <n v="-7"/>
    <n v="-0.35"/>
    <n v="83521.151800000007"/>
    <s v=""/>
    <s v="000007"/>
    <s v="X04183"/>
    <s v=""/>
    <s v="Q06189"/>
    <n v="0"/>
    <n v="-584648.06260000006"/>
    <x v="1"/>
  </r>
  <r>
    <x v="4"/>
    <s v="TF"/>
    <x v="9"/>
    <x v="2"/>
    <s v="WS0001"/>
    <s v="White Sugar"/>
    <x v="4"/>
    <x v="1"/>
    <d v="2025-06-15T00:00:00"/>
    <s v="SCRP"/>
    <s v="TRANSPORTATION LOSS 17058 ALWASEELA"/>
    <x v="118"/>
    <s v="Loss"/>
    <x v="1"/>
    <x v="4"/>
    <x v="0"/>
    <s v="a.bakri"/>
    <n v="-9"/>
    <n v="-0.45"/>
    <n v="83521.151800000007"/>
    <s v=""/>
    <s v="000008"/>
    <s v="X04184"/>
    <s v=""/>
    <s v="Q06189"/>
    <n v="0"/>
    <n v="-751690.36620000005"/>
    <x v="1"/>
  </r>
  <r>
    <x v="4"/>
    <s v="TF"/>
    <x v="9"/>
    <x v="2"/>
    <s v="WS0001"/>
    <s v="White Sugar"/>
    <x v="4"/>
    <x v="1"/>
    <d v="2025-06-15T00:00:00"/>
    <s v="SCRP"/>
    <s v="TRANSPORTATION LOSS 17059 ALWASEELA"/>
    <x v="118"/>
    <s v="Loss"/>
    <x v="1"/>
    <x v="4"/>
    <x v="0"/>
    <s v="a.bakri"/>
    <n v="-3"/>
    <n v="-0.15"/>
    <n v="83521.151800000007"/>
    <s v=""/>
    <s v="000009"/>
    <s v="X04185"/>
    <s v=""/>
    <s v="Q06189"/>
    <n v="0"/>
    <n v="-250563.45540000004"/>
    <x v="1"/>
  </r>
  <r>
    <x v="4"/>
    <s v="TF"/>
    <x v="9"/>
    <x v="2"/>
    <s v="WS0001"/>
    <s v="White Sugar"/>
    <x v="4"/>
    <x v="1"/>
    <d v="2025-06-15T00:00:00"/>
    <s v="SCRP"/>
    <s v="TRANSPORTATION LOSS 17067 ALASGALANI"/>
    <x v="118"/>
    <s v="Loss"/>
    <x v="1"/>
    <x v="4"/>
    <x v="0"/>
    <s v="a.bakri"/>
    <n v="-9"/>
    <n v="-0.45"/>
    <n v="83521.151800000007"/>
    <s v=""/>
    <s v="000010"/>
    <s v="X04186"/>
    <s v=""/>
    <s v="Q06189"/>
    <n v="0"/>
    <n v="-751690.36620000005"/>
    <x v="1"/>
  </r>
  <r>
    <x v="4"/>
    <s v="TF"/>
    <x v="9"/>
    <x v="2"/>
    <s v="WS0001"/>
    <s v="White Sugar"/>
    <x v="4"/>
    <x v="1"/>
    <d v="2025-06-15T00:00:00"/>
    <s v="SCRP"/>
    <s v="TRANSPORTATION LOSS 17084 ALTAF"/>
    <x v="118"/>
    <s v="Loss"/>
    <x v="1"/>
    <x v="4"/>
    <x v="0"/>
    <s v="a.bakri"/>
    <n v="-3"/>
    <n v="-0.15"/>
    <n v="83521.151800000007"/>
    <s v=""/>
    <s v="000011"/>
    <s v="X04187"/>
    <s v=""/>
    <s v="Q06189"/>
    <n v="0"/>
    <n v="-250563.45540000004"/>
    <x v="1"/>
  </r>
  <r>
    <x v="4"/>
    <s v="TF"/>
    <x v="9"/>
    <x v="2"/>
    <s v="WS0001"/>
    <s v="White Sugar"/>
    <x v="4"/>
    <x v="1"/>
    <d v="2025-06-15T00:00:00"/>
    <s v="SCRP"/>
    <s v="TRANSPORTATION LOSS 17085 DARKA"/>
    <x v="118"/>
    <s v="Loss"/>
    <x v="1"/>
    <x v="4"/>
    <x v="0"/>
    <s v="a.bakri"/>
    <n v="-10"/>
    <n v="-0.5"/>
    <n v="83521.151800000007"/>
    <s v=""/>
    <s v="000012"/>
    <s v="X04188"/>
    <s v=""/>
    <s v="Q06189"/>
    <n v="0"/>
    <n v="-835211.51800000004"/>
    <x v="1"/>
  </r>
  <r>
    <x v="4"/>
    <s v="TF"/>
    <x v="9"/>
    <x v="2"/>
    <s v="WS0001"/>
    <s v="White Sugar"/>
    <x v="4"/>
    <x v="1"/>
    <d v="2025-06-15T00:00:00"/>
    <s v="SCRP"/>
    <s v="TRANSPORTATION LOSS 17125 ALHAMADA"/>
    <x v="118"/>
    <s v="Loss"/>
    <x v="1"/>
    <x v="4"/>
    <x v="0"/>
    <s v="a.bakri"/>
    <n v="-4"/>
    <n v="-0.2"/>
    <n v="83521.151800000007"/>
    <s v=""/>
    <s v="000013"/>
    <s v="X04189"/>
    <s v=""/>
    <s v="Q06189"/>
    <n v="0"/>
    <n v="-334084.60720000003"/>
    <x v="1"/>
  </r>
  <r>
    <x v="4"/>
    <s v="TF"/>
    <x v="9"/>
    <x v="2"/>
    <s v="WS0001"/>
    <s v="White Sugar"/>
    <x v="4"/>
    <x v="1"/>
    <d v="2025-06-15T00:00:00"/>
    <s v="SCRP"/>
    <s v="TRANSPORTATION LOSS 17128 ALMUAZ"/>
    <x v="118"/>
    <s v="Loss"/>
    <x v="1"/>
    <x v="4"/>
    <x v="0"/>
    <s v="a.bakri"/>
    <n v="-8"/>
    <n v="-0.4"/>
    <n v="83521.151800000007"/>
    <s v=""/>
    <s v="000014"/>
    <s v="X04190"/>
    <s v=""/>
    <s v="Q06189"/>
    <n v="0"/>
    <n v="-668169.21440000006"/>
    <x v="1"/>
  </r>
  <r>
    <x v="4"/>
    <s v="TF"/>
    <x v="9"/>
    <x v="2"/>
    <s v="WS0001"/>
    <s v="White Sugar"/>
    <x v="4"/>
    <x v="1"/>
    <d v="2025-06-15T00:00:00"/>
    <s v="SCRP"/>
    <s v="TRANSPORTATION LOSS 17129 ALMUAZ"/>
    <x v="118"/>
    <s v="Loss"/>
    <x v="1"/>
    <x v="4"/>
    <x v="0"/>
    <s v="a.bakri"/>
    <n v="-4"/>
    <n v="-0.2"/>
    <n v="83521.151800000007"/>
    <s v=""/>
    <s v="000015"/>
    <s v="X04191"/>
    <s v=""/>
    <s v="Q06189"/>
    <n v="0"/>
    <n v="-334084.60720000003"/>
    <x v="1"/>
  </r>
  <r>
    <x v="4"/>
    <s v="TF"/>
    <x v="9"/>
    <x v="2"/>
    <s v="WS0001"/>
    <s v="White Sugar"/>
    <x v="4"/>
    <x v="1"/>
    <d v="2025-06-15T00:00:00"/>
    <s v="SCRP"/>
    <s v="TRANSPORTATION LOSS 17170 ALMUAZ"/>
    <x v="118"/>
    <s v="Loss"/>
    <x v="1"/>
    <x v="4"/>
    <x v="0"/>
    <s v="a.bakri"/>
    <n v="-8"/>
    <n v="-0.4"/>
    <n v="83521.151800000007"/>
    <s v=""/>
    <s v="000016"/>
    <s v="X04192"/>
    <s v=""/>
    <s v="Q06189"/>
    <n v="0"/>
    <n v="-668169.21440000006"/>
    <x v="1"/>
  </r>
  <r>
    <x v="4"/>
    <s v="TF"/>
    <x v="9"/>
    <x v="2"/>
    <s v="WS0001"/>
    <s v="White Sugar"/>
    <x v="4"/>
    <x v="1"/>
    <d v="2025-06-15T00:00:00"/>
    <s v="SCRP"/>
    <s v="TRANSPORTATION LOSS 17177 DELTA"/>
    <x v="118"/>
    <s v="Loss"/>
    <x v="1"/>
    <x v="4"/>
    <x v="0"/>
    <s v="a.bakri"/>
    <n v="-1"/>
    <n v="-0.05"/>
    <n v="83521.151800000007"/>
    <s v=""/>
    <s v="000017"/>
    <s v="X04193"/>
    <s v=""/>
    <s v="Q06189"/>
    <n v="0"/>
    <n v="-83521.151800000007"/>
    <x v="1"/>
  </r>
  <r>
    <x v="4"/>
    <s v="TF"/>
    <x v="9"/>
    <x v="2"/>
    <s v="WS0001"/>
    <s v="White Sugar"/>
    <x v="4"/>
    <x v="1"/>
    <d v="2025-06-15T00:00:00"/>
    <s v="SCRP"/>
    <s v="TRANSPORTATION LOSS 17179 RIBA"/>
    <x v="118"/>
    <s v="Loss"/>
    <x v="1"/>
    <x v="4"/>
    <x v="0"/>
    <s v="a.bakri"/>
    <n v="-11"/>
    <n v="-0.55000000000000004"/>
    <n v="83521.151800000007"/>
    <s v=""/>
    <s v="000018"/>
    <s v="X04194"/>
    <s v=""/>
    <s v="Q06189"/>
    <n v="0"/>
    <n v="-918732.66980000003"/>
    <x v="1"/>
  </r>
  <r>
    <x v="4"/>
    <s v="TF"/>
    <x v="9"/>
    <x v="2"/>
    <s v="WS0001"/>
    <s v="White Sugar"/>
    <x v="4"/>
    <x v="1"/>
    <d v="2025-06-15T00:00:00"/>
    <s v="SCRP"/>
    <s v="TRANSPORTATION LOSS 17193 ALSANOSI"/>
    <x v="118"/>
    <s v="Loss"/>
    <x v="1"/>
    <x v="4"/>
    <x v="0"/>
    <s v="a.bakri"/>
    <n v="-3"/>
    <n v="-0.15"/>
    <n v="83521.151800000007"/>
    <s v=""/>
    <s v="000019"/>
    <s v="X04195"/>
    <s v=""/>
    <s v="Q06189"/>
    <n v="0"/>
    <n v="-250563.45540000004"/>
    <x v="1"/>
  </r>
  <r>
    <x v="4"/>
    <s v="TF"/>
    <x v="9"/>
    <x v="2"/>
    <s v="WS0001"/>
    <s v="White Sugar"/>
    <x v="4"/>
    <x v="1"/>
    <d v="2025-06-15T00:00:00"/>
    <s v="SCRP"/>
    <s v="TRANSPORTATION LOSS 17206 ALTAF"/>
    <x v="118"/>
    <s v="Loss"/>
    <x v="1"/>
    <x v="4"/>
    <x v="0"/>
    <s v="a.bakri"/>
    <n v="-11"/>
    <n v="-0.55000000000000004"/>
    <n v="83521.151800000007"/>
    <s v=""/>
    <s v="000020"/>
    <s v="X04196"/>
    <s v=""/>
    <s v="Q06189"/>
    <n v="0"/>
    <n v="-918732.66980000003"/>
    <x v="1"/>
  </r>
  <r>
    <x v="4"/>
    <s v="TF"/>
    <x v="9"/>
    <x v="2"/>
    <s v="WS0001"/>
    <s v="White Sugar"/>
    <x v="4"/>
    <x v="1"/>
    <d v="2025-06-15T00:00:00"/>
    <s v="SCRP"/>
    <s v="TRANSPORTATION LOSS 17207 BIG BOSS"/>
    <x v="118"/>
    <s v="Loss"/>
    <x v="1"/>
    <x v="4"/>
    <x v="0"/>
    <s v="a.bakri"/>
    <n v="-3"/>
    <n v="-0.15"/>
    <n v="83521.151800000007"/>
    <s v=""/>
    <s v="000021"/>
    <s v="X04197"/>
    <s v=""/>
    <s v="Q06189"/>
    <n v="0"/>
    <n v="-250563.45540000004"/>
    <x v="1"/>
  </r>
  <r>
    <x v="4"/>
    <s v="TF"/>
    <x v="9"/>
    <x v="2"/>
    <s v="WS0001"/>
    <s v="White Sugar"/>
    <x v="4"/>
    <x v="1"/>
    <d v="2025-06-15T00:00:00"/>
    <s v="SCRP"/>
    <s v="TRANSPORTATION LOSS 17209 BIG BOSS"/>
    <x v="118"/>
    <s v="Loss"/>
    <x v="1"/>
    <x v="4"/>
    <x v="0"/>
    <s v="a.bakri"/>
    <n v="-3"/>
    <n v="-0.15"/>
    <n v="83521.151800000007"/>
    <s v=""/>
    <s v="000022"/>
    <s v="X04198"/>
    <s v=""/>
    <s v="Q06189"/>
    <n v="0"/>
    <n v="-250563.45540000004"/>
    <x v="1"/>
  </r>
  <r>
    <x v="4"/>
    <s v="TF"/>
    <x v="9"/>
    <x v="2"/>
    <s v="WS0001"/>
    <s v="White Sugar"/>
    <x v="4"/>
    <x v="1"/>
    <d v="2025-06-15T00:00:00"/>
    <s v="SCRP"/>
    <s v="TRANSPORTATION LOSS 17226 ALNAWAH"/>
    <x v="118"/>
    <s v="Loss"/>
    <x v="1"/>
    <x v="4"/>
    <x v="0"/>
    <s v="a.bakri"/>
    <n v="-5"/>
    <n v="-0.25"/>
    <n v="83521.151800000007"/>
    <s v=""/>
    <s v="000023"/>
    <s v="X04199"/>
    <s v=""/>
    <s v="Q06189"/>
    <n v="0"/>
    <n v="-417605.75900000002"/>
    <x v="1"/>
  </r>
  <r>
    <x v="4"/>
    <s v="TF"/>
    <x v="9"/>
    <x v="2"/>
    <s v="WS0001"/>
    <s v="White Sugar"/>
    <x v="4"/>
    <x v="1"/>
    <d v="2025-06-15T00:00:00"/>
    <s v="SCRP"/>
    <s v="TRANSPORTATION LOSS 17239 ALWAHSHAB"/>
    <x v="118"/>
    <s v="Loss"/>
    <x v="1"/>
    <x v="4"/>
    <x v="0"/>
    <s v="a.bakri"/>
    <n v="-2"/>
    <n v="-0.1"/>
    <n v="83521.151800000007"/>
    <s v=""/>
    <s v="000024"/>
    <s v="X04200"/>
    <s v=""/>
    <s v="Q06189"/>
    <n v="0"/>
    <n v="-167042.30360000001"/>
    <x v="1"/>
  </r>
  <r>
    <x v="4"/>
    <s v="TF"/>
    <x v="9"/>
    <x v="2"/>
    <s v="WS0001"/>
    <s v="White Sugar"/>
    <x v="4"/>
    <x v="1"/>
    <d v="2025-06-15T00:00:00"/>
    <s v="SCRP"/>
    <s v="TRANSPORTATION LOSS 18580 ALKHOTOT ALSAHLIA"/>
    <x v="118"/>
    <s v="Loss"/>
    <x v="1"/>
    <x v="4"/>
    <x v="0"/>
    <s v="a.bakri"/>
    <n v="-9"/>
    <n v="-0.45"/>
    <n v="83521.151800000007"/>
    <s v=""/>
    <s v="000025"/>
    <s v="X04201"/>
    <s v=""/>
    <s v="Q06189"/>
    <n v="0"/>
    <n v="-751690.36620000005"/>
    <x v="1"/>
  </r>
  <r>
    <x v="4"/>
    <s v="TF"/>
    <x v="9"/>
    <x v="2"/>
    <s v="WS0001"/>
    <s v="White Sugar"/>
    <x v="4"/>
    <x v="1"/>
    <d v="2025-06-15T00:00:00"/>
    <s v="SCRP"/>
    <s v="TRANSPORTATION LOSS 18600 ALKHOTOT ALSAHLIA"/>
    <x v="118"/>
    <s v="Loss"/>
    <x v="1"/>
    <x v="4"/>
    <x v="0"/>
    <s v="a.bakri"/>
    <n v="-9"/>
    <n v="-0.45"/>
    <n v="83521.151800000007"/>
    <s v=""/>
    <s v="000026"/>
    <s v="X04202"/>
    <s v=""/>
    <s v="Q06189"/>
    <n v="0"/>
    <n v="-751690.36620000005"/>
    <x v="1"/>
  </r>
  <r>
    <x v="4"/>
    <s v="TJ"/>
    <x v="9"/>
    <x v="4"/>
    <s v="IF0001"/>
    <s v="Flour Import Elngm 25Kg"/>
    <x v="5"/>
    <x v="1"/>
    <d v="2025-06-15T00:00:00"/>
    <s v="SCRP"/>
    <s v="TRANSPORTATION LOSS 17145 ANJAL"/>
    <x v="118"/>
    <s v="Loss"/>
    <x v="1"/>
    <x v="4"/>
    <x v="0"/>
    <s v="a.bakri"/>
    <n v="-1"/>
    <n v="-2.5000000000000001E-2"/>
    <n v="24758.555840000001"/>
    <s v=""/>
    <s v="000000"/>
    <s v="X04203"/>
    <s v=""/>
    <s v="Q06188"/>
    <n v="0"/>
    <n v="-24758.555840000001"/>
    <x v="2"/>
  </r>
  <r>
    <x v="4"/>
    <s v="TJ"/>
    <x v="9"/>
    <x v="4"/>
    <s v="IF0001"/>
    <s v="Flour Import Elngm 25Kg"/>
    <x v="5"/>
    <x v="1"/>
    <d v="2025-06-15T00:00:00"/>
    <s v="SCRP"/>
    <s v="TRANSPORTATION LOSS 17172 ANJAL"/>
    <x v="118"/>
    <s v="Loss"/>
    <x v="1"/>
    <x v="4"/>
    <x v="0"/>
    <s v="a.bakri"/>
    <n v="-4"/>
    <n v="-0.1"/>
    <n v="24758.555840000001"/>
    <s v=""/>
    <s v="000001"/>
    <s v="X04204"/>
    <s v=""/>
    <s v="Q06188"/>
    <n v="0"/>
    <n v="-99034.223360000004"/>
    <x v="2"/>
  </r>
  <r>
    <x v="5"/>
    <s v="TJ"/>
    <x v="9"/>
    <x v="5"/>
    <s v="LE0001"/>
    <s v="Lentil TAT 20KG"/>
    <x v="7"/>
    <x v="1"/>
    <d v="2025-05-19T00:00:00"/>
    <s v="SCRP"/>
    <s v="TRANSPORTATION LOSS - 13494 ALTAF"/>
    <x v="118"/>
    <s v="Loss"/>
    <x v="1"/>
    <x v="4"/>
    <x v="0"/>
    <s v="a.bakri"/>
    <n v="-3"/>
    <n v="-0.06"/>
    <n v="49211.972889999997"/>
    <s v=""/>
    <s v="000026"/>
    <s v="X04102"/>
    <s v=""/>
    <s v="Q06221"/>
    <n v="0"/>
    <n v="-147635.91866999998"/>
    <x v="3"/>
  </r>
  <r>
    <x v="4"/>
    <s v="TJ"/>
    <x v="9"/>
    <x v="4"/>
    <s v="NF0001"/>
    <s v="Alnajm Flour from Mill 25KG"/>
    <x v="15"/>
    <x v="1"/>
    <d v="2025-06-15T00:00:00"/>
    <s v="SCRP"/>
    <s v="TRANSPORTATION LOSS 16893 RIBA"/>
    <x v="118"/>
    <s v="Loss"/>
    <x v="1"/>
    <x v="4"/>
    <x v="0"/>
    <s v="a.bakri"/>
    <n v="-1"/>
    <n v="-2.5000000000000001E-2"/>
    <n v="24758.555840000001"/>
    <s v=""/>
    <s v="000000"/>
    <s v="X04205"/>
    <s v=""/>
    <s v="P03707"/>
    <n v="0"/>
    <n v="-24758.555840000001"/>
    <x v="2"/>
  </r>
  <r>
    <x v="4"/>
    <s v="TJ"/>
    <x v="9"/>
    <x v="4"/>
    <s v="NF0001"/>
    <s v="Alnajm Flour from Mill 25KG"/>
    <x v="15"/>
    <x v="1"/>
    <d v="2025-06-15T00:00:00"/>
    <s v="SCRP"/>
    <s v="TRANSPORTATION LOSS 22546 ANJAL"/>
    <x v="118"/>
    <s v="Loss"/>
    <x v="1"/>
    <x v="4"/>
    <x v="0"/>
    <s v="a.bakri"/>
    <n v="-1"/>
    <n v="-2.5000000000000001E-2"/>
    <n v="24758.555840000001"/>
    <s v=""/>
    <s v="000001"/>
    <s v="X04206"/>
    <s v=""/>
    <s v="P03707"/>
    <n v="0"/>
    <n v="-24758.555840000001"/>
    <x v="2"/>
  </r>
  <r>
    <x v="4"/>
    <s v="TK"/>
    <x v="9"/>
    <x v="3"/>
    <s v="RC0004"/>
    <s v="Rice Long Grade 2 Elngm 20Kg"/>
    <x v="9"/>
    <x v="1"/>
    <d v="2025-06-15T00:00:00"/>
    <s v="SCRP"/>
    <s v="TRANSPORTATION LOSS 18575 ARIF ALMUBARK"/>
    <x v="118"/>
    <s v="Loss"/>
    <x v="1"/>
    <x v="4"/>
    <x v="0"/>
    <s v="a.bakri"/>
    <n v="-1"/>
    <n v="-0.02"/>
    <n v="24317.853869999999"/>
    <s v=""/>
    <s v="000000"/>
    <s v="X04207"/>
    <s v=""/>
    <s v="Q05964"/>
    <n v="0"/>
    <n v="-24317.853869999999"/>
    <x v="3"/>
  </r>
  <r>
    <x v="5"/>
    <s v="TK"/>
    <x v="9"/>
    <x v="2"/>
    <s v="WS0001"/>
    <s v="White Sugar"/>
    <x v="4"/>
    <x v="1"/>
    <d v="2025-05-19T00:00:00"/>
    <s v="SCRP"/>
    <s v="TRANSPORTATION LOSS - 17031 ALASGALANI"/>
    <x v="118"/>
    <s v="Loss"/>
    <x v="1"/>
    <x v="4"/>
    <x v="0"/>
    <s v="a.bakri"/>
    <n v="-2"/>
    <n v="-0.1"/>
    <n v="96566.186310000005"/>
    <s v=""/>
    <s v="000000"/>
    <s v="X04099"/>
    <s v=""/>
    <s v="Q06189"/>
    <n v="0"/>
    <n v="-193132.37262000001"/>
    <x v="1"/>
  </r>
  <r>
    <x v="5"/>
    <s v="TK"/>
    <x v="9"/>
    <x v="2"/>
    <s v="WS0001"/>
    <s v="White Sugar"/>
    <x v="4"/>
    <x v="1"/>
    <d v="2025-05-19T00:00:00"/>
    <s v="SCRP"/>
    <s v="TRANSPORTATION LOSS - 17242 RIBA"/>
    <x v="118"/>
    <s v="Loss"/>
    <x v="1"/>
    <x v="4"/>
    <x v="0"/>
    <s v="a.bakri"/>
    <n v="-2"/>
    <n v="-0.1"/>
    <n v="96566.186310000005"/>
    <s v=""/>
    <s v="000001"/>
    <s v="X04100"/>
    <s v=""/>
    <s v="Q06189"/>
    <n v="0"/>
    <n v="-193132.37262000001"/>
    <x v="1"/>
  </r>
  <r>
    <x v="5"/>
    <s v="TK"/>
    <x v="9"/>
    <x v="2"/>
    <s v="WS0001"/>
    <s v="White Sugar"/>
    <x v="4"/>
    <x v="1"/>
    <d v="2025-05-19T00:00:00"/>
    <s v="SCRP"/>
    <s v="TRANSPORTATION LOSS - 17245 RIBA"/>
    <x v="118"/>
    <s v="Loss"/>
    <x v="1"/>
    <x v="4"/>
    <x v="0"/>
    <s v="a.bakri"/>
    <n v="-2"/>
    <n v="-0.1"/>
    <n v="96566.186310000005"/>
    <s v=""/>
    <s v="000002"/>
    <s v="X04101"/>
    <s v=""/>
    <s v="Q06189"/>
    <n v="0"/>
    <n v="-193132.37262000001"/>
    <x v="1"/>
  </r>
  <r>
    <x v="5"/>
    <s v="TK"/>
    <x v="9"/>
    <x v="2"/>
    <s v="WS0005"/>
    <s v="White Sugar"/>
    <x v="4"/>
    <x v="1"/>
    <d v="2025-05-19T00:00:00"/>
    <s v="SCRP"/>
    <s v="TRANSPORTATION LOSS - 12175 ALSANOSI"/>
    <x v="118"/>
    <s v="Loss"/>
    <x v="1"/>
    <x v="4"/>
    <x v="0"/>
    <s v="a.bakri"/>
    <n v="-1"/>
    <n v="-0.05"/>
    <n v="96566.186310000005"/>
    <s v=""/>
    <s v="000001"/>
    <s v="X04104"/>
    <s v=""/>
    <s v="A00825"/>
    <n v="0"/>
    <n v="-96566.186310000005"/>
    <x v="1"/>
  </r>
  <r>
    <x v="5"/>
    <s v="TM"/>
    <x v="9"/>
    <x v="4"/>
    <s v="IF0001"/>
    <s v="Flour Import Elngm 25Kg"/>
    <x v="5"/>
    <x v="1"/>
    <d v="2025-05-19T00:00:00"/>
    <s v="SCRP"/>
    <s v="TRANSPORTATION LOSS - 17878 ALFADNI"/>
    <x v="118"/>
    <s v="Loss"/>
    <x v="1"/>
    <x v="4"/>
    <x v="0"/>
    <s v="a.bakri"/>
    <n v="-11"/>
    <n v="-0.27500000000000002"/>
    <n v="31301.811430000002"/>
    <s v=""/>
    <s v="000006"/>
    <s v="X04105"/>
    <s v=""/>
    <s v="Q06208"/>
    <n v="0"/>
    <n v="-344319.92573000002"/>
    <x v="2"/>
  </r>
  <r>
    <x v="5"/>
    <s v="TW"/>
    <x v="9"/>
    <x v="4"/>
    <s v="IF0001"/>
    <s v="Flour Import Elngm 25Kg"/>
    <x v="5"/>
    <x v="1"/>
    <d v="2025-05-15T00:00:00"/>
    <s v="SCRP"/>
    <s v="TRANSPORTATION LOSS - 16095 ALASGALANI"/>
    <x v="118"/>
    <s v="Loss"/>
    <x v="1"/>
    <x v="4"/>
    <x v="0"/>
    <s v="a.bakri"/>
    <n v="-2"/>
    <n v="-0.05"/>
    <n v="31301.811430000002"/>
    <s v=""/>
    <s v="000000"/>
    <s v="X04083"/>
    <s v=""/>
    <s v="Q06208"/>
    <n v="0"/>
    <n v="-62603.622860000003"/>
    <x v="2"/>
  </r>
  <r>
    <x v="4"/>
    <s v="IS"/>
    <x v="9"/>
    <x v="4"/>
    <s v="IF0001"/>
    <s v="Flour Import Elngm 25Kg"/>
    <x v="5"/>
    <x v="1"/>
    <d v="2025-06-19T00:00:00"/>
    <s v="SCRP"/>
    <s v="TRANSPORTATION LOSS - 20255 ARIF ALMUBARK"/>
    <x v="118"/>
    <s v="Loss"/>
    <x v="1"/>
    <x v="4"/>
    <x v="0"/>
    <s v="a.bakri"/>
    <n v="-19"/>
    <n v="-0.47499999999999998"/>
    <n v="24758.555840000001"/>
    <s v=""/>
    <s v="000000"/>
    <s v="X04250"/>
    <s v=""/>
    <s v="Q06208"/>
    <n v="0"/>
    <n v="-470412.56096000003"/>
    <x v="2"/>
  </r>
  <r>
    <x v="4"/>
    <s v="IS"/>
    <x v="9"/>
    <x v="4"/>
    <s v="IF0001"/>
    <s v="Flour Import Elngm 25Kg"/>
    <x v="5"/>
    <x v="1"/>
    <d v="2025-06-19T00:00:00"/>
    <s v="SCRP"/>
    <s v="TRANSPORTATION LOSS - 20260 AlKASIR"/>
    <x v="118"/>
    <s v="Loss"/>
    <x v="1"/>
    <x v="4"/>
    <x v="0"/>
    <s v="a.bakri"/>
    <n v="-9"/>
    <n v="-0.22500000000000001"/>
    <n v="24758.555840000001"/>
    <s v=""/>
    <s v="000001"/>
    <s v="X04251"/>
    <s v=""/>
    <s v="Q06208"/>
    <n v="0"/>
    <n v="-222827.00255999999"/>
    <x v="2"/>
  </r>
  <r>
    <x v="4"/>
    <s v="IS"/>
    <x v="9"/>
    <x v="4"/>
    <s v="IF0001"/>
    <s v="Flour Import Elngm 25Kg"/>
    <x v="5"/>
    <x v="1"/>
    <d v="2025-06-19T00:00:00"/>
    <s v="SCRP"/>
    <s v="TRANSPORTATION LOSS - 20272 DELTA"/>
    <x v="118"/>
    <s v="Loss"/>
    <x v="1"/>
    <x v="4"/>
    <x v="0"/>
    <s v="a.bakri"/>
    <n v="-27"/>
    <n v="-0.67500000000000004"/>
    <n v="24758.555840000001"/>
    <s v=""/>
    <s v="000002"/>
    <s v="X04252"/>
    <s v=""/>
    <s v="Q06208"/>
    <n v="0"/>
    <n v="-668481.00768000004"/>
    <x v="2"/>
  </r>
  <r>
    <x v="4"/>
    <s v="IS"/>
    <x v="9"/>
    <x v="4"/>
    <s v="IF0001"/>
    <s v="Flour Import Elngm 25Kg"/>
    <x v="5"/>
    <x v="1"/>
    <d v="2025-06-19T00:00:00"/>
    <s v="SCRP"/>
    <s v="TRANSPORTATION LOSS - 20293 AlKASIR"/>
    <x v="118"/>
    <s v="Loss"/>
    <x v="1"/>
    <x v="4"/>
    <x v="0"/>
    <s v="a.bakri"/>
    <n v="-2"/>
    <n v="-0.05"/>
    <n v="24758.555840000001"/>
    <s v=""/>
    <s v="000003"/>
    <s v="X04253"/>
    <s v=""/>
    <s v="Q06208"/>
    <n v="0"/>
    <n v="-49517.111680000002"/>
    <x v="2"/>
  </r>
  <r>
    <x v="4"/>
    <s v="IS"/>
    <x v="9"/>
    <x v="4"/>
    <s v="IF0001"/>
    <s v="Flour Import Elngm 25Kg"/>
    <x v="5"/>
    <x v="1"/>
    <d v="2025-06-19T00:00:00"/>
    <s v="SCRP"/>
    <s v="TRANSPORTATION LOSS - 21337 ALWASEELA"/>
    <x v="118"/>
    <s v="Loss"/>
    <x v="1"/>
    <x v="4"/>
    <x v="0"/>
    <s v="a.bakri"/>
    <n v="-1"/>
    <n v="-2.5000000000000001E-2"/>
    <n v="24758.555840000001"/>
    <s v=""/>
    <s v="000004"/>
    <s v="X04254"/>
    <s v=""/>
    <s v="Q06208"/>
    <n v="0"/>
    <n v="-24758.555840000001"/>
    <x v="2"/>
  </r>
  <r>
    <x v="4"/>
    <s v="IS"/>
    <x v="9"/>
    <x v="4"/>
    <s v="IF0001"/>
    <s v="Flour Import Elngm 25Kg"/>
    <x v="5"/>
    <x v="1"/>
    <d v="2025-06-19T00:00:00"/>
    <s v="SCRP"/>
    <s v="TRANSPORTATION LOSS - 21352 ANJAL"/>
    <x v="118"/>
    <s v="Loss"/>
    <x v="1"/>
    <x v="4"/>
    <x v="0"/>
    <s v="a.bakri"/>
    <n v="-1"/>
    <n v="-2.5000000000000001E-2"/>
    <n v="24758.555840000001"/>
    <s v=""/>
    <s v="000005"/>
    <s v="X04255"/>
    <s v=""/>
    <s v="Q06208"/>
    <n v="0"/>
    <n v="-24758.555840000001"/>
    <x v="2"/>
  </r>
  <r>
    <x v="4"/>
    <s v="IS"/>
    <x v="9"/>
    <x v="4"/>
    <s v="IF0001"/>
    <s v="Flour Import Elngm 25Kg"/>
    <x v="5"/>
    <x v="1"/>
    <d v="2025-06-19T00:00:00"/>
    <s v="SCRP"/>
    <s v="TRANSPORTATION LOSS - 21358 ALFADNI"/>
    <x v="118"/>
    <s v="Loss"/>
    <x v="1"/>
    <x v="4"/>
    <x v="0"/>
    <s v="a.bakri"/>
    <n v="-24"/>
    <n v="-0.6"/>
    <n v="24758.555840000001"/>
    <s v=""/>
    <s v="000006"/>
    <s v="X04256"/>
    <s v=""/>
    <s v="Q06208"/>
    <n v="0"/>
    <n v="-594205.34016000002"/>
    <x v="2"/>
  </r>
  <r>
    <x v="4"/>
    <s v="IS"/>
    <x v="9"/>
    <x v="4"/>
    <s v="IF0001"/>
    <s v="Flour Import Elngm 25Kg"/>
    <x v="5"/>
    <x v="1"/>
    <d v="2025-06-19T00:00:00"/>
    <s v="SCRP"/>
    <s v="TRANSPORTATION LOSS - 21370 DELTA"/>
    <x v="118"/>
    <s v="Loss"/>
    <x v="1"/>
    <x v="4"/>
    <x v="0"/>
    <s v="a.bakri"/>
    <n v="-2"/>
    <n v="-0.05"/>
    <n v="24758.555840000001"/>
    <s v=""/>
    <s v="000007"/>
    <s v="X04257"/>
    <s v=""/>
    <s v="Q06208"/>
    <n v="0"/>
    <n v="-49517.111680000002"/>
    <x v="2"/>
  </r>
  <r>
    <x v="4"/>
    <s v="IS"/>
    <x v="9"/>
    <x v="4"/>
    <s v="IF0001"/>
    <s v="Flour Import Elngm 25Kg"/>
    <x v="5"/>
    <x v="1"/>
    <d v="2025-06-19T00:00:00"/>
    <s v="SCRP"/>
    <s v="TRANSPORTATION LOSS - 21510 ARIF ALMUBARK"/>
    <x v="118"/>
    <s v="Loss"/>
    <x v="1"/>
    <x v="4"/>
    <x v="0"/>
    <s v="a.bakri"/>
    <n v="-1"/>
    <n v="-2.5000000000000001E-2"/>
    <n v="24758.555840000001"/>
    <s v=""/>
    <s v="000008"/>
    <s v="X04258"/>
    <s v=""/>
    <s v="Q06208"/>
    <n v="0"/>
    <n v="-24758.555840000001"/>
    <x v="2"/>
  </r>
  <r>
    <x v="4"/>
    <s v="IS"/>
    <x v="9"/>
    <x v="4"/>
    <s v="IF0001"/>
    <s v="Flour Import Elngm 25Kg"/>
    <x v="5"/>
    <x v="1"/>
    <d v="2025-06-24T00:00:00"/>
    <s v="SCRP"/>
    <s v="TRANSPORTATION LOSS - 17262 ARIF ALMUBARK"/>
    <x v="118"/>
    <s v="Loss"/>
    <x v="1"/>
    <x v="4"/>
    <x v="0"/>
    <s v="a.bakri"/>
    <n v="-1"/>
    <n v="-2.5000000000000001E-2"/>
    <n v="24758.555840000001"/>
    <s v=""/>
    <s v="000000"/>
    <s v="X04292"/>
    <s v=""/>
    <s v="Q06188"/>
    <n v="0"/>
    <n v="-24758.555840000001"/>
    <x v="2"/>
  </r>
  <r>
    <x v="4"/>
    <s v="IS"/>
    <x v="9"/>
    <x v="4"/>
    <s v="IF0001"/>
    <s v="Flour Import Elngm 25Kg"/>
    <x v="5"/>
    <x v="1"/>
    <d v="2025-06-24T00:00:00"/>
    <s v="SCRP"/>
    <s v="TRANSPORTATION LOSS - 21334 ANJAL"/>
    <x v="118"/>
    <s v="Loss"/>
    <x v="1"/>
    <x v="4"/>
    <x v="0"/>
    <s v="a.bakri"/>
    <n v="-3"/>
    <n v="-7.4999999999999997E-2"/>
    <n v="24758.555840000001"/>
    <s v=""/>
    <s v="000001"/>
    <s v="X04293"/>
    <s v=""/>
    <s v="Q06188"/>
    <n v="0"/>
    <n v="-74275.667520000003"/>
    <x v="2"/>
  </r>
  <r>
    <x v="4"/>
    <s v="IS"/>
    <x v="9"/>
    <x v="4"/>
    <s v="IF0001"/>
    <s v="Flour Import Elngm 25Kg"/>
    <x v="5"/>
    <x v="1"/>
    <d v="2025-06-24T00:00:00"/>
    <s v="SCRP"/>
    <s v="TRANSPORTATION LOSS - 21427 DELTA"/>
    <x v="118"/>
    <s v="Loss"/>
    <x v="1"/>
    <x v="4"/>
    <x v="0"/>
    <s v="a.bakri"/>
    <n v="-5"/>
    <n v="-0.125"/>
    <n v="24758.555840000001"/>
    <s v=""/>
    <s v="000002"/>
    <s v="X04294"/>
    <s v=""/>
    <s v="Q06188"/>
    <n v="0"/>
    <n v="-123792.7792"/>
    <x v="2"/>
  </r>
  <r>
    <x v="4"/>
    <s v="IS"/>
    <x v="9"/>
    <x v="4"/>
    <s v="IF0001"/>
    <s v="Flour Import Elngm 25Kg"/>
    <x v="5"/>
    <x v="1"/>
    <d v="2025-06-24T00:00:00"/>
    <s v="SCRP"/>
    <s v="TRANSPORTATION LOSS - 21451 ARIF ALMUBARK"/>
    <x v="118"/>
    <s v="Loss"/>
    <x v="1"/>
    <x v="4"/>
    <x v="0"/>
    <s v="a.bakri"/>
    <n v="-1"/>
    <n v="-2.5000000000000001E-2"/>
    <n v="24758.555840000001"/>
    <s v=""/>
    <s v="000003"/>
    <s v="X04295"/>
    <s v=""/>
    <s v="Q06188"/>
    <n v="0"/>
    <n v="-24758.555840000001"/>
    <x v="2"/>
  </r>
  <r>
    <x v="4"/>
    <s v="IS"/>
    <x v="9"/>
    <x v="4"/>
    <s v="IF0001"/>
    <s v="Flour Import Elngm 25Kg"/>
    <x v="5"/>
    <x v="1"/>
    <d v="2025-06-24T00:00:00"/>
    <s v="SCRP"/>
    <s v="TRANSPORTATION LOSS - 21454 ARIF ALMUBARK"/>
    <x v="118"/>
    <s v="Loss"/>
    <x v="1"/>
    <x v="4"/>
    <x v="0"/>
    <s v="a.bakri"/>
    <n v="-1"/>
    <n v="-2.5000000000000001E-2"/>
    <n v="24758.555840000001"/>
    <s v=""/>
    <s v="000004"/>
    <s v="X04296"/>
    <s v=""/>
    <s v="Q06188"/>
    <n v="0"/>
    <n v="-24758.555840000001"/>
    <x v="2"/>
  </r>
  <r>
    <x v="4"/>
    <s v="IS"/>
    <x v="9"/>
    <x v="4"/>
    <s v="IF0001"/>
    <s v="Flour Import Elngm 25Kg"/>
    <x v="5"/>
    <x v="1"/>
    <d v="2025-06-24T00:00:00"/>
    <s v="SCRP"/>
    <s v="TRANSPORTATION LOSS - 21467 ABURNAT"/>
    <x v="118"/>
    <s v="Loss"/>
    <x v="1"/>
    <x v="4"/>
    <x v="0"/>
    <s v="a.bakri"/>
    <n v="-2"/>
    <n v="-0.05"/>
    <n v="24758.555840000001"/>
    <s v=""/>
    <s v="000005"/>
    <s v="X04297"/>
    <s v=""/>
    <s v="Q06188"/>
    <n v="0"/>
    <n v="-49517.111680000002"/>
    <x v="2"/>
  </r>
  <r>
    <x v="4"/>
    <s v="IS"/>
    <x v="9"/>
    <x v="4"/>
    <s v="IF0001"/>
    <s v="Flour Import Elngm 25Kg"/>
    <x v="5"/>
    <x v="1"/>
    <d v="2025-06-24T00:00:00"/>
    <s v="SCRP"/>
    <s v="TRANSPORTATION LOSS - 21472 DELTA"/>
    <x v="118"/>
    <s v="Loss"/>
    <x v="1"/>
    <x v="4"/>
    <x v="0"/>
    <s v="a.bakri"/>
    <n v="-3"/>
    <n v="-7.4999999999999997E-2"/>
    <n v="24758.555840000001"/>
    <s v=""/>
    <s v="000006"/>
    <s v="X04298"/>
    <s v=""/>
    <s v="Q06208"/>
    <n v="0"/>
    <n v="-74275.667520000003"/>
    <x v="2"/>
  </r>
  <r>
    <x v="4"/>
    <s v="IS"/>
    <x v="9"/>
    <x v="4"/>
    <s v="IF0001"/>
    <s v="Flour Import Elngm 25Kg"/>
    <x v="5"/>
    <x v="1"/>
    <d v="2025-06-24T00:00:00"/>
    <s v="SCRP"/>
    <s v="TRANSPORTATION LOSS - 21479 RIBA"/>
    <x v="118"/>
    <s v="Loss"/>
    <x v="1"/>
    <x v="4"/>
    <x v="0"/>
    <s v="a.bakri"/>
    <n v="-2"/>
    <n v="-0.05"/>
    <n v="24758.555840000001"/>
    <s v=""/>
    <s v="000007"/>
    <s v="X04299"/>
    <s v=""/>
    <s v="Q06208"/>
    <n v="0"/>
    <n v="-49517.111680000002"/>
    <x v="2"/>
  </r>
  <r>
    <x v="4"/>
    <s v="IS"/>
    <x v="9"/>
    <x v="4"/>
    <s v="IF0001"/>
    <s v="Flour Import Elngm 25Kg"/>
    <x v="5"/>
    <x v="1"/>
    <d v="2025-06-24T00:00:00"/>
    <s v="SCRP"/>
    <s v="TRANSPORTATION LOSS - 21480 ALTAF"/>
    <x v="118"/>
    <s v="Loss"/>
    <x v="1"/>
    <x v="4"/>
    <x v="0"/>
    <s v="a.bakri"/>
    <n v="-3"/>
    <n v="-7.4999999999999997E-2"/>
    <n v="24758.555840000001"/>
    <s v=""/>
    <s v="000008"/>
    <s v="X04300"/>
    <s v=""/>
    <s v="Q06208"/>
    <n v="0"/>
    <n v="-74275.667520000003"/>
    <x v="2"/>
  </r>
  <r>
    <x v="4"/>
    <s v="IS"/>
    <x v="9"/>
    <x v="4"/>
    <s v="IF0001"/>
    <s v="Flour Import Elngm 25Kg"/>
    <x v="5"/>
    <x v="1"/>
    <d v="2025-06-24T00:00:00"/>
    <s v="SCRP"/>
    <s v="TRANSPORTATION LOSS - 21485 RIBA"/>
    <x v="118"/>
    <s v="Loss"/>
    <x v="1"/>
    <x v="4"/>
    <x v="0"/>
    <s v="a.bakri"/>
    <n v="-5"/>
    <n v="-0.125"/>
    <n v="24758.555840000001"/>
    <s v=""/>
    <s v="000009"/>
    <s v="X04301"/>
    <s v=""/>
    <s v="Q06208"/>
    <n v="0"/>
    <n v="-123792.7792"/>
    <x v="2"/>
  </r>
  <r>
    <x v="4"/>
    <s v="IS"/>
    <x v="9"/>
    <x v="4"/>
    <s v="IF0001"/>
    <s v="Flour Import Elngm 25Kg"/>
    <x v="5"/>
    <x v="1"/>
    <d v="2025-06-24T00:00:00"/>
    <s v="SCRP"/>
    <s v="TRANSPORTATION LOSS - 21487 DELTA"/>
    <x v="118"/>
    <s v="Loss"/>
    <x v="1"/>
    <x v="4"/>
    <x v="0"/>
    <s v="a.bakri"/>
    <n v="-3"/>
    <n v="-7.4999999999999997E-2"/>
    <n v="24758.555840000001"/>
    <s v=""/>
    <s v="000010"/>
    <s v="X04302"/>
    <s v=""/>
    <s v="Q06208"/>
    <n v="0"/>
    <n v="-74275.667520000003"/>
    <x v="2"/>
  </r>
  <r>
    <x v="4"/>
    <s v="IS"/>
    <x v="9"/>
    <x v="4"/>
    <s v="IF0001"/>
    <s v="Flour Import Elngm 25Kg"/>
    <x v="5"/>
    <x v="1"/>
    <d v="2025-06-24T00:00:00"/>
    <s v="SCRP"/>
    <s v="TRANSPORTATION LOSS - 21516 ARIF ALMUBARK"/>
    <x v="118"/>
    <s v="Loss"/>
    <x v="1"/>
    <x v="4"/>
    <x v="0"/>
    <s v="a.bakri"/>
    <n v="-1"/>
    <n v="-2.5000000000000001E-2"/>
    <n v="24758.555840000001"/>
    <s v=""/>
    <s v="000011"/>
    <s v="X04303"/>
    <s v=""/>
    <s v="Q06208"/>
    <n v="0"/>
    <n v="-24758.555840000001"/>
    <x v="2"/>
  </r>
  <r>
    <x v="4"/>
    <s v="IS"/>
    <x v="9"/>
    <x v="4"/>
    <s v="IF0001"/>
    <s v="Flour Import Elngm 25Kg"/>
    <x v="5"/>
    <x v="1"/>
    <d v="2025-06-24T00:00:00"/>
    <s v="SCRP"/>
    <s v="TRANSPORTATION LOSS - 21517 ARIF ALMUBARK"/>
    <x v="118"/>
    <s v="Loss"/>
    <x v="1"/>
    <x v="4"/>
    <x v="0"/>
    <s v="a.bakri"/>
    <n v="-2"/>
    <n v="-0.05"/>
    <n v="24758.555840000001"/>
    <s v=""/>
    <s v="000012"/>
    <s v="X04304"/>
    <s v=""/>
    <s v="Q06208"/>
    <n v="0"/>
    <n v="-49517.111680000002"/>
    <x v="2"/>
  </r>
  <r>
    <x v="4"/>
    <s v="IS"/>
    <x v="9"/>
    <x v="4"/>
    <s v="IF0001"/>
    <s v="Flour Import Elngm 25Kg"/>
    <x v="5"/>
    <x v="1"/>
    <d v="2025-06-24T00:00:00"/>
    <s v="SCRP"/>
    <s v="TRANSPORTATION LOSS - 21524 ALASGALANI"/>
    <x v="118"/>
    <s v="Loss"/>
    <x v="1"/>
    <x v="4"/>
    <x v="0"/>
    <s v="a.bakri"/>
    <n v="-5"/>
    <n v="-0.125"/>
    <n v="24758.555840000001"/>
    <s v=""/>
    <s v="000013"/>
    <s v="X04305"/>
    <s v=""/>
    <s v="Q06208"/>
    <n v="0"/>
    <n v="-123792.7792"/>
    <x v="2"/>
  </r>
  <r>
    <x v="4"/>
    <s v="IS"/>
    <x v="9"/>
    <x v="4"/>
    <s v="IF0001"/>
    <s v="Flour Import Elngm 25Kg"/>
    <x v="5"/>
    <x v="1"/>
    <d v="2025-06-24T00:00:00"/>
    <s v="SCRP"/>
    <s v="TRANSPORTATION LOSS - 21530 ALWASEELA"/>
    <x v="118"/>
    <s v="Loss"/>
    <x v="1"/>
    <x v="4"/>
    <x v="0"/>
    <s v="a.bakri"/>
    <n v="-1"/>
    <n v="-2.5000000000000001E-2"/>
    <n v="24758.555840000001"/>
    <s v=""/>
    <s v="000014"/>
    <s v="X04306"/>
    <s v=""/>
    <s v="Q06208"/>
    <n v="0"/>
    <n v="-24758.555840000001"/>
    <x v="2"/>
  </r>
  <r>
    <x v="4"/>
    <s v="IS"/>
    <x v="9"/>
    <x v="4"/>
    <s v="IF0001"/>
    <s v="Flour Import Elngm 25Kg"/>
    <x v="5"/>
    <x v="1"/>
    <d v="2025-06-25T00:00:00"/>
    <s v="SCRP"/>
    <s v="TRANSPORTATION LOSS - 21515 DARKA"/>
    <x v="118"/>
    <s v="Loss"/>
    <x v="1"/>
    <x v="4"/>
    <x v="0"/>
    <s v="a.bakri"/>
    <n v="-2"/>
    <n v="-0.05"/>
    <n v="24758.555840000001"/>
    <s v=""/>
    <s v="000000"/>
    <s v="X04323"/>
    <s v=""/>
    <s v="Q06208"/>
    <n v="0"/>
    <n v="-49517.111680000002"/>
    <x v="2"/>
  </r>
  <r>
    <x v="4"/>
    <s v="IS"/>
    <x v="9"/>
    <x v="4"/>
    <s v="IF0001"/>
    <s v="Flour Import Elngm 25Kg"/>
    <x v="5"/>
    <x v="1"/>
    <d v="2025-06-25T00:00:00"/>
    <s v="SCRP"/>
    <s v="TRANSPORTATION LOSS - 23525 RIBA"/>
    <x v="118"/>
    <s v="Loss"/>
    <x v="1"/>
    <x v="4"/>
    <x v="0"/>
    <s v="a.bakri"/>
    <n v="-3"/>
    <n v="-7.4999999999999997E-2"/>
    <n v="24758.555840000001"/>
    <s v=""/>
    <s v="000001"/>
    <s v="X04324"/>
    <s v=""/>
    <s v="Q06208"/>
    <n v="0"/>
    <n v="-74275.667520000003"/>
    <x v="2"/>
  </r>
  <r>
    <x v="4"/>
    <s v="IS"/>
    <x v="9"/>
    <x v="5"/>
    <s v="LE0001"/>
    <s v="Lentil TAT 20KG"/>
    <x v="7"/>
    <x v="1"/>
    <d v="2025-06-19T00:00:00"/>
    <s v="SCRP"/>
    <s v="TRANSPORTATION LOSS - 13702 DARKA"/>
    <x v="118"/>
    <s v="Loss"/>
    <x v="1"/>
    <x v="4"/>
    <x v="0"/>
    <s v="a.bakri"/>
    <n v="-5"/>
    <n v="-0.1"/>
    <n v="37806.777110000003"/>
    <s v=""/>
    <s v="000000"/>
    <s v="X04259"/>
    <s v=""/>
    <s v="Q06117"/>
    <n v="0"/>
    <n v="-189033.88555000001"/>
    <x v="3"/>
  </r>
  <r>
    <x v="4"/>
    <s v="IS"/>
    <x v="9"/>
    <x v="4"/>
    <s v="NF0001"/>
    <s v="Alnajm Flour from Mill 25KG"/>
    <x v="15"/>
    <x v="1"/>
    <d v="2025-06-25T00:00:00"/>
    <s v="SCRP"/>
    <s v="TRANSPORTATION LOSS - 23584 RIBA"/>
    <x v="118"/>
    <s v="Loss"/>
    <x v="1"/>
    <x v="4"/>
    <x v="0"/>
    <s v="a.bakri"/>
    <n v="-6"/>
    <n v="-0.15"/>
    <n v="24758.555840000001"/>
    <s v=""/>
    <s v="000000"/>
    <s v="X04325"/>
    <s v=""/>
    <s v="P03708"/>
    <n v="0"/>
    <n v="-148551.33504000001"/>
    <x v="2"/>
  </r>
  <r>
    <x v="4"/>
    <s v="IS"/>
    <x v="9"/>
    <x v="4"/>
    <s v="NF0001"/>
    <s v="Alnajm Flour from Mill 25KG"/>
    <x v="15"/>
    <x v="1"/>
    <d v="2025-06-25T00:00:00"/>
    <s v="SCRP"/>
    <s v="TRANSPORTATION LOSS - 23584 RIBA"/>
    <x v="118"/>
    <s v="Loss"/>
    <x v="1"/>
    <x v="4"/>
    <x v="0"/>
    <s v="a.bakri"/>
    <n v="-8"/>
    <n v="-0.2"/>
    <n v="24758.555840000001"/>
    <s v=""/>
    <s v="000001"/>
    <s v="X04325"/>
    <s v=""/>
    <s v="P03713"/>
    <n v="0"/>
    <n v="-198068.44672000001"/>
    <x v="2"/>
  </r>
  <r>
    <x v="4"/>
    <s v="IS"/>
    <x v="9"/>
    <x v="4"/>
    <s v="NF0001"/>
    <s v="Alnajm Flour from Mill 25KG"/>
    <x v="15"/>
    <x v="1"/>
    <d v="2025-06-25T00:00:00"/>
    <s v="SCRP"/>
    <s v="TRANSPORTATION LOSS - 23590 RIBA"/>
    <x v="118"/>
    <s v="Loss"/>
    <x v="1"/>
    <x v="4"/>
    <x v="0"/>
    <s v="a.bakri"/>
    <n v="-1"/>
    <n v="-2.5000000000000001E-2"/>
    <n v="24758.555840000001"/>
    <s v=""/>
    <s v="000002"/>
    <s v="X04326"/>
    <s v=""/>
    <s v="P03713"/>
    <n v="0"/>
    <n v="-24758.555840000001"/>
    <x v="2"/>
  </r>
  <r>
    <x v="4"/>
    <s v="IS"/>
    <x v="9"/>
    <x v="3"/>
    <s v="RC9008"/>
    <s v="Rice Long Grade 1 Elngm 20Kg"/>
    <x v="9"/>
    <x v="1"/>
    <d v="2025-06-19T00:00:00"/>
    <s v="SCRP"/>
    <s v="TRANSPORTATION LOSS - 20286 ARIF ALMUBARK"/>
    <x v="118"/>
    <s v="Loss"/>
    <x v="1"/>
    <x v="4"/>
    <x v="0"/>
    <s v="a.bakri"/>
    <n v="-2"/>
    <n v="-0.04"/>
    <n v="24317.853869999999"/>
    <s v=""/>
    <s v="000000"/>
    <s v="X04260"/>
    <s v=""/>
    <s v="Q05962"/>
    <n v="0"/>
    <n v="-48635.707739999998"/>
    <x v="3"/>
  </r>
  <r>
    <x v="4"/>
    <s v="IS"/>
    <x v="9"/>
    <x v="3"/>
    <s v="RC9008"/>
    <s v="Rice Long Grade 1 Elngm 20Kg"/>
    <x v="9"/>
    <x v="1"/>
    <d v="2025-06-24T00:00:00"/>
    <s v="SCRP"/>
    <s v="TRANSPORTATION LOSS - 20284 AlKASIR"/>
    <x v="118"/>
    <s v="Loss"/>
    <x v="1"/>
    <x v="4"/>
    <x v="0"/>
    <s v="a.bakri"/>
    <n v="-2"/>
    <n v="-0.04"/>
    <n v="24317.853869999999"/>
    <s v=""/>
    <s v="000000"/>
    <s v="X04307"/>
    <s v=""/>
    <s v="Q05962"/>
    <n v="0"/>
    <n v="-48635.707739999998"/>
    <x v="3"/>
  </r>
  <r>
    <x v="4"/>
    <s v="TF"/>
    <x v="9"/>
    <x v="4"/>
    <s v="IF0001"/>
    <s v="Flour Import Elngm 25Kg"/>
    <x v="5"/>
    <x v="1"/>
    <d v="2025-06-24T00:00:00"/>
    <s v="SCRP"/>
    <s v="TRANSPORTATION LOSS - 20658 ABURNAT"/>
    <x v="118"/>
    <s v="Loss"/>
    <x v="1"/>
    <x v="4"/>
    <x v="0"/>
    <s v="a.bakri"/>
    <n v="-4"/>
    <n v="-0.1"/>
    <n v="24758.555840000001"/>
    <s v=""/>
    <s v="000000"/>
    <s v="X04310"/>
    <s v=""/>
    <s v="Q06225"/>
    <n v="0"/>
    <n v="-99034.223360000004"/>
    <x v="2"/>
  </r>
  <r>
    <x v="4"/>
    <s v="TF"/>
    <x v="9"/>
    <x v="4"/>
    <s v="IF0001"/>
    <s v="Flour Import Elngm 25Kg"/>
    <x v="5"/>
    <x v="1"/>
    <d v="2025-06-24T00:00:00"/>
    <s v="SCRP"/>
    <s v="TRANSPORTATION LOSS - 21547 ALKHTOT ALSAHLIA"/>
    <x v="118"/>
    <s v="Loss"/>
    <x v="1"/>
    <x v="4"/>
    <x v="0"/>
    <s v="a.bakri"/>
    <n v="-8"/>
    <n v="-0.2"/>
    <n v="24758.555840000001"/>
    <s v=""/>
    <s v="000001"/>
    <s v="X04311"/>
    <s v=""/>
    <s v="Q06225"/>
    <n v="0"/>
    <n v="-198068.44672000001"/>
    <x v="2"/>
  </r>
  <r>
    <x v="4"/>
    <s v="TF"/>
    <x v="9"/>
    <x v="3"/>
    <s v="RC9008"/>
    <s v="Rice Long Grade 1 Elngm 20Kg"/>
    <x v="9"/>
    <x v="1"/>
    <d v="2025-06-24T00:00:00"/>
    <s v="SCRP"/>
    <s v="TRANSPORTATION LOSS - 20284 AlKASIR"/>
    <x v="118"/>
    <s v="Loss"/>
    <x v="1"/>
    <x v="4"/>
    <x v="0"/>
    <s v="a.bakri"/>
    <n v="-2"/>
    <n v="-0.04"/>
    <n v="24317.853869999999"/>
    <s v=""/>
    <s v="000000"/>
    <s v="X04309"/>
    <s v=""/>
    <s v="Q05962"/>
    <n v="0"/>
    <n v="-48635.707739999998"/>
    <x v="3"/>
  </r>
  <r>
    <x v="4"/>
    <s v="TF"/>
    <x v="9"/>
    <x v="3"/>
    <s v="RC9008"/>
    <s v="Rice Long Grade 1 Elngm 20Kg"/>
    <x v="9"/>
    <x v="1"/>
    <d v="2025-06-24T00:00:00"/>
    <s v="ADJ"/>
    <s v="CORRECTION- 20284 AlKASIR"/>
    <x v="118"/>
    <s v="Loss"/>
    <x v="1"/>
    <x v="4"/>
    <x v="0"/>
    <s v="a.bakri"/>
    <n v="2"/>
    <n v="0.04"/>
    <n v="24317.853869999999"/>
    <s v="TF0001"/>
    <s v="000001"/>
    <s v="A00843"/>
    <s v="C02798"/>
    <s v=""/>
    <n v="0"/>
    <n v="48635.707739999998"/>
    <x v="3"/>
  </r>
  <r>
    <x v="4"/>
    <s v="TJ"/>
    <x v="9"/>
    <x v="4"/>
    <s v="IF0001"/>
    <s v="Flour Import Elngm 25Kg"/>
    <x v="5"/>
    <x v="1"/>
    <d v="2025-06-24T00:00:00"/>
    <s v="SCRP"/>
    <s v="TRANSPORTATION LOSS - 17174 ANJAL"/>
    <x v="118"/>
    <s v="Loss"/>
    <x v="1"/>
    <x v="4"/>
    <x v="0"/>
    <s v="a.bakri"/>
    <n v="-1"/>
    <n v="-2.5000000000000001E-2"/>
    <n v="24758.555840000001"/>
    <s v=""/>
    <s v="000000"/>
    <s v="X04312"/>
    <s v=""/>
    <s v="Q06225"/>
    <n v="0"/>
    <n v="-24758.555840000001"/>
    <x v="2"/>
  </r>
  <r>
    <x v="4"/>
    <s v="TJ"/>
    <x v="9"/>
    <x v="2"/>
    <s v="WS0001"/>
    <s v="White Sugar"/>
    <x v="4"/>
    <x v="1"/>
    <d v="2025-06-19T00:00:00"/>
    <s v="SCRP"/>
    <s v="TRANSPORTATION LOSS - 17212 RIBA"/>
    <x v="118"/>
    <s v="Loss"/>
    <x v="1"/>
    <x v="4"/>
    <x v="0"/>
    <s v="a.bakri"/>
    <n v="-2"/>
    <n v="-0.1"/>
    <n v="83521.151800000007"/>
    <s v=""/>
    <s v="000000"/>
    <s v="X04261"/>
    <s v=""/>
    <s v="Q06189"/>
    <n v="0"/>
    <n v="-167042.30360000001"/>
    <x v="1"/>
  </r>
  <r>
    <x v="4"/>
    <s v="TK"/>
    <x v="9"/>
    <x v="5"/>
    <s v="LE0001"/>
    <s v="Lentil TAT 20KG"/>
    <x v="7"/>
    <x v="1"/>
    <d v="2025-06-24T00:00:00"/>
    <s v="SCRP"/>
    <s v="TRANSPORTATION LOSS - 13176 ALTAF"/>
    <x v="118"/>
    <s v="Loss"/>
    <x v="1"/>
    <x v="4"/>
    <x v="0"/>
    <s v="a.bakri"/>
    <n v="-8"/>
    <n v="-0.16"/>
    <n v="37806.777110000003"/>
    <s v=""/>
    <s v="000000"/>
    <s v="X04313"/>
    <s v=""/>
    <s v="Q06122"/>
    <n v="0"/>
    <n v="-302454.21688000002"/>
    <x v="3"/>
  </r>
  <r>
    <x v="4"/>
    <s v="TK"/>
    <x v="9"/>
    <x v="5"/>
    <s v="LE0001"/>
    <s v="Lentil TAT 20KG"/>
    <x v="7"/>
    <x v="1"/>
    <d v="2025-06-24T00:00:00"/>
    <s v="SCRP"/>
    <s v="TRANSPORTATION LOSS - 13176 ALTAF"/>
    <x v="118"/>
    <s v="Loss"/>
    <x v="1"/>
    <x v="4"/>
    <x v="0"/>
    <s v="a.bakri"/>
    <n v="-3"/>
    <n v="-0.06"/>
    <n v="37806.777110000003"/>
    <s v=""/>
    <s v="000001"/>
    <s v="X04313"/>
    <s v=""/>
    <s v="Q06198"/>
    <n v="0"/>
    <n v="-113420.33133000002"/>
    <x v="3"/>
  </r>
  <r>
    <x v="4"/>
    <s v="TM"/>
    <x v="9"/>
    <x v="5"/>
    <s v="LE0001"/>
    <s v="Lentil TAT 20KG"/>
    <x v="7"/>
    <x v="1"/>
    <d v="2025-06-19T00:00:00"/>
    <s v="SCRP"/>
    <s v="TRANSPORTATION LOSS - 13567 B.KADABA"/>
    <x v="118"/>
    <s v="Loss"/>
    <x v="1"/>
    <x v="4"/>
    <x v="0"/>
    <s v="a.bakri"/>
    <n v="-5"/>
    <n v="-0.1"/>
    <n v="37806.777110000003"/>
    <s v=""/>
    <s v="000000"/>
    <s v="X04262"/>
    <s v=""/>
    <s v="Q06130"/>
    <n v="0"/>
    <n v="-189033.88555000001"/>
    <x v="3"/>
  </r>
  <r>
    <x v="4"/>
    <s v="TM"/>
    <x v="9"/>
    <x v="5"/>
    <s v="LE0001"/>
    <s v="Lentil TAT 20KG"/>
    <x v="7"/>
    <x v="1"/>
    <d v="2025-06-19T00:00:00"/>
    <s v="SCRP"/>
    <s v="TRANSPORTATION LOSS - 13570 ABURNAT"/>
    <x v="118"/>
    <s v="Loss"/>
    <x v="1"/>
    <x v="4"/>
    <x v="0"/>
    <s v="a.bakri"/>
    <n v="-1"/>
    <n v="-0.02"/>
    <n v="37806.777110000003"/>
    <s v=""/>
    <s v="000001"/>
    <s v="X04263"/>
    <s v=""/>
    <s v="Q06219"/>
    <n v="0"/>
    <n v="-37806.777110000003"/>
    <x v="3"/>
  </r>
  <r>
    <x v="4"/>
    <s v="TM"/>
    <x v="9"/>
    <x v="5"/>
    <s v="LE0001"/>
    <s v="Lentil TAT 20KG"/>
    <x v="7"/>
    <x v="1"/>
    <d v="2025-06-19T00:00:00"/>
    <s v="SCRP"/>
    <s v="TRANSPORTATION LOSS - 13575 DARKA"/>
    <x v="118"/>
    <s v="Loss"/>
    <x v="1"/>
    <x v="4"/>
    <x v="0"/>
    <s v="a.bakri"/>
    <n v="-22"/>
    <n v="-0.44"/>
    <n v="37806.777110000003"/>
    <s v=""/>
    <s v="000002"/>
    <s v="X04264"/>
    <s v=""/>
    <s v="Q06219"/>
    <n v="0"/>
    <n v="-831749.09642000007"/>
    <x v="3"/>
  </r>
  <r>
    <x v="4"/>
    <s v="TM"/>
    <x v="9"/>
    <x v="5"/>
    <s v="LE0001"/>
    <s v="Lentil TAT 20KG"/>
    <x v="7"/>
    <x v="1"/>
    <d v="2025-06-19T00:00:00"/>
    <s v="SCRP"/>
    <s v="TRANSPORTATION LOSS - 13581 ABURNAT"/>
    <x v="118"/>
    <s v="Loss"/>
    <x v="1"/>
    <x v="4"/>
    <x v="0"/>
    <s v="a.bakri"/>
    <n v="-2"/>
    <n v="-0.04"/>
    <n v="37806.777110000003"/>
    <s v=""/>
    <s v="000003"/>
    <s v="X04265"/>
    <s v=""/>
    <s v="Q06219"/>
    <n v="0"/>
    <n v="-75613.554220000005"/>
    <x v="3"/>
  </r>
  <r>
    <x v="4"/>
    <s v="TM"/>
    <x v="9"/>
    <x v="5"/>
    <s v="LE0001"/>
    <s v="Lentil TAT 20KG"/>
    <x v="7"/>
    <x v="1"/>
    <d v="2025-06-19T00:00:00"/>
    <s v="SCRP"/>
    <s v="TRANSPORTATION LOSS - 13582 ABURNAT"/>
    <x v="118"/>
    <s v="Loss"/>
    <x v="1"/>
    <x v="4"/>
    <x v="0"/>
    <s v="a.bakri"/>
    <n v="-280"/>
    <n v="-5.6"/>
    <n v="37806.777110000003"/>
    <s v=""/>
    <s v="000004"/>
    <s v="X04266"/>
    <s v=""/>
    <s v="Q06219"/>
    <n v="0"/>
    <n v="-10585897.5908"/>
    <x v="3"/>
  </r>
  <r>
    <x v="4"/>
    <s v="TM"/>
    <x v="9"/>
    <x v="5"/>
    <s v="LE0001"/>
    <s v="Lentil TAT 20KG"/>
    <x v="7"/>
    <x v="1"/>
    <d v="2025-06-19T00:00:00"/>
    <s v="SCRP"/>
    <s v="TRANSPORTATION LOSS - 13583 DARKA"/>
    <x v="118"/>
    <s v="Loss"/>
    <x v="1"/>
    <x v="4"/>
    <x v="0"/>
    <s v="a.bakri"/>
    <n v="-4"/>
    <n v="-0.08"/>
    <n v="37806.777110000003"/>
    <s v=""/>
    <s v="000005"/>
    <s v="X04267"/>
    <s v=""/>
    <s v="Q06219"/>
    <n v="0"/>
    <n v="-151227.10844000001"/>
    <x v="3"/>
  </r>
  <r>
    <x v="4"/>
    <s v="TM"/>
    <x v="9"/>
    <x v="2"/>
    <s v="WS0001"/>
    <s v="White Sugar"/>
    <x v="4"/>
    <x v="1"/>
    <d v="2025-06-19T00:00:00"/>
    <s v="SCRP"/>
    <s v="TRANSPORTATION LOSS - 17198 ALTAF"/>
    <x v="118"/>
    <s v="Loss"/>
    <x v="1"/>
    <x v="4"/>
    <x v="0"/>
    <s v="a.bakri"/>
    <n v="-5"/>
    <n v="-0.25"/>
    <n v="83521.151800000007"/>
    <s v=""/>
    <s v="000000"/>
    <s v="X04268"/>
    <s v=""/>
    <s v="Q06189"/>
    <n v="0"/>
    <n v="-417605.75900000002"/>
    <x v="1"/>
  </r>
  <r>
    <x v="4"/>
    <s v="TM"/>
    <x v="9"/>
    <x v="2"/>
    <s v="WS0001"/>
    <s v="White Sugar"/>
    <x v="4"/>
    <x v="1"/>
    <d v="2025-06-19T00:00:00"/>
    <s v="SCRP"/>
    <s v="TRANSPORTATION LOSS - 17199 ANJAL"/>
    <x v="118"/>
    <s v="Loss"/>
    <x v="1"/>
    <x v="4"/>
    <x v="0"/>
    <s v="a.bakri"/>
    <n v="-3"/>
    <n v="-0.15"/>
    <n v="83521.151800000007"/>
    <s v=""/>
    <s v="000001"/>
    <s v="X04269"/>
    <s v=""/>
    <s v="Q06189"/>
    <n v="0"/>
    <n v="-250563.45540000004"/>
    <x v="1"/>
  </r>
  <r>
    <x v="4"/>
    <s v="TM"/>
    <x v="9"/>
    <x v="2"/>
    <s v="WS0001"/>
    <s v="White Sugar"/>
    <x v="4"/>
    <x v="1"/>
    <d v="2025-06-24T00:00:00"/>
    <s v="SCRP"/>
    <s v="TRANSPORTATION LOSS - 17048 ALHAMADA"/>
    <x v="118"/>
    <s v="Loss"/>
    <x v="1"/>
    <x v="4"/>
    <x v="0"/>
    <s v="a.bakri"/>
    <n v="-1"/>
    <n v="-0.05"/>
    <n v="83521.151800000007"/>
    <s v=""/>
    <s v="000000"/>
    <s v="X04314"/>
    <s v=""/>
    <s v="Q06189"/>
    <n v="0"/>
    <n v="-83521.151800000007"/>
    <x v="1"/>
  </r>
  <r>
    <x v="4"/>
    <s v="TU"/>
    <x v="9"/>
    <x v="4"/>
    <s v="IF0001"/>
    <s v="Flour Import Elngm 25Kg"/>
    <x v="5"/>
    <x v="1"/>
    <d v="2025-06-19T00:00:00"/>
    <s v="SCRP"/>
    <s v="TRANSPORTATION LOSS - 21521 DARKA"/>
    <x v="118"/>
    <s v="Loss"/>
    <x v="1"/>
    <x v="4"/>
    <x v="0"/>
    <s v="a.bakri"/>
    <n v="-6"/>
    <n v="-0.15"/>
    <n v="24758.555840000001"/>
    <s v=""/>
    <s v="000000"/>
    <s v="X04270"/>
    <s v=""/>
    <s v="Q06225"/>
    <n v="0"/>
    <n v="-148551.33504000001"/>
    <x v="2"/>
  </r>
  <r>
    <x v="4"/>
    <s v="TU"/>
    <x v="9"/>
    <x v="4"/>
    <s v="IF0001"/>
    <s v="Flour Import Elngm 25Kg"/>
    <x v="5"/>
    <x v="1"/>
    <d v="2025-06-19T00:00:00"/>
    <s v="SCRP"/>
    <s v="TRANSPORTATION LOSS - 21537 ARIF ALMUBARK"/>
    <x v="118"/>
    <s v="Loss"/>
    <x v="1"/>
    <x v="4"/>
    <x v="0"/>
    <s v="a.bakri"/>
    <n v="-2"/>
    <n v="-0.05"/>
    <n v="24758.555840000001"/>
    <s v=""/>
    <s v="000001"/>
    <s v="X04271"/>
    <s v=""/>
    <s v="Q06225"/>
    <n v="0"/>
    <n v="-49517.111680000002"/>
    <x v="2"/>
  </r>
  <r>
    <x v="4"/>
    <s v="TU"/>
    <x v="9"/>
    <x v="4"/>
    <s v="IF0001"/>
    <s v="Flour Import Elngm 25Kg"/>
    <x v="5"/>
    <x v="1"/>
    <d v="2025-06-19T00:00:00"/>
    <s v="SCRP"/>
    <s v="TRANSPORTATION LOSS - 21539 ALTAF"/>
    <x v="118"/>
    <s v="Loss"/>
    <x v="1"/>
    <x v="4"/>
    <x v="0"/>
    <s v="a.bakri"/>
    <n v="-2"/>
    <n v="-0.05"/>
    <n v="24758.555840000001"/>
    <s v=""/>
    <s v="000002"/>
    <s v="X04272"/>
    <s v=""/>
    <s v="Q06225"/>
    <n v="0"/>
    <n v="-49517.111680000002"/>
    <x v="2"/>
  </r>
  <r>
    <x v="4"/>
    <s v="TW"/>
    <x v="9"/>
    <x v="4"/>
    <s v="IF0001"/>
    <s v="Flour Import Elngm 25Kg"/>
    <x v="5"/>
    <x v="1"/>
    <d v="2025-06-25T00:00:00"/>
    <s v="SCRP"/>
    <s v="TRANSPORTATION LOSS - 17416 WAHAG"/>
    <x v="118"/>
    <s v="Loss"/>
    <x v="1"/>
    <x v="4"/>
    <x v="0"/>
    <s v="a.bakri"/>
    <n v="-1"/>
    <n v="-2.5000000000000001E-2"/>
    <n v="24758.555840000001"/>
    <s v=""/>
    <s v="000000"/>
    <s v="X04327"/>
    <s v=""/>
    <s v="Q06225"/>
    <n v="0"/>
    <n v="-24758.555840000001"/>
    <x v="2"/>
  </r>
  <r>
    <x v="4"/>
    <s v="TW"/>
    <x v="9"/>
    <x v="4"/>
    <s v="IF0001"/>
    <s v="Flour Import Elngm 25Kg"/>
    <x v="5"/>
    <x v="1"/>
    <d v="2025-06-25T00:00:00"/>
    <s v="SCRP"/>
    <s v="TRANSPORTATION LOSS - 20279 ALFADNI"/>
    <x v="118"/>
    <s v="Loss"/>
    <x v="1"/>
    <x v="4"/>
    <x v="0"/>
    <s v="a.bakri"/>
    <n v="-17"/>
    <n v="-0.42499999999999999"/>
    <n v="24758.555840000001"/>
    <s v=""/>
    <s v="000001"/>
    <s v="X04328"/>
    <s v=""/>
    <s v="Q06225"/>
    <n v="0"/>
    <n v="-420895.44928"/>
    <x v="2"/>
  </r>
  <r>
    <x v="4"/>
    <s v="TW"/>
    <x v="9"/>
    <x v="4"/>
    <s v="IF0001"/>
    <s v="Flour Import Elngm 25Kg"/>
    <x v="5"/>
    <x v="1"/>
    <d v="2025-06-25T00:00:00"/>
    <s v="SCRP"/>
    <s v="TRANSPORTATION LOSS - 20657 ABURNAT"/>
    <x v="118"/>
    <s v="Loss"/>
    <x v="1"/>
    <x v="4"/>
    <x v="0"/>
    <s v="a.bakri"/>
    <n v="-1"/>
    <n v="-2.5000000000000001E-2"/>
    <n v="24758.555840000001"/>
    <s v=""/>
    <s v="000002"/>
    <s v="X04329"/>
    <s v=""/>
    <s v="Q06225"/>
    <n v="0"/>
    <n v="-24758.555840000001"/>
    <x v="2"/>
  </r>
  <r>
    <x v="4"/>
    <s v="TW"/>
    <x v="9"/>
    <x v="4"/>
    <s v="IF0001"/>
    <s v="Flour Import Elngm 25Kg"/>
    <x v="5"/>
    <x v="1"/>
    <d v="2025-06-25T00:00:00"/>
    <s v="SCRP"/>
    <s v="TRANSPORTATION LOSS - 20662 DARKA"/>
    <x v="118"/>
    <s v="Loss"/>
    <x v="1"/>
    <x v="4"/>
    <x v="0"/>
    <s v="a.bakri"/>
    <n v="-1"/>
    <n v="-2.5000000000000001E-2"/>
    <n v="24758.555840000001"/>
    <s v=""/>
    <s v="000003"/>
    <s v="X04330"/>
    <s v=""/>
    <s v="Q06225"/>
    <n v="0"/>
    <n v="-24758.555840000001"/>
    <x v="2"/>
  </r>
  <r>
    <x v="4"/>
    <s v="TW"/>
    <x v="9"/>
    <x v="4"/>
    <s v="IF0001"/>
    <s v="Flour Import Elngm 25Kg"/>
    <x v="5"/>
    <x v="1"/>
    <d v="2025-06-25T00:00:00"/>
    <s v="SCRP"/>
    <s v="TRANSPORTATION LOSS - 21424 RIBA"/>
    <x v="118"/>
    <s v="Loss"/>
    <x v="1"/>
    <x v="4"/>
    <x v="0"/>
    <s v="a.bakri"/>
    <n v="-2"/>
    <n v="-0.05"/>
    <n v="24758.555840000001"/>
    <s v=""/>
    <s v="000004"/>
    <s v="X04331"/>
    <s v=""/>
    <s v="Q06225"/>
    <n v="0"/>
    <n v="-49517.111680000002"/>
    <x v="2"/>
  </r>
  <r>
    <x v="4"/>
    <s v="TW"/>
    <x v="9"/>
    <x v="4"/>
    <s v="IF0001"/>
    <s v="Flour Import Elngm 25Kg"/>
    <x v="5"/>
    <x v="1"/>
    <d v="2025-06-25T00:00:00"/>
    <s v="SCRP"/>
    <s v="TRANSPORTATION LOSS - 21425 Y.HAMZA"/>
    <x v="118"/>
    <s v="Loss"/>
    <x v="1"/>
    <x v="4"/>
    <x v="0"/>
    <s v="a.bakri"/>
    <n v="-8"/>
    <n v="-0.2"/>
    <n v="24758.555840000001"/>
    <s v=""/>
    <s v="000005"/>
    <s v="X04332"/>
    <s v=""/>
    <s v="Q06225"/>
    <n v="0"/>
    <n v="-198068.44672000001"/>
    <x v="2"/>
  </r>
  <r>
    <x v="4"/>
    <s v="TW"/>
    <x v="9"/>
    <x v="4"/>
    <s v="IF0001"/>
    <s v="Flour Import Elngm 25Kg"/>
    <x v="5"/>
    <x v="1"/>
    <d v="2025-06-25T00:00:00"/>
    <s v="SCRP"/>
    <s v="TRANSPORTATION LOSS - 21441 DARKA"/>
    <x v="118"/>
    <s v="Loss"/>
    <x v="1"/>
    <x v="4"/>
    <x v="0"/>
    <s v="a.bakri"/>
    <n v="-57"/>
    <n v="-1.425"/>
    <n v="24758.555840000001"/>
    <s v=""/>
    <s v="000006"/>
    <s v="X04333"/>
    <s v=""/>
    <s v="Q06225"/>
    <n v="0"/>
    <n v="-1411237.68288"/>
    <x v="2"/>
  </r>
  <r>
    <x v="4"/>
    <s v="TW"/>
    <x v="9"/>
    <x v="4"/>
    <s v="IF0001"/>
    <s v="Flour Import Elngm 25Kg"/>
    <x v="5"/>
    <x v="1"/>
    <d v="2025-06-25T00:00:00"/>
    <s v="SCRP"/>
    <s v="TRANSPORTATION LOSS - 21458 QUICK"/>
    <x v="118"/>
    <s v="Loss"/>
    <x v="1"/>
    <x v="4"/>
    <x v="0"/>
    <s v="a.bakri"/>
    <n v="-4"/>
    <n v="-0.1"/>
    <n v="24758.555840000001"/>
    <s v=""/>
    <s v="000007"/>
    <s v="X04334"/>
    <s v=""/>
    <s v="Q06225"/>
    <n v="0"/>
    <n v="-99034.223360000004"/>
    <x v="2"/>
  </r>
  <r>
    <x v="4"/>
    <s v="TW"/>
    <x v="9"/>
    <x v="4"/>
    <s v="IF0001"/>
    <s v="Flour Import Elngm 25Kg"/>
    <x v="5"/>
    <x v="1"/>
    <d v="2025-06-25T00:00:00"/>
    <s v="SCRP"/>
    <s v="TRANSPORTATION LOSS - 21461 QUICK"/>
    <x v="118"/>
    <s v="Loss"/>
    <x v="1"/>
    <x v="4"/>
    <x v="0"/>
    <s v="a.bakri"/>
    <n v="-1"/>
    <n v="-2.5000000000000001E-2"/>
    <n v="24758.555840000001"/>
    <s v=""/>
    <s v="000008"/>
    <s v="X04335"/>
    <s v=""/>
    <s v="Q06225"/>
    <n v="0"/>
    <n v="-24758.555840000001"/>
    <x v="2"/>
  </r>
  <r>
    <x v="4"/>
    <s v="TW"/>
    <x v="9"/>
    <x v="4"/>
    <s v="IF0001"/>
    <s v="Flour Import Elngm 25Kg"/>
    <x v="5"/>
    <x v="1"/>
    <d v="2025-06-25T00:00:00"/>
    <s v="SCRP"/>
    <s v="TRANSPORTATION LOSS - 21465 ALNAWAH"/>
    <x v="118"/>
    <s v="Loss"/>
    <x v="1"/>
    <x v="4"/>
    <x v="0"/>
    <s v="a.bakri"/>
    <n v="-10"/>
    <n v="-0.25"/>
    <n v="24758.555840000001"/>
    <s v=""/>
    <s v="000009"/>
    <s v="X04336"/>
    <s v=""/>
    <s v="Q06225"/>
    <n v="0"/>
    <n v="-247585.55840000001"/>
    <x v="2"/>
  </r>
  <r>
    <x v="4"/>
    <s v="TW"/>
    <x v="9"/>
    <x v="4"/>
    <s v="IF0001"/>
    <s v="Flour Import Elngm 25Kg"/>
    <x v="5"/>
    <x v="1"/>
    <d v="2025-06-25T00:00:00"/>
    <s v="SCRP"/>
    <s v="TRANSPORTATION LOSS - 21469 ABURNAT"/>
    <x v="118"/>
    <s v="Loss"/>
    <x v="1"/>
    <x v="4"/>
    <x v="0"/>
    <s v="a.bakri"/>
    <n v="-1"/>
    <n v="-2.5000000000000001E-2"/>
    <n v="24758.555840000001"/>
    <s v=""/>
    <s v="000010"/>
    <s v="X04337"/>
    <s v=""/>
    <s v="Q06225"/>
    <n v="0"/>
    <n v="-24758.555840000001"/>
    <x v="2"/>
  </r>
  <r>
    <x v="4"/>
    <s v="TW"/>
    <x v="9"/>
    <x v="4"/>
    <s v="IF0001"/>
    <s v="Flour Import Elngm 25Kg"/>
    <x v="5"/>
    <x v="1"/>
    <d v="2025-06-25T00:00:00"/>
    <s v="SCRP"/>
    <s v="TRANSPORTATION LOSS - 21482 QUICK"/>
    <x v="118"/>
    <s v="Loss"/>
    <x v="1"/>
    <x v="4"/>
    <x v="0"/>
    <s v="a.bakri"/>
    <n v="-6"/>
    <n v="-0.15"/>
    <n v="24758.555840000001"/>
    <s v=""/>
    <s v="000011"/>
    <s v="X04338"/>
    <s v=""/>
    <s v="Q06225"/>
    <n v="0"/>
    <n v="-148551.33504000001"/>
    <x v="2"/>
  </r>
  <r>
    <x v="4"/>
    <s v="TW"/>
    <x v="9"/>
    <x v="4"/>
    <s v="IF0001"/>
    <s v="Flour Import Elngm 25Kg"/>
    <x v="5"/>
    <x v="1"/>
    <d v="2025-06-25T00:00:00"/>
    <s v="SCRP"/>
    <s v="TRANSPORTATION LOSS - 21488 DELTA"/>
    <x v="118"/>
    <s v="Loss"/>
    <x v="1"/>
    <x v="4"/>
    <x v="0"/>
    <s v="a.bakri"/>
    <n v="-1"/>
    <n v="-2.5000000000000001E-2"/>
    <n v="24758.555840000001"/>
    <s v=""/>
    <s v="000012"/>
    <s v="X04339"/>
    <s v=""/>
    <s v="Q06225"/>
    <n v="0"/>
    <n v="-24758.555840000001"/>
    <x v="2"/>
  </r>
  <r>
    <x v="4"/>
    <s v="TW"/>
    <x v="9"/>
    <x v="4"/>
    <s v="IF0001"/>
    <s v="Flour Import Elngm 25Kg"/>
    <x v="5"/>
    <x v="1"/>
    <d v="2025-06-25T00:00:00"/>
    <s v="SCRP"/>
    <s v="TRANSPORTATION LOSS - 21522 DARKA"/>
    <x v="118"/>
    <s v="Loss"/>
    <x v="1"/>
    <x v="4"/>
    <x v="0"/>
    <s v="a.bakri"/>
    <n v="-2"/>
    <n v="-0.05"/>
    <n v="24758.555840000001"/>
    <s v=""/>
    <s v="000013"/>
    <s v="X04340"/>
    <s v=""/>
    <s v="Q06225"/>
    <n v="0"/>
    <n v="-49517.111680000002"/>
    <x v="2"/>
  </r>
  <r>
    <x v="4"/>
    <s v="TW"/>
    <x v="9"/>
    <x v="4"/>
    <s v="IF0001"/>
    <s v="Flour Import Elngm 25Kg"/>
    <x v="5"/>
    <x v="1"/>
    <d v="2025-06-25T00:00:00"/>
    <s v="SCRP"/>
    <s v="TRANSPORTATION LOSS - 21528 ALASGALANI"/>
    <x v="118"/>
    <s v="Loss"/>
    <x v="1"/>
    <x v="4"/>
    <x v="0"/>
    <s v="a.bakri"/>
    <n v="-1"/>
    <n v="-2.5000000000000001E-2"/>
    <n v="24758.555840000001"/>
    <s v=""/>
    <s v="000014"/>
    <s v="X04341"/>
    <s v=""/>
    <s v="Q06225"/>
    <n v="0"/>
    <n v="-24758.555840000001"/>
    <x v="2"/>
  </r>
  <r>
    <x v="4"/>
    <s v="TW"/>
    <x v="9"/>
    <x v="4"/>
    <s v="IF0001"/>
    <s v="Flour Import Elngm 25Kg"/>
    <x v="5"/>
    <x v="1"/>
    <d v="2025-06-25T00:00:00"/>
    <s v="SCRP"/>
    <s v="TRANSPORTATION LOSS - 21529 ALASGALANI"/>
    <x v="118"/>
    <s v="Loss"/>
    <x v="1"/>
    <x v="4"/>
    <x v="0"/>
    <s v="a.bakri"/>
    <n v="-2"/>
    <n v="-0.05"/>
    <n v="24758.555840000001"/>
    <s v=""/>
    <s v="000015"/>
    <s v="X04342"/>
    <s v=""/>
    <s v="Q06225"/>
    <n v="0"/>
    <n v="-49517.111680000002"/>
    <x v="2"/>
  </r>
  <r>
    <x v="4"/>
    <s v="TW"/>
    <x v="9"/>
    <x v="4"/>
    <s v="IF0001"/>
    <s v="Flour Import Elngm 25Kg"/>
    <x v="5"/>
    <x v="1"/>
    <d v="2025-06-25T00:00:00"/>
    <s v="SCRP"/>
    <s v="TRANSPORTATION LOSS - 21546 ALKHTOT ALSAHLIA"/>
    <x v="118"/>
    <s v="Loss"/>
    <x v="1"/>
    <x v="4"/>
    <x v="0"/>
    <s v="a.bakri"/>
    <n v="-8"/>
    <n v="-0.2"/>
    <n v="24758.555840000001"/>
    <s v=""/>
    <s v="000016"/>
    <s v="X04343"/>
    <s v=""/>
    <s v="Q06225"/>
    <n v="0"/>
    <n v="-198068.44672000001"/>
    <x v="2"/>
  </r>
  <r>
    <x v="4"/>
    <s v="TW"/>
    <x v="9"/>
    <x v="5"/>
    <s v="LE0001"/>
    <s v="Lentil TAT 20KG"/>
    <x v="7"/>
    <x v="1"/>
    <d v="2025-06-24T00:00:00"/>
    <s v="SCRP"/>
    <s v="TRANSPORTATION LOSS - 13587 ALTAF"/>
    <x v="118"/>
    <s v="Loss"/>
    <x v="1"/>
    <x v="4"/>
    <x v="0"/>
    <s v="a.bakri"/>
    <n v="-2"/>
    <n v="-0.04"/>
    <n v="37806.777110000003"/>
    <s v=""/>
    <s v="000000"/>
    <s v="X04315"/>
    <s v=""/>
    <s v="Q06221"/>
    <n v="0"/>
    <n v="-75613.554220000005"/>
    <x v="3"/>
  </r>
  <r>
    <x v="4"/>
    <s v="TW"/>
    <x v="9"/>
    <x v="4"/>
    <s v="NF0001"/>
    <s v="Alnajm Flour from Mill 25KG"/>
    <x v="15"/>
    <x v="1"/>
    <d v="2025-06-25T00:00:00"/>
    <s v="SCRP"/>
    <s v="TRANSPORTATION LOSS - 23299 ANJAL"/>
    <x v="118"/>
    <s v="Loss"/>
    <x v="1"/>
    <x v="4"/>
    <x v="0"/>
    <s v="a.bakri"/>
    <n v="-16"/>
    <n v="-0.4"/>
    <n v="24758.555840000001"/>
    <s v=""/>
    <s v="000000"/>
    <s v="X04344"/>
    <s v=""/>
    <s v="P03710"/>
    <n v="0"/>
    <n v="-396136.89344000001"/>
    <x v="2"/>
  </r>
  <r>
    <x v="4"/>
    <s v="TW"/>
    <x v="9"/>
    <x v="4"/>
    <s v="NF0001"/>
    <s v="Alnajm Flour from Mill 25KG"/>
    <x v="15"/>
    <x v="1"/>
    <d v="2025-06-25T00:00:00"/>
    <s v="SCRP"/>
    <s v="TRANSPORTATION LOSS - 23341 ANJAL"/>
    <x v="118"/>
    <s v="Loss"/>
    <x v="1"/>
    <x v="4"/>
    <x v="0"/>
    <s v="a.bakri"/>
    <n v="-2"/>
    <n v="-0.05"/>
    <n v="24758.555840000001"/>
    <s v=""/>
    <s v="000001"/>
    <s v="X04345"/>
    <s v=""/>
    <s v="P03710"/>
    <n v="0"/>
    <n v="-49517.111680000002"/>
    <x v="2"/>
  </r>
  <r>
    <x v="4"/>
    <s v="TW"/>
    <x v="9"/>
    <x v="4"/>
    <s v="NF0001"/>
    <s v="Alnajm Flour from Mill 25KG"/>
    <x v="15"/>
    <x v="1"/>
    <d v="2025-06-25T00:00:00"/>
    <s v="SCRP"/>
    <s v="TRANSPORTATION LOSS - 23348 B.KADABA"/>
    <x v="118"/>
    <s v="Loss"/>
    <x v="1"/>
    <x v="4"/>
    <x v="0"/>
    <s v="a.bakri"/>
    <n v="-3"/>
    <n v="-7.4999999999999997E-2"/>
    <n v="24758.555840000001"/>
    <s v=""/>
    <s v="000002"/>
    <s v="X04346"/>
    <s v=""/>
    <s v="P03710"/>
    <n v="0"/>
    <n v="-74275.667520000003"/>
    <x v="2"/>
  </r>
  <r>
    <x v="4"/>
    <s v="TW"/>
    <x v="9"/>
    <x v="4"/>
    <s v="NF0001"/>
    <s v="Alnajm Flour from Mill 25KG"/>
    <x v="15"/>
    <x v="1"/>
    <d v="2025-06-25T00:00:00"/>
    <s v="SCRP"/>
    <s v="TRANSPORTATION LOSS - 23419 RIBA"/>
    <x v="118"/>
    <s v="Loss"/>
    <x v="1"/>
    <x v="4"/>
    <x v="0"/>
    <s v="a.bakri"/>
    <n v="-1"/>
    <n v="-2.5000000000000001E-2"/>
    <n v="24758.555840000001"/>
    <s v=""/>
    <s v="000003"/>
    <s v="X04347"/>
    <s v=""/>
    <s v="P03710"/>
    <n v="0"/>
    <n v="-24758.555840000001"/>
    <x v="2"/>
  </r>
  <r>
    <x v="4"/>
    <s v="TW"/>
    <x v="9"/>
    <x v="2"/>
    <s v="WS0001"/>
    <s v="White Sugar"/>
    <x v="4"/>
    <x v="1"/>
    <d v="2025-06-19T00:00:00"/>
    <s v="SCRP"/>
    <s v="TRANSPORTATION LOSS - 17016 Y.HAMZA"/>
    <x v="118"/>
    <s v="Loss"/>
    <x v="1"/>
    <x v="4"/>
    <x v="0"/>
    <s v="a.bakri"/>
    <n v="-6"/>
    <n v="-0.3"/>
    <n v="83521.151800000007"/>
    <s v=""/>
    <s v="000000"/>
    <s v="X04273"/>
    <s v=""/>
    <s v="Q06189"/>
    <n v="0"/>
    <n v="-501126.91080000007"/>
    <x v="1"/>
  </r>
  <r>
    <x v="4"/>
    <s v="TW"/>
    <x v="9"/>
    <x v="2"/>
    <s v="WS0001"/>
    <s v="White Sugar"/>
    <x v="4"/>
    <x v="1"/>
    <d v="2025-06-19T00:00:00"/>
    <s v="SCRP"/>
    <s v="TRANSPORTATION LOSS - 17032 ALASGALANI"/>
    <x v="118"/>
    <s v="Loss"/>
    <x v="1"/>
    <x v="4"/>
    <x v="0"/>
    <s v="a.bakri"/>
    <n v="-10"/>
    <n v="-0.5"/>
    <n v="83521.151800000007"/>
    <s v=""/>
    <s v="000001"/>
    <s v="X04274"/>
    <s v=""/>
    <s v="Q06189"/>
    <n v="0"/>
    <n v="-835211.51800000004"/>
    <x v="1"/>
  </r>
  <r>
    <x v="4"/>
    <s v="TW"/>
    <x v="9"/>
    <x v="2"/>
    <s v="WS0001"/>
    <s v="White Sugar"/>
    <x v="4"/>
    <x v="1"/>
    <d v="2025-06-19T00:00:00"/>
    <s v="SCRP"/>
    <s v="TRANSPORTATION LOSS - 17050 ALASGALANI"/>
    <x v="118"/>
    <s v="Loss"/>
    <x v="1"/>
    <x v="4"/>
    <x v="0"/>
    <s v="a.bakri"/>
    <n v="-2"/>
    <n v="-0.1"/>
    <n v="83521.151800000007"/>
    <s v=""/>
    <s v="000002"/>
    <s v="X04275"/>
    <s v=""/>
    <s v="Q06189"/>
    <n v="0"/>
    <n v="-167042.30360000001"/>
    <x v="1"/>
  </r>
  <r>
    <x v="4"/>
    <s v="TW"/>
    <x v="9"/>
    <x v="2"/>
    <s v="WS0001"/>
    <s v="White Sugar"/>
    <x v="4"/>
    <x v="1"/>
    <d v="2025-06-19T00:00:00"/>
    <s v="SCRP"/>
    <s v="TRANSPORTATION LOSS - 17054 ALASGALANI"/>
    <x v="118"/>
    <s v="Loss"/>
    <x v="1"/>
    <x v="4"/>
    <x v="0"/>
    <s v="a.bakri"/>
    <n v="-2"/>
    <n v="-0.1"/>
    <n v="83521.151800000007"/>
    <s v=""/>
    <s v="000003"/>
    <s v="X04276"/>
    <s v=""/>
    <s v="Q06189"/>
    <n v="0"/>
    <n v="-167042.30360000001"/>
    <x v="1"/>
  </r>
  <r>
    <x v="4"/>
    <s v="TW"/>
    <x v="9"/>
    <x v="2"/>
    <s v="WS0001"/>
    <s v="White Sugar"/>
    <x v="4"/>
    <x v="1"/>
    <d v="2025-06-19T00:00:00"/>
    <s v="SCRP"/>
    <s v="TRANSPORTATION LOSS - 17075 B.KADABA"/>
    <x v="118"/>
    <s v="Loss"/>
    <x v="1"/>
    <x v="4"/>
    <x v="0"/>
    <s v="a.bakri"/>
    <n v="-1"/>
    <n v="-0.05"/>
    <n v="83521.151800000007"/>
    <s v=""/>
    <s v="000004"/>
    <s v="X04277"/>
    <s v=""/>
    <s v="Q06189"/>
    <n v="0"/>
    <n v="-83521.151800000007"/>
    <x v="1"/>
  </r>
  <r>
    <x v="4"/>
    <s v="TW"/>
    <x v="9"/>
    <x v="2"/>
    <s v="WS0001"/>
    <s v="White Sugar"/>
    <x v="4"/>
    <x v="1"/>
    <d v="2025-06-19T00:00:00"/>
    <s v="SCRP"/>
    <s v="TRANSPORTATION LOSS - 17076 B.KADABA"/>
    <x v="118"/>
    <s v="Loss"/>
    <x v="1"/>
    <x v="4"/>
    <x v="0"/>
    <s v="a.bakri"/>
    <n v="-2"/>
    <n v="-0.1"/>
    <n v="83521.151800000007"/>
    <s v=""/>
    <s v="000005"/>
    <s v="X04278"/>
    <s v=""/>
    <s v="Q06189"/>
    <n v="0"/>
    <n v="-167042.30360000001"/>
    <x v="1"/>
  </r>
  <r>
    <x v="4"/>
    <s v="TW"/>
    <x v="9"/>
    <x v="2"/>
    <s v="WS0001"/>
    <s v="White Sugar"/>
    <x v="4"/>
    <x v="1"/>
    <d v="2025-06-19T00:00:00"/>
    <s v="SCRP"/>
    <s v="TRANSPORTATION LOSS - 17077 B.KADABA"/>
    <x v="118"/>
    <s v="Loss"/>
    <x v="1"/>
    <x v="4"/>
    <x v="0"/>
    <s v="a.bakri"/>
    <n v="-1"/>
    <n v="-0.05"/>
    <n v="83521.151800000007"/>
    <s v=""/>
    <s v="000006"/>
    <s v="X04279"/>
    <s v=""/>
    <s v="Q06189"/>
    <n v="0"/>
    <n v="-83521.151800000007"/>
    <x v="1"/>
  </r>
  <r>
    <x v="4"/>
    <s v="TW"/>
    <x v="9"/>
    <x v="2"/>
    <s v="WS0001"/>
    <s v="White Sugar"/>
    <x v="4"/>
    <x v="1"/>
    <d v="2025-06-19T00:00:00"/>
    <s v="SCRP"/>
    <s v="TRANSPORTATION LOSS - 17080 B.KADABA"/>
    <x v="118"/>
    <s v="Loss"/>
    <x v="1"/>
    <x v="4"/>
    <x v="0"/>
    <s v="a.bakri"/>
    <n v="-6"/>
    <n v="-0.3"/>
    <n v="83521.151800000007"/>
    <s v=""/>
    <s v="000007"/>
    <s v="X04280"/>
    <s v=""/>
    <s v="Q06189"/>
    <n v="0"/>
    <n v="-501126.91080000007"/>
    <x v="1"/>
  </r>
  <r>
    <x v="4"/>
    <s v="TW"/>
    <x v="9"/>
    <x v="2"/>
    <s v="WS0001"/>
    <s v="White Sugar"/>
    <x v="4"/>
    <x v="1"/>
    <d v="2025-06-19T00:00:00"/>
    <s v="SCRP"/>
    <s v="TRANSPORTATION LOSS - 17106 Y.HAMZA"/>
    <x v="118"/>
    <s v="Loss"/>
    <x v="1"/>
    <x v="4"/>
    <x v="0"/>
    <s v="a.bakri"/>
    <n v="-2"/>
    <n v="-0.1"/>
    <n v="83521.151800000007"/>
    <s v=""/>
    <s v="000008"/>
    <s v="X04281"/>
    <s v=""/>
    <s v="Q06189"/>
    <n v="0"/>
    <n v="-167042.30360000001"/>
    <x v="1"/>
  </r>
  <r>
    <x v="4"/>
    <s v="TW"/>
    <x v="9"/>
    <x v="2"/>
    <s v="WS0001"/>
    <s v="White Sugar"/>
    <x v="4"/>
    <x v="1"/>
    <d v="2025-06-19T00:00:00"/>
    <s v="SCRP"/>
    <s v="TRANSPORTATION LOSS - 17108 DELTA"/>
    <x v="118"/>
    <s v="Loss"/>
    <x v="1"/>
    <x v="4"/>
    <x v="0"/>
    <s v="a.bakri"/>
    <n v="-7"/>
    <n v="-0.35"/>
    <n v="83521.151800000007"/>
    <s v=""/>
    <s v="000009"/>
    <s v="X04282"/>
    <s v=""/>
    <s v="Q06189"/>
    <n v="0"/>
    <n v="-584648.06260000006"/>
    <x v="1"/>
  </r>
  <r>
    <x v="4"/>
    <s v="TW"/>
    <x v="9"/>
    <x v="2"/>
    <s v="WS0001"/>
    <s v="White Sugar"/>
    <x v="4"/>
    <x v="1"/>
    <d v="2025-06-19T00:00:00"/>
    <s v="SCRP"/>
    <s v="TRANSPORTATION LOSS - 17135 WAHAG"/>
    <x v="118"/>
    <s v="Loss"/>
    <x v="1"/>
    <x v="4"/>
    <x v="0"/>
    <s v="a.bakri"/>
    <n v="-4"/>
    <n v="-0.2"/>
    <n v="83521.151800000007"/>
    <s v=""/>
    <s v="000010"/>
    <s v="X04283"/>
    <s v=""/>
    <s v="Q06189"/>
    <n v="0"/>
    <n v="-334084.60720000003"/>
    <x v="1"/>
  </r>
  <r>
    <x v="4"/>
    <s v="TW"/>
    <x v="9"/>
    <x v="2"/>
    <s v="WS0001"/>
    <s v="White Sugar"/>
    <x v="4"/>
    <x v="1"/>
    <d v="2025-06-19T00:00:00"/>
    <s v="SCRP"/>
    <s v="TRANSPORTATION LOSS - 17157 WAHAG"/>
    <x v="118"/>
    <s v="Loss"/>
    <x v="1"/>
    <x v="4"/>
    <x v="0"/>
    <s v="a.bakri"/>
    <n v="-1"/>
    <n v="-0.05"/>
    <n v="83521.151800000007"/>
    <s v=""/>
    <s v="000011"/>
    <s v="X04284"/>
    <s v=""/>
    <s v="Q06189"/>
    <n v="0"/>
    <n v="-83521.151800000007"/>
    <x v="1"/>
  </r>
  <r>
    <x v="4"/>
    <s v="TW"/>
    <x v="9"/>
    <x v="2"/>
    <s v="WS0001"/>
    <s v="White Sugar"/>
    <x v="4"/>
    <x v="1"/>
    <d v="2025-06-19T00:00:00"/>
    <s v="SCRP"/>
    <s v="TRANSPORTATION LOSS - 17158 ANJAL"/>
    <x v="118"/>
    <s v="Loss"/>
    <x v="1"/>
    <x v="4"/>
    <x v="0"/>
    <s v="a.bakri"/>
    <n v="-1"/>
    <n v="-0.05"/>
    <n v="83521.151800000007"/>
    <s v=""/>
    <s v="000012"/>
    <s v="X04285"/>
    <s v=""/>
    <s v="Q06189"/>
    <n v="0"/>
    <n v="-83521.151800000007"/>
    <x v="1"/>
  </r>
  <r>
    <x v="4"/>
    <s v="TW"/>
    <x v="9"/>
    <x v="2"/>
    <s v="WS0001"/>
    <s v="White Sugar"/>
    <x v="4"/>
    <x v="1"/>
    <d v="2025-06-19T00:00:00"/>
    <s v="SCRP"/>
    <s v="TRANSPORTATION LOSS - 17160 ALHAMADA"/>
    <x v="118"/>
    <s v="Loss"/>
    <x v="1"/>
    <x v="4"/>
    <x v="0"/>
    <s v="a.bakri"/>
    <n v="-14"/>
    <n v="-0.7"/>
    <n v="83521.151800000007"/>
    <s v=""/>
    <s v="000013"/>
    <s v="X04286"/>
    <s v=""/>
    <s v="Q06189"/>
    <n v="0"/>
    <n v="-1169296.1252000001"/>
    <x v="1"/>
  </r>
  <r>
    <x v="4"/>
    <s v="TW"/>
    <x v="9"/>
    <x v="2"/>
    <s v="WS0001"/>
    <s v="White Sugar"/>
    <x v="4"/>
    <x v="1"/>
    <d v="2025-06-19T00:00:00"/>
    <s v="SCRP"/>
    <s v="TRANSPORTATION LOSS - 17164 ALHAMDA"/>
    <x v="118"/>
    <s v="Loss"/>
    <x v="1"/>
    <x v="4"/>
    <x v="0"/>
    <s v="a.bakri"/>
    <n v="-1"/>
    <n v="-0.05"/>
    <n v="83521.151800000007"/>
    <s v=""/>
    <s v="000014"/>
    <s v="X04287"/>
    <s v=""/>
    <s v="Q06189"/>
    <n v="0"/>
    <n v="-83521.151800000007"/>
    <x v="1"/>
  </r>
  <r>
    <x v="4"/>
    <s v="TW"/>
    <x v="9"/>
    <x v="2"/>
    <s v="WS0001"/>
    <s v="White Sugar"/>
    <x v="4"/>
    <x v="1"/>
    <d v="2025-06-19T00:00:00"/>
    <s v="SCRP"/>
    <s v="TRANSPORTATION LOSS - 17165 WAHAG"/>
    <x v="118"/>
    <s v="Loss"/>
    <x v="1"/>
    <x v="4"/>
    <x v="0"/>
    <s v="a.bakri"/>
    <n v="-1"/>
    <n v="-0.05"/>
    <n v="83521.151800000007"/>
    <s v=""/>
    <s v="000015"/>
    <s v="X04288"/>
    <s v=""/>
    <s v="Q06189"/>
    <n v="0"/>
    <n v="-83521.151800000007"/>
    <x v="1"/>
  </r>
  <r>
    <x v="4"/>
    <s v="TW"/>
    <x v="9"/>
    <x v="2"/>
    <s v="WS0001"/>
    <s v="White Sugar"/>
    <x v="4"/>
    <x v="1"/>
    <d v="2025-06-19T00:00:00"/>
    <s v="SCRP"/>
    <s v="TRANSPORTATION LOSS - 17168 QUICK"/>
    <x v="118"/>
    <s v="Loss"/>
    <x v="1"/>
    <x v="4"/>
    <x v="0"/>
    <s v="a.bakri"/>
    <n v="-2"/>
    <n v="-0.1"/>
    <n v="83521.151800000007"/>
    <s v=""/>
    <s v="000016"/>
    <s v="X04289"/>
    <s v=""/>
    <s v="Q06189"/>
    <n v="0"/>
    <n v="-167042.30360000001"/>
    <x v="1"/>
  </r>
  <r>
    <x v="4"/>
    <s v="TW"/>
    <x v="9"/>
    <x v="2"/>
    <s v="WS0001"/>
    <s v="White Sugar"/>
    <x v="4"/>
    <x v="1"/>
    <d v="2025-06-19T00:00:00"/>
    <s v="SCRP"/>
    <s v="TRANSPORTATION LOSS - 17176 ANJAL"/>
    <x v="118"/>
    <s v="Loss"/>
    <x v="1"/>
    <x v="4"/>
    <x v="0"/>
    <s v="a.bakri"/>
    <n v="-5"/>
    <n v="-0.25"/>
    <n v="83521.151800000007"/>
    <s v=""/>
    <s v="000017"/>
    <s v="X04290"/>
    <s v=""/>
    <s v="Q06189"/>
    <n v="0"/>
    <n v="-417605.75900000002"/>
    <x v="1"/>
  </r>
  <r>
    <x v="4"/>
    <s v="TW"/>
    <x v="9"/>
    <x v="2"/>
    <s v="WS0001"/>
    <s v="White Sugar"/>
    <x v="4"/>
    <x v="1"/>
    <d v="2025-06-19T00:00:00"/>
    <s v="SCRP"/>
    <s v="TRANSPORTATION LOSS - 17188 WAHAG"/>
    <x v="118"/>
    <s v="Loss"/>
    <x v="1"/>
    <x v="4"/>
    <x v="0"/>
    <s v="a.bakri"/>
    <n v="-1"/>
    <n v="-0.05"/>
    <n v="83521.151800000007"/>
    <s v=""/>
    <s v="000018"/>
    <s v="X04291"/>
    <s v=""/>
    <s v="Q06189"/>
    <n v="0"/>
    <n v="-83521.151800000007"/>
    <x v="1"/>
  </r>
  <r>
    <x v="4"/>
    <s v="TW"/>
    <x v="9"/>
    <x v="2"/>
    <s v="WS0001"/>
    <s v="White Sugar"/>
    <x v="4"/>
    <x v="1"/>
    <d v="2025-06-24T00:00:00"/>
    <s v="SCRP"/>
    <s v="TRANSPORTATION LOSS - 17123 WAHAG"/>
    <x v="118"/>
    <s v="Loss"/>
    <x v="1"/>
    <x v="4"/>
    <x v="0"/>
    <s v="a.bakri"/>
    <n v="-9"/>
    <n v="-0.45"/>
    <n v="83521.151800000007"/>
    <s v=""/>
    <s v="000000"/>
    <s v="X04316"/>
    <s v=""/>
    <s v="Q06189"/>
    <n v="0"/>
    <n v="-751690.36620000005"/>
    <x v="1"/>
  </r>
  <r>
    <x v="4"/>
    <s v="TW"/>
    <x v="9"/>
    <x v="2"/>
    <s v="WS0001"/>
    <s v="White Sugar"/>
    <x v="4"/>
    <x v="1"/>
    <d v="2025-06-24T00:00:00"/>
    <s v="SCRP"/>
    <s v="TRANSPORTATION LOSS - 17167 WAHAG"/>
    <x v="118"/>
    <s v="Loss"/>
    <x v="1"/>
    <x v="4"/>
    <x v="0"/>
    <s v="a.bakri"/>
    <n v="-2"/>
    <n v="-0.1"/>
    <n v="83521.151800000007"/>
    <s v=""/>
    <s v="000001"/>
    <s v="X04317"/>
    <s v=""/>
    <s v="Q06189"/>
    <n v="0"/>
    <n v="-167042.30360000001"/>
    <x v="1"/>
  </r>
  <r>
    <x v="4"/>
    <s v="TW"/>
    <x v="9"/>
    <x v="2"/>
    <s v="WS0001"/>
    <s v="White Sugar"/>
    <x v="4"/>
    <x v="1"/>
    <d v="2025-06-24T00:00:00"/>
    <s v="SCRP"/>
    <s v="TRANSPORTATION LOSS - 17187 WAHAG"/>
    <x v="118"/>
    <s v="Loss"/>
    <x v="1"/>
    <x v="4"/>
    <x v="0"/>
    <s v="a.bakri"/>
    <n v="-44"/>
    <n v="-2.2000000000000002"/>
    <n v="83521.151800000007"/>
    <s v=""/>
    <s v="000002"/>
    <s v="X04318"/>
    <s v=""/>
    <s v="Q06189"/>
    <n v="0"/>
    <n v="-3674930.6792000001"/>
    <x v="1"/>
  </r>
  <r>
    <x v="4"/>
    <s v="TW"/>
    <x v="9"/>
    <x v="2"/>
    <s v="WS0001"/>
    <s v="White Sugar"/>
    <x v="4"/>
    <x v="1"/>
    <d v="2025-06-24T00:00:00"/>
    <s v="SCRP"/>
    <s v="TRANSPORTATION LOSS - 17047 ALHAMADA"/>
    <x v="118"/>
    <s v="Loss"/>
    <x v="1"/>
    <x v="4"/>
    <x v="0"/>
    <s v="a.bakri"/>
    <n v="-4"/>
    <n v="-0.2"/>
    <n v="83521.151800000007"/>
    <s v=""/>
    <s v="000003"/>
    <s v="X04319"/>
    <s v=""/>
    <s v="Q06189"/>
    <n v="0"/>
    <n v="-334084.60720000003"/>
    <x v="1"/>
  </r>
  <r>
    <x v="4"/>
    <s v="TW"/>
    <x v="9"/>
    <x v="2"/>
    <s v="WS0001"/>
    <s v="White Sugar"/>
    <x v="4"/>
    <x v="1"/>
    <d v="2025-06-24T00:00:00"/>
    <s v="SCRP"/>
    <s v="TRANSPORTATION LOSS - 17132 WAHAG"/>
    <x v="118"/>
    <s v="Loss"/>
    <x v="1"/>
    <x v="4"/>
    <x v="0"/>
    <s v="a.bakri"/>
    <n v="-8"/>
    <n v="-0.4"/>
    <n v="83521.151800000007"/>
    <s v=""/>
    <s v="000004"/>
    <s v="X04320"/>
    <s v=""/>
    <s v="Q06189"/>
    <n v="0"/>
    <n v="-668169.21440000006"/>
    <x v="1"/>
  </r>
  <r>
    <x v="4"/>
    <s v="TW"/>
    <x v="9"/>
    <x v="2"/>
    <s v="WS0001"/>
    <s v="White Sugar"/>
    <x v="4"/>
    <x v="1"/>
    <d v="2025-06-24T00:00:00"/>
    <s v="SCRP"/>
    <s v="TRANSPORTATION LOSS - 17163 ALHAMADA"/>
    <x v="118"/>
    <s v="Loss"/>
    <x v="1"/>
    <x v="4"/>
    <x v="0"/>
    <s v="a.bakri"/>
    <n v="-1"/>
    <n v="-0.05"/>
    <n v="83521.151800000007"/>
    <s v=""/>
    <s v="000005"/>
    <s v="X04321"/>
    <s v=""/>
    <s v="Q06189"/>
    <n v="0"/>
    <n v="-83521.151800000007"/>
    <x v="1"/>
  </r>
  <r>
    <x v="4"/>
    <s v="TW"/>
    <x v="9"/>
    <x v="2"/>
    <s v="WS0001"/>
    <s v="White Sugar"/>
    <x v="4"/>
    <x v="1"/>
    <d v="2025-06-24T00:00:00"/>
    <s v="SCRP"/>
    <s v="TRANSPORTATION LOSS - 17184 ALHAMADA"/>
    <x v="118"/>
    <s v="Loss"/>
    <x v="1"/>
    <x v="4"/>
    <x v="0"/>
    <s v="a.bakri"/>
    <n v="-7"/>
    <n v="-0.35"/>
    <n v="83521.151800000007"/>
    <s v=""/>
    <s v="000006"/>
    <s v="X04322"/>
    <s v=""/>
    <s v="Q06189"/>
    <n v="0"/>
    <n v="-584648.06260000006"/>
    <x v="1"/>
  </r>
  <r>
    <x v="4"/>
    <s v="TW"/>
    <x v="9"/>
    <x v="2"/>
    <s v="WS0001"/>
    <s v="White Sugar"/>
    <x v="4"/>
    <x v="1"/>
    <d v="2025-06-25T00:00:00"/>
    <s v="SCRP"/>
    <s v="TRANSPORTATION LOSS - 17122 WAHAG"/>
    <x v="118"/>
    <s v="Loss"/>
    <x v="1"/>
    <x v="4"/>
    <x v="0"/>
    <s v="a.bakri"/>
    <n v="-2"/>
    <n v="-0.1"/>
    <n v="83521.151800000007"/>
    <s v=""/>
    <s v="000000"/>
    <s v="X04348"/>
    <s v=""/>
    <s v="Q06189"/>
    <n v="0"/>
    <n v="-167042.30360000001"/>
    <x v="1"/>
  </r>
  <r>
    <x v="4"/>
    <s v="TW"/>
    <x v="9"/>
    <x v="2"/>
    <s v="WS0001"/>
    <s v="White Sugar"/>
    <x v="4"/>
    <x v="1"/>
    <d v="2025-06-25T00:00:00"/>
    <s v="SCRP"/>
    <s v="TRANSPORTATION LOSS - 17044 ALHAMDA"/>
    <x v="118"/>
    <s v="Loss"/>
    <x v="1"/>
    <x v="4"/>
    <x v="0"/>
    <s v="a.bakri"/>
    <n v="-2"/>
    <n v="-0.1"/>
    <n v="83521.151800000007"/>
    <s v=""/>
    <s v="000001"/>
    <s v="X04349"/>
    <s v=""/>
    <s v="Q06189"/>
    <n v="0"/>
    <n v="-167042.30360000001"/>
    <x v="1"/>
  </r>
  <r>
    <x v="2"/>
    <s v="NT"/>
    <x v="9"/>
    <x v="8"/>
    <s v="PP0002"/>
    <s v="Pigeon Peas New Halfa FG"/>
    <x v="26"/>
    <x v="0"/>
    <d v="2025-07-30T00:00:00"/>
    <s v="SCRP"/>
    <s v="TRANSPORTAION LOSS -  23550  ALTAF"/>
    <x v="118"/>
    <s v="Loss"/>
    <x v="1"/>
    <x v="4"/>
    <x v="0"/>
    <s v="702012"/>
    <n v="-1"/>
    <n v="-0.05"/>
    <n v="108901.60609"/>
    <s v=""/>
    <s v="000000"/>
    <s v="X04447"/>
    <s v=""/>
    <s v="P03721"/>
    <n v="0"/>
    <n v="-108901.60609"/>
    <x v="1"/>
  </r>
  <r>
    <x v="2"/>
    <s v="NT"/>
    <x v="9"/>
    <x v="8"/>
    <s v="PP0002"/>
    <s v="Pigeon Peas New Halfa FG"/>
    <x v="26"/>
    <x v="0"/>
    <d v="2025-07-30T00:00:00"/>
    <s v="SCRP"/>
    <s v="TRANSPORTATION  LOSS -   23005  ALTAF"/>
    <x v="118"/>
    <s v="Loss"/>
    <x v="1"/>
    <x v="4"/>
    <x v="0"/>
    <s v="702012"/>
    <n v="-1"/>
    <n v="-0.05"/>
    <n v="108901.60609"/>
    <s v=""/>
    <s v="000001"/>
    <s v="X04448"/>
    <s v=""/>
    <s v="P03736"/>
    <n v="0"/>
    <n v="-108901.60609"/>
    <x v="1"/>
  </r>
  <r>
    <x v="2"/>
    <s v="TF"/>
    <x v="9"/>
    <x v="3"/>
    <s v="RC9008"/>
    <s v="Rice Long Grade 1 Elngm 20Kg"/>
    <x v="9"/>
    <x v="1"/>
    <d v="2025-07-24T00:00:00"/>
    <s v="SCRP"/>
    <s v="CORRECTION- 20284 AlKASIR"/>
    <x v="118"/>
    <s v="Loss"/>
    <x v="1"/>
    <x v="4"/>
    <x v="0"/>
    <s v="a.bakri"/>
    <n v="-2"/>
    <n v="-0.04"/>
    <n v="27661.955160000001"/>
    <s v=""/>
    <s v="000000"/>
    <s v="X04441"/>
    <s v=""/>
    <s v="A00843"/>
    <n v="0"/>
    <n v="-55323.910320000003"/>
    <x v="3"/>
  </r>
  <r>
    <x v="2"/>
    <s v="IS"/>
    <x v="9"/>
    <x v="3"/>
    <s v="RC9008"/>
    <s v="Rice Long Grade 1 Elngm 20Kg"/>
    <x v="9"/>
    <x v="1"/>
    <d v="2025-07-24T00:00:00"/>
    <s v="ADJ"/>
    <s v="CORRECTION- 20284 AlKASIR"/>
    <x v="118"/>
    <s v="Loss"/>
    <x v="1"/>
    <x v="4"/>
    <x v="0"/>
    <s v="a.bakri"/>
    <n v="2"/>
    <n v="0.04"/>
    <n v="27661.955160000001"/>
    <s v="IS0001"/>
    <s v="000001"/>
    <s v="A00873"/>
    <s v="C02860"/>
    <s v=""/>
    <n v="0"/>
    <n v="55323.910320000003"/>
    <x v="3"/>
  </r>
  <r>
    <x v="2"/>
    <s v="TK"/>
    <x v="9"/>
    <x v="2"/>
    <s v="WS0001"/>
    <s v="White Sugar"/>
    <x v="4"/>
    <x v="1"/>
    <d v="2025-07-24T00:00:00"/>
    <s v="SCRP"/>
    <s v="CORRECTION 18584 KHALID AWAD"/>
    <x v="118"/>
    <s v="Loss"/>
    <x v="1"/>
    <x v="4"/>
    <x v="0"/>
    <s v="a.bakri"/>
    <n v="-1"/>
    <n v="-0.05"/>
    <n v="78293.8171"/>
    <s v=""/>
    <s v="000000"/>
    <s v="X04439"/>
    <s v=""/>
    <s v="A00828"/>
    <n v="0"/>
    <n v="-78293.8171"/>
    <x v="1"/>
  </r>
  <r>
    <x v="2"/>
    <s v="IS"/>
    <x v="9"/>
    <x v="2"/>
    <s v="WS0001"/>
    <s v="White Sugar"/>
    <x v="4"/>
    <x v="1"/>
    <d v="2025-07-24T00:00:00"/>
    <s v="ADJ"/>
    <s v="CORRECTION 18584 KHALID AWAD"/>
    <x v="118"/>
    <s v="Loss"/>
    <x v="1"/>
    <x v="4"/>
    <x v="0"/>
    <s v="a.bakri"/>
    <n v="1"/>
    <n v="0.05"/>
    <n v="78293.8171"/>
    <s v="IS0001"/>
    <s v="000000"/>
    <s v="A00870"/>
    <s v="C02857"/>
    <s v=""/>
    <n v="0"/>
    <n v="78293.8171"/>
    <x v="1"/>
  </r>
  <r>
    <x v="2"/>
    <s v="TM"/>
    <x v="9"/>
    <x v="4"/>
    <s v="IF0001"/>
    <s v="Flour Import Elngm 25Kg"/>
    <x v="5"/>
    <x v="1"/>
    <d v="2025-07-23T00:00:00"/>
    <s v="SCRP"/>
    <s v="TRANSPORTATION LOSS  - 19263 ALOMDA"/>
    <x v="118"/>
    <s v="Loss"/>
    <x v="1"/>
    <x v="4"/>
    <x v="0"/>
    <s v="a.bakri"/>
    <n v="-39"/>
    <n v="-0.97499999999999998"/>
    <n v="28919.106970000001"/>
    <s v=""/>
    <s v="000000"/>
    <s v="X04433"/>
    <s v=""/>
    <s v="Q06230"/>
    <n v="0"/>
    <n v="-1127845.1718300001"/>
    <x v="2"/>
  </r>
  <r>
    <x v="2"/>
    <s v="TM"/>
    <x v="9"/>
    <x v="4"/>
    <s v="IF0001"/>
    <s v="Flour Import Elngm 25Kg"/>
    <x v="5"/>
    <x v="1"/>
    <d v="2025-07-23T00:00:00"/>
    <s v="SCRP"/>
    <s v="TRANSPORTATION LOSS - 19270 ALOMDA"/>
    <x v="118"/>
    <s v="Loss"/>
    <x v="1"/>
    <x v="4"/>
    <x v="0"/>
    <s v="a.bakri"/>
    <n v="-22"/>
    <n v="-0.55000000000000004"/>
    <n v="28919.106970000001"/>
    <s v=""/>
    <s v="000001"/>
    <s v="X04434"/>
    <s v=""/>
    <s v="Q06230"/>
    <n v="0"/>
    <n v="-636220.35334000003"/>
    <x v="2"/>
  </r>
  <r>
    <x v="2"/>
    <s v="TW"/>
    <x v="9"/>
    <x v="2"/>
    <s v="WS0001"/>
    <s v="White Sugar"/>
    <x v="4"/>
    <x v="1"/>
    <d v="2025-07-20T00:00:00"/>
    <s v="SCRP"/>
    <s v="TRANSPORTATION LOSS - 17107 ALSK"/>
    <x v="118"/>
    <s v="Loss"/>
    <x v="1"/>
    <x v="4"/>
    <x v="0"/>
    <s v="a.bakri"/>
    <n v="-1"/>
    <n v="-0.05"/>
    <n v="78293.8171"/>
    <s v=""/>
    <s v="000004"/>
    <s v="X04410"/>
    <s v=""/>
    <s v="A00845"/>
    <n v="0"/>
    <n v="-78293.8171"/>
    <x v="1"/>
  </r>
  <r>
    <x v="2"/>
    <s v="TW"/>
    <x v="9"/>
    <x v="2"/>
    <s v="WS0001"/>
    <s v="White Sugar"/>
    <x v="4"/>
    <x v="1"/>
    <d v="2025-07-20T00:00:00"/>
    <s v="SCRP"/>
    <s v="TRANSPORTATION LOSS - 17107 ALSK"/>
    <x v="118"/>
    <s v="Loss"/>
    <x v="1"/>
    <x v="4"/>
    <x v="0"/>
    <s v="a.bakri"/>
    <n v="-1"/>
    <n v="-0.05"/>
    <n v="78293.8171"/>
    <s v=""/>
    <s v="000005"/>
    <s v="X04410"/>
    <s v=""/>
    <s v="A00858"/>
    <n v="0"/>
    <n v="-78293.8171"/>
    <x v="1"/>
  </r>
  <r>
    <x v="2"/>
    <s v="TW"/>
    <x v="9"/>
    <x v="2"/>
    <s v="WS0001"/>
    <s v="White Sugar"/>
    <x v="4"/>
    <x v="1"/>
    <d v="2025-07-20T00:00:00"/>
    <s v="SCRP"/>
    <s v="TRANSPORTATION LOSS - 17055 ALASGALANI"/>
    <x v="118"/>
    <s v="Loss"/>
    <x v="1"/>
    <x v="4"/>
    <x v="0"/>
    <s v="a.bakri"/>
    <n v="-2"/>
    <n v="-0.1"/>
    <n v="78293.8171"/>
    <s v=""/>
    <s v="000007"/>
    <s v="X04412"/>
    <s v=""/>
    <s v="A00859"/>
    <n v="0"/>
    <n v="-156587.6342"/>
    <x v="1"/>
  </r>
  <r>
    <x v="2"/>
    <s v="TW"/>
    <x v="9"/>
    <x v="2"/>
    <s v="WS0001"/>
    <s v="White Sugar"/>
    <x v="4"/>
    <x v="1"/>
    <d v="2025-07-20T00:00:00"/>
    <s v="SCRP"/>
    <s v="TRANSPORTATION LOSS - 17109 ALFADNI"/>
    <x v="118"/>
    <s v="Loss"/>
    <x v="1"/>
    <x v="4"/>
    <x v="0"/>
    <s v="a.bakri"/>
    <n v="-1"/>
    <n v="-0.05"/>
    <n v="78293.8171"/>
    <s v=""/>
    <s v="000001"/>
    <s v="X04408"/>
    <s v=""/>
    <s v="Q06189"/>
    <n v="0"/>
    <n v="-78293.8171"/>
    <x v="1"/>
  </r>
  <r>
    <x v="2"/>
    <s v="TW"/>
    <x v="9"/>
    <x v="2"/>
    <s v="WS0001"/>
    <s v="White Sugar"/>
    <x v="4"/>
    <x v="1"/>
    <d v="2025-07-20T00:00:00"/>
    <s v="SCRP"/>
    <s v="TRANSPORTATION LOSS - 17109 ALFADNI"/>
    <x v="118"/>
    <s v="Loss"/>
    <x v="1"/>
    <x v="4"/>
    <x v="0"/>
    <s v="a.bakri"/>
    <n v="-1"/>
    <n v="-0.05"/>
    <n v="78293.8171"/>
    <s v=""/>
    <s v="000002"/>
    <s v="X04408"/>
    <s v=""/>
    <s v="A00845"/>
    <n v="0"/>
    <n v="-78293.8171"/>
    <x v="1"/>
  </r>
  <r>
    <x v="2"/>
    <s v="IS"/>
    <x v="9"/>
    <x v="5"/>
    <s v="LE0001"/>
    <s v="Lentil TAT 20KG"/>
    <x v="7"/>
    <x v="1"/>
    <d v="2025-07-20T00:00:00"/>
    <s v="SCRP"/>
    <s v="TRANSPORTATION LOSS - 20199 ALTAF"/>
    <x v="118"/>
    <s v="Loss"/>
    <x v="1"/>
    <x v="4"/>
    <x v="0"/>
    <s v="a.bakri"/>
    <n v="-3"/>
    <n v="-0.06"/>
    <n v="41075.795080000004"/>
    <s v=""/>
    <s v="000000"/>
    <s v="X04416"/>
    <s v=""/>
    <s v="Q06234"/>
    <n v="0"/>
    <n v="-123227.38524"/>
    <x v="3"/>
  </r>
  <r>
    <x v="2"/>
    <s v="IS"/>
    <x v="9"/>
    <x v="4"/>
    <s v="NF0001"/>
    <s v="Alnajm Flour from Mill 25KG"/>
    <x v="15"/>
    <x v="1"/>
    <d v="2025-07-20T00:00:00"/>
    <s v="SCRP"/>
    <s v="TRANSPORTATION LOSS - 21060 KHUTHBAN"/>
    <x v="118"/>
    <s v="Loss"/>
    <x v="1"/>
    <x v="4"/>
    <x v="0"/>
    <s v="a.bakri"/>
    <n v="-3"/>
    <n v="-7.4999999999999997E-2"/>
    <n v="28919.106970000001"/>
    <s v=""/>
    <s v="000000"/>
    <s v="X04417"/>
    <s v=""/>
    <s v="P03724"/>
    <n v="0"/>
    <n v="-86757.320910000009"/>
    <x v="2"/>
  </r>
  <r>
    <x v="2"/>
    <s v="TF"/>
    <x v="9"/>
    <x v="4"/>
    <s v="NF0001"/>
    <s v="Alnajm Flour from Mill 25KG"/>
    <x v="15"/>
    <x v="1"/>
    <d v="2025-07-20T00:00:00"/>
    <s v="SCRP"/>
    <s v="TRANSPORTATION LOSS - 21259 ALSNOSI"/>
    <x v="118"/>
    <s v="Loss"/>
    <x v="1"/>
    <x v="4"/>
    <x v="0"/>
    <s v="a.bakri"/>
    <n v="-7"/>
    <n v="-0.17499999999999999"/>
    <n v="28919.106970000001"/>
    <s v=""/>
    <s v="000000"/>
    <s v="X04418"/>
    <s v=""/>
    <s v="P03750"/>
    <n v="0"/>
    <n v="-202433.74879000001"/>
    <x v="2"/>
  </r>
  <r>
    <x v="2"/>
    <s v="TF"/>
    <x v="9"/>
    <x v="4"/>
    <s v="NF0001"/>
    <s v="Alnajm Flour from Mill 25KG"/>
    <x v="15"/>
    <x v="1"/>
    <d v="2025-07-20T00:00:00"/>
    <s v="SCRP"/>
    <s v="TRANSPORTATION LOSS - 21260 ALWAHSHAB"/>
    <x v="118"/>
    <s v="Loss"/>
    <x v="1"/>
    <x v="4"/>
    <x v="0"/>
    <s v="a.bakri"/>
    <n v="-10"/>
    <n v="-0.25"/>
    <n v="28919.106970000001"/>
    <s v=""/>
    <s v="000001"/>
    <s v="X04419"/>
    <s v=""/>
    <s v="P03750"/>
    <n v="0"/>
    <n v="-289191.06969999999"/>
    <x v="2"/>
  </r>
  <r>
    <x v="2"/>
    <s v="TF"/>
    <x v="9"/>
    <x v="4"/>
    <s v="NF0001"/>
    <s v="Alnajm Flour from Mill 25KG"/>
    <x v="15"/>
    <x v="1"/>
    <d v="2025-07-20T00:00:00"/>
    <s v="SCRP"/>
    <s v="TRANSPORTATION LOSS - 21558 DARKA"/>
    <x v="118"/>
    <s v="Loss"/>
    <x v="1"/>
    <x v="4"/>
    <x v="0"/>
    <s v="a.bakri"/>
    <n v="-16"/>
    <n v="-0.4"/>
    <n v="28919.106970000001"/>
    <s v=""/>
    <s v="000002"/>
    <s v="X04420"/>
    <s v=""/>
    <s v="P03750"/>
    <n v="0"/>
    <n v="-462705.71152000001"/>
    <x v="2"/>
  </r>
  <r>
    <x v="2"/>
    <s v="TF"/>
    <x v="9"/>
    <x v="4"/>
    <s v="NF0001"/>
    <s v="Alnajm Flour from Mill 25KG"/>
    <x v="15"/>
    <x v="1"/>
    <d v="2025-07-20T00:00:00"/>
    <s v="SCRP"/>
    <s v="TRANSPORTATION LOSS - 21560 DARKA"/>
    <x v="118"/>
    <s v="Loss"/>
    <x v="1"/>
    <x v="4"/>
    <x v="0"/>
    <s v="a.bakri"/>
    <n v="-2"/>
    <n v="-0.05"/>
    <n v="28919.106970000001"/>
    <s v=""/>
    <s v="000003"/>
    <s v="X04421"/>
    <s v=""/>
    <s v="P03750"/>
    <n v="0"/>
    <n v="-57838.213940000001"/>
    <x v="2"/>
  </r>
  <r>
    <x v="2"/>
    <s v="TF"/>
    <x v="9"/>
    <x v="4"/>
    <s v="NF0001"/>
    <s v="Alnajm Flour from Mill 25KG"/>
    <x v="15"/>
    <x v="1"/>
    <d v="2025-07-20T00:00:00"/>
    <s v="SCRP"/>
    <s v="TRANSPORTATION LOSS - 21592 QUICK"/>
    <x v="118"/>
    <s v="Loss"/>
    <x v="1"/>
    <x v="4"/>
    <x v="0"/>
    <s v="a.bakri"/>
    <n v="-3"/>
    <n v="-7.4999999999999997E-2"/>
    <n v="28919.106970000001"/>
    <s v=""/>
    <s v="000004"/>
    <s v="X04422"/>
    <s v=""/>
    <s v="P03750"/>
    <n v="0"/>
    <n v="-86757.320910000009"/>
    <x v="2"/>
  </r>
  <r>
    <x v="2"/>
    <s v="TF"/>
    <x v="9"/>
    <x v="4"/>
    <s v="NF0001"/>
    <s v="Alnajm Flour from Mill 25KG"/>
    <x v="15"/>
    <x v="1"/>
    <d v="2025-07-20T00:00:00"/>
    <s v="SCRP"/>
    <s v="TRANSPORTATION LOSS - 21595 ALNWA"/>
    <x v="118"/>
    <s v="Loss"/>
    <x v="1"/>
    <x v="4"/>
    <x v="0"/>
    <s v="a.bakri"/>
    <n v="-2"/>
    <n v="-0.05"/>
    <n v="28919.106970000001"/>
    <s v=""/>
    <s v="000005"/>
    <s v="X04423"/>
    <s v=""/>
    <s v="P03750"/>
    <n v="0"/>
    <n v="-57838.213940000001"/>
    <x v="2"/>
  </r>
  <r>
    <x v="2"/>
    <s v="TF"/>
    <x v="9"/>
    <x v="4"/>
    <s v="NF0001"/>
    <s v="Alnajm Flour from Mill 25KG"/>
    <x v="15"/>
    <x v="1"/>
    <d v="2025-07-20T00:00:00"/>
    <s v="SCRP"/>
    <s v="TRANSPORTATION LOSS - 23521 ALTAF"/>
    <x v="118"/>
    <s v="Loss"/>
    <x v="1"/>
    <x v="4"/>
    <x v="0"/>
    <s v="a.bakri"/>
    <n v="-52"/>
    <n v="-1.3"/>
    <n v="28919.106970000001"/>
    <s v=""/>
    <s v="000006"/>
    <s v="X04424"/>
    <s v=""/>
    <s v="P03750"/>
    <n v="0"/>
    <n v="-1503793.56244"/>
    <x v="2"/>
  </r>
  <r>
    <x v="2"/>
    <s v="TF"/>
    <x v="9"/>
    <x v="4"/>
    <s v="NF0001"/>
    <s v="Alnajm Flour from Mill 25KG"/>
    <x v="15"/>
    <x v="1"/>
    <d v="2025-07-20T00:00:00"/>
    <s v="SCRP"/>
    <s v="TRANSPORTATION LOSS - 23522 ALTAF"/>
    <x v="118"/>
    <s v="Loss"/>
    <x v="1"/>
    <x v="4"/>
    <x v="0"/>
    <s v="a.bakri"/>
    <n v="-156"/>
    <n v="-3.9"/>
    <n v="28919.106970000001"/>
    <s v=""/>
    <s v="000007"/>
    <s v="X04425"/>
    <s v=""/>
    <s v="P03750"/>
    <n v="0"/>
    <n v="-4511380.6873200005"/>
    <x v="2"/>
  </r>
  <r>
    <x v="2"/>
    <s v="TF"/>
    <x v="9"/>
    <x v="4"/>
    <s v="NF0001"/>
    <s v="Alnajm Flour from Mill 25KG"/>
    <x v="15"/>
    <x v="1"/>
    <d v="2025-07-20T00:00:00"/>
    <s v="SCRP"/>
    <s v="TRANSPORTATION LOSS - 23545 RIBA"/>
    <x v="118"/>
    <s v="Loss"/>
    <x v="1"/>
    <x v="4"/>
    <x v="0"/>
    <s v="a.bakri"/>
    <n v="-48"/>
    <n v="-1.2"/>
    <n v="28919.106970000001"/>
    <s v=""/>
    <s v="000008"/>
    <s v="X04426"/>
    <s v=""/>
    <s v="P03750"/>
    <n v="0"/>
    <n v="-1388117.1345600002"/>
    <x v="2"/>
  </r>
  <r>
    <x v="2"/>
    <s v="TF"/>
    <x v="9"/>
    <x v="4"/>
    <s v="NF0001"/>
    <s v="Alnajm Flour from Mill 25KG"/>
    <x v="15"/>
    <x v="1"/>
    <d v="2025-07-20T00:00:00"/>
    <s v="SCRP"/>
    <s v="TRANSPORTATION LOSS - 23548 DELTA"/>
    <x v="118"/>
    <s v="Loss"/>
    <x v="1"/>
    <x v="4"/>
    <x v="0"/>
    <s v="a.bakri"/>
    <n v="-10"/>
    <n v="-0.25"/>
    <n v="28919.106970000001"/>
    <s v=""/>
    <s v="000009"/>
    <s v="X04427"/>
    <s v=""/>
    <s v="P03750"/>
    <n v="0"/>
    <n v="-289191.06969999999"/>
    <x v="2"/>
  </r>
  <r>
    <x v="2"/>
    <s v="TU"/>
    <x v="9"/>
    <x v="4"/>
    <s v="NF0001"/>
    <s v="Alnajm Flour from Mill 25KG"/>
    <x v="15"/>
    <x v="1"/>
    <d v="2025-07-20T00:00:00"/>
    <s v="SCRP"/>
    <s v="TRANSPORTATION LOSS - 277482 RIBA"/>
    <x v="118"/>
    <s v="Loss"/>
    <x v="1"/>
    <x v="4"/>
    <x v="0"/>
    <s v="a.bakri"/>
    <n v="-400"/>
    <n v="-10"/>
    <n v="28919.106970000001"/>
    <s v=""/>
    <s v="000000"/>
    <s v="X04428"/>
    <s v=""/>
    <s v="P03745"/>
    <n v="0"/>
    <n v="-11567642.788000001"/>
    <x v="2"/>
  </r>
  <r>
    <x v="2"/>
    <s v="TU"/>
    <x v="9"/>
    <x v="4"/>
    <s v="NF0001"/>
    <s v="Alnajm Flour from Mill 25KG"/>
    <x v="15"/>
    <x v="1"/>
    <d v="2025-07-20T00:00:00"/>
    <s v="SCRP"/>
    <s v="TRANSPORTATION LOSS - 277483 RIBA"/>
    <x v="118"/>
    <s v="Loss"/>
    <x v="1"/>
    <x v="4"/>
    <x v="0"/>
    <s v="a.bakri"/>
    <n v="-9"/>
    <n v="-0.22500000000000001"/>
    <n v="28919.106970000001"/>
    <s v=""/>
    <s v="000001"/>
    <s v="X04429"/>
    <s v=""/>
    <s v="P03745"/>
    <n v="0"/>
    <n v="-260271.96273"/>
    <x v="2"/>
  </r>
  <r>
    <x v="2"/>
    <s v="TU"/>
    <x v="9"/>
    <x v="4"/>
    <s v="NF0001"/>
    <s v="Alnajm Flour from Mill 25KG"/>
    <x v="15"/>
    <x v="1"/>
    <d v="2025-07-20T00:00:00"/>
    <s v="SCRP"/>
    <s v="TRANSPORTATION LOSS - 277492 ALKHAWAJA"/>
    <x v="118"/>
    <s v="Loss"/>
    <x v="1"/>
    <x v="4"/>
    <x v="0"/>
    <s v="a.bakri"/>
    <n v="-60"/>
    <n v="-1.5"/>
    <n v="28919.106970000001"/>
    <s v=""/>
    <s v="000002"/>
    <s v="X04430"/>
    <s v=""/>
    <s v="P03745"/>
    <n v="0"/>
    <n v="-1735146.4182"/>
    <x v="2"/>
  </r>
  <r>
    <x v="2"/>
    <s v="TU"/>
    <x v="9"/>
    <x v="4"/>
    <s v="NF0001"/>
    <s v="Alnajm Flour from Mill 25KG"/>
    <x v="15"/>
    <x v="1"/>
    <d v="2025-07-20T00:00:00"/>
    <s v="SCRP"/>
    <s v="TRANSPORTATION LOSS - 277496 ALTAF"/>
    <x v="118"/>
    <s v="Loss"/>
    <x v="1"/>
    <x v="4"/>
    <x v="0"/>
    <s v="a.bakri"/>
    <n v="-22"/>
    <n v="-0.55000000000000004"/>
    <n v="28919.106970000001"/>
    <s v=""/>
    <s v="000003"/>
    <s v="X04431"/>
    <s v=""/>
    <s v="P03745"/>
    <n v="0"/>
    <n v="-636220.35334000003"/>
    <x v="2"/>
  </r>
  <r>
    <x v="2"/>
    <s v="IS"/>
    <x v="9"/>
    <x v="4"/>
    <s v="IF0001"/>
    <s v="Flour Import Elngm 25Kg"/>
    <x v="5"/>
    <x v="1"/>
    <d v="2025-07-16T00:00:00"/>
    <s v="SCRP"/>
    <s v="TRANSPORTATION LOSS - 21452 ARIF ALMUBARK"/>
    <x v="118"/>
    <s v="Loss"/>
    <x v="1"/>
    <x v="4"/>
    <x v="0"/>
    <s v="a.bakri"/>
    <n v="-1"/>
    <n v="-2.5000000000000001E-2"/>
    <n v="28919.106970000001"/>
    <s v=""/>
    <s v="000000"/>
    <s v="X04382"/>
    <s v=""/>
    <s v="Q06225"/>
    <n v="0"/>
    <n v="-28919.106970000001"/>
    <x v="2"/>
  </r>
  <r>
    <x v="2"/>
    <s v="IS"/>
    <x v="9"/>
    <x v="4"/>
    <s v="IF0001"/>
    <s v="Flour Import Elngm 25Kg"/>
    <x v="5"/>
    <x v="1"/>
    <d v="2025-07-16T00:00:00"/>
    <s v="SCRP"/>
    <s v="TRANSPORTATION LOSS - 21549 ALKHOTOT ALSAHLIA"/>
    <x v="118"/>
    <s v="Loss"/>
    <x v="1"/>
    <x v="4"/>
    <x v="0"/>
    <s v="a.bakri"/>
    <n v="-2"/>
    <n v="-0.05"/>
    <n v="28919.106970000001"/>
    <s v=""/>
    <s v="000001"/>
    <s v="X04383"/>
    <s v=""/>
    <s v="Q06225"/>
    <n v="0"/>
    <n v="-57838.213940000001"/>
    <x v="2"/>
  </r>
  <r>
    <x v="2"/>
    <s v="IS"/>
    <x v="9"/>
    <x v="5"/>
    <s v="LE0001"/>
    <s v="Lentil TAT 20KG"/>
    <x v="7"/>
    <x v="1"/>
    <d v="2025-07-16T00:00:00"/>
    <s v="SCRP"/>
    <s v="TRANSPORTATION LOSS - 20157 ALKASIR"/>
    <x v="118"/>
    <s v="Loss"/>
    <x v="1"/>
    <x v="4"/>
    <x v="0"/>
    <s v="a.bakri"/>
    <n v="-1"/>
    <n v="-0.02"/>
    <n v="41075.795080000004"/>
    <s v=""/>
    <s v="000000"/>
    <s v="X04384"/>
    <s v=""/>
    <s v="Q06234"/>
    <n v="0"/>
    <n v="-41075.795080000004"/>
    <x v="3"/>
  </r>
  <r>
    <x v="2"/>
    <s v="IS"/>
    <x v="9"/>
    <x v="5"/>
    <s v="LE0001"/>
    <s v="Lentil TAT 20KG"/>
    <x v="7"/>
    <x v="1"/>
    <d v="2025-07-16T00:00:00"/>
    <s v="SCRP"/>
    <s v="TRANSPORTATION LOSS - 20158 ALNWA"/>
    <x v="118"/>
    <s v="Loss"/>
    <x v="1"/>
    <x v="4"/>
    <x v="0"/>
    <s v="a.bakri"/>
    <n v="-4"/>
    <n v="-0.08"/>
    <n v="41075.795080000004"/>
    <s v=""/>
    <s v="000001"/>
    <s v="X04385"/>
    <s v=""/>
    <s v="Q06234"/>
    <n v="0"/>
    <n v="-164303.18032000001"/>
    <x v="3"/>
  </r>
  <r>
    <x v="2"/>
    <s v="IS"/>
    <x v="9"/>
    <x v="4"/>
    <s v="NF0001"/>
    <s v="Alnajm Flour from Mill 25KG"/>
    <x v="15"/>
    <x v="1"/>
    <d v="2025-07-16T00:00:00"/>
    <s v="SCRP"/>
    <s v="TRANSPORTATION LOSS - 21254 DELTA"/>
    <x v="118"/>
    <s v="Loss"/>
    <x v="1"/>
    <x v="4"/>
    <x v="0"/>
    <s v="a.bakri"/>
    <n v="-20"/>
    <n v="-0.5"/>
    <n v="28919.106970000001"/>
    <s v=""/>
    <s v="000000"/>
    <s v="X04386"/>
    <s v=""/>
    <s v="P03713"/>
    <n v="0"/>
    <n v="-578382.13939999999"/>
    <x v="2"/>
  </r>
  <r>
    <x v="2"/>
    <s v="IS"/>
    <x v="9"/>
    <x v="4"/>
    <s v="NF0001"/>
    <s v="Alnajm Flour from Mill 25KG"/>
    <x v="15"/>
    <x v="1"/>
    <d v="2025-07-16T00:00:00"/>
    <s v="SCRP"/>
    <s v="TRANSPORTATION LOSS - 21255 RIBA"/>
    <x v="118"/>
    <s v="Loss"/>
    <x v="1"/>
    <x v="4"/>
    <x v="0"/>
    <s v="a.bakri"/>
    <n v="-48"/>
    <n v="-1.2"/>
    <n v="28919.106970000001"/>
    <s v=""/>
    <s v="000001"/>
    <s v="X04387"/>
    <s v=""/>
    <s v="P03713"/>
    <n v="0"/>
    <n v="-1388117.1345600002"/>
    <x v="2"/>
  </r>
  <r>
    <x v="2"/>
    <s v="IS"/>
    <x v="9"/>
    <x v="4"/>
    <s v="NF0001"/>
    <s v="Alnajm Flour from Mill 25KG"/>
    <x v="15"/>
    <x v="1"/>
    <d v="2025-07-16T00:00:00"/>
    <s v="SCRP"/>
    <s v="TRANSPORTATION LOSS - 21289 RIBA"/>
    <x v="118"/>
    <s v="Loss"/>
    <x v="1"/>
    <x v="4"/>
    <x v="0"/>
    <s v="a.bakri"/>
    <n v="-3"/>
    <n v="-7.4999999999999997E-2"/>
    <n v="28919.106970000001"/>
    <s v=""/>
    <s v="000002"/>
    <s v="X04388"/>
    <s v=""/>
    <s v="P03713"/>
    <n v="0"/>
    <n v="-86757.320910000009"/>
    <x v="2"/>
  </r>
  <r>
    <x v="2"/>
    <s v="IS"/>
    <x v="9"/>
    <x v="4"/>
    <s v="NF0001"/>
    <s v="Alnajm Flour from Mill 25KG"/>
    <x v="15"/>
    <x v="1"/>
    <d v="2025-07-16T00:00:00"/>
    <s v="SCRP"/>
    <s v="TRANSPORTATION LOSS - 23343 RIBA"/>
    <x v="118"/>
    <s v="Loss"/>
    <x v="1"/>
    <x v="4"/>
    <x v="0"/>
    <s v="a.bakri"/>
    <n v="-2"/>
    <n v="-0.05"/>
    <n v="28919.106970000001"/>
    <s v=""/>
    <s v="000003"/>
    <s v="X04389"/>
    <s v=""/>
    <s v="P03713"/>
    <n v="0"/>
    <n v="-57838.213940000001"/>
    <x v="2"/>
  </r>
  <r>
    <x v="2"/>
    <s v="IS"/>
    <x v="9"/>
    <x v="4"/>
    <s v="NF0001"/>
    <s v="Alnajm Flour from Mill 25KG"/>
    <x v="15"/>
    <x v="1"/>
    <d v="2025-07-16T00:00:00"/>
    <s v="SCRP"/>
    <s v="TRANSPORTATION LOSS - 23486 ANJAL"/>
    <x v="118"/>
    <s v="Loss"/>
    <x v="1"/>
    <x v="4"/>
    <x v="0"/>
    <s v="a.bakri"/>
    <n v="-5"/>
    <n v="-0.125"/>
    <n v="28919.106970000001"/>
    <s v=""/>
    <s v="000004"/>
    <s v="X04390"/>
    <s v=""/>
    <s v="P03713"/>
    <n v="0"/>
    <n v="-144595.53485"/>
    <x v="2"/>
  </r>
  <r>
    <x v="2"/>
    <s v="IS"/>
    <x v="9"/>
    <x v="4"/>
    <s v="NF0001"/>
    <s v="Alnajm Flour from Mill 25KG"/>
    <x v="15"/>
    <x v="1"/>
    <d v="2025-07-16T00:00:00"/>
    <s v="SCRP"/>
    <s v="TRANSPORTATION LOSS - 23604 ABERSI"/>
    <x v="118"/>
    <s v="Loss"/>
    <x v="1"/>
    <x v="4"/>
    <x v="0"/>
    <s v="a.bakri"/>
    <n v="-10"/>
    <n v="-0.25"/>
    <n v="28919.106970000001"/>
    <s v=""/>
    <s v="000005"/>
    <s v="X04391"/>
    <s v=""/>
    <s v="P03713"/>
    <n v="0"/>
    <n v="-289191.06969999999"/>
    <x v="2"/>
  </r>
  <r>
    <x v="2"/>
    <s v="IS"/>
    <x v="9"/>
    <x v="4"/>
    <s v="NF0001"/>
    <s v="Alnajm Flour from Mill 25KG"/>
    <x v="15"/>
    <x v="1"/>
    <d v="2025-07-16T00:00:00"/>
    <s v="SCRP"/>
    <s v="TRANSPORTATION LOSS - 23623 ABERSI"/>
    <x v="118"/>
    <s v="Loss"/>
    <x v="1"/>
    <x v="4"/>
    <x v="0"/>
    <s v="a.bakri"/>
    <n v="-10"/>
    <n v="-0.25"/>
    <n v="28919.106970000001"/>
    <s v=""/>
    <s v="000006"/>
    <s v="X04392"/>
    <s v=""/>
    <s v="P03713"/>
    <n v="0"/>
    <n v="-289191.06969999999"/>
    <x v="2"/>
  </r>
  <r>
    <x v="2"/>
    <s v="IS"/>
    <x v="9"/>
    <x v="4"/>
    <s v="NF0001"/>
    <s v="Alnajm Flour from Mill 25KG"/>
    <x v="15"/>
    <x v="1"/>
    <d v="2025-07-16T00:00:00"/>
    <s v="SCRP"/>
    <s v="TRANSPORTATION LOSS - 277463 ALSNOSI"/>
    <x v="118"/>
    <s v="Loss"/>
    <x v="1"/>
    <x v="4"/>
    <x v="0"/>
    <s v="a.bakri"/>
    <n v="-12"/>
    <n v="-0.3"/>
    <n v="28919.106970000001"/>
    <s v=""/>
    <s v="000007"/>
    <s v="X04393"/>
    <s v=""/>
    <s v="P03713"/>
    <n v="0"/>
    <n v="-347029.28364000004"/>
    <x v="2"/>
  </r>
  <r>
    <x v="2"/>
    <s v="TJ"/>
    <x v="9"/>
    <x v="2"/>
    <s v="WS0001"/>
    <s v="White Sugar"/>
    <x v="4"/>
    <x v="1"/>
    <d v="2025-07-16T00:00:00"/>
    <s v="SCRP"/>
    <s v="TRANSPORTATION LOSS - 17195 DALTA"/>
    <x v="118"/>
    <s v="Loss"/>
    <x v="1"/>
    <x v="4"/>
    <x v="0"/>
    <s v="a.bakri"/>
    <n v="-2"/>
    <n v="-0.1"/>
    <n v="78293.8171"/>
    <s v=""/>
    <s v="000000"/>
    <s v="X04394"/>
    <s v=""/>
    <s v="Q06189"/>
    <n v="0"/>
    <n v="-156587.6342"/>
    <x v="1"/>
  </r>
  <r>
    <x v="2"/>
    <s v="TM"/>
    <x v="9"/>
    <x v="5"/>
    <s v="LE0001"/>
    <s v="Lentil TAT 20KG"/>
    <x v="7"/>
    <x v="1"/>
    <d v="2025-07-16T00:00:00"/>
    <s v="SCRP"/>
    <s v="TRANSPORTATION LOSS - 20032 ALKASIR"/>
    <x v="118"/>
    <s v="Loss"/>
    <x v="1"/>
    <x v="4"/>
    <x v="0"/>
    <s v="a.bakri"/>
    <n v="-3"/>
    <n v="-0.06"/>
    <n v="41075.795080000004"/>
    <s v=""/>
    <s v="000000"/>
    <s v="X04395"/>
    <s v=""/>
    <s v="Q06235"/>
    <n v="0"/>
    <n v="-123227.38524"/>
    <x v="3"/>
  </r>
  <r>
    <x v="2"/>
    <s v="TP"/>
    <x v="9"/>
    <x v="4"/>
    <s v="IF0001"/>
    <s v="Flour Import Elngm 25Kg"/>
    <x v="5"/>
    <x v="1"/>
    <d v="2025-07-16T00:00:00"/>
    <s v="SCRP"/>
    <s v="TRANSPORTATION LOSS - 406 DALTA"/>
    <x v="118"/>
    <s v="Loss"/>
    <x v="1"/>
    <x v="4"/>
    <x v="0"/>
    <s v="a.bakri"/>
    <n v="-2"/>
    <n v="-0.05"/>
    <n v="28919.106970000001"/>
    <s v=""/>
    <s v="000002"/>
    <s v="X04398"/>
    <s v=""/>
    <s v="Q06225"/>
    <n v="0"/>
    <n v="-57838.213940000001"/>
    <x v="2"/>
  </r>
  <r>
    <x v="2"/>
    <s v="TP"/>
    <x v="9"/>
    <x v="4"/>
    <s v="IF0001"/>
    <s v="Flour Import Elngm 25Kg"/>
    <x v="5"/>
    <x v="1"/>
    <d v="2025-07-16T00:00:00"/>
    <s v="SCRP"/>
    <s v="TRANSPORTATION LOSS - 690 DALTA"/>
    <x v="118"/>
    <s v="Loss"/>
    <x v="1"/>
    <x v="4"/>
    <x v="0"/>
    <s v="a.bakri"/>
    <n v="-1"/>
    <n v="-2.5000000000000001E-2"/>
    <n v="28919.106970000001"/>
    <s v=""/>
    <s v="000003"/>
    <s v="X04399"/>
    <s v=""/>
    <s v="Q06225"/>
    <n v="0"/>
    <n v="-28919.106970000001"/>
    <x v="2"/>
  </r>
  <r>
    <x v="2"/>
    <s v="TU"/>
    <x v="9"/>
    <x v="4"/>
    <s v="NF0001"/>
    <s v="Alnajm Flour from Mill 25KG"/>
    <x v="15"/>
    <x v="1"/>
    <d v="2025-07-16T00:00:00"/>
    <s v="SCRP"/>
    <s v="TRANSPORTATION LOSS - 277442 RIBA"/>
    <x v="118"/>
    <s v="Loss"/>
    <x v="1"/>
    <x v="4"/>
    <x v="0"/>
    <s v="a.bakri"/>
    <n v="-130"/>
    <n v="-3.25"/>
    <n v="28919.106970000001"/>
    <s v=""/>
    <s v="000000"/>
    <s v="X04400"/>
    <s v=""/>
    <s v="P03739"/>
    <n v="0"/>
    <n v="-3759483.9061000003"/>
    <x v="2"/>
  </r>
  <r>
    <x v="2"/>
    <s v="TU"/>
    <x v="9"/>
    <x v="4"/>
    <s v="NF0001"/>
    <s v="Alnajm Flour from Mill 25KG"/>
    <x v="15"/>
    <x v="1"/>
    <d v="2025-07-16T00:00:00"/>
    <s v="SCRP"/>
    <s v="TRANSPORTATION LOSS - 277475 ALKHAWAGA"/>
    <x v="118"/>
    <s v="Loss"/>
    <x v="1"/>
    <x v="4"/>
    <x v="0"/>
    <s v="a.bakri"/>
    <n v="-19"/>
    <n v="-0.47499999999999998"/>
    <n v="28919.106970000001"/>
    <s v=""/>
    <s v="000001"/>
    <s v="X04401"/>
    <s v=""/>
    <s v="P03739"/>
    <n v="0"/>
    <n v="-549463.03243000002"/>
    <x v="2"/>
  </r>
  <r>
    <x v="2"/>
    <s v="TU"/>
    <x v="9"/>
    <x v="4"/>
    <s v="NF0001"/>
    <s v="Alnajm Flour from Mill 25KG"/>
    <x v="15"/>
    <x v="1"/>
    <d v="2025-07-16T00:00:00"/>
    <s v="SCRP"/>
    <s v="TRANSPORTATION LOSS - 277476 ALKHAWAGA"/>
    <x v="118"/>
    <s v="Loss"/>
    <x v="1"/>
    <x v="4"/>
    <x v="0"/>
    <s v="a.bakri"/>
    <n v="-27"/>
    <n v="-0.67500000000000004"/>
    <n v="28919.106970000001"/>
    <s v=""/>
    <s v="000002"/>
    <s v="X04402"/>
    <s v=""/>
    <s v="P03739"/>
    <n v="0"/>
    <n v="-780815.88818999997"/>
    <x v="2"/>
  </r>
  <r>
    <x v="2"/>
    <s v="TW"/>
    <x v="9"/>
    <x v="4"/>
    <s v="NF0001"/>
    <s v="Alnajm Flour from Mill 25KG"/>
    <x v="15"/>
    <x v="1"/>
    <d v="2025-07-16T00:00:00"/>
    <s v="SCRP"/>
    <s v="TRANSPORTATION LOSS - 277304 ALREKABI"/>
    <x v="118"/>
    <s v="Loss"/>
    <x v="1"/>
    <x v="4"/>
    <x v="0"/>
    <s v="a.bakri"/>
    <n v="-3"/>
    <n v="-7.4999999999999997E-2"/>
    <n v="28919.106970000001"/>
    <s v=""/>
    <s v="000000"/>
    <s v="X04403"/>
    <s v=""/>
    <s v="P03741"/>
    <n v="0"/>
    <n v="-86757.320910000009"/>
    <x v="2"/>
  </r>
  <r>
    <x v="2"/>
    <s v="TP"/>
    <x v="9"/>
    <x v="4"/>
    <s v="IF0001"/>
    <s v="Flour Import Elngm 25Kg"/>
    <x v="5"/>
    <x v="1"/>
    <d v="2025-07-16T00:00:00"/>
    <s v="SCRP"/>
    <s v="TRANSPORTATION LOSS - 401 DALTA"/>
    <x v="118"/>
    <s v="Loss"/>
    <x v="1"/>
    <x v="4"/>
    <x v="0"/>
    <s v="a.bakri"/>
    <n v="-1"/>
    <n v="-2.5000000000000001E-2"/>
    <n v="28919.106970000001"/>
    <s v=""/>
    <s v="000000"/>
    <s v="X04396"/>
    <s v=""/>
    <s v="Q06225"/>
    <n v="0"/>
    <n v="-28919.106970000001"/>
    <x v="2"/>
  </r>
  <r>
    <x v="2"/>
    <s v="TP"/>
    <x v="9"/>
    <x v="4"/>
    <s v="IF0001"/>
    <s v="Flour Import Elngm 25Kg"/>
    <x v="5"/>
    <x v="1"/>
    <d v="2025-07-16T00:00:00"/>
    <s v="SCRP"/>
    <s v="TRANSPORTATION LOSS - 403 DALTA"/>
    <x v="118"/>
    <s v="Loss"/>
    <x v="1"/>
    <x v="4"/>
    <x v="0"/>
    <s v="a.bakri"/>
    <n v="-4"/>
    <n v="-0.1"/>
    <n v="28919.106970000001"/>
    <s v=""/>
    <s v="000001"/>
    <s v="X04397"/>
    <s v=""/>
    <s v="Q06225"/>
    <n v="0"/>
    <n v="-115676.42788"/>
    <x v="2"/>
  </r>
  <r>
    <x v="2"/>
    <s v="TP"/>
    <x v="9"/>
    <x v="4"/>
    <s v="IF0001"/>
    <s v="Flour Import Elngm 25Kg"/>
    <x v="5"/>
    <x v="1"/>
    <d v="2025-07-08T00:00:00"/>
    <s v="SCRP"/>
    <s v="TRANSPORTATION LOSS - 586 GAMEIA"/>
    <x v="118"/>
    <s v="Loss"/>
    <x v="1"/>
    <x v="2"/>
    <x v="3"/>
    <s v="a.bakri"/>
    <n v="-15"/>
    <n v="-0.375"/>
    <n v="28919.106970000001"/>
    <s v=""/>
    <s v="000000"/>
    <s v="X04351"/>
    <s v=""/>
    <s v="Q06225"/>
    <n v="0"/>
    <n v="-433786.60454999999"/>
    <x v="2"/>
  </r>
  <r>
    <x v="2"/>
    <s v="TP"/>
    <x v="9"/>
    <x v="4"/>
    <s v="IF0001"/>
    <s v="Flour Import Elngm 25Kg"/>
    <x v="5"/>
    <x v="1"/>
    <d v="2025-07-08T00:00:00"/>
    <s v="SCRP"/>
    <s v="TRANSPORTATION LOSS - 7575 DALTA"/>
    <x v="118"/>
    <s v="Loss"/>
    <x v="1"/>
    <x v="4"/>
    <x v="0"/>
    <s v="a.bakri"/>
    <n v="-2"/>
    <n v="-0.05"/>
    <n v="28919.106970000001"/>
    <s v=""/>
    <s v="000001"/>
    <s v="X04352"/>
    <s v=""/>
    <s v="Q06225"/>
    <n v="0"/>
    <n v="-57838.213940000001"/>
    <x v="2"/>
  </r>
  <r>
    <x v="2"/>
    <s v="TP"/>
    <x v="9"/>
    <x v="4"/>
    <s v="IF0001"/>
    <s v="Flour Import Elngm 25Kg"/>
    <x v="5"/>
    <x v="1"/>
    <d v="2025-07-08T00:00:00"/>
    <s v="SCRP"/>
    <s v="TRANSPORTATION LOSS - 7597 ALNWA"/>
    <x v="118"/>
    <s v="Loss"/>
    <x v="1"/>
    <x v="4"/>
    <x v="0"/>
    <s v="a.bakri"/>
    <n v="-1"/>
    <n v="-2.5000000000000001E-2"/>
    <n v="28919.106970000001"/>
    <s v=""/>
    <s v="000002"/>
    <s v="X04353"/>
    <s v=""/>
    <s v="Q06225"/>
    <n v="0"/>
    <n v="-28919.106970000001"/>
    <x v="2"/>
  </r>
  <r>
    <x v="2"/>
    <s v="TP"/>
    <x v="9"/>
    <x v="4"/>
    <s v="IF0001"/>
    <s v="Flour Import Elngm 25Kg"/>
    <x v="5"/>
    <x v="1"/>
    <d v="2025-07-08T00:00:00"/>
    <s v="SCRP"/>
    <s v="TRANSPORTATION LOSS - 7599 DALTA"/>
    <x v="118"/>
    <s v="Loss"/>
    <x v="1"/>
    <x v="4"/>
    <x v="0"/>
    <s v="a.bakri"/>
    <n v="-1"/>
    <n v="-2.5000000000000001E-2"/>
    <n v="28919.106970000001"/>
    <s v=""/>
    <s v="000003"/>
    <s v="X04354"/>
    <s v=""/>
    <s v="Q06225"/>
    <n v="0"/>
    <n v="-28919.106970000001"/>
    <x v="2"/>
  </r>
  <r>
    <x v="2"/>
    <s v="TP"/>
    <x v="9"/>
    <x v="4"/>
    <s v="IF0001"/>
    <s v="Flour Import Elngm 25Kg"/>
    <x v="5"/>
    <x v="1"/>
    <d v="2025-07-08T00:00:00"/>
    <s v="SCRP"/>
    <s v="TRANSPORTATION LOSS - 7633 DALTA"/>
    <x v="118"/>
    <s v="Loss"/>
    <x v="1"/>
    <x v="4"/>
    <x v="0"/>
    <s v="a.bakri"/>
    <n v="-5"/>
    <n v="-0.125"/>
    <n v="28919.106970000001"/>
    <s v=""/>
    <s v="000004"/>
    <s v="X04355"/>
    <s v=""/>
    <s v="Q06225"/>
    <n v="0"/>
    <n v="-144595.53485"/>
    <x v="2"/>
  </r>
  <r>
    <x v="2"/>
    <s v="TP"/>
    <x v="9"/>
    <x v="4"/>
    <s v="IF0001"/>
    <s v="Flour Import Elngm 25Kg"/>
    <x v="5"/>
    <x v="1"/>
    <d v="2025-07-08T00:00:00"/>
    <s v="SCRP"/>
    <s v="TRANSPORTATION LOSS - 7634 ALNWA"/>
    <x v="118"/>
    <s v="Loss"/>
    <x v="1"/>
    <x v="4"/>
    <x v="0"/>
    <s v="a.bakri"/>
    <n v="-1"/>
    <n v="-2.5000000000000001E-2"/>
    <n v="28919.106970000001"/>
    <s v=""/>
    <s v="000005"/>
    <s v="X04356"/>
    <s v=""/>
    <s v="Q06225"/>
    <n v="0"/>
    <n v="-28919.106970000001"/>
    <x v="2"/>
  </r>
  <r>
    <x v="2"/>
    <s v="TP"/>
    <x v="9"/>
    <x v="4"/>
    <s v="IF0001"/>
    <s v="Flour Import Elngm 25Kg"/>
    <x v="5"/>
    <x v="1"/>
    <d v="2025-07-08T00:00:00"/>
    <s v="SCRP"/>
    <s v="TRANSPORTATION LOSS - 7638 ALNWA"/>
    <x v="118"/>
    <s v="Loss"/>
    <x v="1"/>
    <x v="4"/>
    <x v="0"/>
    <s v="a.bakri"/>
    <n v="-1"/>
    <n v="-2.5000000000000001E-2"/>
    <n v="28919.106970000001"/>
    <s v=""/>
    <s v="000006"/>
    <s v="X04357"/>
    <s v=""/>
    <s v="Q06225"/>
    <n v="0"/>
    <n v="-28919.106970000001"/>
    <x v="2"/>
  </r>
  <r>
    <x v="2"/>
    <s v="TP"/>
    <x v="9"/>
    <x v="4"/>
    <s v="IF0001"/>
    <s v="Flour Import Elngm 25Kg"/>
    <x v="5"/>
    <x v="1"/>
    <d v="2025-07-08T00:00:00"/>
    <s v="SCRP"/>
    <s v="TRANSPORTATION LOSS - 7643 ALNWA"/>
    <x v="118"/>
    <s v="Loss"/>
    <x v="1"/>
    <x v="4"/>
    <x v="0"/>
    <s v="a.bakri"/>
    <n v="-2"/>
    <n v="-0.05"/>
    <n v="28919.106970000001"/>
    <s v=""/>
    <s v="000007"/>
    <s v="X04358"/>
    <s v=""/>
    <s v="Q06225"/>
    <n v="0"/>
    <n v="-57838.213940000001"/>
    <x v="2"/>
  </r>
  <r>
    <x v="2"/>
    <s v="TP"/>
    <x v="9"/>
    <x v="4"/>
    <s v="IF0001"/>
    <s v="Flour Import Elngm 25Kg"/>
    <x v="5"/>
    <x v="1"/>
    <d v="2025-07-08T00:00:00"/>
    <s v="SCRP"/>
    <s v="TRANSPORTATION LOSS - 7649 DALTA"/>
    <x v="118"/>
    <s v="Loss"/>
    <x v="1"/>
    <x v="4"/>
    <x v="0"/>
    <s v="a.bakri"/>
    <n v="-1"/>
    <n v="-2.5000000000000001E-2"/>
    <n v="28919.106970000001"/>
    <s v=""/>
    <s v="000008"/>
    <s v="X04359"/>
    <s v=""/>
    <s v="Q06225"/>
    <n v="0"/>
    <n v="-28919.106970000001"/>
    <x v="2"/>
  </r>
  <r>
    <x v="7"/>
    <s v="TM"/>
    <x v="9"/>
    <x v="4"/>
    <s v="IF0001"/>
    <s v="Flour Import Elngm 25Kg"/>
    <x v="5"/>
    <x v="1"/>
    <d v="2025-08-03T00:00:00"/>
    <s v="SCRP"/>
    <s v="TRANSPORTAION LOSS   - 19274 -  ALUMDA"/>
    <x v="118"/>
    <s v="Loss"/>
    <x v="1"/>
    <x v="4"/>
    <x v="0"/>
    <s v="702012"/>
    <n v="-400"/>
    <n v="-10"/>
    <n v="37596.649819999999"/>
    <s v=""/>
    <s v="000000"/>
    <s v="X04454"/>
    <s v=""/>
    <s v="Q06230"/>
    <n v="0"/>
    <n v="-15038659.927999999"/>
    <x v="2"/>
  </r>
  <r>
    <x v="7"/>
    <s v="TM"/>
    <x v="9"/>
    <x v="4"/>
    <s v="IF0001"/>
    <s v="Flour Import Elngm 25Kg"/>
    <x v="5"/>
    <x v="1"/>
    <d v="2025-08-03T00:00:00"/>
    <s v="SCRP"/>
    <s v="TRANSPORTAION LOSS   - 19274 -  ALUMDA"/>
    <x v="118"/>
    <s v="Loss"/>
    <x v="1"/>
    <x v="4"/>
    <x v="0"/>
    <s v="702012"/>
    <n v="-61"/>
    <n v="-1.5249999999999999"/>
    <n v="37596.649819999999"/>
    <s v=""/>
    <s v="000001"/>
    <s v="X04454"/>
    <s v=""/>
    <s v="Q06232"/>
    <n v="0"/>
    <n v="-2293395.6390200001"/>
    <x v="2"/>
  </r>
  <r>
    <x v="7"/>
    <s v="TW"/>
    <x v="9"/>
    <x v="2"/>
    <s v="WS0001"/>
    <s v="White Sugar"/>
    <x v="4"/>
    <x v="1"/>
    <d v="2025-08-04T00:00:00"/>
    <s v="SCRP"/>
    <s v="TRANSPORTAION LOSS - 17052 - DARKA"/>
    <x v="118"/>
    <s v="Loss"/>
    <x v="1"/>
    <x v="4"/>
    <x v="0"/>
    <s v="702012"/>
    <n v="-2"/>
    <n v="-0.1"/>
    <n v="101786.86455"/>
    <s v=""/>
    <s v="000000"/>
    <s v="X04455"/>
    <s v=""/>
    <s v="A00859"/>
    <n v="0"/>
    <n v="-203573.7291"/>
    <x v="1"/>
  </r>
  <r>
    <x v="7"/>
    <s v="TF"/>
    <x v="9"/>
    <x v="4"/>
    <s v="NF0001"/>
    <s v="Alnajm Flour from Mill 25KG"/>
    <x v="15"/>
    <x v="1"/>
    <d v="2025-08-04T00:00:00"/>
    <s v="SCRP"/>
    <s v="TRANSPORTAION LOSS -  21586  - QUICK"/>
    <x v="118"/>
    <s v="Loss"/>
    <x v="1"/>
    <x v="4"/>
    <x v="0"/>
    <s v="702012"/>
    <n v="-42"/>
    <n v="-1.05"/>
    <n v="37596.649819999999"/>
    <s v=""/>
    <s v="000000"/>
    <s v="X04456"/>
    <s v=""/>
    <s v="P03770"/>
    <n v="0"/>
    <n v="-1579059.29244"/>
    <x v="2"/>
  </r>
  <r>
    <x v="7"/>
    <s v="TM"/>
    <x v="9"/>
    <x v="5"/>
    <s v="LE0001"/>
    <s v="Lentil TAT 20KG"/>
    <x v="7"/>
    <x v="1"/>
    <d v="2025-08-05T00:00:00"/>
    <s v="SCRP"/>
    <s v="TRANSPORTAION LOSS -  20187  Al Hamada"/>
    <x v="118"/>
    <s v="Loss"/>
    <x v="1"/>
    <x v="4"/>
    <x v="0"/>
    <s v="702012"/>
    <n v="-2"/>
    <n v="-0.04"/>
    <n v="53401.105539999997"/>
    <s v=""/>
    <s v="000000"/>
    <s v="X04461"/>
    <s v=""/>
    <s v="Q06235"/>
    <n v="0"/>
    <n v="-106802.21107999999"/>
    <x v="3"/>
  </r>
  <r>
    <x v="7"/>
    <s v="TM"/>
    <x v="9"/>
    <x v="5"/>
    <s v="LE0001"/>
    <s v="Lentil TAT 20KG"/>
    <x v="7"/>
    <x v="1"/>
    <d v="2025-08-05T00:00:00"/>
    <s v="SCRP"/>
    <s v="TRANSPORTAION  LOSS -  20188  Al Hamada"/>
    <x v="118"/>
    <s v="Loss"/>
    <x v="1"/>
    <x v="4"/>
    <x v="0"/>
    <s v="702012"/>
    <n v="-1"/>
    <n v="-0.02"/>
    <n v="53401.105539999997"/>
    <s v=""/>
    <s v="000001"/>
    <s v="X04462"/>
    <s v=""/>
    <s v="Q06235"/>
    <n v="0"/>
    <n v="-53401.105539999997"/>
    <x v="3"/>
  </r>
  <r>
    <x v="7"/>
    <s v="TM"/>
    <x v="9"/>
    <x v="5"/>
    <s v="LE0001"/>
    <s v="Lentil TAT 20KG"/>
    <x v="7"/>
    <x v="1"/>
    <d v="2025-08-05T00:00:00"/>
    <s v="SCRP"/>
    <s v="TRANSPORTAION  LOSS -  20188  Al Hamada"/>
    <x v="118"/>
    <s v="Loss"/>
    <x v="1"/>
    <x v="4"/>
    <x v="0"/>
    <s v="702012"/>
    <n v="-1"/>
    <n v="-0.02"/>
    <n v="53401.105539999997"/>
    <s v=""/>
    <s v="000002"/>
    <s v="X04462"/>
    <s v=""/>
    <s v="Q06253"/>
    <n v="0"/>
    <n v="-53401.105539999997"/>
    <x v="3"/>
  </r>
  <r>
    <x v="7"/>
    <s v="TM"/>
    <x v="9"/>
    <x v="5"/>
    <s v="LE0001"/>
    <s v="Lentil TAT 20KG"/>
    <x v="7"/>
    <x v="1"/>
    <d v="2025-08-05T00:00:00"/>
    <s v="SCRP"/>
    <s v="TRANSPORTAION LOSS -  20200 -  Darka"/>
    <x v="118"/>
    <s v="Loss"/>
    <x v="1"/>
    <x v="4"/>
    <x v="0"/>
    <s v="702012"/>
    <n v="-67"/>
    <n v="-1.34"/>
    <n v="53401.105539999997"/>
    <s v=""/>
    <s v="000003"/>
    <s v="X04463"/>
    <s v=""/>
    <s v="Q06253"/>
    <n v="0"/>
    <n v="-3577874.07118"/>
    <x v="3"/>
  </r>
  <r>
    <x v="7"/>
    <s v="TM"/>
    <x v="9"/>
    <x v="5"/>
    <s v="LE0001"/>
    <s v="Lentil TAT 20KG"/>
    <x v="7"/>
    <x v="1"/>
    <d v="2025-08-05T00:00:00"/>
    <s v="SCRP"/>
    <s v="TRANSPORTAION LOSS  -  21178  Yousif Alfaki"/>
    <x v="118"/>
    <s v="Loss"/>
    <x v="1"/>
    <x v="4"/>
    <x v="0"/>
    <s v="702012"/>
    <n v="-3"/>
    <n v="-0.06"/>
    <n v="53401.105539999997"/>
    <s v=""/>
    <s v="000004"/>
    <s v="X04465"/>
    <s v=""/>
    <s v="Q06253"/>
    <n v="0"/>
    <n v="-160203.31662"/>
    <x v="3"/>
  </r>
  <r>
    <x v="7"/>
    <s v="TF"/>
    <x v="9"/>
    <x v="4"/>
    <s v="NF0001"/>
    <s v="Alnajm Flour from Mill 25KG"/>
    <x v="15"/>
    <x v="1"/>
    <d v="2025-08-06T00:00:00"/>
    <s v="SCRP"/>
    <s v="Transportation loss -  4804  - Riaba"/>
    <x v="118"/>
    <s v="Loss"/>
    <x v="1"/>
    <x v="4"/>
    <x v="0"/>
    <s v="702012"/>
    <n v="-108"/>
    <n v="-2.7"/>
    <n v="37596.649819999999"/>
    <s v=""/>
    <s v="000000"/>
    <s v="X04467"/>
    <s v=""/>
    <s v="P03770"/>
    <n v="0"/>
    <n v="-4060438.1805599998"/>
    <x v="2"/>
  </r>
  <r>
    <x v="7"/>
    <s v="TM"/>
    <x v="9"/>
    <x v="4"/>
    <s v="IF0001"/>
    <s v="Flour Import Elngm 25Kg"/>
    <x v="5"/>
    <x v="1"/>
    <d v="2025-08-11T00:00:00"/>
    <s v="SCRP"/>
    <s v="TRANSPORTATION LOSS - 19279 ALOMDA"/>
    <x v="118"/>
    <s v="Loss"/>
    <x v="1"/>
    <x v="4"/>
    <x v="0"/>
    <s v="a.bakri"/>
    <n v="-2"/>
    <n v="-0.05"/>
    <n v="37596.649819999999"/>
    <s v=""/>
    <s v="000004"/>
    <s v="X04472"/>
    <s v=""/>
    <s v="Q06232"/>
    <n v="0"/>
    <n v="-75193.299639999997"/>
    <x v="2"/>
  </r>
  <r>
    <x v="7"/>
    <s v="TM"/>
    <x v="9"/>
    <x v="4"/>
    <s v="IF0001"/>
    <s v="Flour Import Elngm 25Kg"/>
    <x v="5"/>
    <x v="1"/>
    <d v="2025-08-11T00:00:00"/>
    <s v="SCRP"/>
    <s v="TRANSPORTATION LOSS - 19279 ALOMDA"/>
    <x v="118"/>
    <s v="Loss"/>
    <x v="1"/>
    <x v="4"/>
    <x v="0"/>
    <s v="a.bakri"/>
    <n v="-2"/>
    <n v="-0.05"/>
    <n v="37596.649819999999"/>
    <s v=""/>
    <s v="000005"/>
    <s v="X04472"/>
    <s v=""/>
    <s v="A00876"/>
    <n v="0"/>
    <n v="-75193.299639999997"/>
    <x v="2"/>
  </r>
  <r>
    <x v="7"/>
    <s v="TM"/>
    <x v="9"/>
    <x v="4"/>
    <s v="IF0001"/>
    <s v="Flour Import Elngm 25Kg"/>
    <x v="5"/>
    <x v="1"/>
    <d v="2025-08-11T00:00:00"/>
    <s v="SCRP"/>
    <s v="TRANSPORTATION LOSS - 19282 ALOMDA"/>
    <x v="118"/>
    <s v="Loss"/>
    <x v="1"/>
    <x v="4"/>
    <x v="0"/>
    <s v="a.bakri"/>
    <n v="-1"/>
    <n v="-2.5000000000000001E-2"/>
    <n v="37596.649819999999"/>
    <s v=""/>
    <s v="000006"/>
    <s v="X04473"/>
    <s v=""/>
    <s v="A00876"/>
    <n v="0"/>
    <n v="-37596.649819999999"/>
    <x v="2"/>
  </r>
  <r>
    <x v="7"/>
    <s v="TM"/>
    <x v="9"/>
    <x v="4"/>
    <s v="IF0001"/>
    <s v="Flour Import Elngm 25Kg"/>
    <x v="5"/>
    <x v="1"/>
    <d v="2025-08-11T00:00:00"/>
    <s v="SCRP"/>
    <s v="TRANSPORTATION LOSS - 19285 ALOMDA"/>
    <x v="118"/>
    <s v="Loss"/>
    <x v="1"/>
    <x v="4"/>
    <x v="0"/>
    <s v="a.bakri"/>
    <n v="-1"/>
    <n v="-2.5000000000000001E-2"/>
    <n v="37596.649819999999"/>
    <s v=""/>
    <s v="000007"/>
    <s v="X04474"/>
    <s v=""/>
    <s v="A00876"/>
    <n v="0"/>
    <n v="-37596.649819999999"/>
    <x v="2"/>
  </r>
  <r>
    <x v="7"/>
    <s v="TM"/>
    <x v="9"/>
    <x v="4"/>
    <s v="IF0001"/>
    <s v="Flour Import Elngm 25Kg"/>
    <x v="5"/>
    <x v="1"/>
    <d v="2025-08-11T00:00:00"/>
    <s v="SCRP"/>
    <s v="TRANSPORTATION LOSS - 19286 ALOMDA"/>
    <x v="118"/>
    <s v="Loss"/>
    <x v="1"/>
    <x v="4"/>
    <x v="0"/>
    <s v="a.bakri"/>
    <n v="-1"/>
    <n v="-2.5000000000000001E-2"/>
    <n v="37596.649819999999"/>
    <s v=""/>
    <s v="000008"/>
    <s v="X04475"/>
    <s v=""/>
    <s v="A00876"/>
    <n v="0"/>
    <n v="-37596.649819999999"/>
    <x v="2"/>
  </r>
  <r>
    <x v="7"/>
    <s v="TM"/>
    <x v="9"/>
    <x v="4"/>
    <s v="IF0001"/>
    <s v="Flour Import Elngm 25Kg"/>
    <x v="5"/>
    <x v="1"/>
    <d v="2025-08-11T00:00:00"/>
    <s v="SCRP"/>
    <s v="TRANSPORTATION LOSS - 19252 ALOMDA"/>
    <x v="118"/>
    <s v="Loss"/>
    <x v="1"/>
    <x v="4"/>
    <x v="0"/>
    <s v="a.bakri"/>
    <n v="-2"/>
    <n v="-0.05"/>
    <n v="37596.649819999999"/>
    <s v=""/>
    <s v="000000"/>
    <s v="X04468"/>
    <s v=""/>
    <s v="Q06232"/>
    <n v="0"/>
    <n v="-75193.299639999997"/>
    <x v="2"/>
  </r>
  <r>
    <x v="7"/>
    <s v="TM"/>
    <x v="9"/>
    <x v="4"/>
    <s v="IF0001"/>
    <s v="Flour Import Elngm 25Kg"/>
    <x v="5"/>
    <x v="1"/>
    <d v="2025-08-11T00:00:00"/>
    <s v="SCRP"/>
    <s v="TRANSPORTATION LOSS - 19264 ALOMDA"/>
    <x v="118"/>
    <s v="Loss"/>
    <x v="1"/>
    <x v="4"/>
    <x v="0"/>
    <s v="a.bakri"/>
    <n v="-8"/>
    <n v="-0.2"/>
    <n v="37596.649819999999"/>
    <s v=""/>
    <s v="000001"/>
    <s v="X04469"/>
    <s v=""/>
    <s v="Q06232"/>
    <n v="0"/>
    <n v="-300773.19855999999"/>
    <x v="2"/>
  </r>
  <r>
    <x v="7"/>
    <s v="TM"/>
    <x v="9"/>
    <x v="4"/>
    <s v="IF0001"/>
    <s v="Flour Import Elngm 25Kg"/>
    <x v="5"/>
    <x v="1"/>
    <d v="2025-08-11T00:00:00"/>
    <s v="SCRP"/>
    <s v="TRANSPORTATION LOSS - 19271 ALOMDA"/>
    <x v="118"/>
    <s v="Loss"/>
    <x v="1"/>
    <x v="4"/>
    <x v="0"/>
    <s v="a.bakri"/>
    <n v="-1"/>
    <n v="-2.5000000000000001E-2"/>
    <n v="37596.649819999999"/>
    <s v=""/>
    <s v="000002"/>
    <s v="X04470"/>
    <s v=""/>
    <s v="Q06232"/>
    <n v="0"/>
    <n v="-37596.649819999999"/>
    <x v="2"/>
  </r>
  <r>
    <x v="7"/>
    <s v="IS"/>
    <x v="9"/>
    <x v="4"/>
    <s v="NF0001"/>
    <s v="Alnajm Flour from Mill 25KG"/>
    <x v="15"/>
    <x v="1"/>
    <d v="2025-08-21T00:00:00"/>
    <s v="SCRP"/>
    <s v="TRANSPORTATION LOSS - 3773 ANJAL"/>
    <x v="118"/>
    <s v="Loss"/>
    <x v="1"/>
    <x v="4"/>
    <x v="0"/>
    <s v="a.bakri"/>
    <n v="-2"/>
    <n v="-0.05"/>
    <n v="37596.649819999999"/>
    <s v=""/>
    <s v="000000"/>
    <s v="X04499"/>
    <s v=""/>
    <s v="P03784"/>
    <n v="0"/>
    <n v="-75193.299639999997"/>
    <x v="2"/>
  </r>
  <r>
    <x v="7"/>
    <s v="IS"/>
    <x v="9"/>
    <x v="4"/>
    <s v="NF0001"/>
    <s v="Alnajm Flour from Mill 25KG"/>
    <x v="15"/>
    <x v="1"/>
    <d v="2025-08-21T00:00:00"/>
    <s v="SCRP"/>
    <s v="TRANSPORTATION LOSS - 3989 DARKA"/>
    <x v="118"/>
    <s v="Loss"/>
    <x v="1"/>
    <x v="4"/>
    <x v="0"/>
    <s v="a.bakri"/>
    <n v="-6"/>
    <n v="-0.15"/>
    <n v="37596.649819999999"/>
    <s v=""/>
    <s v="000001"/>
    <s v="X04500"/>
    <s v=""/>
    <s v="P03784"/>
    <n v="0"/>
    <n v="-225579.89892000001"/>
    <x v="2"/>
  </r>
  <r>
    <x v="7"/>
    <s v="IS"/>
    <x v="9"/>
    <x v="4"/>
    <s v="NF0001"/>
    <s v="Alnajm Flour from Mill 25KG"/>
    <x v="15"/>
    <x v="1"/>
    <d v="2025-08-21T00:00:00"/>
    <s v="SCRP"/>
    <s v="TRANSPORTATION LOSS - 4004 ANJAL"/>
    <x v="118"/>
    <s v="Loss"/>
    <x v="1"/>
    <x v="4"/>
    <x v="0"/>
    <s v="a.bakri"/>
    <n v="-1"/>
    <n v="-2.5000000000000001E-2"/>
    <n v="37596.649819999999"/>
    <s v=""/>
    <s v="000002"/>
    <s v="X04501"/>
    <s v=""/>
    <s v="P03784"/>
    <n v="0"/>
    <n v="-37596.649819999999"/>
    <x v="2"/>
  </r>
  <r>
    <x v="7"/>
    <s v="IS"/>
    <x v="9"/>
    <x v="4"/>
    <s v="NF0001"/>
    <s v="Alnajm Flour from Mill 25KG"/>
    <x v="15"/>
    <x v="1"/>
    <d v="2025-08-21T00:00:00"/>
    <s v="SCRP"/>
    <s v="TRANSPORTATION LOSS - 4021 ANJAL"/>
    <x v="118"/>
    <s v="Loss"/>
    <x v="1"/>
    <x v="4"/>
    <x v="0"/>
    <s v="a.bakri"/>
    <n v="-11"/>
    <n v="-0.27500000000000002"/>
    <n v="37596.649819999999"/>
    <s v=""/>
    <s v="000003"/>
    <s v="X04502"/>
    <s v=""/>
    <s v="P03784"/>
    <n v="0"/>
    <n v="-413563.14801999996"/>
    <x v="2"/>
  </r>
  <r>
    <x v="7"/>
    <s v="IS"/>
    <x v="9"/>
    <x v="4"/>
    <s v="NF0001"/>
    <s v="Alnajm Flour from Mill 25KG"/>
    <x v="15"/>
    <x v="1"/>
    <d v="2025-08-21T00:00:00"/>
    <s v="SCRP"/>
    <s v="TRANSPORTATION LOSS - 4031 ALTAF"/>
    <x v="118"/>
    <s v="Loss"/>
    <x v="1"/>
    <x v="4"/>
    <x v="0"/>
    <s v="a.bakri"/>
    <n v="-5"/>
    <n v="-0.125"/>
    <n v="37596.649819999999"/>
    <s v=""/>
    <s v="000004"/>
    <s v="X04503"/>
    <s v=""/>
    <s v="P03784"/>
    <n v="0"/>
    <n v="-187983.24909999999"/>
    <x v="2"/>
  </r>
  <r>
    <x v="7"/>
    <s v="IS"/>
    <x v="9"/>
    <x v="4"/>
    <s v="NF0001"/>
    <s v="Alnajm Flour from Mill 25KG"/>
    <x v="15"/>
    <x v="1"/>
    <d v="2025-08-21T00:00:00"/>
    <s v="SCRP"/>
    <s v="TRANSPORTATION LOSS - 4058 ALNWA"/>
    <x v="118"/>
    <s v="Loss"/>
    <x v="1"/>
    <x v="4"/>
    <x v="0"/>
    <s v="a.bakri"/>
    <n v="-6"/>
    <n v="-0.15"/>
    <n v="37596.649819999999"/>
    <s v=""/>
    <s v="000005"/>
    <s v="X04504"/>
    <s v=""/>
    <s v="P03784"/>
    <n v="0"/>
    <n v="-225579.89892000001"/>
    <x v="2"/>
  </r>
  <r>
    <x v="7"/>
    <s v="IS"/>
    <x v="9"/>
    <x v="4"/>
    <s v="NF0001"/>
    <s v="Alnajm Flour from Mill 25KG"/>
    <x v="15"/>
    <x v="1"/>
    <d v="2025-08-21T00:00:00"/>
    <s v="SCRP"/>
    <s v="TRANSPORTATION LOSS - 4083 ANJAL"/>
    <x v="118"/>
    <s v="Loss"/>
    <x v="1"/>
    <x v="4"/>
    <x v="0"/>
    <s v="a.bakri"/>
    <n v="-1"/>
    <n v="-2.5000000000000001E-2"/>
    <n v="37596.649819999999"/>
    <s v=""/>
    <s v="000006"/>
    <s v="X04505"/>
    <s v=""/>
    <s v="P03784"/>
    <n v="0"/>
    <n v="-37596.649819999999"/>
    <x v="2"/>
  </r>
  <r>
    <x v="7"/>
    <s v="IS"/>
    <x v="9"/>
    <x v="4"/>
    <s v="NF0001"/>
    <s v="Alnajm Flour from Mill 25KG"/>
    <x v="15"/>
    <x v="1"/>
    <d v="2025-08-21T00:00:00"/>
    <s v="SCRP"/>
    <s v="TRANSPORTATION LOSS - 4085 ALKASIR"/>
    <x v="118"/>
    <s v="Loss"/>
    <x v="1"/>
    <x v="4"/>
    <x v="0"/>
    <s v="a.bakri"/>
    <n v="-19"/>
    <n v="-0.47499999999999998"/>
    <n v="37596.649819999999"/>
    <s v=""/>
    <s v="000007"/>
    <s v="X04506"/>
    <s v=""/>
    <s v="P03784"/>
    <n v="0"/>
    <n v="-714336.34658000001"/>
    <x v="2"/>
  </r>
  <r>
    <x v="7"/>
    <s v="IS"/>
    <x v="9"/>
    <x v="4"/>
    <s v="NF0001"/>
    <s v="Alnajm Flour from Mill 25KG"/>
    <x v="15"/>
    <x v="1"/>
    <d v="2025-08-21T00:00:00"/>
    <s v="SCRP"/>
    <s v="TRANSPORTATION LOSS - 4729 ANJAL"/>
    <x v="118"/>
    <s v="Loss"/>
    <x v="1"/>
    <x v="4"/>
    <x v="0"/>
    <s v="a.bakri"/>
    <n v="-28"/>
    <n v="-0.7"/>
    <n v="37596.649819999999"/>
    <s v=""/>
    <s v="000008"/>
    <s v="X04507"/>
    <s v=""/>
    <s v="P03784"/>
    <n v="0"/>
    <n v="-1052706.19496"/>
    <x v="2"/>
  </r>
  <r>
    <x v="7"/>
    <s v="IS"/>
    <x v="9"/>
    <x v="4"/>
    <s v="NF0001"/>
    <s v="Alnajm Flour from Mill 25KG"/>
    <x v="15"/>
    <x v="1"/>
    <d v="2025-08-21T00:00:00"/>
    <s v="SCRP"/>
    <s v="TRANSPORTATION LOSS - 4835 ALNWA"/>
    <x v="118"/>
    <s v="Loss"/>
    <x v="1"/>
    <x v="4"/>
    <x v="0"/>
    <s v="a.bakri"/>
    <n v="-3"/>
    <n v="-7.4999999999999997E-2"/>
    <n v="37596.649819999999"/>
    <s v=""/>
    <s v="000009"/>
    <s v="X04508"/>
    <s v=""/>
    <s v="P03784"/>
    <n v="0"/>
    <n v="-112789.94946"/>
    <x v="2"/>
  </r>
  <r>
    <x v="7"/>
    <s v="TF"/>
    <x v="9"/>
    <x v="4"/>
    <s v="NF0001"/>
    <s v="Alnajm Flour from Mill 25KG"/>
    <x v="15"/>
    <x v="1"/>
    <d v="2025-08-21T00:00:00"/>
    <s v="SCRP"/>
    <s v="TRANSPORTATION LOSS - 4061 RIBA"/>
    <x v="118"/>
    <s v="Loss"/>
    <x v="1"/>
    <x v="4"/>
    <x v="0"/>
    <s v="a.bakri"/>
    <n v="-1"/>
    <n v="-2.5000000000000001E-2"/>
    <n v="37596.649819999999"/>
    <s v=""/>
    <s v="000000"/>
    <s v="X04509"/>
    <s v=""/>
    <s v="P03787"/>
    <n v="0"/>
    <n v="-37596.649819999999"/>
    <x v="2"/>
  </r>
  <r>
    <x v="7"/>
    <s v="TF"/>
    <x v="9"/>
    <x v="4"/>
    <s v="NF0001"/>
    <s v="Alnajm Flour from Mill 25KG"/>
    <x v="15"/>
    <x v="1"/>
    <d v="2025-08-21T00:00:00"/>
    <s v="SCRP"/>
    <s v="TRANSPORTATION LOSS - 4077 RIBA"/>
    <x v="118"/>
    <s v="Loss"/>
    <x v="1"/>
    <x v="4"/>
    <x v="0"/>
    <s v="a.bakri"/>
    <n v="-29"/>
    <n v="-0.72499999999999998"/>
    <n v="37596.649819999999"/>
    <s v=""/>
    <s v="000001"/>
    <s v="X04510"/>
    <s v=""/>
    <s v="P03787"/>
    <n v="0"/>
    <n v="-1090302.8447799999"/>
    <x v="2"/>
  </r>
  <r>
    <x v="7"/>
    <s v="TF"/>
    <x v="9"/>
    <x v="4"/>
    <s v="NF0001"/>
    <s v="Alnajm Flour from Mill 25KG"/>
    <x v="15"/>
    <x v="1"/>
    <d v="2025-08-21T00:00:00"/>
    <s v="SCRP"/>
    <s v="TRANSPORTATION LOSS - 4079 RIBA"/>
    <x v="118"/>
    <s v="Loss"/>
    <x v="1"/>
    <x v="4"/>
    <x v="0"/>
    <s v="a.bakri"/>
    <n v="-1"/>
    <n v="-2.5000000000000001E-2"/>
    <n v="37596.649819999999"/>
    <s v=""/>
    <s v="000002"/>
    <s v="X04511"/>
    <s v=""/>
    <s v="P03787"/>
    <n v="0"/>
    <n v="-37596.649819999999"/>
    <x v="2"/>
  </r>
  <r>
    <x v="7"/>
    <s v="IS"/>
    <x v="9"/>
    <x v="4"/>
    <s v="NF0001"/>
    <s v="Alnajm Flour from Mill 25KG"/>
    <x v="15"/>
    <x v="1"/>
    <d v="2025-08-25T00:00:00"/>
    <s v="SCRP"/>
    <s v="TRANSPORTATION LOSS - 3771 ANJAL"/>
    <x v="118"/>
    <s v="Loss"/>
    <x v="1"/>
    <x v="4"/>
    <x v="0"/>
    <s v="a.bakri"/>
    <n v="-279"/>
    <n v="-6.9749999999999996"/>
    <n v="37596.649819999999"/>
    <s v=""/>
    <s v="000000"/>
    <s v="X04513"/>
    <s v=""/>
    <s v="P03790"/>
    <n v="0"/>
    <n v="-10489465.29978"/>
    <x v="2"/>
  </r>
  <r>
    <x v="7"/>
    <s v="IS"/>
    <x v="9"/>
    <x v="4"/>
    <s v="NF0001"/>
    <s v="Alnajm Flour from Mill 25KG"/>
    <x v="15"/>
    <x v="1"/>
    <d v="2025-08-25T00:00:00"/>
    <s v="SCRP"/>
    <s v="TRANSPORTATION LOSS - 4048 ANJAL"/>
    <x v="118"/>
    <s v="Loss"/>
    <x v="1"/>
    <x v="4"/>
    <x v="0"/>
    <s v="a.bakri"/>
    <n v="-5"/>
    <n v="-0.125"/>
    <n v="37596.649819999999"/>
    <s v=""/>
    <s v="000001"/>
    <s v="X04514"/>
    <s v=""/>
    <s v="P03790"/>
    <n v="0"/>
    <n v="-187983.24909999999"/>
    <x v="2"/>
  </r>
  <r>
    <x v="7"/>
    <s v="IS"/>
    <x v="9"/>
    <x v="4"/>
    <s v="NF0001"/>
    <s v="Alnajm Flour from Mill 25KG"/>
    <x v="15"/>
    <x v="1"/>
    <d v="2025-08-25T00:00:00"/>
    <s v="SCRP"/>
    <s v="TRANSPORTATION LOSS - 4076 RIBA"/>
    <x v="118"/>
    <s v="Loss"/>
    <x v="1"/>
    <x v="4"/>
    <x v="0"/>
    <s v="a.bakri"/>
    <n v="-22"/>
    <n v="-0.55000000000000004"/>
    <n v="37596.649819999999"/>
    <s v=""/>
    <s v="000002"/>
    <s v="X04515"/>
    <s v=""/>
    <s v="P03790"/>
    <n v="0"/>
    <n v="-827126.29603999993"/>
    <x v="2"/>
  </r>
  <r>
    <x v="7"/>
    <s v="IS"/>
    <x v="9"/>
    <x v="4"/>
    <s v="NF0001"/>
    <s v="Alnajm Flour from Mill 25KG"/>
    <x v="15"/>
    <x v="1"/>
    <d v="2025-08-25T00:00:00"/>
    <s v="SCRP"/>
    <s v="TRANSPORTATION LOSS - 4082 ANJAL"/>
    <x v="118"/>
    <s v="Loss"/>
    <x v="1"/>
    <x v="4"/>
    <x v="0"/>
    <s v="a.bakri"/>
    <n v="-15"/>
    <n v="-0.375"/>
    <n v="37596.649819999999"/>
    <s v=""/>
    <s v="000003"/>
    <s v="X04516"/>
    <s v=""/>
    <s v="P03790"/>
    <n v="0"/>
    <n v="-563949.74729999993"/>
    <x v="2"/>
  </r>
  <r>
    <x v="7"/>
    <s v="IS"/>
    <x v="9"/>
    <x v="4"/>
    <s v="NF0001"/>
    <s v="Alnajm Flour from Mill 25KG"/>
    <x v="15"/>
    <x v="1"/>
    <d v="2025-08-25T00:00:00"/>
    <s v="SCRP"/>
    <s v="TRANSPORTATION LOSS - 4119 BIG BOSS"/>
    <x v="118"/>
    <s v="Loss"/>
    <x v="1"/>
    <x v="4"/>
    <x v="0"/>
    <s v="a.bakri"/>
    <n v="-22"/>
    <n v="-0.55000000000000004"/>
    <n v="37596.649819999999"/>
    <s v=""/>
    <s v="000004"/>
    <s v="X04517"/>
    <s v=""/>
    <s v="P03790"/>
    <n v="0"/>
    <n v="-827126.29603999993"/>
    <x v="2"/>
  </r>
  <r>
    <x v="7"/>
    <s v="TF"/>
    <x v="9"/>
    <x v="4"/>
    <s v="NF0001"/>
    <s v="Alnajm Flour from Mill 25KG"/>
    <x v="15"/>
    <x v="1"/>
    <d v="2025-08-25T00:00:00"/>
    <s v="SCRP"/>
    <s v="TRANSPORTATION LOSS - 3797 ALWAHSHAB"/>
    <x v="118"/>
    <s v="Loss"/>
    <x v="1"/>
    <x v="4"/>
    <x v="0"/>
    <s v="a.bakri"/>
    <n v="-45"/>
    <n v="-1.125"/>
    <n v="37596.649819999999"/>
    <s v=""/>
    <s v="000000"/>
    <s v="X04518"/>
    <s v=""/>
    <s v="P03793"/>
    <n v="0"/>
    <n v="-1691849.2419"/>
    <x v="2"/>
  </r>
  <r>
    <x v="7"/>
    <s v="TF"/>
    <x v="9"/>
    <x v="4"/>
    <s v="NF0001"/>
    <s v="Alnajm Flour from Mill 25KG"/>
    <x v="15"/>
    <x v="1"/>
    <d v="2025-08-25T00:00:00"/>
    <s v="SCRP"/>
    <s v="TRANSPORTATION LOSS - 3798 ALWAHSHAB"/>
    <x v="118"/>
    <s v="Loss"/>
    <x v="1"/>
    <x v="4"/>
    <x v="0"/>
    <s v="a.bakri"/>
    <n v="-5"/>
    <n v="-0.125"/>
    <n v="37596.649819999999"/>
    <s v=""/>
    <s v="000001"/>
    <s v="X04519"/>
    <s v=""/>
    <s v="P03793"/>
    <n v="0"/>
    <n v="-187983.24909999999"/>
    <x v="2"/>
  </r>
  <r>
    <x v="7"/>
    <s v="TF"/>
    <x v="9"/>
    <x v="4"/>
    <s v="NF0001"/>
    <s v="Alnajm Flour from Mill 25KG"/>
    <x v="15"/>
    <x v="1"/>
    <d v="2025-08-25T00:00:00"/>
    <s v="SCRP"/>
    <s v="TRANSPORTATION LOSS - 3799 ALWAHSHAB"/>
    <x v="118"/>
    <s v="Loss"/>
    <x v="1"/>
    <x v="4"/>
    <x v="0"/>
    <s v="a.bakri"/>
    <n v="-2"/>
    <n v="-0.05"/>
    <n v="37596.649819999999"/>
    <s v=""/>
    <s v="000002"/>
    <s v="X04520"/>
    <s v=""/>
    <s v="P03793"/>
    <n v="0"/>
    <n v="-75193.299639999997"/>
    <x v="2"/>
  </r>
  <r>
    <x v="7"/>
    <s v="TF"/>
    <x v="9"/>
    <x v="4"/>
    <s v="NF0001"/>
    <s v="Alnajm Flour from Mill 25KG"/>
    <x v="15"/>
    <x v="1"/>
    <d v="2025-08-25T00:00:00"/>
    <s v="SCRP"/>
    <s v="TRANSPORTATION LOSS - 3801 ALWAHSHAB"/>
    <x v="118"/>
    <s v="Loss"/>
    <x v="1"/>
    <x v="4"/>
    <x v="0"/>
    <s v="a.bakri"/>
    <n v="-26"/>
    <n v="-0.65"/>
    <n v="37596.649819999999"/>
    <s v=""/>
    <s v="000003"/>
    <s v="X04521"/>
    <s v=""/>
    <s v="P03793"/>
    <n v="0"/>
    <n v="-977512.89532000001"/>
    <x v="2"/>
  </r>
  <r>
    <x v="7"/>
    <s v="TF"/>
    <x v="9"/>
    <x v="4"/>
    <s v="NF0001"/>
    <s v="Alnajm Flour from Mill 25KG"/>
    <x v="15"/>
    <x v="1"/>
    <d v="2025-08-25T00:00:00"/>
    <s v="SCRP"/>
    <s v="TRANSPORTATION LOSS - 3821 ALWAHSHAB"/>
    <x v="118"/>
    <s v="Loss"/>
    <x v="1"/>
    <x v="4"/>
    <x v="0"/>
    <s v="a.bakri"/>
    <n v="-21"/>
    <n v="-0.52500000000000002"/>
    <n v="37596.649819999999"/>
    <s v=""/>
    <s v="000004"/>
    <s v="X04522"/>
    <s v=""/>
    <s v="P03793"/>
    <n v="0"/>
    <n v="-789529.64622"/>
    <x v="2"/>
  </r>
  <r>
    <x v="7"/>
    <s v="TF"/>
    <x v="9"/>
    <x v="4"/>
    <s v="NF0001"/>
    <s v="Alnajm Flour from Mill 25KG"/>
    <x v="15"/>
    <x v="1"/>
    <d v="2025-08-25T00:00:00"/>
    <s v="SCRP"/>
    <s v="TRANSPORTATION LOSS - 3823 ALWAHSHAB"/>
    <x v="118"/>
    <s v="Loss"/>
    <x v="1"/>
    <x v="4"/>
    <x v="0"/>
    <s v="a.bakri"/>
    <n v="-29"/>
    <n v="-0.72499999999999998"/>
    <n v="37596.649819999999"/>
    <s v=""/>
    <s v="000005"/>
    <s v="X04523"/>
    <s v=""/>
    <s v="P03793"/>
    <n v="0"/>
    <n v="-1090302.8447799999"/>
    <x v="2"/>
  </r>
  <r>
    <x v="7"/>
    <s v="TF"/>
    <x v="9"/>
    <x v="4"/>
    <s v="NF0001"/>
    <s v="Alnajm Flour from Mill 25KG"/>
    <x v="15"/>
    <x v="1"/>
    <d v="2025-08-25T00:00:00"/>
    <s v="SCRP"/>
    <s v="TRANSPORTATION LOSS - 3824 ANJAL"/>
    <x v="118"/>
    <s v="Loss"/>
    <x v="1"/>
    <x v="4"/>
    <x v="0"/>
    <s v="a.bakri"/>
    <n v="-7"/>
    <n v="-0.17499999999999999"/>
    <n v="37596.649819999999"/>
    <s v=""/>
    <s v="000006"/>
    <s v="X04524"/>
    <s v=""/>
    <s v="P03793"/>
    <n v="0"/>
    <n v="-263176.54874"/>
    <x v="2"/>
  </r>
  <r>
    <x v="7"/>
    <s v="TF"/>
    <x v="9"/>
    <x v="4"/>
    <s v="NF0001"/>
    <s v="Alnajm Flour from Mill 25KG"/>
    <x v="15"/>
    <x v="1"/>
    <d v="2025-08-25T00:00:00"/>
    <s v="SCRP"/>
    <s v="TRANSPORTATION LOSS - 3853 ALKASIR"/>
    <x v="118"/>
    <s v="Loss"/>
    <x v="1"/>
    <x v="4"/>
    <x v="0"/>
    <s v="a.bakri"/>
    <n v="-5"/>
    <n v="-0.125"/>
    <n v="37596.649819999999"/>
    <s v=""/>
    <s v="000007"/>
    <s v="X04525"/>
    <s v=""/>
    <s v="P03793"/>
    <n v="0"/>
    <n v="-187983.24909999999"/>
    <x v="2"/>
  </r>
  <r>
    <x v="7"/>
    <s v="TF"/>
    <x v="9"/>
    <x v="4"/>
    <s v="NF0001"/>
    <s v="Alnajm Flour from Mill 25KG"/>
    <x v="15"/>
    <x v="1"/>
    <d v="2025-08-25T00:00:00"/>
    <s v="SCRP"/>
    <s v="TRANSPORTATION LOSS - 4072 DELTA"/>
    <x v="118"/>
    <s v="Loss"/>
    <x v="1"/>
    <x v="4"/>
    <x v="0"/>
    <s v="a.bakri"/>
    <n v="-6"/>
    <n v="-0.15"/>
    <n v="37596.649819999999"/>
    <s v=""/>
    <s v="000008"/>
    <s v="X04526"/>
    <s v=""/>
    <s v="P03793"/>
    <n v="0"/>
    <n v="-225579.89892000001"/>
    <x v="2"/>
  </r>
  <r>
    <x v="7"/>
    <s v="TF"/>
    <x v="9"/>
    <x v="4"/>
    <s v="NF0001"/>
    <s v="Alnajm Flour from Mill 25KG"/>
    <x v="15"/>
    <x v="1"/>
    <d v="2025-08-25T00:00:00"/>
    <s v="SCRP"/>
    <s v="TRANSPORTATION LOSS - 4094 DARKA"/>
    <x v="118"/>
    <s v="Loss"/>
    <x v="1"/>
    <x v="4"/>
    <x v="0"/>
    <s v="a.bakri"/>
    <n v="-9"/>
    <n v="-0.22500000000000001"/>
    <n v="37596.649819999999"/>
    <s v=""/>
    <s v="000009"/>
    <s v="X04527"/>
    <s v=""/>
    <s v="P03793"/>
    <n v="0"/>
    <n v="-338369.84837999998"/>
    <x v="2"/>
  </r>
  <r>
    <x v="7"/>
    <s v="TJ"/>
    <x v="9"/>
    <x v="4"/>
    <s v="NF0001"/>
    <s v="Alnajm Flour from Mill 25KG"/>
    <x v="15"/>
    <x v="1"/>
    <d v="2025-08-25T00:00:00"/>
    <s v="SCRP"/>
    <s v="TRANSPORTATION LOSS - 3775 ANJAL"/>
    <x v="118"/>
    <s v="Loss"/>
    <x v="1"/>
    <x v="4"/>
    <x v="0"/>
    <s v="a.bakri"/>
    <n v="-6"/>
    <n v="-0.15"/>
    <n v="37596.649819999999"/>
    <s v=""/>
    <s v="000000"/>
    <s v="X04528"/>
    <s v=""/>
    <s v="P03792"/>
    <n v="0"/>
    <n v="-225579.89892000001"/>
    <x v="2"/>
  </r>
  <r>
    <x v="7"/>
    <s v="TJ"/>
    <x v="9"/>
    <x v="4"/>
    <s v="NF0001"/>
    <s v="Alnajm Flour from Mill 25KG"/>
    <x v="15"/>
    <x v="1"/>
    <d v="2025-08-25T00:00:00"/>
    <s v="SCRP"/>
    <s v="TRANSPORTATION LOSS - 3808 ANJAL"/>
    <x v="118"/>
    <s v="Loss"/>
    <x v="1"/>
    <x v="4"/>
    <x v="0"/>
    <s v="a.bakri"/>
    <n v="-14"/>
    <n v="-0.35"/>
    <n v="37596.649819999999"/>
    <s v=""/>
    <s v="000001"/>
    <s v="X04529"/>
    <s v=""/>
    <s v="P03792"/>
    <n v="0"/>
    <n v="-526353.09748"/>
    <x v="2"/>
  </r>
  <r>
    <x v="7"/>
    <s v="IS"/>
    <x v="9"/>
    <x v="5"/>
    <s v="LE0001"/>
    <s v="Lentil TAT 20KG"/>
    <x v="7"/>
    <x v="1"/>
    <d v="2025-08-27T00:00:00"/>
    <s v="SCRP"/>
    <s v="TRANSPORTATION LOSS - 6041 ALKASIR"/>
    <x v="118"/>
    <s v="Loss"/>
    <x v="1"/>
    <x v="4"/>
    <x v="0"/>
    <s v="a.bakri"/>
    <n v="-107"/>
    <n v="-2.14"/>
    <n v="53401.105539999997"/>
    <s v=""/>
    <s v="000000"/>
    <s v="X04531"/>
    <s v=""/>
    <s v="Q06253"/>
    <n v="0"/>
    <n v="-5713918.2927799998"/>
    <x v="3"/>
  </r>
  <r>
    <x v="7"/>
    <s v="IS"/>
    <x v="9"/>
    <x v="5"/>
    <s v="LE0001"/>
    <s v="Lentil TAT 20KG"/>
    <x v="7"/>
    <x v="1"/>
    <d v="2025-08-27T00:00:00"/>
    <s v="SCRP"/>
    <s v="TRANSPORTATION LOSS - 6041 ALKASIR"/>
    <x v="118"/>
    <s v="Loss"/>
    <x v="1"/>
    <x v="4"/>
    <x v="0"/>
    <s v="a.bakri"/>
    <n v="-1"/>
    <n v="-0.02"/>
    <n v="53401.105539999997"/>
    <s v=""/>
    <s v="000001"/>
    <s v="X04531"/>
    <s v=""/>
    <s v="A00863"/>
    <n v="0"/>
    <n v="-53401.105539999997"/>
    <x v="3"/>
  </r>
  <r>
    <x v="7"/>
    <s v="IS"/>
    <x v="9"/>
    <x v="5"/>
    <s v="LE0001"/>
    <s v="Lentil TAT 20KG"/>
    <x v="7"/>
    <x v="1"/>
    <d v="2025-08-27T00:00:00"/>
    <s v="SCRP"/>
    <s v="TRANSPORTATION LOSS - 6041 ALKASIR"/>
    <x v="118"/>
    <s v="Loss"/>
    <x v="1"/>
    <x v="4"/>
    <x v="0"/>
    <s v="a.bakri"/>
    <n v="-1"/>
    <n v="-0.02"/>
    <n v="53401.105539999997"/>
    <s v=""/>
    <s v="000002"/>
    <s v="X04531"/>
    <s v=""/>
    <s v="A00864"/>
    <n v="0"/>
    <n v="-53401.105539999997"/>
    <x v="3"/>
  </r>
  <r>
    <x v="7"/>
    <s v="IS"/>
    <x v="9"/>
    <x v="5"/>
    <s v="LE0001"/>
    <s v="Lentil TAT 20KG"/>
    <x v="7"/>
    <x v="1"/>
    <d v="2025-08-27T00:00:00"/>
    <s v="SCRP"/>
    <s v="TRANSPORTATION LOSS - 6041 ALKASIR"/>
    <x v="118"/>
    <s v="Loss"/>
    <x v="1"/>
    <x v="4"/>
    <x v="0"/>
    <s v="a.bakri"/>
    <n v="-6"/>
    <n v="-0.12"/>
    <n v="53401.105539999997"/>
    <s v=""/>
    <s v="000003"/>
    <s v="X04531"/>
    <s v=""/>
    <s v="A00865"/>
    <n v="0"/>
    <n v="-320406.63324"/>
    <x v="3"/>
  </r>
  <r>
    <x v="7"/>
    <s v="IS"/>
    <x v="9"/>
    <x v="5"/>
    <s v="LE0001"/>
    <s v="Lentil TAT 20KG"/>
    <x v="7"/>
    <x v="1"/>
    <d v="2025-08-27T00:00:00"/>
    <s v="SCRP"/>
    <s v="TRANSPORTATION LOSS - 6041 ALKASIR"/>
    <x v="118"/>
    <s v="Loss"/>
    <x v="1"/>
    <x v="4"/>
    <x v="0"/>
    <s v="a.bakri"/>
    <n v="-6"/>
    <n v="-0.12"/>
    <n v="53401.105539999997"/>
    <s v=""/>
    <s v="000004"/>
    <s v="X04531"/>
    <s v=""/>
    <s v="A00877"/>
    <n v="0"/>
    <n v="-320406.63324"/>
    <x v="3"/>
  </r>
  <r>
    <x v="7"/>
    <s v="JA"/>
    <x v="9"/>
    <x v="3"/>
    <s v="RC0001"/>
    <s v="Rice Short Grain Dalian"/>
    <x v="3"/>
    <x v="1"/>
    <d v="2025-08-28T00:00:00"/>
    <s v="SCRP"/>
    <s v="TRANSPORTATION LOSS - 976 ABURANAT"/>
    <x v="118"/>
    <s v="Loss"/>
    <x v="1"/>
    <x v="4"/>
    <x v="0"/>
    <s v="a.bakri"/>
    <n v="-10"/>
    <n v="-0.25"/>
    <n v="11822.45469"/>
    <s v=""/>
    <s v="000000"/>
    <s v="X04533"/>
    <s v=""/>
    <s v="Q04843"/>
    <n v="0"/>
    <n v="-118224.5469"/>
    <x v="2"/>
  </r>
  <r>
    <x v="7"/>
    <s v="JA"/>
    <x v="9"/>
    <x v="3"/>
    <s v="RC0001"/>
    <s v="Rice Short Grain Dalian"/>
    <x v="3"/>
    <x v="1"/>
    <d v="2025-08-28T00:00:00"/>
    <s v="SCRP"/>
    <s v="TRANSPORTATION LOSS - 1765 ABURANAT"/>
    <x v="118"/>
    <s v="Loss"/>
    <x v="1"/>
    <x v="4"/>
    <x v="0"/>
    <s v="a.bakri"/>
    <n v="-20"/>
    <n v="-0.5"/>
    <n v="11822.45469"/>
    <s v=""/>
    <s v="000001"/>
    <s v="X04534"/>
    <s v=""/>
    <s v="Q04843"/>
    <n v="0"/>
    <n v="-236449.0938"/>
    <x v="2"/>
  </r>
  <r>
    <x v="7"/>
    <s v="JA"/>
    <x v="9"/>
    <x v="3"/>
    <s v="RC0001"/>
    <s v="Rice Short Grain Dalian"/>
    <x v="3"/>
    <x v="1"/>
    <d v="2025-08-28T00:00:00"/>
    <s v="SCRP"/>
    <s v="TRANSPORTATION LOSS - 1791 ABURANAT"/>
    <x v="118"/>
    <s v="Loss"/>
    <x v="1"/>
    <x v="4"/>
    <x v="0"/>
    <s v="a.bakri"/>
    <n v="-47"/>
    <n v="-1.175"/>
    <n v="11822.45469"/>
    <s v=""/>
    <s v="000002"/>
    <s v="X04535"/>
    <s v=""/>
    <s v="Q04843"/>
    <n v="0"/>
    <n v="-555655.37043000001"/>
    <x v="2"/>
  </r>
  <r>
    <x v="7"/>
    <s v="JA"/>
    <x v="9"/>
    <x v="3"/>
    <s v="RC0001"/>
    <s v="Rice Short Grain Dalian"/>
    <x v="3"/>
    <x v="1"/>
    <d v="2025-08-28T00:00:00"/>
    <s v="SCRP"/>
    <s v="TRANSPORTATION LOSS - 1815 ABURANAT"/>
    <x v="118"/>
    <s v="Loss"/>
    <x v="1"/>
    <x v="4"/>
    <x v="0"/>
    <s v="a.bakri"/>
    <n v="-11"/>
    <n v="-0.27500000000000002"/>
    <n v="11822.45469"/>
    <s v=""/>
    <s v="000003"/>
    <s v="X04536"/>
    <s v=""/>
    <s v="Q04843"/>
    <n v="0"/>
    <n v="-130047.00159"/>
    <x v="2"/>
  </r>
  <r>
    <x v="7"/>
    <s v="JA"/>
    <x v="9"/>
    <x v="3"/>
    <s v="RC0001"/>
    <s v="Rice Short Grain Dalian"/>
    <x v="3"/>
    <x v="1"/>
    <d v="2025-08-28T00:00:00"/>
    <s v="SCRP"/>
    <s v="TRANSPORTATION LOSS - 83884 ABURANAT"/>
    <x v="118"/>
    <s v="Loss"/>
    <x v="1"/>
    <x v="4"/>
    <x v="0"/>
    <s v="a.bakri"/>
    <n v="-15"/>
    <n v="-0.375"/>
    <n v="11822.45469"/>
    <s v=""/>
    <s v="000004"/>
    <s v="X04537"/>
    <s v=""/>
    <s v="Q04843"/>
    <n v="0"/>
    <n v="-177336.82034999999"/>
    <x v="2"/>
  </r>
  <r>
    <x v="7"/>
    <s v="JA"/>
    <x v="9"/>
    <x v="3"/>
    <s v="RC0001"/>
    <s v="Rice Short Grain Dalian"/>
    <x v="3"/>
    <x v="1"/>
    <d v="2025-08-28T00:00:00"/>
    <s v="SCRP"/>
    <s v="TRANSPORTATION LOSS - 1752 ABURANAT"/>
    <x v="118"/>
    <s v="Loss"/>
    <x v="1"/>
    <x v="4"/>
    <x v="0"/>
    <s v="a.bakri"/>
    <n v="-50"/>
    <n v="-1.25"/>
    <n v="11822.45469"/>
    <s v=""/>
    <s v="000005"/>
    <s v="X04538"/>
    <s v=""/>
    <s v="Q04843"/>
    <n v="0"/>
    <n v="-591122.73450000002"/>
    <x v="2"/>
  </r>
  <r>
    <x v="7"/>
    <s v="JA"/>
    <x v="9"/>
    <x v="3"/>
    <s v="RC0001"/>
    <s v="Rice Short Grain Dalian"/>
    <x v="3"/>
    <x v="1"/>
    <d v="2025-08-28T00:00:00"/>
    <s v="SCRP"/>
    <s v="TRANSPORTATION LOSS - 1875 ABURANAT"/>
    <x v="118"/>
    <s v="Loss"/>
    <x v="1"/>
    <x v="4"/>
    <x v="0"/>
    <s v="a.bakri"/>
    <n v="-11"/>
    <n v="-0.27500000000000002"/>
    <n v="11822.45469"/>
    <s v=""/>
    <s v="000006"/>
    <s v="X04539"/>
    <s v=""/>
    <s v="Q04843"/>
    <n v="0"/>
    <n v="-130047.00159"/>
    <x v="2"/>
  </r>
  <r>
    <x v="7"/>
    <s v="JA"/>
    <x v="9"/>
    <x v="3"/>
    <s v="RC0001"/>
    <s v="Rice Short Grain Dalian"/>
    <x v="3"/>
    <x v="1"/>
    <d v="2025-08-28T00:00:00"/>
    <s v="SCRP"/>
    <s v="TRANSPORTATION LOSS - 106757 AHMAD ABDU"/>
    <x v="118"/>
    <s v="Loss"/>
    <x v="1"/>
    <x v="4"/>
    <x v="0"/>
    <s v="a.bakri"/>
    <n v="-315"/>
    <n v="-7.875"/>
    <n v="11822.45469"/>
    <s v=""/>
    <s v="000007"/>
    <s v="X04540"/>
    <s v=""/>
    <s v="Q04843"/>
    <n v="0"/>
    <n v="-3724073.2273500003"/>
    <x v="2"/>
  </r>
  <r>
    <x v="7"/>
    <s v="JA"/>
    <x v="9"/>
    <x v="3"/>
    <s v="RC0001"/>
    <s v="Rice Short Grain Dalian"/>
    <x v="3"/>
    <x v="1"/>
    <d v="2025-08-28T00:00:00"/>
    <s v="SCRP"/>
    <s v="TRANSPORTATION LOSS - 505 ALASGALANY"/>
    <x v="118"/>
    <s v="Loss"/>
    <x v="1"/>
    <x v="4"/>
    <x v="0"/>
    <s v="a.bakri"/>
    <n v="-19"/>
    <n v="-0.47499999999999998"/>
    <n v="11822.45469"/>
    <s v=""/>
    <s v="000008"/>
    <s v="X04541"/>
    <s v=""/>
    <s v="Q04843"/>
    <n v="0"/>
    <n v="-224626.63911000002"/>
    <x v="2"/>
  </r>
  <r>
    <x v="7"/>
    <s v="JA"/>
    <x v="9"/>
    <x v="3"/>
    <s v="RC0001"/>
    <s v="Rice Short Grain Dalian"/>
    <x v="3"/>
    <x v="1"/>
    <d v="2025-08-28T00:00:00"/>
    <s v="SCRP"/>
    <s v="TRANSPORTATION LOSS - 1842 ALASGALANY"/>
    <x v="118"/>
    <s v="Loss"/>
    <x v="1"/>
    <x v="4"/>
    <x v="0"/>
    <s v="a.bakri"/>
    <n v="-9"/>
    <n v="-0.22500000000000001"/>
    <n v="11822.45469"/>
    <s v=""/>
    <s v="000009"/>
    <s v="X04542"/>
    <s v=""/>
    <s v="Q04843"/>
    <n v="0"/>
    <n v="-106402.09221"/>
    <x v="2"/>
  </r>
  <r>
    <x v="7"/>
    <s v="JA"/>
    <x v="9"/>
    <x v="3"/>
    <s v="RC0001"/>
    <s v="Rice Short Grain Dalian"/>
    <x v="3"/>
    <x v="1"/>
    <d v="2025-08-28T00:00:00"/>
    <s v="SCRP"/>
    <s v="TRANSPORTATION LOSS - 1894 Alhamada"/>
    <x v="118"/>
    <s v="Loss"/>
    <x v="1"/>
    <x v="4"/>
    <x v="0"/>
    <s v="a.bakri"/>
    <n v="-1"/>
    <n v="-2.5000000000000001E-2"/>
    <n v="11822.45469"/>
    <s v=""/>
    <s v="000010"/>
    <s v="X04543"/>
    <s v=""/>
    <s v="Q04843"/>
    <n v="0"/>
    <n v="-11822.45469"/>
    <x v="2"/>
  </r>
  <r>
    <x v="7"/>
    <s v="JA"/>
    <x v="9"/>
    <x v="3"/>
    <s v="RC0001"/>
    <s v="Rice Short Grain Dalian"/>
    <x v="3"/>
    <x v="1"/>
    <d v="2025-08-28T00:00:00"/>
    <s v="SCRP"/>
    <s v="TRANSPORTATION LOSS - 2099 BIGBOOS"/>
    <x v="118"/>
    <s v="Loss"/>
    <x v="1"/>
    <x v="4"/>
    <x v="0"/>
    <s v="a.bakri"/>
    <n v="-55"/>
    <n v="-1.375"/>
    <n v="11822.45469"/>
    <s v=""/>
    <s v="000011"/>
    <s v="X04544"/>
    <s v=""/>
    <s v="Q04843"/>
    <n v="0"/>
    <n v="-650235.00795"/>
    <x v="2"/>
  </r>
  <r>
    <x v="7"/>
    <s v="JA"/>
    <x v="9"/>
    <x v="3"/>
    <s v="RC0001"/>
    <s v="Rice Short Grain Dalian"/>
    <x v="3"/>
    <x v="1"/>
    <d v="2025-08-28T00:00:00"/>
    <s v="SCRP"/>
    <s v="TRANSPORTATION LOSS - 963 BIGBOOS"/>
    <x v="118"/>
    <s v="Loss"/>
    <x v="1"/>
    <x v="4"/>
    <x v="0"/>
    <s v="a.bakri"/>
    <n v="-35"/>
    <n v="-0.875"/>
    <n v="11822.45469"/>
    <s v=""/>
    <s v="000012"/>
    <s v="X04545"/>
    <s v=""/>
    <s v="Q04843"/>
    <n v="0"/>
    <n v="-413785.91415000003"/>
    <x v="2"/>
  </r>
  <r>
    <x v="7"/>
    <s v="JA"/>
    <x v="9"/>
    <x v="3"/>
    <s v="RC0001"/>
    <s v="Rice Short Grain Dalian"/>
    <x v="3"/>
    <x v="1"/>
    <d v="2025-08-28T00:00:00"/>
    <s v="SCRP"/>
    <s v="TRANSPORTATION LOSS - 1861 DALTA"/>
    <x v="118"/>
    <s v="Loss"/>
    <x v="1"/>
    <x v="4"/>
    <x v="0"/>
    <s v="a.bakri"/>
    <n v="-31"/>
    <n v="-0.77500000000000002"/>
    <n v="11822.45469"/>
    <s v=""/>
    <s v="000013"/>
    <s v="X04546"/>
    <s v=""/>
    <s v="Q04843"/>
    <n v="0"/>
    <n v="-366496.09539000003"/>
    <x v="2"/>
  </r>
  <r>
    <x v="7"/>
    <s v="JA"/>
    <x v="9"/>
    <x v="3"/>
    <s v="RC0001"/>
    <s v="Rice Short Grain Dalian"/>
    <x v="3"/>
    <x v="1"/>
    <d v="2025-08-28T00:00:00"/>
    <s v="SCRP"/>
    <s v="TRANSPORTATION LOSS - 94447 DARKA"/>
    <x v="118"/>
    <s v="Loss"/>
    <x v="1"/>
    <x v="4"/>
    <x v="0"/>
    <s v="a.bakri"/>
    <n v="-25"/>
    <n v="-0.625"/>
    <n v="11822.45469"/>
    <s v=""/>
    <s v="000014"/>
    <s v="X04547"/>
    <s v=""/>
    <s v="Q04843"/>
    <n v="0"/>
    <n v="-295561.36725000001"/>
    <x v="2"/>
  </r>
  <r>
    <x v="7"/>
    <s v="JA"/>
    <x v="9"/>
    <x v="3"/>
    <s v="RC0001"/>
    <s v="Rice Short Grain Dalian"/>
    <x v="3"/>
    <x v="1"/>
    <d v="2025-08-28T00:00:00"/>
    <s v="SCRP"/>
    <s v="TRANSPORTATION LOSS - 1871 DARKA"/>
    <x v="118"/>
    <s v="Loss"/>
    <x v="1"/>
    <x v="4"/>
    <x v="0"/>
    <s v="a.bakri"/>
    <n v="-3"/>
    <n v="-7.4999999999999997E-2"/>
    <n v="11822.45469"/>
    <s v=""/>
    <s v="000015"/>
    <s v="X04548"/>
    <s v=""/>
    <s v="Q04843"/>
    <n v="0"/>
    <n v="-35467.364070000003"/>
    <x v="2"/>
  </r>
  <r>
    <x v="7"/>
    <s v="JA"/>
    <x v="9"/>
    <x v="3"/>
    <s v="RC0001"/>
    <s v="Rice Short Grain Dalian"/>
    <x v="3"/>
    <x v="1"/>
    <d v="2025-08-28T00:00:00"/>
    <s v="SCRP"/>
    <s v="TRANSPORTATION LOSS - 1770 RAIBA"/>
    <x v="118"/>
    <s v="Loss"/>
    <x v="1"/>
    <x v="4"/>
    <x v="0"/>
    <s v="a.bakri"/>
    <n v="-5"/>
    <n v="-0.125"/>
    <n v="11822.45469"/>
    <s v=""/>
    <s v="000016"/>
    <s v="X04549"/>
    <s v=""/>
    <s v="Q04843"/>
    <n v="0"/>
    <n v="-59112.273450000001"/>
    <x v="2"/>
  </r>
  <r>
    <x v="7"/>
    <s v="JA"/>
    <x v="9"/>
    <x v="3"/>
    <s v="RC0001"/>
    <s v="Rice Short Grain Dalian"/>
    <x v="3"/>
    <x v="1"/>
    <d v="2025-08-28T00:00:00"/>
    <s v="SCRP"/>
    <s v="TRANSPORTATION LOSS - 1808 RAIBA"/>
    <x v="118"/>
    <s v="Loss"/>
    <x v="1"/>
    <x v="4"/>
    <x v="0"/>
    <s v="a.bakri"/>
    <n v="-7"/>
    <n v="-0.17499999999999999"/>
    <n v="11822.45469"/>
    <s v=""/>
    <s v="000017"/>
    <s v="X04550"/>
    <s v=""/>
    <s v="Q04843"/>
    <n v="0"/>
    <n v="-82757.182830000005"/>
    <x v="2"/>
  </r>
  <r>
    <x v="7"/>
    <s v="JA"/>
    <x v="9"/>
    <x v="3"/>
    <s v="RC0001"/>
    <s v="Rice Short Grain Dalian"/>
    <x v="3"/>
    <x v="1"/>
    <d v="2025-08-28T00:00:00"/>
    <s v="SCRP"/>
    <s v="TRANSPORTATION LOSS - 1862 RAIBA"/>
    <x v="118"/>
    <s v="Loss"/>
    <x v="1"/>
    <x v="4"/>
    <x v="0"/>
    <s v="a.bakri"/>
    <n v="-51"/>
    <n v="-1.2749999999999999"/>
    <n v="11822.45469"/>
    <s v=""/>
    <s v="000018"/>
    <s v="X04551"/>
    <s v=""/>
    <s v="Q04843"/>
    <n v="0"/>
    <n v="-602945.18919000006"/>
    <x v="2"/>
  </r>
  <r>
    <x v="7"/>
    <s v="JA"/>
    <x v="9"/>
    <x v="3"/>
    <s v="RC0001"/>
    <s v="Rice Short Grain Dalian"/>
    <x v="3"/>
    <x v="1"/>
    <d v="2025-08-28T00:00:00"/>
    <s v="SCRP"/>
    <s v="TRANSPORTATION LOSS - 1863 RAIBA"/>
    <x v="118"/>
    <s v="Loss"/>
    <x v="1"/>
    <x v="4"/>
    <x v="0"/>
    <s v="a.bakri"/>
    <n v="-34"/>
    <n v="-0.85"/>
    <n v="11822.45469"/>
    <s v=""/>
    <s v="000019"/>
    <s v="X04552"/>
    <s v=""/>
    <s v="Q04843"/>
    <n v="0"/>
    <n v="-401963.45946000004"/>
    <x v="2"/>
  </r>
  <r>
    <x v="7"/>
    <s v="JA"/>
    <x v="9"/>
    <x v="3"/>
    <s v="RC0001"/>
    <s v="Rice Short Grain Dalian"/>
    <x v="3"/>
    <x v="1"/>
    <d v="2025-08-28T00:00:00"/>
    <s v="SCRP"/>
    <s v="TRANSPORTATION LOSS - 83879 RAIBA"/>
    <x v="118"/>
    <s v="Loss"/>
    <x v="1"/>
    <x v="4"/>
    <x v="0"/>
    <s v="a.bakri"/>
    <n v="-19"/>
    <n v="-0.47499999999999998"/>
    <n v="11822.45469"/>
    <s v=""/>
    <s v="000020"/>
    <s v="X04553"/>
    <s v=""/>
    <s v="Q04843"/>
    <n v="0"/>
    <n v="-224626.63911000002"/>
    <x v="2"/>
  </r>
  <r>
    <x v="3"/>
    <s v="IS"/>
    <x v="9"/>
    <x v="5"/>
    <s v="LE0001"/>
    <s v="Lentil TAT 20KG"/>
    <x v="7"/>
    <x v="1"/>
    <d v="2025-09-10T00:00:00"/>
    <s v="SCRP"/>
    <s v="TRANSPORTATION LOSS - ALASGALANI 4308"/>
    <x v="118"/>
    <s v="Loss"/>
    <x v="1"/>
    <x v="4"/>
    <x v="0"/>
    <s v="a.bakri"/>
    <n v="-9"/>
    <n v="-0.18"/>
    <n v="45680.80154"/>
    <s v=""/>
    <s v="000000"/>
    <s v="X04558"/>
    <s v=""/>
    <s v="Q06269"/>
    <n v="0"/>
    <n v="-411127.21386000002"/>
    <x v="3"/>
  </r>
  <r>
    <x v="3"/>
    <s v="IS"/>
    <x v="9"/>
    <x v="5"/>
    <s v="LE0001"/>
    <s v="Lentil TAT 20KG"/>
    <x v="7"/>
    <x v="1"/>
    <d v="2025-09-10T00:00:00"/>
    <s v="SCRP"/>
    <s v="TRANSPORTATION LOSS - ALASGALANI 4308"/>
    <x v="118"/>
    <s v="Loss"/>
    <x v="1"/>
    <x v="4"/>
    <x v="0"/>
    <s v="a.bakri"/>
    <n v="-17"/>
    <n v="-0.34"/>
    <n v="45680.80154"/>
    <s v=""/>
    <s v="000001"/>
    <s v="X04558"/>
    <s v=""/>
    <s v="Q06269"/>
    <n v="0"/>
    <n v="-776573.62618000002"/>
    <x v="3"/>
  </r>
  <r>
    <x v="3"/>
    <s v="IS"/>
    <x v="9"/>
    <x v="5"/>
    <s v="LE0001"/>
    <s v="Lentil TAT 20KG"/>
    <x v="7"/>
    <x v="1"/>
    <d v="2025-09-10T00:00:00"/>
    <s v="SCRP"/>
    <s v="TRANSPORTATION LOSS - DARKA 4309"/>
    <x v="118"/>
    <s v="Loss"/>
    <x v="1"/>
    <x v="4"/>
    <x v="0"/>
    <s v="a.bakri"/>
    <n v="-2"/>
    <n v="-0.04"/>
    <n v="45680.80154"/>
    <s v=""/>
    <s v="000002"/>
    <s v="X04559"/>
    <s v=""/>
    <s v="Q06269"/>
    <n v="0"/>
    <n v="-91361.603080000001"/>
    <x v="3"/>
  </r>
  <r>
    <x v="3"/>
    <s v="IS"/>
    <x v="9"/>
    <x v="5"/>
    <s v="LE0001"/>
    <s v="Lentil TAT 20KG"/>
    <x v="7"/>
    <x v="1"/>
    <d v="2025-09-10T00:00:00"/>
    <s v="SCRP"/>
    <s v="TRANSPORTATION LOSS - ALKASIR 6992"/>
    <x v="118"/>
    <s v="Loss"/>
    <x v="1"/>
    <x v="4"/>
    <x v="0"/>
    <s v="a.bakri"/>
    <n v="-1"/>
    <n v="-0.02"/>
    <n v="45680.80154"/>
    <s v=""/>
    <s v="000003"/>
    <s v="X04560"/>
    <s v=""/>
    <s v="Q06269"/>
    <n v="0"/>
    <n v="-45680.80154"/>
    <x v="3"/>
  </r>
  <r>
    <x v="3"/>
    <s v="IS"/>
    <x v="9"/>
    <x v="5"/>
    <s v="LE0001"/>
    <s v="Lentil TAT 20KG"/>
    <x v="7"/>
    <x v="1"/>
    <d v="2025-09-10T00:00:00"/>
    <s v="SCRP"/>
    <s v="TRANSPORTATION LOSS - DARKA 6996"/>
    <x v="118"/>
    <s v="Loss"/>
    <x v="1"/>
    <x v="4"/>
    <x v="0"/>
    <s v="a.bakri"/>
    <n v="-1"/>
    <n v="-0.02"/>
    <n v="45680.80154"/>
    <s v=""/>
    <s v="000004"/>
    <s v="X04561"/>
    <s v=""/>
    <s v="Q06269"/>
    <n v="0"/>
    <n v="-45680.80154"/>
    <x v="3"/>
  </r>
  <r>
    <x v="3"/>
    <s v="IS"/>
    <x v="9"/>
    <x v="5"/>
    <s v="LE0001"/>
    <s v="Lentil TAT 20KG"/>
    <x v="7"/>
    <x v="1"/>
    <d v="2025-09-10T00:00:00"/>
    <s v="SCRP"/>
    <s v="TRANSPORTATION LOSS - ALNAWA 6999"/>
    <x v="118"/>
    <s v="Loss"/>
    <x v="1"/>
    <x v="4"/>
    <x v="0"/>
    <s v="a.bakri"/>
    <n v="-2"/>
    <n v="-0.04"/>
    <n v="45680.80154"/>
    <s v=""/>
    <s v="000005"/>
    <s v="X04562"/>
    <s v=""/>
    <s v="Q06269"/>
    <n v="0"/>
    <n v="-91361.603080000001"/>
    <x v="3"/>
  </r>
  <r>
    <x v="3"/>
    <s v="IS"/>
    <x v="9"/>
    <x v="4"/>
    <s v="NF0001"/>
    <s v="Alnajm Flour from Mill 25KG"/>
    <x v="15"/>
    <x v="1"/>
    <d v="2025-09-10T00:00:00"/>
    <s v="SCRP"/>
    <s v="TRANSPORTATION LOSS - 3467 ANJAL"/>
    <x v="118"/>
    <s v="Loss"/>
    <x v="1"/>
    <x v="4"/>
    <x v="0"/>
    <s v="a.bakri"/>
    <n v="-24"/>
    <n v="-0.6"/>
    <n v="32432.643329999999"/>
    <s v=""/>
    <s v="000000"/>
    <s v="X04564"/>
    <s v=""/>
    <s v="P03809"/>
    <n v="0"/>
    <n v="-778383.43992000003"/>
    <x v="2"/>
  </r>
  <r>
    <x v="3"/>
    <s v="IS"/>
    <x v="9"/>
    <x v="4"/>
    <s v="NF0001"/>
    <s v="Alnajm Flour from Mill 25KG"/>
    <x v="15"/>
    <x v="1"/>
    <d v="2025-09-10T00:00:00"/>
    <s v="SCRP"/>
    <s v="TRANSPORTATION LOSS - 3476 ANJAL"/>
    <x v="118"/>
    <s v="Loss"/>
    <x v="1"/>
    <x v="4"/>
    <x v="0"/>
    <s v="a.bakri"/>
    <n v="-2"/>
    <n v="-0.05"/>
    <n v="32432.643329999999"/>
    <s v=""/>
    <s v="000001"/>
    <s v="X04565"/>
    <s v=""/>
    <s v="P03809"/>
    <n v="0"/>
    <n v="-64865.286659999998"/>
    <x v="2"/>
  </r>
  <r>
    <x v="3"/>
    <s v="IS"/>
    <x v="9"/>
    <x v="4"/>
    <s v="NF0001"/>
    <s v="Alnajm Flour from Mill 25KG"/>
    <x v="15"/>
    <x v="1"/>
    <d v="2025-09-10T00:00:00"/>
    <s v="SCRP"/>
    <s v="TRANSPORTATION LOSS - 3602 ANJAL"/>
    <x v="118"/>
    <s v="Loss"/>
    <x v="1"/>
    <x v="4"/>
    <x v="0"/>
    <s v="a.bakri"/>
    <n v="-2"/>
    <n v="-0.05"/>
    <n v="32432.643329999999"/>
    <s v=""/>
    <s v="000002"/>
    <s v="X04566"/>
    <s v=""/>
    <s v="P03809"/>
    <n v="0"/>
    <n v="-64865.286659999998"/>
    <x v="2"/>
  </r>
  <r>
    <x v="3"/>
    <s v="IS"/>
    <x v="9"/>
    <x v="4"/>
    <s v="NF0001"/>
    <s v="Alnajm Flour from Mill 25KG"/>
    <x v="15"/>
    <x v="1"/>
    <d v="2025-09-10T00:00:00"/>
    <s v="SCRP"/>
    <s v="TRANSPORTATION LOSS - 3870 DARKA"/>
    <x v="118"/>
    <s v="Loss"/>
    <x v="1"/>
    <x v="4"/>
    <x v="0"/>
    <s v="a.bakri"/>
    <n v="-1"/>
    <n v="-2.5000000000000001E-2"/>
    <n v="32432.643329999999"/>
    <s v=""/>
    <s v="000003"/>
    <s v="X04567"/>
    <s v=""/>
    <s v="P03809"/>
    <n v="0"/>
    <n v="-32432.643329999999"/>
    <x v="2"/>
  </r>
  <r>
    <x v="3"/>
    <s v="IS"/>
    <x v="9"/>
    <x v="4"/>
    <s v="NF0001"/>
    <s v="Alnajm Flour from Mill 25KG"/>
    <x v="15"/>
    <x v="1"/>
    <d v="2025-09-10T00:00:00"/>
    <s v="SCRP"/>
    <s v="TRANSPORTATION LOSS - 3872 DARKA"/>
    <x v="118"/>
    <s v="Loss"/>
    <x v="1"/>
    <x v="4"/>
    <x v="0"/>
    <s v="a.bakri"/>
    <n v="-2"/>
    <n v="-0.05"/>
    <n v="32432.643329999999"/>
    <s v=""/>
    <s v="000004"/>
    <s v="X04568"/>
    <s v=""/>
    <s v="P03809"/>
    <n v="0"/>
    <n v="-64865.286659999998"/>
    <x v="2"/>
  </r>
  <r>
    <x v="3"/>
    <s v="IS"/>
    <x v="9"/>
    <x v="4"/>
    <s v="NF0001"/>
    <s v="Alnajm Flour from Mill 25KG"/>
    <x v="15"/>
    <x v="1"/>
    <d v="2025-09-10T00:00:00"/>
    <s v="SCRP"/>
    <s v="TRANSPORTATION LOSS - 3927 ALNWA"/>
    <x v="118"/>
    <s v="Loss"/>
    <x v="1"/>
    <x v="4"/>
    <x v="0"/>
    <s v="a.bakri"/>
    <n v="-2"/>
    <n v="-0.05"/>
    <n v="32432.643329999999"/>
    <s v=""/>
    <s v="000005"/>
    <s v="X04569"/>
    <s v=""/>
    <s v="P03809"/>
    <n v="0"/>
    <n v="-64865.286659999998"/>
    <x v="2"/>
  </r>
  <r>
    <x v="3"/>
    <s v="IS"/>
    <x v="9"/>
    <x v="4"/>
    <s v="NF0001"/>
    <s v="Alnajm Flour from Mill 25KG"/>
    <x v="15"/>
    <x v="1"/>
    <d v="2025-09-10T00:00:00"/>
    <s v="SCRP"/>
    <s v="TRANSPORTATION LOSS - 4047 ANJAL"/>
    <x v="118"/>
    <s v="Loss"/>
    <x v="1"/>
    <x v="4"/>
    <x v="0"/>
    <s v="a.bakri"/>
    <n v="-1"/>
    <n v="-2.5000000000000001E-2"/>
    <n v="32432.643329999999"/>
    <s v=""/>
    <s v="000006"/>
    <s v="X04570"/>
    <s v=""/>
    <s v="P03809"/>
    <n v="0"/>
    <n v="-32432.643329999999"/>
    <x v="2"/>
  </r>
  <r>
    <x v="3"/>
    <s v="IS"/>
    <x v="9"/>
    <x v="4"/>
    <s v="NF0001"/>
    <s v="Alnajm Flour from Mill 25KG"/>
    <x v="15"/>
    <x v="1"/>
    <d v="2025-09-10T00:00:00"/>
    <s v="SCRP"/>
    <s v="TRANSPORTATION LOSS - 4101 ANJAL"/>
    <x v="118"/>
    <s v="Loss"/>
    <x v="1"/>
    <x v="4"/>
    <x v="0"/>
    <s v="a.bakri"/>
    <n v="-2"/>
    <n v="-0.05"/>
    <n v="32432.643329999999"/>
    <s v=""/>
    <s v="000007"/>
    <s v="X04571"/>
    <s v=""/>
    <s v="P03809"/>
    <n v="0"/>
    <n v="-64865.286659999998"/>
    <x v="2"/>
  </r>
  <r>
    <x v="3"/>
    <s v="TF"/>
    <x v="9"/>
    <x v="4"/>
    <s v="NF0001"/>
    <s v="Alnajm Flour from Mill 25KG"/>
    <x v="15"/>
    <x v="1"/>
    <d v="2025-09-10T00:00:00"/>
    <s v="SCRP"/>
    <s v="TRANSPORTATION LOSS - 4095 ALNWA"/>
    <x v="118"/>
    <s v="Loss"/>
    <x v="1"/>
    <x v="4"/>
    <x v="0"/>
    <s v="a.bakri"/>
    <n v="-28"/>
    <n v="-0.7"/>
    <n v="32432.643329999999"/>
    <s v=""/>
    <s v="000000"/>
    <s v="X04572"/>
    <s v=""/>
    <s v="P03807"/>
    <n v="0"/>
    <n v="-908114.01324"/>
    <x v="2"/>
  </r>
  <r>
    <x v="3"/>
    <s v="TF"/>
    <x v="9"/>
    <x v="4"/>
    <s v="NF0001"/>
    <s v="Alnajm Flour from Mill 25KG"/>
    <x v="15"/>
    <x v="1"/>
    <d v="2025-09-10T00:00:00"/>
    <s v="SCRP"/>
    <s v="TRANSPORTATION LOSS - 4098 ALNWA"/>
    <x v="118"/>
    <s v="Loss"/>
    <x v="1"/>
    <x v="4"/>
    <x v="0"/>
    <s v="a.bakri"/>
    <n v="-4"/>
    <n v="-0.1"/>
    <n v="32432.643329999999"/>
    <s v=""/>
    <s v="000001"/>
    <s v="X04573"/>
    <s v=""/>
    <s v="P03807"/>
    <n v="0"/>
    <n v="-129730.57332"/>
    <x v="2"/>
  </r>
  <r>
    <x v="3"/>
    <s v="TJ"/>
    <x v="9"/>
    <x v="4"/>
    <s v="NF0001"/>
    <s v="Alnajm Flour from Mill 25KG"/>
    <x v="15"/>
    <x v="1"/>
    <d v="2025-09-10T00:00:00"/>
    <s v="SCRP"/>
    <s v="TRANSPORTATION LOSS - 3491 ALNWA"/>
    <x v="118"/>
    <s v="Loss"/>
    <x v="1"/>
    <x v="4"/>
    <x v="0"/>
    <s v="a.bakri"/>
    <n v="-120"/>
    <n v="-3"/>
    <n v="32432.643329999999"/>
    <s v=""/>
    <s v="000000"/>
    <s v="X04574"/>
    <s v=""/>
    <s v="P03809"/>
    <n v="0"/>
    <n v="-3891917.1995999999"/>
    <x v="2"/>
  </r>
  <r>
    <x v="3"/>
    <s v="NT"/>
    <x v="9"/>
    <x v="8"/>
    <s v="PP0002"/>
    <s v="Pigeon Peas New Halfa FG"/>
    <x v="26"/>
    <x v="0"/>
    <d v="2025-09-18T00:00:00"/>
    <s v="SCRP"/>
    <s v="TRANSPORTATION LOSS - 23018 ALTAF"/>
    <x v="118"/>
    <s v="Loss"/>
    <x v="1"/>
    <x v="4"/>
    <x v="0"/>
    <s v="a.bakri"/>
    <n v="-43"/>
    <n v="-2.15"/>
    <n v="121249.92909000001"/>
    <s v=""/>
    <s v="000000"/>
    <s v="X04584"/>
    <s v=""/>
    <s v="P03821"/>
    <n v="0"/>
    <n v="-5213746.9508699998"/>
    <x v="1"/>
  </r>
  <r>
    <x v="3"/>
    <s v="XP"/>
    <x v="9"/>
    <x v="8"/>
    <s v="PP0002"/>
    <s v="Pigeon Peas New Halfa FG"/>
    <x v="26"/>
    <x v="0"/>
    <d v="2025-09-23T00:00:00"/>
    <s v="SCRP"/>
    <s v="TRANSPORTATION LOSS - 4657 WADALBALLA"/>
    <x v="118"/>
    <s v="Loss"/>
    <x v="1"/>
    <x v="4"/>
    <x v="0"/>
    <s v="a.bakri"/>
    <n v="-4"/>
    <n v="-0.2"/>
    <n v="121249.92909000001"/>
    <s v=""/>
    <s v="000001"/>
    <s v="X04586"/>
    <s v=""/>
    <s v="CNC000750"/>
    <n v="0"/>
    <n v="-484999.71636000002"/>
    <x v="1"/>
  </r>
  <r>
    <x v="0"/>
    <s v="TG"/>
    <x v="10"/>
    <x v="7"/>
    <s v="SM0101"/>
    <s v="Gadarif Sesame Raw"/>
    <x v="13"/>
    <x v="0"/>
    <d v="2025-01-29T00:00:00"/>
    <s v="SCRP"/>
    <s v="TRANSPORTATION LOSS - 5160 BIG BOSS"/>
    <x v="119"/>
    <s v="Loss"/>
    <x v="0"/>
    <x v="7"/>
    <x v="0"/>
    <s v="a.bakri"/>
    <n v="-0.18"/>
    <n v="-0.18"/>
    <n v="3559457.5"/>
    <s v=""/>
    <s v="000000"/>
    <s v="X03810"/>
    <s v=""/>
    <s v="Q06040"/>
    <n v="0"/>
    <n v="-640702.35"/>
    <x v="0"/>
  </r>
  <r>
    <x v="1"/>
    <s v="TG"/>
    <x v="10"/>
    <x v="7"/>
    <s v="SM0101"/>
    <s v="Gadarif Sesame Raw"/>
    <x v="13"/>
    <x v="0"/>
    <d v="2025-02-02T00:00:00"/>
    <s v="ADJ"/>
    <s v="CORRECTION - 5160"/>
    <x v="119"/>
    <s v="Loss"/>
    <x v="0"/>
    <x v="7"/>
    <x v="0"/>
    <s v="a.bakri"/>
    <n v="0.18"/>
    <n v="0.18"/>
    <n v="3854317.5"/>
    <s v=""/>
    <s v="000022"/>
    <s v="A00779"/>
    <s v="C02631"/>
    <s v=""/>
    <n v="0"/>
    <n v="693777.15"/>
    <x v="0"/>
  </r>
  <r>
    <x v="8"/>
    <s v="TG"/>
    <x v="10"/>
    <x v="7"/>
    <s v="SM0101"/>
    <s v="Gadarif Sesame Raw"/>
    <x v="13"/>
    <x v="0"/>
    <d v="2025-04-28T00:00:00"/>
    <s v="SCRP"/>
    <s v="SCALE DIFF - GADARIF TO PZU"/>
    <x v="120"/>
    <s v="Loss"/>
    <x v="0"/>
    <x v="7"/>
    <x v="0"/>
    <s v="a.bakri"/>
    <n v="-3.22"/>
    <n v="-3.22"/>
    <n v="3788405.5"/>
    <s v=""/>
    <s v="000000"/>
    <s v="X04034"/>
    <s v=""/>
    <s v="Q06196"/>
    <n v="0"/>
    <n v="-12198665.710000001"/>
    <x v="0"/>
  </r>
  <r>
    <x v="8"/>
    <s v="TG"/>
    <x v="10"/>
    <x v="7"/>
    <s v="SM0101"/>
    <s v="Gadarif Sesame Raw"/>
    <x v="13"/>
    <x v="0"/>
    <d v="2025-04-20T00:00:00"/>
    <s v="SCRP"/>
    <s v="SCALE DIFF GADARIF TO PZU"/>
    <x v="121"/>
    <s v="Loss"/>
    <x v="0"/>
    <x v="7"/>
    <x v="0"/>
    <s v="a.bakri"/>
    <n v="-2.06"/>
    <n v="-2.06"/>
    <n v="3788405.5"/>
    <s v=""/>
    <s v="000000"/>
    <s v="X03984"/>
    <s v=""/>
    <s v="Q06176"/>
    <n v="0"/>
    <n v="-7804115.3300000001"/>
    <x v="0"/>
  </r>
  <r>
    <x v="1"/>
    <s v="TG"/>
    <x v="10"/>
    <x v="7"/>
    <s v="SM0101"/>
    <s v="Gadarif Sesame Raw"/>
    <x v="13"/>
    <x v="0"/>
    <d v="2025-02-16T00:00:00"/>
    <s v="SCRP"/>
    <s v="SCALE DIFFERENCE"/>
    <x v="122"/>
    <s v="Loss"/>
    <x v="0"/>
    <x v="7"/>
    <x v="0"/>
    <s v="a.bakri"/>
    <n v="-1.06"/>
    <n v="-1.06"/>
    <n v="3854317.5"/>
    <s v=""/>
    <s v="000000"/>
    <s v="X03866"/>
    <s v=""/>
    <s v="Q06077"/>
    <n v="0"/>
    <n v="-4085576.5500000003"/>
    <x v="0"/>
  </r>
  <r>
    <x v="6"/>
    <s v="TG"/>
    <x v="10"/>
    <x v="7"/>
    <s v="SM0101"/>
    <s v="Gadarif Sesame Raw"/>
    <x v="13"/>
    <x v="0"/>
    <d v="2025-03-09T00:00:00"/>
    <s v="ADJ"/>
    <s v="SCALE DIFF"/>
    <x v="122"/>
    <s v="Gain"/>
    <x v="0"/>
    <x v="7"/>
    <x v="0"/>
    <s v="a.bakri"/>
    <n v="0.6"/>
    <n v="0.6"/>
    <n v="3870463.5"/>
    <s v="TG0001"/>
    <s v="000002"/>
    <s v="A00790"/>
    <s v="C02671"/>
    <s v=""/>
    <n v="0"/>
    <n v="2322278.1"/>
    <x v="0"/>
  </r>
  <r>
    <x v="0"/>
    <s v="TG"/>
    <x v="10"/>
    <x v="7"/>
    <s v="SM0101"/>
    <s v="Gadarif Sesame Raw"/>
    <x v="13"/>
    <x v="0"/>
    <d v="2025-01-05T00:00:00"/>
    <s v="ADJ"/>
    <s v="SCALE DIFF - GADARIF 2 PZU"/>
    <x v="123"/>
    <s v="Gain"/>
    <x v="0"/>
    <x v="7"/>
    <x v="0"/>
    <s v="a.bakri"/>
    <n v="3.22"/>
    <n v="3.22"/>
    <n v="3559457.5"/>
    <s v=""/>
    <s v="000001"/>
    <s v="A00763"/>
    <s v="C02583"/>
    <s v=""/>
    <n v="0"/>
    <n v="11461453.15"/>
    <x v="0"/>
  </r>
  <r>
    <x v="1"/>
    <s v="TG"/>
    <x v="10"/>
    <x v="7"/>
    <s v="SM0101"/>
    <s v="Gadarif Sesame Raw"/>
    <x v="13"/>
    <x v="0"/>
    <d v="2025-02-03T00:00:00"/>
    <s v="ADJ"/>
    <s v="SCALE DIFF - GADARIF 2 PZU"/>
    <x v="119"/>
    <s v="Gain"/>
    <x v="0"/>
    <x v="7"/>
    <x v="0"/>
    <s v="a.bakri"/>
    <n v="1.18"/>
    <n v="1.18"/>
    <n v="3854317.5"/>
    <s v="TG0001"/>
    <s v="000000"/>
    <s v="A00780"/>
    <s v="C02632"/>
    <s v=""/>
    <n v="0"/>
    <n v="4548094.6499999994"/>
    <x v="0"/>
  </r>
  <r>
    <x v="1"/>
    <s v="TG"/>
    <x v="10"/>
    <x v="12"/>
    <s v="WT0101"/>
    <s v="Watermelon Seeds Raw"/>
    <x v="38"/>
    <x v="0"/>
    <d v="2025-02-02T00:00:00"/>
    <s v="SCRP"/>
    <s v="SCALE DIFFERENCE - GADAFIF 2 PZU"/>
    <x v="124"/>
    <s v="Loss"/>
    <x v="0"/>
    <x v="7"/>
    <x v="0"/>
    <s v="a.bakri"/>
    <n v="-0.14000000000000001"/>
    <n v="-0.14000000000000001"/>
    <n v="3447392"/>
    <s v=""/>
    <s v="000000"/>
    <s v="X03816"/>
    <s v=""/>
    <s v="Q06023"/>
    <n v="0"/>
    <n v="-482634.88000000006"/>
    <x v="0"/>
  </r>
  <r>
    <x v="1"/>
    <s v="TG"/>
    <x v="10"/>
    <x v="12"/>
    <s v="WT0101"/>
    <s v="Watermelon Seeds Raw"/>
    <x v="38"/>
    <x v="0"/>
    <d v="2025-02-26T00:00:00"/>
    <s v="ADJ"/>
    <s v="SCALE DIFFERENCE"/>
    <x v="125"/>
    <s v="Gain"/>
    <x v="0"/>
    <x v="7"/>
    <x v="0"/>
    <s v="a.bakri"/>
    <n v="0.104"/>
    <n v="0.104"/>
    <n v="3447392"/>
    <s v="TG0001"/>
    <s v="000000"/>
    <s v="A00782"/>
    <s v="C02663"/>
    <s v=""/>
    <n v="0"/>
    <n v="358528.76799999998"/>
    <x v="0"/>
  </r>
  <r>
    <x v="6"/>
    <s v="TG"/>
    <x v="10"/>
    <x v="0"/>
    <s v="CO0001"/>
    <s v="Cotton - FG "/>
    <x v="35"/>
    <x v="0"/>
    <d v="2025-03-03T00:00:00"/>
    <s v="ADJ"/>
    <s v="SCALE DIFFERENCE"/>
    <x v="126"/>
    <s v="Gain"/>
    <x v="0"/>
    <x v="7"/>
    <x v="0"/>
    <s v="a.bakri"/>
    <n v="0.1"/>
    <n v="0.1"/>
    <n v="4325522.7759699998"/>
    <s v=""/>
    <s v="000000"/>
    <s v="A00783"/>
    <s v="C02664"/>
    <s v=""/>
    <n v="0"/>
    <n v="432552.27759700001"/>
    <x v="0"/>
  </r>
  <r>
    <x v="0"/>
    <s v="TG"/>
    <x v="10"/>
    <x v="1"/>
    <s v="SO0101"/>
    <s v="Sorghum Raw"/>
    <x v="1"/>
    <x v="0"/>
    <d v="2025-01-21T00:00:00"/>
    <s v="ADJ"/>
    <s v="SCALE DIFFERENCE"/>
    <x v="127"/>
    <s v="Gain"/>
    <x v="0"/>
    <x v="7"/>
    <x v="0"/>
    <s v="a.bakri"/>
    <n v="1.01"/>
    <n v="1.01"/>
    <n v="725000"/>
    <s v=""/>
    <s v="000000"/>
    <s v="A00766"/>
    <s v="C02607"/>
    <s v=""/>
    <n v="0"/>
    <n v="732250"/>
    <x v="0"/>
  </r>
  <r>
    <x v="1"/>
    <s v="TG"/>
    <x v="10"/>
    <x v="7"/>
    <s v="SM0101"/>
    <s v="Gadarif Sesame Raw"/>
    <x v="13"/>
    <x v="0"/>
    <d v="2025-02-26T00:00:00"/>
    <s v="SCRP"/>
    <s v="SCALE DIFF TOLERANCE - 5212 ALKASIR"/>
    <x v="115"/>
    <s v="Loss"/>
    <x v="0"/>
    <x v="7"/>
    <x v="0"/>
    <s v="a.bakri"/>
    <n v="-0.35"/>
    <n v="-0.35"/>
    <n v="3854317.5"/>
    <s v=""/>
    <s v="000001"/>
    <s v="X03868"/>
    <s v=""/>
    <s v="Q06083"/>
    <n v="0"/>
    <n v="-1349011.125"/>
    <x v="0"/>
  </r>
  <r>
    <x v="1"/>
    <s v="TG"/>
    <x v="10"/>
    <x v="7"/>
    <s v="SM0101"/>
    <s v="Gadarif Sesame Raw"/>
    <x v="13"/>
    <x v="0"/>
    <d v="2025-02-09T00:00:00"/>
    <s v="SCRP"/>
    <s v="TOLERANCE - 5181 ABURNAT"/>
    <x v="116"/>
    <s v="Loss"/>
    <x v="0"/>
    <x v="7"/>
    <x v="0"/>
    <s v="a.bakri"/>
    <n v="-0.35"/>
    <n v="-0.35"/>
    <n v="3854317.5"/>
    <s v=""/>
    <s v="000000"/>
    <s v="X03847"/>
    <s v=""/>
    <s v="Q06055"/>
    <n v="0"/>
    <n v="-1349011.125"/>
    <x v="0"/>
  </r>
  <r>
    <x v="8"/>
    <s v="TG"/>
    <x v="10"/>
    <x v="7"/>
    <s v="SM0101"/>
    <s v="Gadarif Sesame Raw"/>
    <x v="13"/>
    <x v="0"/>
    <d v="2025-04-21T00:00:00"/>
    <s v="SCRP"/>
    <s v="SCALE DIFF - TOLERANCE ALKASIR 5107"/>
    <x v="117"/>
    <s v="Loss"/>
    <x v="0"/>
    <x v="7"/>
    <x v="0"/>
    <s v="a.bakri"/>
    <n v="-0.14599999999999999"/>
    <n v="-0.14599999999999999"/>
    <n v="3788405.5"/>
    <s v=""/>
    <s v="000000"/>
    <s v="X03985"/>
    <s v=""/>
    <s v="Q06176"/>
    <n v="0"/>
    <n v="-553107.20299999998"/>
    <x v="0"/>
  </r>
  <r>
    <x v="4"/>
    <s v="TG"/>
    <x v="10"/>
    <x v="12"/>
    <s v="WT0101"/>
    <s v="Watermelon Seeds Raw"/>
    <x v="38"/>
    <x v="0"/>
    <d v="2025-06-24T00:00:00"/>
    <s v="ADJ"/>
    <s v="SCALE DIFF - GADARIF TO PZU"/>
    <x v="128"/>
    <s v="Gain"/>
    <x v="0"/>
    <x v="7"/>
    <x v="0"/>
    <s v="a.bakri"/>
    <n v="3.83"/>
    <n v="3.83"/>
    <n v="2067732.7515"/>
    <s v="TG0001"/>
    <s v="000000"/>
    <s v="A00844"/>
    <s v="C02799"/>
    <s v=""/>
    <n v="0"/>
    <n v="7919416.4382450003"/>
    <x v="0"/>
  </r>
  <r>
    <x v="0"/>
    <m/>
    <x v="11"/>
    <x v="13"/>
    <s v="I-T-Value"/>
    <n v="0"/>
    <x v="39"/>
    <x v="1"/>
    <m/>
    <m/>
    <m/>
    <x v="129"/>
    <s v="Gain"/>
    <x v="1"/>
    <x v="8"/>
    <x v="0"/>
    <s v="_report_modif."/>
    <n v="0"/>
    <n v="0"/>
    <m/>
    <m/>
    <m/>
    <m/>
    <m/>
    <m/>
    <m/>
    <n v="286671712"/>
    <x v="4"/>
  </r>
  <r>
    <x v="0"/>
    <m/>
    <x v="11"/>
    <x v="13"/>
    <s v="E-T-Value"/>
    <n v="0"/>
    <x v="39"/>
    <x v="0"/>
    <m/>
    <m/>
    <m/>
    <x v="130"/>
    <s v="Gain"/>
    <x v="1"/>
    <x v="8"/>
    <x v="0"/>
    <s v="_report_modif."/>
    <n v="0"/>
    <n v="0"/>
    <m/>
    <m/>
    <m/>
    <m/>
    <m/>
    <m/>
    <m/>
    <n v="19763783.623"/>
    <x v="4"/>
  </r>
  <r>
    <x v="0"/>
    <m/>
    <x v="12"/>
    <x v="13"/>
    <s v="E-I-Vvalue"/>
    <n v="0"/>
    <x v="40"/>
    <x v="0"/>
    <m/>
    <m/>
    <m/>
    <x v="131"/>
    <s v="Gain"/>
    <x v="1"/>
    <x v="8"/>
    <x v="0"/>
    <s v="_report_modif."/>
    <n v="0"/>
    <n v="0"/>
    <m/>
    <m/>
    <m/>
    <m/>
    <m/>
    <m/>
    <m/>
    <n v="712779541.29991436"/>
    <x v="4"/>
  </r>
  <r>
    <x v="0"/>
    <m/>
    <x v="12"/>
    <x v="13"/>
    <s v="I-I-Value"/>
    <n v="0"/>
    <x v="40"/>
    <x v="1"/>
    <m/>
    <m/>
    <m/>
    <x v="132"/>
    <s v="Gain"/>
    <x v="1"/>
    <x v="8"/>
    <x v="0"/>
    <s v="_report_modif."/>
    <n v="0"/>
    <n v="0"/>
    <m/>
    <m/>
    <m/>
    <m/>
    <m/>
    <m/>
    <m/>
    <n v="154867886.78080368"/>
    <x v="4"/>
  </r>
  <r>
    <x v="0"/>
    <m/>
    <x v="13"/>
    <x v="13"/>
    <s v="I-S-Value"/>
    <n v="0"/>
    <x v="41"/>
    <x v="1"/>
    <m/>
    <m/>
    <m/>
    <x v="133"/>
    <s v="Gain"/>
    <x v="1"/>
    <x v="8"/>
    <x v="0"/>
    <s v="_report_modif."/>
    <n v="0"/>
    <n v="0"/>
    <m/>
    <m/>
    <m/>
    <m/>
    <m/>
    <m/>
    <m/>
    <n v="22672357.07"/>
    <x v="4"/>
  </r>
  <r>
    <x v="9"/>
    <s v="XA"/>
    <x v="5"/>
    <x v="3"/>
    <s v="RC0006"/>
    <s v="Rice Short Grain Elngm 25Kg"/>
    <x v="3"/>
    <x v="1"/>
    <d v="2025-10-01T00:00:00"/>
    <s v="SCRP"/>
    <s v="DAMAGED - NC 1"/>
    <x v="134"/>
    <s v="Loss"/>
    <x v="1"/>
    <x v="2"/>
    <x v="4"/>
    <s v="a.bakri"/>
    <n v="-4"/>
    <n v="-0.1"/>
    <n v="48872"/>
    <s v=""/>
    <s v="000000"/>
    <s v="X04594"/>
    <s v=""/>
    <s v="Q06064"/>
    <n v="0"/>
    <n v="-195488"/>
    <x v="2"/>
  </r>
  <r>
    <x v="9"/>
    <s v="XA"/>
    <x v="5"/>
    <x v="3"/>
    <s v="RC9008"/>
    <s v="Rice Long Grade 1 Elngm 20Kg"/>
    <x v="9"/>
    <x v="1"/>
    <d v="2025-10-01T00:00:00"/>
    <s v="SCRP"/>
    <s v="DAMAGED  - NC 38"/>
    <x v="135"/>
    <s v="Loss"/>
    <x v="1"/>
    <x v="1"/>
    <x v="0"/>
    <s v="a.bakri"/>
    <n v="-39"/>
    <n v="-0.78"/>
    <n v="31023"/>
    <s v=""/>
    <s v="000000"/>
    <s v="X04595"/>
    <s v=""/>
    <s v="Q05972"/>
    <n v="0"/>
    <n v="-1209897"/>
    <x v="3"/>
  </r>
  <r>
    <x v="9"/>
    <s v="XA"/>
    <x v="5"/>
    <x v="3"/>
    <s v="RC9008"/>
    <s v="Rice Long Grade 1 Elngm 20Kg"/>
    <x v="9"/>
    <x v="1"/>
    <d v="2025-10-01T00:00:00"/>
    <s v="SCRP"/>
    <s v="DAMAGED  - NC 38"/>
    <x v="135"/>
    <s v="Loss"/>
    <x v="1"/>
    <x v="1"/>
    <x v="0"/>
    <s v="a.bakri"/>
    <n v="-571"/>
    <n v="-11.42"/>
    <n v="31023"/>
    <s v=""/>
    <s v="000001"/>
    <s v="X04595"/>
    <s v=""/>
    <s v="Q05973"/>
    <n v="0"/>
    <n v="-17714133"/>
    <x v="3"/>
  </r>
  <r>
    <x v="9"/>
    <s v="XA"/>
    <x v="5"/>
    <x v="2"/>
    <s v="WS0010"/>
    <s v="Caked Sugar"/>
    <x v="33"/>
    <x v="1"/>
    <d v="2025-10-01T00:00:00"/>
    <s v="SCRP"/>
    <s v="RAIN DAMAGE - NC 217 B"/>
    <x v="136"/>
    <s v="Loss"/>
    <x v="1"/>
    <x v="1"/>
    <x v="0"/>
    <s v="a.bakri"/>
    <n v="-432"/>
    <n v="-21.6"/>
    <n v="43903"/>
    <s v=""/>
    <s v="000000"/>
    <s v="X04596"/>
    <s v=""/>
    <s v="A00852"/>
    <n v="0"/>
    <n v="-18966096"/>
    <x v="1"/>
  </r>
  <r>
    <x v="9"/>
    <s v="NN"/>
    <x v="6"/>
    <x v="5"/>
    <s v="LE0001"/>
    <s v="Lentil TAT 20KG"/>
    <x v="7"/>
    <x v="1"/>
    <d v="2025-10-01T00:00:00"/>
    <s v="SCRP"/>
    <s v="HANDLING DAMAGE - NC 47"/>
    <x v="137"/>
    <s v="Loss"/>
    <x v="1"/>
    <x v="1"/>
    <x v="0"/>
    <s v="a.bakri"/>
    <n v="-46"/>
    <n v="-0.92"/>
    <n v="45681"/>
    <s v=""/>
    <s v="000000"/>
    <s v="X04597"/>
    <s v=""/>
    <s v="Q05915"/>
    <n v="0"/>
    <n v="-2101326"/>
    <x v="3"/>
  </r>
  <r>
    <x v="9"/>
    <s v="XA"/>
    <x v="6"/>
    <x v="5"/>
    <s v="LE0001"/>
    <s v="Lentil TAT 20KG"/>
    <x v="7"/>
    <x v="1"/>
    <d v="2025-10-01T00:00:00"/>
    <s v="SCRP"/>
    <s v="HANDLING DAMAGE - NC 48"/>
    <x v="137"/>
    <s v="Loss"/>
    <x v="1"/>
    <x v="1"/>
    <x v="0"/>
    <s v="a.bakri"/>
    <n v="-10"/>
    <n v="-0.2"/>
    <n v="45681"/>
    <s v=""/>
    <s v="000000"/>
    <s v="X04598"/>
    <s v=""/>
    <s v="Q06200"/>
    <n v="0"/>
    <n v="-456810"/>
    <x v="3"/>
  </r>
  <r>
    <x v="9"/>
    <s v="XA"/>
    <x v="6"/>
    <x v="5"/>
    <s v="LE0001"/>
    <s v="Lentil TAT 20KG"/>
    <x v="7"/>
    <x v="1"/>
    <d v="2025-10-01T00:00:00"/>
    <s v="SCRP"/>
    <s v="HANDLING DAMAGE - NC 51"/>
    <x v="137"/>
    <s v="Loss"/>
    <x v="1"/>
    <x v="1"/>
    <x v="0"/>
    <s v="a.bakri"/>
    <n v="-4"/>
    <n v="-0.08"/>
    <n v="45681"/>
    <s v=""/>
    <s v="000001"/>
    <s v="X04599"/>
    <s v=""/>
    <s v="Q06200"/>
    <n v="0"/>
    <n v="-182724"/>
    <x v="3"/>
  </r>
  <r>
    <x v="9"/>
    <s v="NN"/>
    <x v="6"/>
    <x v="5"/>
    <s v="LE0001"/>
    <s v="Lentil TAT 20KG"/>
    <x v="7"/>
    <x v="1"/>
    <d v="2025-10-01T00:00:00"/>
    <s v="SCRP"/>
    <s v="HANDLING DAMAGE - NC 53"/>
    <x v="137"/>
    <s v="Loss"/>
    <x v="1"/>
    <x v="1"/>
    <x v="0"/>
    <s v="a.bakri"/>
    <n v="-17"/>
    <n v="-0.34"/>
    <n v="45681"/>
    <s v=""/>
    <s v="000001"/>
    <s v="X04600"/>
    <s v=""/>
    <s v="Q05915"/>
    <n v="0"/>
    <n v="-776577"/>
    <x v="3"/>
  </r>
  <r>
    <x v="9"/>
    <s v="XA"/>
    <x v="6"/>
    <x v="5"/>
    <s v="LE0001"/>
    <s v="Lentil TAT 20KG"/>
    <x v="7"/>
    <x v="1"/>
    <d v="2025-10-01T00:00:00"/>
    <s v="SCRP"/>
    <s v="HANDLING DAMAGE - NC 26"/>
    <x v="137"/>
    <s v="Loss"/>
    <x v="1"/>
    <x v="1"/>
    <x v="0"/>
    <s v="a.bakri"/>
    <n v="-6"/>
    <n v="-0.12"/>
    <n v="45681"/>
    <s v=""/>
    <s v="000002"/>
    <s v="X04601"/>
    <s v=""/>
    <s v="Q06200"/>
    <n v="0"/>
    <n v="-274086"/>
    <x v="3"/>
  </r>
  <r>
    <x v="9"/>
    <s v="NN"/>
    <x v="6"/>
    <x v="5"/>
    <s v="LE0001"/>
    <s v="Lentil TAT 20KG"/>
    <x v="7"/>
    <x v="1"/>
    <d v="2025-10-01T00:00:00"/>
    <s v="SCRP"/>
    <s v="HANDLING DAMAGE - NC 27"/>
    <x v="137"/>
    <s v="Loss"/>
    <x v="1"/>
    <x v="1"/>
    <x v="0"/>
    <s v="a.bakri"/>
    <n v="-42"/>
    <n v="-0.84"/>
    <n v="45681"/>
    <s v=""/>
    <s v="000002"/>
    <s v="X04602"/>
    <s v=""/>
    <s v="Q05915"/>
    <n v="0"/>
    <n v="-1918602"/>
    <x v="3"/>
  </r>
  <r>
    <x v="9"/>
    <s v="XA"/>
    <x v="6"/>
    <x v="5"/>
    <s v="LE0001"/>
    <s v="Lentil TAT 20KG"/>
    <x v="7"/>
    <x v="1"/>
    <d v="2025-10-01T00:00:00"/>
    <s v="SCRP"/>
    <s v="HANDLING DAMAGE - NC 52"/>
    <x v="137"/>
    <s v="Loss"/>
    <x v="1"/>
    <x v="1"/>
    <x v="0"/>
    <s v="a.bakri"/>
    <n v="-1"/>
    <n v="-0.02"/>
    <n v="45681"/>
    <s v=""/>
    <s v="000003"/>
    <s v="X04603"/>
    <s v=""/>
    <s v="Q06200"/>
    <n v="0"/>
    <n v="-45681"/>
    <x v="3"/>
  </r>
  <r>
    <x v="9"/>
    <s v="NN"/>
    <x v="5"/>
    <x v="5"/>
    <s v="LE0001"/>
    <s v="Lentil TAT 20KG"/>
    <x v="7"/>
    <x v="1"/>
    <d v="2025-10-01T00:00:00"/>
    <s v="SCRP"/>
    <s v="HANDLING DAMAGE - NC 42"/>
    <x v="137"/>
    <s v="Loss"/>
    <x v="1"/>
    <x v="1"/>
    <x v="0"/>
    <s v="a.bakri"/>
    <n v="-5"/>
    <n v="-0.1"/>
    <n v="45681"/>
    <s v=""/>
    <s v="000003"/>
    <s v="X04604"/>
    <s v=""/>
    <s v="Q05915"/>
    <n v="0"/>
    <n v="-228405"/>
    <x v="3"/>
  </r>
  <r>
    <x v="9"/>
    <s v="NN"/>
    <x v="6"/>
    <x v="5"/>
    <s v="LE0001"/>
    <s v="Lentil TAT 20KG"/>
    <x v="7"/>
    <x v="1"/>
    <d v="2025-10-01T00:00:00"/>
    <s v="SCRP"/>
    <s v="HANDLING DAMAGE - NC 49"/>
    <x v="137"/>
    <s v="Loss"/>
    <x v="1"/>
    <x v="1"/>
    <x v="0"/>
    <s v="a.bakri"/>
    <n v="-15"/>
    <n v="-0.3"/>
    <n v="45681"/>
    <s v=""/>
    <s v="000004"/>
    <s v="X04605"/>
    <s v=""/>
    <s v="Q05915"/>
    <n v="0"/>
    <n v="-685215"/>
    <x v="3"/>
  </r>
  <r>
    <x v="9"/>
    <s v="NN"/>
    <x v="6"/>
    <x v="5"/>
    <s v="LE0001"/>
    <s v="Lentil TAT 20KG"/>
    <x v="7"/>
    <x v="1"/>
    <d v="2025-10-01T00:00:00"/>
    <s v="SCRP"/>
    <s v="HANDLING DAMAGE - NC 55"/>
    <x v="137"/>
    <s v="Loss"/>
    <x v="1"/>
    <x v="1"/>
    <x v="0"/>
    <s v="a.bakri"/>
    <n v="-39"/>
    <n v="-0.78"/>
    <n v="45681"/>
    <s v=""/>
    <s v="000005"/>
    <s v="X04606"/>
    <s v=""/>
    <s v="Q05915"/>
    <n v="0"/>
    <n v="-1781559"/>
    <x v="3"/>
  </r>
  <r>
    <x v="9"/>
    <s v="XA"/>
    <x v="6"/>
    <x v="5"/>
    <s v="LE0001"/>
    <s v="Lentil TAT 20KG"/>
    <x v="7"/>
    <x v="1"/>
    <d v="2025-10-01T00:00:00"/>
    <s v="SCRP"/>
    <s v="HANDLING DAMAGE - NC 175"/>
    <x v="137"/>
    <s v="Loss"/>
    <x v="1"/>
    <x v="1"/>
    <x v="0"/>
    <s v="a.bakri"/>
    <n v="-59"/>
    <n v="-1.18"/>
    <n v="45681"/>
    <s v=""/>
    <s v="000004"/>
    <s v="X04607"/>
    <s v=""/>
    <s v="Q06200"/>
    <n v="0"/>
    <n v="-2695179"/>
    <x v="3"/>
  </r>
  <r>
    <x v="9"/>
    <s v="XA"/>
    <x v="6"/>
    <x v="5"/>
    <s v="LE0001"/>
    <s v="Lentil TAT 20KG"/>
    <x v="7"/>
    <x v="1"/>
    <d v="2025-10-01T00:00:00"/>
    <s v="SCRP"/>
    <s v="HANDLING DAMAGE - NC 175"/>
    <x v="137"/>
    <s v="Loss"/>
    <x v="1"/>
    <x v="1"/>
    <x v="0"/>
    <s v="a.bakri"/>
    <n v="-11"/>
    <n v="-0.22"/>
    <n v="45681"/>
    <s v=""/>
    <s v="000005"/>
    <s v="X04607"/>
    <s v=""/>
    <s v="Q06234"/>
    <n v="0"/>
    <n v="-502491"/>
    <x v="3"/>
  </r>
  <r>
    <x v="9"/>
    <s v="XA"/>
    <x v="5"/>
    <x v="3"/>
    <s v="RC0304"/>
    <s v="Rice Long Damaged20"/>
    <x v="9"/>
    <x v="1"/>
    <d v="2025-10-01T00:00:00"/>
    <s v="ADJ"/>
    <s v="DAMAGED- NC 38"/>
    <x v="135"/>
    <s v="Gain"/>
    <x v="1"/>
    <x v="1"/>
    <x v="0"/>
    <s v="a.bakri"/>
    <n v="610"/>
    <n v="12.2"/>
    <n v="0"/>
    <s v="XA0001"/>
    <s v="000000"/>
    <s v="A00914"/>
    <s v="C02966"/>
    <s v=""/>
    <n v="0"/>
    <n v="10980000"/>
    <x v="3"/>
  </r>
  <r>
    <x v="9"/>
    <s v="XA"/>
    <x v="5"/>
    <x v="2"/>
    <s v="WS0002"/>
    <s v="White Sugar - Coke Specs"/>
    <x v="42"/>
    <x v="1"/>
    <d v="2025-10-01T00:00:00"/>
    <s v="ADJ"/>
    <s v="RAIN DAMAGE - NC 217 B"/>
    <x v="136"/>
    <s v="Gain"/>
    <x v="1"/>
    <x v="1"/>
    <x v="0"/>
    <s v="a.bakri"/>
    <n v="432"/>
    <n v="21.6"/>
    <n v="87806"/>
    <s v="XA0001"/>
    <s v="000000"/>
    <s v="A00915"/>
    <s v="C02967"/>
    <s v=""/>
    <n v="0"/>
    <n v="37932192"/>
    <x v="1"/>
  </r>
  <r>
    <x v="9"/>
    <s v="XA"/>
    <x v="5"/>
    <x v="5"/>
    <s v="LE0303"/>
    <s v="Lentil Damaged 20KG"/>
    <x v="10"/>
    <x v="1"/>
    <d v="2025-10-01T00:00:00"/>
    <s v="ADJ"/>
    <s v="HANDLING DAMAGE - NC 42"/>
    <x v="137"/>
    <s v="Gain"/>
    <x v="1"/>
    <x v="1"/>
    <x v="0"/>
    <s v="a.bakri"/>
    <n v="5"/>
    <n v="0.1"/>
    <n v="0"/>
    <s v="XA0001"/>
    <s v="000000"/>
    <s v="A00916"/>
    <s v="C02968"/>
    <s v=""/>
    <n v="0"/>
    <n v="50000"/>
    <x v="3"/>
  </r>
  <r>
    <x v="9"/>
    <s v="XA"/>
    <x v="6"/>
    <x v="5"/>
    <s v="LE0303"/>
    <s v="Lentil Damaged 20KG"/>
    <x v="10"/>
    <x v="1"/>
    <d v="2025-10-01T00:00:00"/>
    <s v="ADJ"/>
    <s v="HANDLING DAMAGE - NC 55"/>
    <x v="137"/>
    <s v="Loss"/>
    <x v="1"/>
    <x v="1"/>
    <x v="0"/>
    <s v="a.bakri"/>
    <n v="24"/>
    <n v="0.48"/>
    <n v="0"/>
    <s v="XA0001"/>
    <s v="000001"/>
    <s v="A00917"/>
    <s v="C02969"/>
    <s v=""/>
    <n v="0"/>
    <n v="240000"/>
    <x v="3"/>
  </r>
  <r>
    <x v="9"/>
    <s v="XA"/>
    <x v="6"/>
    <x v="5"/>
    <s v="LE0304"/>
    <s v="Lentil Damage/waste 50KG"/>
    <x v="10"/>
    <x v="1"/>
    <d v="2025-10-01T00:00:00"/>
    <s v="ADJ"/>
    <s v="HANDLING DAMAGE - NC 49"/>
    <x v="137"/>
    <s v="Loss"/>
    <x v="1"/>
    <x v="1"/>
    <x v="0"/>
    <s v="a.bakri"/>
    <n v="2"/>
    <n v="0.04"/>
    <n v="0"/>
    <s v="XA0001"/>
    <s v="000000"/>
    <s v="A00918"/>
    <s v="C02970"/>
    <s v=""/>
    <n v="0"/>
    <n v="30000"/>
    <x v="1"/>
  </r>
  <r>
    <x v="9"/>
    <s v="XA"/>
    <x v="6"/>
    <x v="5"/>
    <s v="LE0304"/>
    <s v="Lentil Damage/waste 50KG"/>
    <x v="10"/>
    <x v="1"/>
    <d v="2025-10-01T00:00:00"/>
    <s v="ADJ"/>
    <s v="HANDLING DAMAGE - NC 175"/>
    <x v="137"/>
    <s v="Loss"/>
    <x v="1"/>
    <x v="1"/>
    <x v="0"/>
    <s v="a.bakri"/>
    <n v="10"/>
    <n v="0.2"/>
    <n v="0"/>
    <s v="XA0001"/>
    <s v="000001"/>
    <s v="A00919"/>
    <s v="C02971"/>
    <s v=""/>
    <n v="0"/>
    <n v="250000"/>
    <x v="1"/>
  </r>
  <r>
    <x v="9"/>
    <s v="XA"/>
    <x v="5"/>
    <x v="3"/>
    <s v="RC0303"/>
    <s v="Rice Damaged 25KG"/>
    <x v="8"/>
    <x v="1"/>
    <d v="2025-10-01T00:00:00"/>
    <s v="ADJ"/>
    <s v="DAMAGED - NC 1"/>
    <x v="134"/>
    <s v="Gain"/>
    <x v="1"/>
    <x v="2"/>
    <x v="4"/>
    <s v="a.bakri"/>
    <n v="4"/>
    <n v="0.1"/>
    <n v="0"/>
    <s v="XA0001"/>
    <s v="000000"/>
    <s v="A00913"/>
    <s v="C02964"/>
    <s v=""/>
    <n v="0"/>
    <n v="72000"/>
    <x v="2"/>
  </r>
  <r>
    <x v="9"/>
    <s v="XP"/>
    <x v="14"/>
    <x v="1"/>
    <s v="SO0001"/>
    <s v="Sorghum FG 50 KG"/>
    <x v="20"/>
    <x v="0"/>
    <d v="2025-10-05T00:00:00"/>
    <s v="SCRP"/>
    <s v="SWAP - DEAL 3-2025-67"/>
    <x v="138"/>
    <s v="Loss"/>
    <x v="1"/>
    <x v="3"/>
    <x v="0"/>
    <s v="a.bakri"/>
    <n v="-1212"/>
    <n v="-60.6"/>
    <n v="49643"/>
    <s v=""/>
    <s v="000000"/>
    <s v="X04609"/>
    <s v=""/>
    <s v="P03620"/>
    <n v="0"/>
    <n v="-60167316"/>
    <x v="1"/>
  </r>
  <r>
    <x v="9"/>
    <s v="XP"/>
    <x v="14"/>
    <x v="1"/>
    <s v="SO0001"/>
    <s v="Sorghum FG 50 KG"/>
    <x v="20"/>
    <x v="0"/>
    <d v="2025-10-05T00:00:00"/>
    <s v="SCRP"/>
    <s v="SWAP - DEAL 3-2025-67"/>
    <x v="138"/>
    <s v="Loss"/>
    <x v="1"/>
    <x v="3"/>
    <x v="0"/>
    <s v="a.bakri"/>
    <n v="-22"/>
    <n v="-1.1000000000000001"/>
    <n v="49643"/>
    <s v=""/>
    <s v="000001"/>
    <s v="X04609"/>
    <s v=""/>
    <s v="P03635"/>
    <n v="0"/>
    <n v="-1092146"/>
    <x v="1"/>
  </r>
  <r>
    <x v="9"/>
    <s v="XP"/>
    <x v="14"/>
    <x v="1"/>
    <s v="SO0003"/>
    <s v="Sorghum FG"/>
    <x v="20"/>
    <x v="0"/>
    <d v="2025-10-05T00:00:00"/>
    <s v="ADJ"/>
    <s v="SWAP - DEAL 3-2025-67"/>
    <x v="138"/>
    <s v="Gain"/>
    <x v="1"/>
    <x v="5"/>
    <x v="0"/>
    <s v="a.bakri"/>
    <n v="61.7"/>
    <n v="61.7"/>
    <n v="992851"/>
    <s v="XP0001"/>
    <s v="000000"/>
    <s v="A00920"/>
    <s v="C02972"/>
    <s v=""/>
    <n v="0"/>
    <n v="61258906.700000003"/>
    <x v="0"/>
  </r>
  <r>
    <x v="9"/>
    <s v="IS"/>
    <x v="9"/>
    <x v="5"/>
    <s v="LE0001"/>
    <s v="Lentil TAT 20KG"/>
    <x v="7"/>
    <x v="1"/>
    <d v="2025-10-06T00:00:00"/>
    <s v="SCRP"/>
    <s v="TRANSPORTATION LOSS - 4310 DARKA"/>
    <x v="118"/>
    <s v="Loss"/>
    <x v="1"/>
    <x v="4"/>
    <x v="0"/>
    <s v="a.bakri"/>
    <n v="-2"/>
    <n v="-0.04"/>
    <n v="45681"/>
    <s v=""/>
    <s v="000000"/>
    <s v="X04611"/>
    <s v=""/>
    <s v="Q06270"/>
    <n v="0"/>
    <n v="-91362"/>
    <x v="3"/>
  </r>
  <r>
    <x v="9"/>
    <s v="IS"/>
    <x v="9"/>
    <x v="5"/>
    <s v="LE0001"/>
    <s v="Lentil TAT 20KG"/>
    <x v="7"/>
    <x v="1"/>
    <d v="2025-10-06T00:00:00"/>
    <s v="SCRP"/>
    <s v="TRANSPORTATION LOSS - 4412 DARKA"/>
    <x v="118"/>
    <s v="Loss"/>
    <x v="1"/>
    <x v="4"/>
    <x v="0"/>
    <s v="a.bakri"/>
    <n v="-1"/>
    <n v="-0.02"/>
    <n v="45681"/>
    <s v=""/>
    <s v="000001"/>
    <s v="X04612"/>
    <s v=""/>
    <s v="Q06270"/>
    <n v="0"/>
    <n v="-45681"/>
    <x v="3"/>
  </r>
  <r>
    <x v="9"/>
    <s v="IS"/>
    <x v="9"/>
    <x v="4"/>
    <s v="NF0001"/>
    <s v="Alnajm Flour from Mill 25KG"/>
    <x v="15"/>
    <x v="1"/>
    <d v="2025-10-06T00:00:00"/>
    <s v="SCRP"/>
    <s v="TRANSPORTATION LOSS - 3005 ANJAL"/>
    <x v="118"/>
    <s v="Loss"/>
    <x v="1"/>
    <x v="4"/>
    <x v="0"/>
    <s v="a.bakri"/>
    <n v="-1"/>
    <n v="-2.5000000000000001E-2"/>
    <n v="32433"/>
    <s v=""/>
    <s v="000000"/>
    <s v="X04613"/>
    <s v=""/>
    <s v="P03835"/>
    <n v="0"/>
    <n v="-32433"/>
    <x v="2"/>
  </r>
  <r>
    <x v="9"/>
    <s v="IS"/>
    <x v="9"/>
    <x v="4"/>
    <s v="NF0001"/>
    <s v="Alnajm Flour from Mill 25KG"/>
    <x v="15"/>
    <x v="1"/>
    <d v="2025-10-06T00:00:00"/>
    <s v="SCRP"/>
    <s v="TRANSPORTATION LOSS - 3008 ANJAL"/>
    <x v="118"/>
    <s v="Loss"/>
    <x v="1"/>
    <x v="4"/>
    <x v="0"/>
    <s v="a.bakri"/>
    <n v="-2"/>
    <n v="-0.05"/>
    <n v="32433"/>
    <s v=""/>
    <s v="000001"/>
    <s v="X04614"/>
    <s v=""/>
    <s v="P03835"/>
    <n v="0"/>
    <n v="-64866"/>
    <x v="2"/>
  </r>
  <r>
    <x v="9"/>
    <s v="IS"/>
    <x v="9"/>
    <x v="4"/>
    <s v="NF0001"/>
    <s v="Alnajm Flour from Mill 25KG"/>
    <x v="15"/>
    <x v="1"/>
    <d v="2025-10-06T00:00:00"/>
    <s v="SCRP"/>
    <s v="TRANSPORTATION LOSS - 3181 ANJAL"/>
    <x v="118"/>
    <s v="Loss"/>
    <x v="1"/>
    <x v="4"/>
    <x v="0"/>
    <s v="a.bakri"/>
    <n v="-1"/>
    <n v="-2.5000000000000001E-2"/>
    <n v="32433"/>
    <s v=""/>
    <s v="000002"/>
    <s v="X04615"/>
    <s v=""/>
    <s v="P03835"/>
    <n v="0"/>
    <n v="-32433"/>
    <x v="2"/>
  </r>
  <r>
    <x v="9"/>
    <s v="IS"/>
    <x v="9"/>
    <x v="4"/>
    <s v="NF0001"/>
    <s v="Alnajm Flour from Mill 25KG"/>
    <x v="15"/>
    <x v="1"/>
    <d v="2025-10-06T00:00:00"/>
    <s v="SCRP"/>
    <s v="TRANSPORTATION LOSS - 3605 ANJAL"/>
    <x v="118"/>
    <s v="Loss"/>
    <x v="1"/>
    <x v="4"/>
    <x v="0"/>
    <s v="a.bakri"/>
    <n v="-1"/>
    <n v="-2.5000000000000001E-2"/>
    <n v="32433"/>
    <s v=""/>
    <s v="000003"/>
    <s v="X04616"/>
    <s v=""/>
    <s v="P03835"/>
    <n v="0"/>
    <n v="-32433"/>
    <x v="2"/>
  </r>
  <r>
    <x v="9"/>
    <s v="IS"/>
    <x v="9"/>
    <x v="4"/>
    <s v="NF0001"/>
    <s v="Alnajm Flour from Mill 25KG"/>
    <x v="15"/>
    <x v="1"/>
    <d v="2025-10-06T00:00:00"/>
    <s v="SCRP"/>
    <s v="TRANSPORTATION LOSS - 3690 ANJAL"/>
    <x v="118"/>
    <s v="Loss"/>
    <x v="1"/>
    <x v="4"/>
    <x v="0"/>
    <s v="a.bakri"/>
    <n v="-3"/>
    <n v="-7.4999999999999997E-2"/>
    <n v="32433"/>
    <s v=""/>
    <s v="000004"/>
    <s v="X04617"/>
    <s v=""/>
    <s v="P03835"/>
    <n v="0"/>
    <n v="-97299"/>
    <x v="2"/>
  </r>
  <r>
    <x v="9"/>
    <s v="IS"/>
    <x v="9"/>
    <x v="4"/>
    <s v="NF0001"/>
    <s v="Alnajm Flour from Mill 25KG"/>
    <x v="15"/>
    <x v="1"/>
    <d v="2025-10-06T00:00:00"/>
    <s v="SCRP"/>
    <s v="TRANSPORTATION LOSS - 3699 ANJAL"/>
    <x v="118"/>
    <s v="Loss"/>
    <x v="1"/>
    <x v="4"/>
    <x v="0"/>
    <s v="a.bakri"/>
    <n v="-1"/>
    <n v="-2.5000000000000001E-2"/>
    <n v="32433"/>
    <s v=""/>
    <s v="000005"/>
    <s v="X04618"/>
    <s v=""/>
    <s v="P03835"/>
    <n v="0"/>
    <n v="-32433"/>
    <x v="2"/>
  </r>
  <r>
    <x v="9"/>
    <s v="IS"/>
    <x v="9"/>
    <x v="4"/>
    <s v="NF0001"/>
    <s v="Alnajm Flour from Mill 25KG"/>
    <x v="15"/>
    <x v="1"/>
    <d v="2025-10-06T00:00:00"/>
    <s v="SCRP"/>
    <s v="TRANSPORTATION LOSS - 279345 ALTAF"/>
    <x v="118"/>
    <s v="Loss"/>
    <x v="1"/>
    <x v="4"/>
    <x v="0"/>
    <s v="a.bakri"/>
    <n v="-4"/>
    <n v="-0.1"/>
    <n v="32433"/>
    <s v=""/>
    <s v="000006"/>
    <s v="X04619"/>
    <s v=""/>
    <s v="P03835"/>
    <n v="0"/>
    <n v="-129732"/>
    <x v="2"/>
  </r>
  <r>
    <x v="9"/>
    <s v="IS"/>
    <x v="9"/>
    <x v="4"/>
    <s v="NF0001"/>
    <s v="Alnajm Flour from Mill 25KG"/>
    <x v="15"/>
    <x v="1"/>
    <d v="2025-10-06T00:00:00"/>
    <s v="SCRP"/>
    <s v="TRANSPORTATION LOSS - 3421 ANJAL"/>
    <x v="118"/>
    <s v="Loss"/>
    <x v="1"/>
    <x v="4"/>
    <x v="0"/>
    <s v="a.bakri"/>
    <n v="-1"/>
    <n v="-2.5000000000000001E-2"/>
    <n v="32433"/>
    <s v=""/>
    <s v="000007"/>
    <s v="X04620"/>
    <s v=""/>
    <s v="P03835"/>
    <n v="0"/>
    <n v="-32433"/>
    <x v="2"/>
  </r>
  <r>
    <x v="9"/>
    <s v="IS"/>
    <x v="9"/>
    <x v="4"/>
    <s v="NF0001"/>
    <s v="Alnajm Flour from Mill 25KG"/>
    <x v="15"/>
    <x v="1"/>
    <d v="2025-10-06T00:00:00"/>
    <s v="SCRP"/>
    <s v="TRANSPORTATION LOSS - 3057 BIG BOSS"/>
    <x v="118"/>
    <s v="Loss"/>
    <x v="1"/>
    <x v="4"/>
    <x v="0"/>
    <s v="a.bakri"/>
    <n v="-2"/>
    <n v="-0.05"/>
    <n v="32433"/>
    <s v=""/>
    <s v="000008"/>
    <s v="X04621"/>
    <s v=""/>
    <s v="P03835"/>
    <n v="0"/>
    <n v="-64866"/>
    <x v="2"/>
  </r>
  <r>
    <x v="9"/>
    <s v="IS"/>
    <x v="7"/>
    <x v="4"/>
    <s v="NF0001"/>
    <s v="Alnajm Flour from Mill 25KG"/>
    <x v="15"/>
    <x v="1"/>
    <d v="2025-10-06T00:00:00"/>
    <s v="ADJ"/>
    <s v="EXCESS - 3005 ANJAL"/>
    <x v="108"/>
    <s v="Gain"/>
    <x v="1"/>
    <x v="5"/>
    <x v="0"/>
    <s v="a.bakri"/>
    <n v="1"/>
    <n v="2.5000000000000001E-2"/>
    <n v="32433"/>
    <s v="IS0001"/>
    <s v="000009"/>
    <s v="A00921"/>
    <s v="C02973"/>
    <s v=""/>
    <n v="0"/>
    <n v="32433"/>
    <x v="2"/>
  </r>
  <r>
    <x v="9"/>
    <s v="IS"/>
    <x v="9"/>
    <x v="5"/>
    <s v="LE0003"/>
    <s v="Lentil Armada 20KG"/>
    <x v="7"/>
    <x v="1"/>
    <d v="2025-10-06T00:00:00"/>
    <s v="SCRP"/>
    <s v="TRANSPORTATION LOSS - 9154 ALKASIR"/>
    <x v="118"/>
    <s v="Loss"/>
    <x v="1"/>
    <x v="4"/>
    <x v="0"/>
    <s v="a.bakri"/>
    <n v="-20"/>
    <n v="-0.4"/>
    <n v="45681"/>
    <s v=""/>
    <s v="000000"/>
    <s v="X04622"/>
    <s v=""/>
    <s v="Q05533"/>
    <n v="0"/>
    <n v="-913620"/>
    <x v="3"/>
  </r>
  <r>
    <x v="9"/>
    <s v="IS"/>
    <x v="9"/>
    <x v="4"/>
    <s v="NF0001"/>
    <s v="Alnajm Flour from Mill 25KG"/>
    <x v="15"/>
    <x v="1"/>
    <d v="2025-10-06T00:00:00"/>
    <s v="SCRP"/>
    <s v="TRANSPORTATION LOSS - 3223 ARIF ALMUBARK"/>
    <x v="118"/>
    <s v="Loss"/>
    <x v="1"/>
    <x v="4"/>
    <x v="0"/>
    <s v="a.bakri"/>
    <n v="-1"/>
    <n v="-2.5000000000000001E-2"/>
    <n v="32433"/>
    <s v=""/>
    <s v="000010"/>
    <s v="X04623"/>
    <s v=""/>
    <s v="P03835"/>
    <n v="0"/>
    <n v="-32433"/>
    <x v="2"/>
  </r>
  <r>
    <x v="9"/>
    <s v="IS"/>
    <x v="9"/>
    <x v="4"/>
    <s v="NF0001"/>
    <s v="Alnajm Flour from Mill 25KG"/>
    <x v="15"/>
    <x v="1"/>
    <d v="2025-10-06T00:00:00"/>
    <s v="SCRP"/>
    <s v="TRANSPORTATION LOSS - 3231 ANJAL"/>
    <x v="118"/>
    <s v="Loss"/>
    <x v="1"/>
    <x v="4"/>
    <x v="0"/>
    <s v="a.bakri"/>
    <n v="-1"/>
    <n v="-2.5000000000000001E-2"/>
    <n v="32433"/>
    <s v=""/>
    <s v="000011"/>
    <s v="X04624"/>
    <s v=""/>
    <s v="P03835"/>
    <n v="0"/>
    <n v="-32433"/>
    <x v="2"/>
  </r>
  <r>
    <x v="9"/>
    <s v="IS"/>
    <x v="9"/>
    <x v="4"/>
    <s v="NF0001"/>
    <s v="Alnajm Flour from Mill 25KG"/>
    <x v="15"/>
    <x v="1"/>
    <d v="2025-10-06T00:00:00"/>
    <s v="SCRP"/>
    <s v="TRANSPORTATION LOSS - 3369 ALTAF"/>
    <x v="118"/>
    <s v="Loss"/>
    <x v="1"/>
    <x v="4"/>
    <x v="0"/>
    <s v="a.bakri"/>
    <n v="-2"/>
    <n v="-0.05"/>
    <n v="32433"/>
    <s v=""/>
    <s v="000012"/>
    <s v="X04625"/>
    <s v=""/>
    <s v="P03835"/>
    <n v="0"/>
    <n v="-64866"/>
    <x v="2"/>
  </r>
  <r>
    <x v="9"/>
    <s v="IS"/>
    <x v="9"/>
    <x v="4"/>
    <s v="NF0001"/>
    <s v="Alnajm Flour from Mill 25KG"/>
    <x v="15"/>
    <x v="1"/>
    <d v="2025-10-06T00:00:00"/>
    <s v="SCRP"/>
    <s v="TRANSPORTATION LOSS - 3378 ANJAL"/>
    <x v="118"/>
    <s v="Loss"/>
    <x v="1"/>
    <x v="4"/>
    <x v="0"/>
    <s v="a.bakri"/>
    <n v="-15"/>
    <n v="-0.375"/>
    <n v="32433"/>
    <s v=""/>
    <s v="000013"/>
    <s v="X04626"/>
    <s v=""/>
    <s v="P03835"/>
    <n v="0"/>
    <n v="-486495"/>
    <x v="2"/>
  </r>
  <r>
    <x v="9"/>
    <s v="IS"/>
    <x v="9"/>
    <x v="4"/>
    <s v="NF0001"/>
    <s v="Alnajm Flour from Mill 25KG"/>
    <x v="15"/>
    <x v="1"/>
    <d v="2025-10-06T00:00:00"/>
    <s v="SCRP"/>
    <s v="TRANSPORTATION LOSS - 3381 ANJAL"/>
    <x v="118"/>
    <s v="Loss"/>
    <x v="1"/>
    <x v="4"/>
    <x v="0"/>
    <s v="a.bakri"/>
    <n v="-3"/>
    <n v="-7.4999999999999997E-2"/>
    <n v="32433"/>
    <s v=""/>
    <s v="000014"/>
    <s v="X04627"/>
    <s v=""/>
    <s v="P03835"/>
    <n v="0"/>
    <n v="-97299"/>
    <x v="2"/>
  </r>
  <r>
    <x v="9"/>
    <s v="IS"/>
    <x v="9"/>
    <x v="4"/>
    <s v="NF0001"/>
    <s v="Alnajm Flour from Mill 25KG"/>
    <x v="15"/>
    <x v="1"/>
    <d v="2025-10-06T00:00:00"/>
    <s v="SCRP"/>
    <s v="TRANSPORTATION LOSS - 4723 ANJAL"/>
    <x v="118"/>
    <s v="Loss"/>
    <x v="1"/>
    <x v="4"/>
    <x v="0"/>
    <s v="a.bakri"/>
    <n v="-1"/>
    <n v="-2.5000000000000001E-2"/>
    <n v="32433"/>
    <s v=""/>
    <s v="000015"/>
    <s v="X04628"/>
    <s v=""/>
    <s v="P03835"/>
    <n v="0"/>
    <n v="-32433"/>
    <x v="2"/>
  </r>
  <r>
    <x v="9"/>
    <s v="IS"/>
    <x v="9"/>
    <x v="4"/>
    <s v="NF0001"/>
    <s v="Alnajm Flour from Mill 25KG"/>
    <x v="15"/>
    <x v="1"/>
    <d v="2025-10-06T00:00:00"/>
    <s v="SCRP"/>
    <s v="TRANSPORTATION LOSS - 4728 ANJAL"/>
    <x v="118"/>
    <s v="Loss"/>
    <x v="1"/>
    <x v="4"/>
    <x v="0"/>
    <s v="a.bakri"/>
    <n v="-6"/>
    <n v="-0.15"/>
    <n v="32433"/>
    <s v=""/>
    <s v="000016"/>
    <s v="X04629"/>
    <s v=""/>
    <s v="P03835"/>
    <n v="0"/>
    <n v="-194598"/>
    <x v="2"/>
  </r>
  <r>
    <x v="9"/>
    <s v="IS"/>
    <x v="7"/>
    <x v="5"/>
    <s v="LE0001"/>
    <s v="Lentil TAT 20KG"/>
    <x v="7"/>
    <x v="1"/>
    <d v="2025-10-07T00:00:00"/>
    <s v="ADJ"/>
    <s v="CORRECTION - 4412 DARKA"/>
    <x v="108"/>
    <s v="Gain"/>
    <x v="1"/>
    <x v="5"/>
    <x v="0"/>
    <s v="a.bakri"/>
    <n v="1"/>
    <n v="0.02"/>
    <n v="45681"/>
    <s v="IS0001"/>
    <s v="000000"/>
    <s v="A00922"/>
    <s v="C02974"/>
    <s v=""/>
    <n v="0"/>
    <n v="45681"/>
    <x v="3"/>
  </r>
  <r>
    <x v="9"/>
    <s v="IS"/>
    <x v="7"/>
    <x v="5"/>
    <s v="LE0001"/>
    <s v="Lentil TAT 20KG"/>
    <x v="7"/>
    <x v="1"/>
    <d v="2025-10-07T00:00:00"/>
    <s v="ADJ"/>
    <s v="EXCESS - 4412 DARKA"/>
    <x v="108"/>
    <s v="Gain"/>
    <x v="1"/>
    <x v="5"/>
    <x v="0"/>
    <s v="a.bakri"/>
    <n v="1"/>
    <n v="0.02"/>
    <n v="45681"/>
    <s v="IS0001"/>
    <s v="000001"/>
    <s v="A00923"/>
    <s v="C02975"/>
    <s v=""/>
    <n v="0"/>
    <n v="45681"/>
    <x v="3"/>
  </r>
  <r>
    <x v="9"/>
    <s v="XI"/>
    <x v="2"/>
    <x v="5"/>
    <s v="LE0001"/>
    <s v="Lentil TAT 20KG"/>
    <x v="7"/>
    <x v="1"/>
    <d v="2025-10-09T00:00:00"/>
    <s v="SCRP"/>
    <s v="MV TORO - SHOTLANDED BL: 2578"/>
    <x v="139"/>
    <s v="Loss"/>
    <x v="1"/>
    <x v="3"/>
    <x v="0"/>
    <s v="a.bakri"/>
    <n v="-41"/>
    <n v="-0.82"/>
    <n v="45681"/>
    <s v=""/>
    <s v="000000"/>
    <s v="X04634"/>
    <s v=""/>
    <s v="Q06277"/>
    <n v="0"/>
    <n v="-1872921"/>
    <x v="3"/>
  </r>
  <r>
    <x v="9"/>
    <s v="XI"/>
    <x v="2"/>
    <x v="5"/>
    <s v="LE0001"/>
    <s v="Lentil TAT 20KG"/>
    <x v="7"/>
    <x v="1"/>
    <d v="2025-10-09T00:00:00"/>
    <s v="SCRP"/>
    <s v="MV TORO - SHOTLANDED BL 3124"/>
    <x v="140"/>
    <s v="Loss"/>
    <x v="1"/>
    <x v="3"/>
    <x v="0"/>
    <s v="a.bakri"/>
    <n v="-9"/>
    <n v="-0.18"/>
    <n v="45681"/>
    <s v=""/>
    <s v="000001"/>
    <s v="X04635"/>
    <s v=""/>
    <s v="Q06277"/>
    <n v="0"/>
    <n v="-411129"/>
    <x v="3"/>
  </r>
  <r>
    <x v="9"/>
    <s v="IS"/>
    <x v="9"/>
    <x v="5"/>
    <s v="LE0001"/>
    <s v="Lentil TAT 20KG"/>
    <x v="7"/>
    <x v="1"/>
    <d v="2025-10-09T00:00:00"/>
    <s v="SCRP"/>
    <s v="TRANSPORTATION LOSS - 4416 ANJAL"/>
    <x v="118"/>
    <s v="Loss"/>
    <x v="1"/>
    <x v="4"/>
    <x v="0"/>
    <s v="a.bakri"/>
    <n v="-2"/>
    <n v="-0.04"/>
    <n v="45681"/>
    <s v=""/>
    <s v="000000"/>
    <s v="X04631"/>
    <s v=""/>
    <s v="Q06270"/>
    <n v="0"/>
    <n v="-91362"/>
    <x v="3"/>
  </r>
  <r>
    <x v="9"/>
    <s v="BD"/>
    <x v="14"/>
    <x v="4"/>
    <s v="IF0001"/>
    <s v="Flour Import Elngm 25Kg"/>
    <x v="5"/>
    <x v="1"/>
    <d v="2025-10-09T00:00:00"/>
    <s v="SCRP"/>
    <s v="SWAP"/>
    <x v="141"/>
    <s v="Loss"/>
    <x v="1"/>
    <x v="3"/>
    <x v="0"/>
    <s v="a.bakri"/>
    <n v="-3"/>
    <n v="-7.4999999999999997E-2"/>
    <n v="32433"/>
    <s v=""/>
    <s v="000000"/>
    <s v="X04632"/>
    <s v=""/>
    <s v="Q06225"/>
    <n v="0"/>
    <n v="-97299"/>
    <x v="2"/>
  </r>
  <r>
    <x v="9"/>
    <s v="BD"/>
    <x v="14"/>
    <x v="4"/>
    <s v="NF0001"/>
    <s v="Alnajm Flour from Mill 25KG"/>
    <x v="15"/>
    <x v="1"/>
    <d v="2025-10-09T00:00:00"/>
    <s v="ADJ"/>
    <s v="SWAP"/>
    <x v="141"/>
    <s v="Gain"/>
    <x v="1"/>
    <x v="5"/>
    <x v="0"/>
    <s v="a.bakri"/>
    <n v="3"/>
    <n v="7.4999999999999997E-2"/>
    <n v="32433"/>
    <s v="BD0001"/>
    <s v="000000"/>
    <s v="A00924"/>
    <s v="C02976"/>
    <s v=""/>
    <n v="0"/>
    <n v="97299"/>
    <x v="2"/>
  </r>
  <r>
    <x v="9"/>
    <s v="XI"/>
    <x v="2"/>
    <x v="5"/>
    <s v="LE0001"/>
    <s v="Lentil TAT 20KG"/>
    <x v="7"/>
    <x v="1"/>
    <d v="2025-10-09T00:00:00"/>
    <s v="SCRP"/>
    <s v="MV TORO - SHOTLANDED BL 2560"/>
    <x v="142"/>
    <s v="Loss"/>
    <x v="1"/>
    <x v="3"/>
    <x v="0"/>
    <s v="a.bakri"/>
    <n v="-34"/>
    <n v="-0.68"/>
    <n v="45681"/>
    <s v=""/>
    <s v="000002"/>
    <s v="X04636"/>
    <s v=""/>
    <s v="Q06277"/>
    <n v="0"/>
    <n v="-1553154"/>
    <x v="3"/>
  </r>
  <r>
    <x v="9"/>
    <s v="XI"/>
    <x v="2"/>
    <x v="5"/>
    <s v="LE0001"/>
    <s v="Lentil TAT 20KG"/>
    <x v="7"/>
    <x v="1"/>
    <d v="2025-10-09T00:00:00"/>
    <s v="SCRP"/>
    <s v="MV TORO - SHOTLANDED BL 3107"/>
    <x v="143"/>
    <s v="Loss"/>
    <x v="1"/>
    <x v="3"/>
    <x v="0"/>
    <s v="a.bakri"/>
    <n v="-62"/>
    <n v="-1.24"/>
    <n v="45681"/>
    <s v=""/>
    <s v="000003"/>
    <s v="X04637"/>
    <s v=""/>
    <s v="Q06277"/>
    <n v="0"/>
    <n v="-2832222"/>
    <x v="3"/>
  </r>
  <r>
    <x v="9"/>
    <s v="XI"/>
    <x v="2"/>
    <x v="5"/>
    <s v="LE0001"/>
    <s v="Lentil TAT 20KG"/>
    <x v="7"/>
    <x v="1"/>
    <d v="2025-10-09T00:00:00"/>
    <s v="SCRP"/>
    <s v="MV HAIAN GAMA - SHOTLANDED BL 2856"/>
    <x v="144"/>
    <s v="Loss"/>
    <x v="1"/>
    <x v="2"/>
    <x v="0"/>
    <s v="a.bakri"/>
    <n v="-24"/>
    <n v="-0.48"/>
    <n v="45681"/>
    <s v=""/>
    <s v="000004"/>
    <s v="X04638"/>
    <s v=""/>
    <s v="Q06277"/>
    <n v="0"/>
    <n v="-1096344"/>
    <x v="3"/>
  </r>
  <r>
    <x v="9"/>
    <s v="XI"/>
    <x v="2"/>
    <x v="5"/>
    <s v="LE0001"/>
    <s v="Lentil TAT 20KG"/>
    <x v="7"/>
    <x v="1"/>
    <d v="2025-10-09T00:00:00"/>
    <s v="SCRP"/>
    <s v="MV HAIAN GAMA - SSMO REJECT BL 2856"/>
    <x v="144"/>
    <s v="Loss"/>
    <x v="1"/>
    <x v="2"/>
    <x v="0"/>
    <s v="a.bakri"/>
    <n v="-21"/>
    <n v="-0.42"/>
    <n v="45681"/>
    <s v=""/>
    <s v="000005"/>
    <s v="X04639"/>
    <s v=""/>
    <s v="Q06277"/>
    <n v="0"/>
    <n v="-959301"/>
    <x v="3"/>
  </r>
  <r>
    <x v="9"/>
    <s v="XI"/>
    <x v="2"/>
    <x v="5"/>
    <s v="LE0001"/>
    <s v="Lentil TAT 20KG"/>
    <x v="7"/>
    <x v="1"/>
    <d v="2025-10-09T00:00:00"/>
    <s v="SCRP"/>
    <s v="MV HAIAN GAMA - SHOTLANDED BL 7984"/>
    <x v="145"/>
    <s v="Loss"/>
    <x v="1"/>
    <x v="2"/>
    <x v="0"/>
    <s v="a.bakri"/>
    <n v="-15"/>
    <n v="-0.3"/>
    <n v="45681"/>
    <s v=""/>
    <s v="000006"/>
    <s v="X04640"/>
    <s v=""/>
    <s v="Q06277"/>
    <n v="0"/>
    <n v="-685215"/>
    <x v="3"/>
  </r>
  <r>
    <x v="9"/>
    <s v="XI"/>
    <x v="2"/>
    <x v="5"/>
    <s v="LE0001"/>
    <s v="Lentil TAT 20KG"/>
    <x v="7"/>
    <x v="1"/>
    <d v="2025-10-09T00:00:00"/>
    <s v="SCRP"/>
    <s v="MV HAIAN GAMA - SHOTLANDEDBL 0297"/>
    <x v="146"/>
    <s v="Loss"/>
    <x v="1"/>
    <x v="2"/>
    <x v="0"/>
    <s v="a.bakri"/>
    <n v="-45"/>
    <n v="-0.9"/>
    <n v="45681"/>
    <s v=""/>
    <s v="000007"/>
    <s v="X04641"/>
    <s v=""/>
    <s v="Q06277"/>
    <n v="0"/>
    <n v="-2055645"/>
    <x v="3"/>
  </r>
  <r>
    <x v="9"/>
    <s v="XI"/>
    <x v="3"/>
    <x v="5"/>
    <s v="LE0001"/>
    <s v="Lentil TAT 20KG"/>
    <x v="7"/>
    <x v="1"/>
    <d v="2025-10-09T00:00:00"/>
    <s v="ADJ"/>
    <s v="MV HAIAN GAMA - OVERLANDED BL"/>
    <x v="147"/>
    <s v="Gain"/>
    <x v="1"/>
    <x v="5"/>
    <x v="0"/>
    <s v="a.bakri"/>
    <n v="2"/>
    <n v="0.04"/>
    <n v="45681"/>
    <s v="XI0001"/>
    <s v="000008"/>
    <s v="A00925"/>
    <s v="C02977"/>
    <s v=""/>
    <n v="0"/>
    <n v="91362"/>
    <x v="3"/>
  </r>
  <r>
    <x v="9"/>
    <s v="NN"/>
    <x v="6"/>
    <x v="5"/>
    <s v="LE0001"/>
    <s v="Lentil TAT 20KG"/>
    <x v="7"/>
    <x v="1"/>
    <d v="2025-10-09T00:00:00"/>
    <s v="SCRP"/>
    <s v="REPACKING LOSS - NC 10"/>
    <x v="137"/>
    <s v="Loss"/>
    <x v="1"/>
    <x v="1"/>
    <x v="0"/>
    <s v="a.bakri"/>
    <n v="-33"/>
    <n v="-0.66"/>
    <n v="45681"/>
    <s v=""/>
    <s v="000000"/>
    <s v="X04643"/>
    <s v=""/>
    <s v="Q05915"/>
    <n v="0"/>
    <n v="-1507473"/>
    <x v="3"/>
  </r>
  <r>
    <x v="9"/>
    <s v="NN"/>
    <x v="6"/>
    <x v="5"/>
    <s v="LE0001"/>
    <s v="Lentil TAT 20KG"/>
    <x v="7"/>
    <x v="1"/>
    <d v="2025-10-09T00:00:00"/>
    <s v="SCRP"/>
    <s v="REPACKING LOSS - NC 14"/>
    <x v="137"/>
    <s v="Loss"/>
    <x v="1"/>
    <x v="1"/>
    <x v="0"/>
    <s v="a.bakri"/>
    <n v="-2"/>
    <n v="-0.04"/>
    <n v="45681"/>
    <s v=""/>
    <s v="000001"/>
    <s v="X04644"/>
    <s v=""/>
    <s v="Q05915"/>
    <n v="0"/>
    <n v="-91362"/>
    <x v="3"/>
  </r>
  <r>
    <x v="9"/>
    <s v="XA"/>
    <x v="6"/>
    <x v="5"/>
    <s v="LE0001"/>
    <s v="Lentil TAT 20KG"/>
    <x v="7"/>
    <x v="1"/>
    <d v="2025-10-09T00:00:00"/>
    <s v="SCRP"/>
    <s v="REPACKING LOSS - NC 132"/>
    <x v="137"/>
    <s v="Loss"/>
    <x v="1"/>
    <x v="1"/>
    <x v="0"/>
    <s v="a.bakri"/>
    <n v="-30"/>
    <n v="-0.6"/>
    <n v="45681"/>
    <s v=""/>
    <s v="000000"/>
    <s v="X04645"/>
    <s v=""/>
    <s v="Q06234"/>
    <n v="0"/>
    <n v="-1370430"/>
    <x v="3"/>
  </r>
  <r>
    <x v="9"/>
    <s v="XA"/>
    <x v="6"/>
    <x v="5"/>
    <s v="LE0001"/>
    <s v="Lentil TAT 20KG"/>
    <x v="7"/>
    <x v="1"/>
    <d v="2025-10-09T00:00:00"/>
    <s v="SCRP"/>
    <s v="REPACKING LOSS - NC 24"/>
    <x v="137"/>
    <s v="Loss"/>
    <x v="1"/>
    <x v="1"/>
    <x v="0"/>
    <s v="a.bakri"/>
    <n v="-1"/>
    <n v="-0.02"/>
    <n v="45681"/>
    <s v=""/>
    <s v="000001"/>
    <s v="X04646"/>
    <s v=""/>
    <s v="Q06234"/>
    <n v="0"/>
    <n v="-45681"/>
    <x v="3"/>
  </r>
  <r>
    <x v="9"/>
    <s v="XA"/>
    <x v="6"/>
    <x v="5"/>
    <s v="LE0303"/>
    <s v="Lentil Damaged 20KG"/>
    <x v="10"/>
    <x v="1"/>
    <d v="2025-10-09T00:00:00"/>
    <s v="ADJ"/>
    <s v="REPACKING DAMAGE - NC 24"/>
    <x v="137"/>
    <s v="Gain"/>
    <x v="1"/>
    <x v="1"/>
    <x v="0"/>
    <s v="a.bakri"/>
    <n v="1"/>
    <n v="0.02"/>
    <n v="0"/>
    <s v="XA0001"/>
    <s v="000000"/>
    <s v="A00926"/>
    <s v="C02978"/>
    <s v=""/>
    <n v="0"/>
    <n v="10000"/>
    <x v="3"/>
  </r>
  <r>
    <x v="9"/>
    <s v="XA"/>
    <x v="6"/>
    <x v="5"/>
    <s v="LE0304"/>
    <s v="Lentil Damage/waste 50KG"/>
    <x v="10"/>
    <x v="1"/>
    <d v="2025-10-09T00:00:00"/>
    <s v="ADJ"/>
    <s v="REPACKING DAMAGE - NC 10"/>
    <x v="137"/>
    <s v="Gain"/>
    <x v="1"/>
    <x v="1"/>
    <x v="0"/>
    <s v="a.bakri"/>
    <n v="5"/>
    <n v="0.1"/>
    <n v="0"/>
    <s v="XA0001"/>
    <s v="000000"/>
    <s v="A00927"/>
    <s v="C02979"/>
    <s v=""/>
    <n v="0"/>
    <n v="120000"/>
    <x v="1"/>
  </r>
  <r>
    <x v="9"/>
    <s v="XA"/>
    <x v="6"/>
    <x v="5"/>
    <s v="LE0304"/>
    <s v="Lentil Damage/waste 50KG"/>
    <x v="10"/>
    <x v="1"/>
    <d v="2025-10-09T00:00:00"/>
    <s v="ADJ"/>
    <s v="REPACKING DAMAGE - NC 132"/>
    <x v="137"/>
    <s v="Gain"/>
    <x v="1"/>
    <x v="1"/>
    <x v="0"/>
    <s v="a.bakri"/>
    <n v="6"/>
    <n v="0.12"/>
    <n v="0"/>
    <s v="XA0001"/>
    <s v="000001"/>
    <s v="A00928"/>
    <s v="C02980"/>
    <s v=""/>
    <n v="0"/>
    <n v="150000"/>
    <x v="1"/>
  </r>
  <r>
    <x v="9"/>
    <s v="TF"/>
    <x v="9"/>
    <x v="5"/>
    <s v="LE0001"/>
    <s v="Lentil TAT 20KG"/>
    <x v="7"/>
    <x v="1"/>
    <d v="2025-10-12T00:00:00"/>
    <s v="SCRP"/>
    <s v="TRANSPORTATION LOSS - 4424 DARKA"/>
    <x v="118"/>
    <s v="Loss"/>
    <x v="1"/>
    <x v="4"/>
    <x v="0"/>
    <s v="a.bakri"/>
    <n v="-2"/>
    <n v="-0.04"/>
    <n v="45681"/>
    <s v=""/>
    <s v="000000"/>
    <s v="X04647"/>
    <s v=""/>
    <s v="Q06277"/>
    <n v="0"/>
    <n v="-91362"/>
    <x v="3"/>
  </r>
  <r>
    <x v="9"/>
    <s v="IS"/>
    <x v="7"/>
    <x v="4"/>
    <s v="NF0001"/>
    <s v="Alnajm Flour from Mill 25KG"/>
    <x v="15"/>
    <x v="1"/>
    <d v="2025-10-12T00:00:00"/>
    <s v="ADJ"/>
    <s v="EXCESS - 3363 ALNWA"/>
    <x v="108"/>
    <s v="Gain"/>
    <x v="1"/>
    <x v="5"/>
    <x v="0"/>
    <s v="a.bakri"/>
    <n v="6"/>
    <n v="0.15"/>
    <n v="32433"/>
    <s v="IS0001"/>
    <s v="000000"/>
    <s v="A00929"/>
    <s v="C02981"/>
    <s v=""/>
    <n v="0"/>
    <n v="194598"/>
    <x v="2"/>
  </r>
  <r>
    <x v="9"/>
    <s v="IS"/>
    <x v="9"/>
    <x v="4"/>
    <s v="NF0001"/>
    <s v="Alnajm Flour from Mill 25KG"/>
    <x v="15"/>
    <x v="1"/>
    <d v="2025-10-15T00:00:00"/>
    <s v="SCRP"/>
    <s v="TRANSPORTATION LOSS - 3351  ANJAL"/>
    <x v="118"/>
    <s v="Loss"/>
    <x v="1"/>
    <x v="4"/>
    <x v="0"/>
    <s v="a.bakri"/>
    <n v="-2"/>
    <n v="-0.05"/>
    <n v="32433"/>
    <s v=""/>
    <s v="000000"/>
    <s v="X04648"/>
    <s v=""/>
    <s v="P03847"/>
    <n v="0"/>
    <n v="-64866"/>
    <x v="2"/>
  </r>
  <r>
    <x v="9"/>
    <s v="IS"/>
    <x v="9"/>
    <x v="4"/>
    <s v="NF0001"/>
    <s v="Alnajm Flour from Mill 25KG"/>
    <x v="15"/>
    <x v="1"/>
    <d v="2025-10-15T00:00:00"/>
    <s v="SCRP"/>
    <s v="TRANSPORTATION LOSS - 3374  ALTAF"/>
    <x v="118"/>
    <s v="Loss"/>
    <x v="1"/>
    <x v="4"/>
    <x v="0"/>
    <s v="a.bakri"/>
    <n v="-5"/>
    <n v="-0.125"/>
    <n v="32433"/>
    <s v=""/>
    <s v="000001"/>
    <s v="X04649"/>
    <s v=""/>
    <s v="P03847"/>
    <n v="0"/>
    <n v="-162165"/>
    <x v="2"/>
  </r>
  <r>
    <x v="9"/>
    <s v="IS"/>
    <x v="9"/>
    <x v="4"/>
    <s v="NF0001"/>
    <s v="Alnajm Flour from Mill 25KG"/>
    <x v="15"/>
    <x v="1"/>
    <d v="2025-10-15T00:00:00"/>
    <s v="SCRP"/>
    <s v="TRANSPORTATION LOSS - 3375  ALTAF"/>
    <x v="118"/>
    <s v="Loss"/>
    <x v="1"/>
    <x v="4"/>
    <x v="0"/>
    <s v="a.bakri"/>
    <n v="-1"/>
    <n v="-2.5000000000000001E-2"/>
    <n v="32433"/>
    <s v=""/>
    <s v="000002"/>
    <s v="X04650"/>
    <s v=""/>
    <s v="P03847"/>
    <n v="0"/>
    <n v="-32433"/>
    <x v="2"/>
  </r>
  <r>
    <x v="9"/>
    <s v="IS"/>
    <x v="9"/>
    <x v="4"/>
    <s v="NF0001"/>
    <s v="Alnajm Flour from Mill 25KG"/>
    <x v="15"/>
    <x v="1"/>
    <d v="2025-10-15T00:00:00"/>
    <s v="SCRP"/>
    <s v="TRANSPORTATION LOSS - 3377  ABURNAT"/>
    <x v="118"/>
    <s v="Loss"/>
    <x v="1"/>
    <x v="4"/>
    <x v="0"/>
    <s v="a.bakri"/>
    <n v="-1"/>
    <n v="-2.5000000000000001E-2"/>
    <n v="32433"/>
    <s v=""/>
    <s v="000003"/>
    <s v="X04651"/>
    <s v=""/>
    <s v="P03847"/>
    <n v="0"/>
    <n v="-32433"/>
    <x v="2"/>
  </r>
  <r>
    <x v="9"/>
    <s v="C1"/>
    <x v="10"/>
    <x v="1"/>
    <s v="SO0101"/>
    <s v="Sorghum Raw"/>
    <x v="1"/>
    <x v="0"/>
    <d v="2025-10-15T00:00:00"/>
    <s v="SCRP"/>
    <s v="SCALE DIFF - GADARIF TO KHT"/>
    <x v="148"/>
    <s v="Loss"/>
    <x v="0"/>
    <x v="7"/>
    <x v="0"/>
    <s v="a.bakri"/>
    <n v="-0.83"/>
    <n v="-0.83"/>
    <n v="947797"/>
    <s v=""/>
    <s v="000000"/>
    <s v="X04652"/>
    <s v=""/>
    <s v="Q06137"/>
    <n v="0"/>
    <n v="-786671.51"/>
    <x v="0"/>
  </r>
  <r>
    <x v="9"/>
    <s v="TF"/>
    <x v="7"/>
    <x v="5"/>
    <s v="LE0001"/>
    <s v="Lentil TAT 20KG"/>
    <x v="7"/>
    <x v="1"/>
    <d v="2025-10-19T00:00:00"/>
    <s v="ADJ"/>
    <s v="EXCESS - 4430 ABURNAT"/>
    <x v="108"/>
    <s v="Gain"/>
    <x v="1"/>
    <x v="5"/>
    <x v="0"/>
    <s v="a.bakri"/>
    <n v="5"/>
    <n v="0.1"/>
    <n v="45681"/>
    <s v="TF0001"/>
    <s v="000000"/>
    <s v="A00930"/>
    <s v="C03003"/>
    <s v=""/>
    <n v="0"/>
    <n v="228405"/>
    <x v="3"/>
  </r>
  <r>
    <x v="9"/>
    <s v="XA"/>
    <x v="5"/>
    <x v="2"/>
    <s v="WS0008"/>
    <s v="White Crystal Sugar"/>
    <x v="2"/>
    <x v="1"/>
    <d v="2025-10-27T00:00:00"/>
    <s v="ADJ"/>
    <s v="RECLASSIFICATION-SORTING-NC100"/>
    <x v="149"/>
    <s v="Gain"/>
    <x v="1"/>
    <x v="5"/>
    <x v="0"/>
    <s v="a.bakri"/>
    <n v="41"/>
    <n v="2.0499999999999998"/>
    <n v="87806"/>
    <s v="XA0001"/>
    <s v="000000"/>
    <s v="A00932"/>
    <s v="C03014"/>
    <s v=""/>
    <n v="0"/>
    <n v="3600046"/>
    <x v="1"/>
  </r>
  <r>
    <x v="9"/>
    <s v="XA"/>
    <x v="5"/>
    <x v="2"/>
    <s v="WS0010"/>
    <s v="Caked Sugar"/>
    <x v="33"/>
    <x v="1"/>
    <d v="2025-10-27T00:00:00"/>
    <s v="SCRP"/>
    <s v="RECLASSIFICATION - SORTING - NC 100"/>
    <x v="149"/>
    <s v="Loss"/>
    <x v="1"/>
    <x v="5"/>
    <x v="0"/>
    <s v="a.bakri"/>
    <n v="-41"/>
    <n v="-2.0499999999999998"/>
    <n v="43903"/>
    <s v=""/>
    <s v="000000"/>
    <s v="X04655"/>
    <s v=""/>
    <s v="A00852"/>
    <n v="0"/>
    <n v="-1800023"/>
    <x v="1"/>
  </r>
  <r>
    <x v="9"/>
    <s v="XI"/>
    <x v="2"/>
    <x v="5"/>
    <s v="LE0001"/>
    <s v="Lentil TAT 20KG"/>
    <x v="7"/>
    <x v="1"/>
    <d v="2025-10-27T00:00:00"/>
    <s v="SCRP"/>
    <s v="MV HAIAN GAMA - SHORTLANDED -  BL2754"/>
    <x v="150"/>
    <s v="Loss"/>
    <x v="1"/>
    <x v="3"/>
    <x v="0"/>
    <s v="a.bakri"/>
    <n v="-3"/>
    <n v="-0.06"/>
    <n v="45681"/>
    <s v=""/>
    <s v="000000"/>
    <s v="X04656"/>
    <s v=""/>
    <s v="Q06277"/>
    <n v="0"/>
    <n v="-137043"/>
    <x v="3"/>
  </r>
  <r>
    <x v="9"/>
    <s v="XI"/>
    <x v="2"/>
    <x v="5"/>
    <s v="LE0001"/>
    <s v="Lentil TAT 20KG"/>
    <x v="7"/>
    <x v="1"/>
    <d v="2025-10-27T00:00:00"/>
    <s v="SCRP"/>
    <s v="MV HAIAN GAMA - SHORTLANDED -  BL2754"/>
    <x v="150"/>
    <s v="Loss"/>
    <x v="1"/>
    <x v="3"/>
    <x v="0"/>
    <s v="a.bakri"/>
    <n v="-2"/>
    <n v="-0.04"/>
    <n v="45681"/>
    <s v=""/>
    <s v="000001"/>
    <s v="X04656"/>
    <s v=""/>
    <s v="Q06277"/>
    <n v="0"/>
    <n v="-91362"/>
    <x v="3"/>
  </r>
  <r>
    <x v="9"/>
    <s v="XI"/>
    <x v="2"/>
    <x v="5"/>
    <s v="LE0001"/>
    <s v="Lentil TAT 20KG"/>
    <x v="7"/>
    <x v="1"/>
    <d v="2025-10-27T00:00:00"/>
    <s v="SCRP"/>
    <s v="MV HAIAN GAMA - SHORTLANDED -  BL0255"/>
    <x v="151"/>
    <s v="Loss"/>
    <x v="1"/>
    <x v="4"/>
    <x v="0"/>
    <s v="a.bakri"/>
    <n v="-55"/>
    <n v="-1.1000000000000001"/>
    <n v="45681"/>
    <s v=""/>
    <s v="000002"/>
    <s v="X04657"/>
    <s v=""/>
    <s v="Q06277"/>
    <n v="0"/>
    <n v="-2512455"/>
    <x v="3"/>
  </r>
  <r>
    <x v="9"/>
    <s v="XI"/>
    <x v="2"/>
    <x v="5"/>
    <s v="LE0001"/>
    <s v="Lentil TAT 20KG"/>
    <x v="7"/>
    <x v="1"/>
    <d v="2025-10-27T00:00:00"/>
    <s v="SCRP"/>
    <s v="MV HAIAN GAMA - SHORTLANDED -  BL1429"/>
    <x v="152"/>
    <s v="Loss"/>
    <x v="1"/>
    <x v="2"/>
    <x v="1"/>
    <s v="a.bakri"/>
    <n v="-32"/>
    <n v="-0.64"/>
    <n v="45681"/>
    <s v=""/>
    <s v="000003"/>
    <s v="X04658"/>
    <s v=""/>
    <s v="Q06277"/>
    <n v="0"/>
    <n v="-1461792"/>
    <x v="3"/>
  </r>
  <r>
    <x v="9"/>
    <s v="XI"/>
    <x v="2"/>
    <x v="5"/>
    <s v="LE0001"/>
    <s v="Lentil TAT 20KG"/>
    <x v="7"/>
    <x v="1"/>
    <d v="2025-10-27T00:00:00"/>
    <s v="SCRP"/>
    <s v="MV HAIAN GAMA - SHORTLANDED -  BL1936"/>
    <x v="153"/>
    <s v="Loss"/>
    <x v="1"/>
    <x v="3"/>
    <x v="0"/>
    <s v="a.bakri"/>
    <n v="-5"/>
    <n v="-0.1"/>
    <n v="45681"/>
    <s v=""/>
    <s v="000004"/>
    <s v="X04659"/>
    <s v=""/>
    <s v="Q06277"/>
    <n v="0"/>
    <n v="-228405"/>
    <x v="3"/>
  </r>
  <r>
    <x v="9"/>
    <s v="XA"/>
    <x v="5"/>
    <x v="5"/>
    <s v="LE0001"/>
    <s v="Lentil TAT 20KG"/>
    <x v="7"/>
    <x v="1"/>
    <d v="2025-10-27T00:00:00"/>
    <s v="SCRP"/>
    <s v="CONTAINER DAMAGE - WET - NC 29 A"/>
    <x v="154"/>
    <s v="Loss"/>
    <x v="1"/>
    <x v="2"/>
    <x v="4"/>
    <s v="a.bakri"/>
    <n v="-58"/>
    <n v="-1.1599999999999999"/>
    <n v="45681"/>
    <s v=""/>
    <s v="000020"/>
    <s v="X04660"/>
    <s v=""/>
    <s v="Q06277"/>
    <n v="0"/>
    <n v="-2649498"/>
    <x v="3"/>
  </r>
  <r>
    <x v="9"/>
    <s v="ZL"/>
    <x v="5"/>
    <x v="2"/>
    <s v="WS0011"/>
    <s v="White Sugar - Damaged"/>
    <x v="14"/>
    <x v="1"/>
    <d v="2025-10-27T00:00:00"/>
    <s v="SCRP"/>
    <s v="DAMAGED - SORTING LOSS  - NC 1"/>
    <x v="155"/>
    <s v="Loss"/>
    <x v="1"/>
    <x v="1"/>
    <x v="0"/>
    <s v="a.bakri"/>
    <n v="-2"/>
    <n v="-0.1"/>
    <n v="0"/>
    <s v=""/>
    <s v="000000"/>
    <s v="X04661"/>
    <s v=""/>
    <s v="A00679"/>
    <n v="0"/>
    <n v="0"/>
    <x v="1"/>
  </r>
  <r>
    <x v="9"/>
    <s v="XA"/>
    <x v="5"/>
    <x v="5"/>
    <s v="LE0303"/>
    <s v="Lentil Damaged 20KG"/>
    <x v="10"/>
    <x v="1"/>
    <d v="2025-10-27T00:00:00"/>
    <s v="ADJ"/>
    <s v="CONTAINER DAMAGE-WET-NC 29A"/>
    <x v="154"/>
    <s v="Gain"/>
    <x v="1"/>
    <x v="2"/>
    <x v="4"/>
    <s v="a.bakri"/>
    <n v="58"/>
    <n v="1.1599999999999999"/>
    <n v="0"/>
    <s v="XA0001"/>
    <s v="000000"/>
    <s v="A00931"/>
    <s v="C03013"/>
    <s v=""/>
    <n v="0"/>
    <n v="580000"/>
    <x v="3"/>
  </r>
  <r>
    <x v="9"/>
    <s v="IS"/>
    <x v="9"/>
    <x v="4"/>
    <s v="NF0001"/>
    <s v="Alnajm Flour from Mill 25KG"/>
    <x v="15"/>
    <x v="1"/>
    <d v="2025-10-28T00:00:00"/>
    <s v="SCRP"/>
    <s v="TRANSPORTATION LOSS - 3423 ANJAL"/>
    <x v="118"/>
    <s v="Loss"/>
    <x v="1"/>
    <x v="4"/>
    <x v="0"/>
    <s v="a.bakri"/>
    <n v="-1"/>
    <n v="-2.5000000000000001E-2"/>
    <n v="32433"/>
    <s v=""/>
    <s v="000000"/>
    <s v="X04663"/>
    <s v=""/>
    <s v="P03876"/>
    <n v="0"/>
    <n v="-32433"/>
    <x v="2"/>
  </r>
  <r>
    <x v="9"/>
    <s v="IS"/>
    <x v="9"/>
    <x v="4"/>
    <s v="NF0001"/>
    <s v="Alnajm Flour from Mill 25KG"/>
    <x v="15"/>
    <x v="1"/>
    <d v="2025-10-28T00:00:00"/>
    <s v="SCRP"/>
    <s v="TRANSPORTATION LOSS - 8303 RIBA"/>
    <x v="118"/>
    <s v="Loss"/>
    <x v="1"/>
    <x v="4"/>
    <x v="0"/>
    <s v="a.bakri"/>
    <n v="-6"/>
    <n v="-0.15"/>
    <n v="32433"/>
    <s v=""/>
    <s v="000001"/>
    <s v="X04664"/>
    <s v=""/>
    <s v="P03876"/>
    <n v="0"/>
    <n v="-194598"/>
    <x v="2"/>
  </r>
  <r>
    <x v="9"/>
    <s v="IS"/>
    <x v="9"/>
    <x v="4"/>
    <s v="NF0001"/>
    <s v="Alnajm Flour from Mill 25KG"/>
    <x v="15"/>
    <x v="1"/>
    <d v="2025-10-28T00:00:00"/>
    <s v="SCRP"/>
    <s v="TRANSPORTATION LOSS - 8305 RIBA"/>
    <x v="118"/>
    <s v="Loss"/>
    <x v="1"/>
    <x v="4"/>
    <x v="0"/>
    <s v="a.bakri"/>
    <n v="-4"/>
    <n v="-0.1"/>
    <n v="32433"/>
    <s v=""/>
    <s v="000002"/>
    <s v="X04665"/>
    <s v=""/>
    <s v="P03876"/>
    <n v="0"/>
    <n v="-129732"/>
    <x v="2"/>
  </r>
  <r>
    <x v="9"/>
    <s v="IS"/>
    <x v="9"/>
    <x v="4"/>
    <s v="NF0001"/>
    <s v="Alnajm Flour from Mill 25KG"/>
    <x v="15"/>
    <x v="1"/>
    <d v="2025-10-28T00:00:00"/>
    <s v="SCRP"/>
    <s v="TRANSPORTATION LOSS - 8327 ANJAL"/>
    <x v="118"/>
    <s v="Loss"/>
    <x v="1"/>
    <x v="4"/>
    <x v="0"/>
    <s v="a.bakri"/>
    <n v="-4"/>
    <n v="-0.1"/>
    <n v="32433"/>
    <s v=""/>
    <s v="000003"/>
    <s v="X04666"/>
    <s v=""/>
    <s v="P03876"/>
    <n v="0"/>
    <n v="-129732"/>
    <x v="2"/>
  </r>
  <r>
    <x v="9"/>
    <s v="IS"/>
    <x v="9"/>
    <x v="4"/>
    <s v="NF0001"/>
    <s v="Alnajm Flour from Mill 25KG"/>
    <x v="15"/>
    <x v="1"/>
    <d v="2025-10-28T00:00:00"/>
    <s v="SCRP"/>
    <s v="TRANSPORTATION LOSS - 8331 ANJAL"/>
    <x v="118"/>
    <s v="Loss"/>
    <x v="1"/>
    <x v="4"/>
    <x v="0"/>
    <s v="a.bakri"/>
    <n v="-12"/>
    <n v="-0.3"/>
    <n v="32433"/>
    <s v=""/>
    <s v="000004"/>
    <s v="X04667"/>
    <s v=""/>
    <s v="P03876"/>
    <n v="0"/>
    <n v="-389196"/>
    <x v="2"/>
  </r>
  <r>
    <x v="9"/>
    <s v="IS"/>
    <x v="9"/>
    <x v="4"/>
    <s v="NF0001"/>
    <s v="Alnajm Flour from Mill 25KG"/>
    <x v="15"/>
    <x v="1"/>
    <d v="2025-10-28T00:00:00"/>
    <s v="SCRP"/>
    <s v="TRANSPORTATION LOSS - 8343 RIBA"/>
    <x v="118"/>
    <s v="Loss"/>
    <x v="1"/>
    <x v="4"/>
    <x v="0"/>
    <s v="a.bakri"/>
    <n v="-3"/>
    <n v="-7.4999999999999997E-2"/>
    <n v="32433"/>
    <s v=""/>
    <s v="000005"/>
    <s v="X04668"/>
    <s v=""/>
    <s v="P03876"/>
    <n v="0"/>
    <n v="-97299"/>
    <x v="2"/>
  </r>
  <r>
    <x v="9"/>
    <s v="TM"/>
    <x v="9"/>
    <x v="5"/>
    <s v="LE0001"/>
    <s v="Lentil TAT 20KG"/>
    <x v="7"/>
    <x v="1"/>
    <d v="2025-10-28T00:00:00"/>
    <s v="SCRP"/>
    <s v="TRANSPORTATION LOSS - 4467 ALKASIR"/>
    <x v="118"/>
    <s v="Loss"/>
    <x v="1"/>
    <x v="4"/>
    <x v="0"/>
    <s v="a.bakri"/>
    <n v="-4"/>
    <n v="-0.08"/>
    <n v="45681"/>
    <s v=""/>
    <s v="000000"/>
    <s v="X04669"/>
    <s v=""/>
    <s v="Q06282"/>
    <n v="0"/>
    <n v="-182724"/>
    <x v="3"/>
  </r>
  <r>
    <x v="9"/>
    <s v="TW"/>
    <x v="9"/>
    <x v="5"/>
    <s v="LE0001"/>
    <s v="Lentil TAT 20KG"/>
    <x v="7"/>
    <x v="1"/>
    <d v="2025-10-28T00:00:00"/>
    <s v="SCRP"/>
    <s v="TRANSPORTATION LOSS - 21159 ALKASIR"/>
    <x v="118"/>
    <s v="Loss"/>
    <x v="1"/>
    <x v="4"/>
    <x v="0"/>
    <s v="a.bakri"/>
    <n v="-1"/>
    <n v="-0.02"/>
    <n v="45681"/>
    <s v=""/>
    <s v="000000"/>
    <s v="X04670"/>
    <s v=""/>
    <s v="Q06276"/>
    <n v="0"/>
    <n v="-45681"/>
    <x v="3"/>
  </r>
  <r>
    <x v="9"/>
    <s v="A1"/>
    <x v="10"/>
    <x v="11"/>
    <s v="HG0101"/>
    <s v="Gum Arabic Hashab RM"/>
    <x v="43"/>
    <x v="0"/>
    <d v="2025-10-29T00:00:00"/>
    <s v="ADJ"/>
    <s v="SCALE DIFF WH A1"/>
    <x v="156"/>
    <s v="Gain"/>
    <x v="0"/>
    <x v="7"/>
    <x v="0"/>
    <s v="a.bakri"/>
    <n v="4.45"/>
    <n v="4.45"/>
    <n v="3241740"/>
    <s v="A10001"/>
    <s v="000000"/>
    <s v="A00933"/>
    <s v="C03015"/>
    <s v=""/>
    <n v="0"/>
    <n v="14425743"/>
    <x v="0"/>
  </r>
  <r>
    <x v="9"/>
    <s v="AK"/>
    <x v="0"/>
    <x v="11"/>
    <s v="HG0101"/>
    <s v="Gum Arabic Hashab RM"/>
    <x v="43"/>
    <x v="0"/>
    <d v="2025-10-29T00:00:00"/>
    <s v="SCRP"/>
    <s v="ACCU SCALE DIFFF KOSTI WH"/>
    <x v="157"/>
    <s v="Loss"/>
    <x v="0"/>
    <x v="0"/>
    <x v="0"/>
    <s v="a.bakri"/>
    <n v="-1.3260000000000001"/>
    <n v="-1.3260000000000001"/>
    <n v="3241740"/>
    <s v=""/>
    <s v="000000"/>
    <s v="X04672"/>
    <s v=""/>
    <s v="Q06267"/>
    <n v="0"/>
    <n v="-4298547.24"/>
    <x v="0"/>
  </r>
  <r>
    <x v="9"/>
    <s v="BD"/>
    <x v="5"/>
    <x v="4"/>
    <s v="NF0001"/>
    <s v="Alnajm Flour from Mill 25KG"/>
    <x v="15"/>
    <x v="1"/>
    <d v="2025-10-30T00:00:00"/>
    <s v="SCRP"/>
    <s v="ELIMINATION - EXPIRED NC: 2"/>
    <x v="158"/>
    <s v="Loss"/>
    <x v="1"/>
    <x v="1"/>
    <x v="0"/>
    <s v="a.bakri"/>
    <n v="-24"/>
    <n v="-0.6"/>
    <n v="32433"/>
    <s v=""/>
    <s v="000000"/>
    <s v="X04674"/>
    <s v=""/>
    <s v="P03795"/>
    <n v="0"/>
    <n v="-778392"/>
    <x v="2"/>
  </r>
  <r>
    <x v="9"/>
    <s v="BD"/>
    <x v="5"/>
    <x v="4"/>
    <s v="NF0001"/>
    <s v="Alnajm Flour from Mill 25KG"/>
    <x v="15"/>
    <x v="1"/>
    <d v="2025-10-30T00:00:00"/>
    <s v="SCRP"/>
    <s v="ELIMINATION - EXPIRED NC: 2"/>
    <x v="158"/>
    <s v="Loss"/>
    <x v="1"/>
    <x v="1"/>
    <x v="0"/>
    <s v="a.bakri"/>
    <n v="-23"/>
    <n v="-0.57499999999999996"/>
    <n v="32433"/>
    <s v=""/>
    <s v="000001"/>
    <s v="X04674"/>
    <s v=""/>
    <s v="P03825"/>
    <n v="0"/>
    <n v="-745959"/>
    <x v="2"/>
  </r>
  <r>
    <x v="9"/>
    <s v="BD"/>
    <x v="5"/>
    <x v="4"/>
    <s v="NF0001"/>
    <s v="Alnajm Flour from Mill 25KG"/>
    <x v="15"/>
    <x v="1"/>
    <d v="2025-10-30T00:00:00"/>
    <s v="SCRP"/>
    <s v="ELIMINATION - EXPIRED NC: 2"/>
    <x v="158"/>
    <s v="Loss"/>
    <x v="1"/>
    <x v="1"/>
    <x v="0"/>
    <s v="a.bakri"/>
    <n v="-3"/>
    <n v="-7.4999999999999997E-2"/>
    <n v="32433"/>
    <s v=""/>
    <s v="000002"/>
    <s v="X04674"/>
    <s v=""/>
    <s v="A00924"/>
    <n v="0"/>
    <n v="-97299"/>
    <x v="2"/>
  </r>
  <r>
    <x v="10"/>
    <s v="IS"/>
    <x v="9"/>
    <x v="4"/>
    <s v="NF0001"/>
    <s v="Alnajm Flour from Mill 25KG"/>
    <x v="15"/>
    <x v="1"/>
    <d v="2025-11-05T00:00:00"/>
    <s v="SCRP"/>
    <s v="TRANSPORTATION LOSS - 10386 I.ALMAHDI"/>
    <x v="118"/>
    <s v="Loss"/>
    <x v="1"/>
    <x v="4"/>
    <x v="0"/>
    <s v="a.bakri"/>
    <n v="-4"/>
    <n v="-0.1"/>
    <n v="25402.08338"/>
    <s v=""/>
    <s v="000000"/>
    <s v="X04676"/>
    <s v=""/>
    <s v="P03894"/>
    <n v="0"/>
    <n v="-101608.33352"/>
    <x v="2"/>
  </r>
  <r>
    <x v="10"/>
    <s v="IS"/>
    <x v="9"/>
    <x v="4"/>
    <s v="NF0001"/>
    <s v="Alnajm Flour from Mill 25KG"/>
    <x v="15"/>
    <x v="1"/>
    <d v="2025-11-05T00:00:00"/>
    <s v="SCRP"/>
    <s v="TRANSPORTATION LOSS - 12867 RIBA"/>
    <x v="118"/>
    <s v="Loss"/>
    <x v="1"/>
    <x v="4"/>
    <x v="0"/>
    <s v="a.bakri"/>
    <n v="-2"/>
    <n v="-0.05"/>
    <n v="25402.08338"/>
    <s v=""/>
    <s v="000001"/>
    <s v="X04677"/>
    <s v=""/>
    <s v="P03894"/>
    <n v="0"/>
    <n v="-50804.16676"/>
    <x v="2"/>
  </r>
  <r>
    <x v="10"/>
    <s v="IS"/>
    <x v="9"/>
    <x v="4"/>
    <s v="NF0001"/>
    <s v="Alnajm Flour from Mill 25KG"/>
    <x v="15"/>
    <x v="1"/>
    <d v="2025-11-05T00:00:00"/>
    <s v="SCRP"/>
    <s v="TRANSPORTATION LOSS - 12870 ALTAF"/>
    <x v="118"/>
    <s v="Loss"/>
    <x v="1"/>
    <x v="4"/>
    <x v="0"/>
    <s v="a.bakri"/>
    <n v="-17"/>
    <n v="-0.42499999999999999"/>
    <n v="25402.08338"/>
    <s v=""/>
    <s v="000002"/>
    <s v="X04678"/>
    <s v=""/>
    <s v="P03894"/>
    <n v="0"/>
    <n v="-431835.41746000003"/>
    <x v="2"/>
  </r>
  <r>
    <x v="10"/>
    <s v="IS"/>
    <x v="9"/>
    <x v="4"/>
    <s v="NF0001"/>
    <s v="Alnajm Flour from Mill 25KG"/>
    <x v="15"/>
    <x v="1"/>
    <d v="2025-11-05T00:00:00"/>
    <s v="SCRP"/>
    <s v="TRANSPORTATION LOSS - 12872 ALTAF"/>
    <x v="118"/>
    <s v="Loss"/>
    <x v="1"/>
    <x v="4"/>
    <x v="0"/>
    <s v="a.bakri"/>
    <n v="-5"/>
    <n v="-0.125"/>
    <n v="25402.08338"/>
    <s v=""/>
    <s v="000003"/>
    <s v="X04679"/>
    <s v=""/>
    <s v="P03894"/>
    <n v="0"/>
    <n v="-127010.4169"/>
    <x v="2"/>
  </r>
  <r>
    <x v="10"/>
    <s v="IS"/>
    <x v="9"/>
    <x v="4"/>
    <s v="NF0001"/>
    <s v="Alnajm Flour from Mill 25KG"/>
    <x v="15"/>
    <x v="1"/>
    <d v="2025-11-05T00:00:00"/>
    <s v="SCRP"/>
    <s v="TRANSPORTATION LOSS - 12944 ANJAL"/>
    <x v="118"/>
    <s v="Loss"/>
    <x v="1"/>
    <x v="4"/>
    <x v="0"/>
    <s v="a.bakri"/>
    <n v="-3"/>
    <n v="-7.4999999999999997E-2"/>
    <n v="25402.08338"/>
    <s v=""/>
    <s v="000004"/>
    <s v="X04680"/>
    <s v=""/>
    <s v="P03894"/>
    <n v="0"/>
    <n v="-76206.250140000004"/>
    <x v="2"/>
  </r>
  <r>
    <x v="10"/>
    <s v="IS"/>
    <x v="9"/>
    <x v="4"/>
    <s v="NF0001"/>
    <s v="Alnajm Flour from Mill 25KG"/>
    <x v="15"/>
    <x v="1"/>
    <d v="2025-11-05T00:00:00"/>
    <s v="SCRP"/>
    <s v="TRANSPORTATION LOSS - 12877 ARIF ALMUBARK"/>
    <x v="118"/>
    <s v="Loss"/>
    <x v="1"/>
    <x v="4"/>
    <x v="0"/>
    <s v="a.bakri"/>
    <n v="-1"/>
    <n v="-2.5000000000000001E-2"/>
    <n v="25402.08338"/>
    <s v=""/>
    <s v="000005"/>
    <s v="X04681"/>
    <s v=""/>
    <s v="P03894"/>
    <n v="0"/>
    <n v="-25402.08338"/>
    <x v="2"/>
  </r>
  <r>
    <x v="10"/>
    <s v="IS"/>
    <x v="7"/>
    <x v="4"/>
    <s v="NF0001"/>
    <s v="Alnajm Flour from Mill 25KG"/>
    <x v="15"/>
    <x v="1"/>
    <d v="2025-11-05T00:00:00"/>
    <s v="ADJ"/>
    <s v="EXCESS - 8151"/>
    <x v="108"/>
    <s v="Gain"/>
    <x v="1"/>
    <x v="5"/>
    <x v="0"/>
    <s v="a.bakri"/>
    <n v="1"/>
    <n v="2.5000000000000001E-2"/>
    <n v="25402.08338"/>
    <s v="IS0001"/>
    <s v="000006"/>
    <s v="A00934"/>
    <s v="C03016"/>
    <s v=""/>
    <n v="0"/>
    <n v="25402.08338"/>
    <x v="2"/>
  </r>
  <r>
    <x v="10"/>
    <s v="IS"/>
    <x v="7"/>
    <x v="4"/>
    <s v="NF0001"/>
    <s v="Alnajm Flour from Mill 25KG"/>
    <x v="15"/>
    <x v="1"/>
    <d v="2025-11-05T00:00:00"/>
    <s v="ADJ"/>
    <s v="EXCESS - 8152"/>
    <x v="108"/>
    <s v="Gain"/>
    <x v="1"/>
    <x v="5"/>
    <x v="0"/>
    <s v="a.bakri"/>
    <n v="1"/>
    <n v="2.5000000000000001E-2"/>
    <n v="25402.08338"/>
    <s v="IS0001"/>
    <s v="000007"/>
    <s v="A00935"/>
    <s v="C03017"/>
    <s v=""/>
    <n v="0"/>
    <n v="25402.08338"/>
    <x v="2"/>
  </r>
  <r>
    <x v="10"/>
    <s v="IS"/>
    <x v="7"/>
    <x v="4"/>
    <s v="NF0001"/>
    <s v="Alnajm Flour from Mill 25KG"/>
    <x v="15"/>
    <x v="1"/>
    <d v="2025-11-05T00:00:00"/>
    <s v="ADJ"/>
    <s v="EXCESS - 8153"/>
    <x v="108"/>
    <s v="Gain"/>
    <x v="1"/>
    <x v="5"/>
    <x v="0"/>
    <s v="a.bakri"/>
    <n v="1"/>
    <n v="2.5000000000000001E-2"/>
    <n v="25402.08338"/>
    <s v="IS0001"/>
    <s v="000008"/>
    <s v="A00936"/>
    <s v="C03018"/>
    <s v=""/>
    <n v="0"/>
    <n v="25402.08338"/>
    <x v="2"/>
  </r>
  <r>
    <x v="10"/>
    <s v="XP"/>
    <x v="5"/>
    <x v="1"/>
    <s v="SO0301"/>
    <s v="Sorghum Waste"/>
    <x v="21"/>
    <x v="0"/>
    <d v="2025-11-05T00:00:00"/>
    <s v="ADJ"/>
    <s v="REPROCESSING DAMAGE - NC NO.68"/>
    <x v="159"/>
    <s v="Gain"/>
    <x v="1"/>
    <x v="1"/>
    <x v="0"/>
    <s v="a.bakri"/>
    <n v="0.69"/>
    <n v="0.69"/>
    <n v="0"/>
    <s v="XP0001"/>
    <s v="000000"/>
    <s v="A00937"/>
    <s v="C03019"/>
    <s v=""/>
    <n v="0"/>
    <n v="414000"/>
    <x v="0"/>
  </r>
  <r>
    <x v="10"/>
    <s v="XP"/>
    <x v="5"/>
    <x v="1"/>
    <s v="SO0003"/>
    <s v="Sorghum FG"/>
    <x v="20"/>
    <x v="0"/>
    <d v="2025-11-05T00:00:00"/>
    <s v="SCRP"/>
    <s v="REPROCESSING DAMAGE - NC NO. 68"/>
    <x v="159"/>
    <s v="Loss"/>
    <x v="1"/>
    <x v="1"/>
    <x v="0"/>
    <s v="a.bakri"/>
    <n v="-0.15"/>
    <n v="-0.15"/>
    <n v="1050000"/>
    <s v=""/>
    <s v="000000"/>
    <s v="X04684"/>
    <s v=""/>
    <s v="P03884"/>
    <n v="0"/>
    <n v="-157500"/>
    <x v="0"/>
  </r>
  <r>
    <x v="10"/>
    <s v="XI"/>
    <x v="2"/>
    <x v="3"/>
    <s v="RC9008"/>
    <s v="Rice Long Grade 1 Elngm 20Kg"/>
    <x v="9"/>
    <x v="1"/>
    <d v="2025-11-16T00:00:00"/>
    <s v="SCRP"/>
    <s v="MV SSL BRAHMAPUTRA-BL 0094-SHORTLANDED"/>
    <x v="160"/>
    <s v="Loss"/>
    <x v="1"/>
    <x v="2"/>
    <x v="2"/>
    <s v="a.bakri"/>
    <n v="-83"/>
    <n v="-1.66"/>
    <n v="23264.087289999999"/>
    <s v=""/>
    <s v="000000"/>
    <s v="X04685"/>
    <s v=""/>
    <s v="Q06290"/>
    <n v="0"/>
    <n v="-1930919.2450699999"/>
    <x v="3"/>
  </r>
  <r>
    <x v="10"/>
    <s v="XP"/>
    <x v="0"/>
    <x v="0"/>
    <s v="CO0001"/>
    <s v="Cotton - FG "/>
    <x v="35"/>
    <x v="0"/>
    <d v="2025-11-16T00:00:00"/>
    <s v="SCRP"/>
    <s v="DWONGRADE - NC NO.33A"/>
    <x v="161"/>
    <s v="Loss"/>
    <x v="0"/>
    <x v="0"/>
    <x v="0"/>
    <s v="a.bakri"/>
    <n v="-22.530999999999999"/>
    <n v="-22.530999999999999"/>
    <n v="4024676.7759699998"/>
    <s v=""/>
    <s v="000000"/>
    <s v="X04686"/>
    <s v=""/>
    <s v="CNC000751"/>
    <n v="0"/>
    <n v="-90679992.439380065"/>
    <x v="0"/>
  </r>
  <r>
    <x v="10"/>
    <s v="XI"/>
    <x v="3"/>
    <x v="5"/>
    <s v="LE0001"/>
    <s v="Lentil TAT 20KG"/>
    <x v="7"/>
    <x v="1"/>
    <d v="2025-11-16T00:00:00"/>
    <s v="ADJ"/>
    <s v="MV ZENYEP-BL 6100- OVERLANDED"/>
    <x v="162"/>
    <s v="Gain"/>
    <x v="1"/>
    <x v="5"/>
    <x v="0"/>
    <s v="a.bakri"/>
    <n v="109"/>
    <n v="2.1800000000000002"/>
    <n v="42710.4732"/>
    <s v="XI0001"/>
    <s v="000000"/>
    <s v="A00939"/>
    <s v="C03043"/>
    <s v=""/>
    <n v="0"/>
    <n v="4655441.5788000003"/>
    <x v="3"/>
  </r>
  <r>
    <x v="10"/>
    <s v="XI"/>
    <x v="3"/>
    <x v="5"/>
    <s v="LE0001"/>
    <s v="Lentil TAT 20KG"/>
    <x v="7"/>
    <x v="1"/>
    <d v="2025-11-16T00:00:00"/>
    <s v="ADJ"/>
    <s v="MV ZENYEP-BL 6101-OVERLANDED"/>
    <x v="163"/>
    <s v="Gain"/>
    <x v="1"/>
    <x v="5"/>
    <x v="0"/>
    <s v="a.bakri"/>
    <n v="99"/>
    <n v="1.98"/>
    <n v="42710.4732"/>
    <s v="XI0001"/>
    <s v="000001"/>
    <s v="A00940"/>
    <s v="C03044"/>
    <s v=""/>
    <n v="0"/>
    <n v="4228336.8468000004"/>
    <x v="3"/>
  </r>
  <r>
    <x v="10"/>
    <s v="XI"/>
    <x v="3"/>
    <x v="5"/>
    <s v="LE0001"/>
    <s v="Lentil TAT 20KG"/>
    <x v="7"/>
    <x v="1"/>
    <d v="2025-11-16T00:00:00"/>
    <s v="ADJ"/>
    <s v="MV ZENYEP-BL 1600-OVERLANDED"/>
    <x v="164"/>
    <s v="Gain"/>
    <x v="1"/>
    <x v="5"/>
    <x v="0"/>
    <s v="a.bakri"/>
    <n v="83"/>
    <n v="1.66"/>
    <n v="42710.4732"/>
    <s v="XI0001"/>
    <s v="000002"/>
    <s v="A00941"/>
    <s v="C03045"/>
    <s v=""/>
    <n v="0"/>
    <n v="3544969.2755999998"/>
    <x v="3"/>
  </r>
  <r>
    <x v="10"/>
    <s v="XI"/>
    <x v="3"/>
    <x v="5"/>
    <s v="LE0001"/>
    <s v="Lentil TAT 20KG"/>
    <x v="7"/>
    <x v="1"/>
    <d v="2025-11-16T00:00:00"/>
    <s v="ADJ"/>
    <s v="MV ZENYEP-BL 1700-OVERLANDED"/>
    <x v="165"/>
    <s v="Gain"/>
    <x v="1"/>
    <x v="5"/>
    <x v="0"/>
    <s v="a.bakri"/>
    <n v="59"/>
    <n v="1.18"/>
    <n v="42710.4732"/>
    <s v="XI0001"/>
    <s v="000003"/>
    <s v="A00942"/>
    <s v="C03048"/>
    <s v=""/>
    <n v="0"/>
    <n v="2519917.9188000001"/>
    <x v="3"/>
  </r>
  <r>
    <x v="10"/>
    <s v="XP"/>
    <x v="0"/>
    <x v="0"/>
    <s v="CO0051"/>
    <s v="Cotton Low Quality"/>
    <x v="44"/>
    <x v="0"/>
    <d v="2025-11-16T00:00:00"/>
    <s v="ADJ"/>
    <s v="RECLASSIFIED - NC NO.33A"/>
    <x v="161"/>
    <s v="Gain"/>
    <x v="0"/>
    <x v="0"/>
    <x v="0"/>
    <s v="a.bakri"/>
    <n v="40.619999999999997"/>
    <n v="40.619999999999997"/>
    <n v="1811105"/>
    <s v="XP0001"/>
    <s v="000000"/>
    <s v="A00943"/>
    <s v="C03049"/>
    <s v=""/>
    <n v="0"/>
    <n v="92747000"/>
    <x v="0"/>
  </r>
  <r>
    <x v="10"/>
    <s v="IS"/>
    <x v="7"/>
    <x v="4"/>
    <s v="NF0001"/>
    <s v="Alnajm Flour from Mill 25KG"/>
    <x v="15"/>
    <x v="1"/>
    <d v="2025-11-17T00:00:00"/>
    <s v="ADJ"/>
    <s v="EXCESS - 279485"/>
    <x v="108"/>
    <s v="Gain"/>
    <x v="1"/>
    <x v="5"/>
    <x v="0"/>
    <s v="a.bakri"/>
    <n v="6"/>
    <n v="0.15"/>
    <n v="25402.08338"/>
    <s v="IS0001"/>
    <s v="000001"/>
    <s v="A00946"/>
    <s v="C03055"/>
    <s v=""/>
    <n v="0"/>
    <n v="152412.50028000001"/>
    <x v="2"/>
  </r>
  <r>
    <x v="10"/>
    <s v="TW"/>
    <x v="7"/>
    <x v="5"/>
    <s v="LE0001"/>
    <s v="Lentil TAT 20KG"/>
    <x v="7"/>
    <x v="1"/>
    <d v="2025-11-17T00:00:00"/>
    <s v="ADJ"/>
    <s v="CORRECTION - 13133 ALASGALANI"/>
    <x v="108"/>
    <s v="Gain"/>
    <x v="1"/>
    <x v="5"/>
    <x v="0"/>
    <s v="a.bakri"/>
    <n v="1"/>
    <n v="0.02"/>
    <n v="42710.4732"/>
    <s v="TW0001"/>
    <s v="000000"/>
    <s v="A00944"/>
    <s v="C03050"/>
    <s v=""/>
    <n v="0"/>
    <n v="42710.4732"/>
    <x v="3"/>
  </r>
  <r>
    <x v="10"/>
    <s v="IS"/>
    <x v="7"/>
    <x v="4"/>
    <s v="NF0001"/>
    <s v="Alnajm Flour from Mill 25KG"/>
    <x v="15"/>
    <x v="1"/>
    <d v="2025-11-17T00:00:00"/>
    <s v="ADJ"/>
    <s v="EXCESS - 279488"/>
    <x v="108"/>
    <s v="Gain"/>
    <x v="1"/>
    <x v="5"/>
    <x v="0"/>
    <s v="a.bakri"/>
    <n v="1"/>
    <n v="2.5000000000000001E-2"/>
    <n v="25402.08338"/>
    <s v="IS0001"/>
    <s v="000000"/>
    <s v="A00945"/>
    <s v="C03052"/>
    <s v=""/>
    <n v="0"/>
    <n v="25402.08338"/>
    <x v="2"/>
  </r>
  <r>
    <x v="10"/>
    <s v="AG"/>
    <x v="0"/>
    <x v="1"/>
    <s v="SO0101"/>
    <s v="Sorghum Raw"/>
    <x v="1"/>
    <x v="0"/>
    <d v="2025-11-18T00:00:00"/>
    <s v="ADJ"/>
    <s v="SCALE DIFF"/>
    <x v="166"/>
    <s v="Gain"/>
    <x v="0"/>
    <x v="0"/>
    <x v="0"/>
    <s v="a.bakri"/>
    <n v="11.132"/>
    <n v="11.132"/>
    <n v="947797.31544000003"/>
    <s v="AG0001"/>
    <s v="000000"/>
    <s v="A00947"/>
    <s v="C03056"/>
    <s v=""/>
    <n v="0"/>
    <n v="10550879.715478079"/>
    <x v="0"/>
  </r>
  <r>
    <x v="10"/>
    <s v="TM"/>
    <x v="9"/>
    <x v="4"/>
    <s v="NF0001"/>
    <s v="Alnajm Flour from Mill 25KG"/>
    <x v="15"/>
    <x v="1"/>
    <d v="2025-11-24T00:00:00"/>
    <s v="SCRP"/>
    <s v="TRANSPORTATION LOSS - 6916 ALRIKABY"/>
    <x v="118"/>
    <s v="Loss"/>
    <x v="1"/>
    <x v="4"/>
    <x v="0"/>
    <s v="a.bakri"/>
    <n v="-20"/>
    <n v="-0.5"/>
    <n v="25402.08338"/>
    <s v=""/>
    <s v="000000"/>
    <s v="X04688"/>
    <s v=""/>
    <s v="P03947"/>
    <n v="0"/>
    <n v="-508041.66759999999"/>
    <x v="2"/>
  </r>
  <r>
    <x v="10"/>
    <s v="IS"/>
    <x v="7"/>
    <x v="5"/>
    <s v="LE0001"/>
    <s v="Lentil TAT 20KG"/>
    <x v="7"/>
    <x v="1"/>
    <d v="2025-11-24T00:00:00"/>
    <s v="ADJ"/>
    <s v="EXCESS - ABURNAT 4497"/>
    <x v="108"/>
    <s v="Gain"/>
    <x v="1"/>
    <x v="5"/>
    <x v="0"/>
    <s v="a.bakri"/>
    <n v="1"/>
    <n v="0.02"/>
    <n v="42710.4732"/>
    <s v="IS0001"/>
    <s v="000000"/>
    <s v="A00948"/>
    <s v="C03071"/>
    <s v=""/>
    <n v="0"/>
    <n v="42710.4732"/>
    <x v="3"/>
  </r>
  <r>
    <x v="10"/>
    <s v="IS"/>
    <x v="7"/>
    <x v="5"/>
    <s v="LE0001"/>
    <s v="Lentil TAT 20KG"/>
    <x v="7"/>
    <x v="1"/>
    <d v="2025-11-24T00:00:00"/>
    <s v="ADJ"/>
    <s v="EXCESS - 4948 ABURNAT"/>
    <x v="108"/>
    <s v="Gain"/>
    <x v="1"/>
    <x v="5"/>
    <x v="0"/>
    <s v="a.bakri"/>
    <n v="2"/>
    <n v="0.04"/>
    <n v="42710.4732"/>
    <s v="IS0001"/>
    <s v="000001"/>
    <s v="A00949"/>
    <s v="C03072"/>
    <s v=""/>
    <n v="0"/>
    <n v="85420.946400000001"/>
    <x v="3"/>
  </r>
  <r>
    <x v="10"/>
    <s v="IS"/>
    <x v="9"/>
    <x v="5"/>
    <s v="LE0001"/>
    <s v="Lentil TAT 20KG"/>
    <x v="7"/>
    <x v="1"/>
    <d v="2025-11-27T00:00:00"/>
    <s v="SCRP"/>
    <s v="TRANSPORTATION LOSS - 5169 DARKA"/>
    <x v="118"/>
    <s v="Loss"/>
    <x v="1"/>
    <x v="4"/>
    <x v="0"/>
    <s v="a.bakri"/>
    <n v="-4"/>
    <n v="-0.08"/>
    <n v="42710.4732"/>
    <s v=""/>
    <s v="000000"/>
    <s v="X04693"/>
    <s v=""/>
    <s v="Q06291"/>
    <n v="0"/>
    <n v="-170841.8928"/>
    <x v="3"/>
  </r>
  <r>
    <x v="10"/>
    <s v="IS"/>
    <x v="9"/>
    <x v="5"/>
    <s v="LE0001"/>
    <s v="Lentil TAT 20KG"/>
    <x v="7"/>
    <x v="1"/>
    <d v="2025-11-27T00:00:00"/>
    <s v="SCRP"/>
    <s v="TRANSPORTATION LOSS - 4877 KOTHBAN"/>
    <x v="118"/>
    <s v="Loss"/>
    <x v="1"/>
    <x v="4"/>
    <x v="0"/>
    <s v="a.bakri"/>
    <n v="-1"/>
    <n v="-0.02"/>
    <n v="42710.4732"/>
    <s v=""/>
    <s v="000001"/>
    <s v="X04694"/>
    <s v=""/>
    <s v="Q06291"/>
    <n v="0"/>
    <n v="-42710.4732"/>
    <x v="3"/>
  </r>
  <r>
    <x v="10"/>
    <s v="XU"/>
    <x v="5"/>
    <x v="2"/>
    <s v="WS0001"/>
    <s v="White Sugar"/>
    <x v="4"/>
    <x v="1"/>
    <d v="2025-11-27T00:00:00"/>
    <s v="SCRP"/>
    <s v="HANDLLING DAMAGE - NC NO.3"/>
    <x v="167"/>
    <s v="Loss"/>
    <x v="1"/>
    <x v="1"/>
    <x v="0"/>
    <s v="a.bakri"/>
    <n v="-98"/>
    <n v="-4.9000000000000004"/>
    <n v="87806.150020000001"/>
    <s v=""/>
    <s v="000000"/>
    <s v="X04690"/>
    <s v=""/>
    <s v="Q04961"/>
    <n v="0"/>
    <n v="-8605002.7019599993"/>
    <x v="1"/>
  </r>
  <r>
    <x v="10"/>
    <s v="XU"/>
    <x v="5"/>
    <x v="2"/>
    <s v="WS0008"/>
    <s v="White Crystal Sugar"/>
    <x v="2"/>
    <x v="1"/>
    <d v="2025-11-27T00:00:00"/>
    <s v="SCRP"/>
    <s v="HANDLING DAMAGE - CACKED - NC NO.4"/>
    <x v="167"/>
    <s v="Loss"/>
    <x v="1"/>
    <x v="1"/>
    <x v="0"/>
    <s v="a.bakri"/>
    <n v="-127"/>
    <n v="-6.35"/>
    <n v="87806.150020000001"/>
    <s v=""/>
    <s v="000000"/>
    <s v="X04691"/>
    <s v=""/>
    <s v="Q04686"/>
    <n v="0"/>
    <n v="-11151381.052540001"/>
    <x v="1"/>
  </r>
  <r>
    <x v="10"/>
    <s v="XP"/>
    <x v="9"/>
    <x v="8"/>
    <s v="PP0002"/>
    <s v="Pigeon Peas New Halfa FG"/>
    <x v="26"/>
    <x v="0"/>
    <d v="2025-11-27T00:00:00"/>
    <s v="SCRP"/>
    <s v="TRANSPORTATION LOSS - 4676 AZOZ"/>
    <x v="118"/>
    <s v="Loss"/>
    <x v="1"/>
    <x v="2"/>
    <x v="3"/>
    <s v="a.bakri"/>
    <n v="-500"/>
    <n v="-25"/>
    <n v="113984.52"/>
    <s v=""/>
    <s v="000000"/>
    <s v="X04697"/>
    <s v=""/>
    <s v="CNC000753"/>
    <n v="0"/>
    <n v="-56992260"/>
    <x v="1"/>
  </r>
  <r>
    <x v="10"/>
    <s v="XP"/>
    <x v="9"/>
    <x v="8"/>
    <s v="PP0002"/>
    <s v="Pigeon Peas New Halfa FG"/>
    <x v="26"/>
    <x v="0"/>
    <d v="2025-11-27T00:00:00"/>
    <s v="SCRP"/>
    <s v="TRANSPORTATION LOSS - 4677 AZOZ"/>
    <x v="118"/>
    <s v="Loss"/>
    <x v="1"/>
    <x v="2"/>
    <x v="3"/>
    <s v="a.bakri"/>
    <n v="-98"/>
    <n v="-4.9000000000000004"/>
    <n v="113984.52"/>
    <s v=""/>
    <s v="000001"/>
    <s v="X04698"/>
    <s v=""/>
    <s v="CNC000753"/>
    <n v="0"/>
    <n v="-11170482.960000001"/>
    <x v="1"/>
  </r>
  <r>
    <x v="10"/>
    <s v="XP"/>
    <x v="9"/>
    <x v="8"/>
    <s v="PP0002"/>
    <s v="Pigeon Peas New Halfa FG"/>
    <x v="26"/>
    <x v="0"/>
    <d v="2025-11-27T00:00:00"/>
    <s v="SCRP"/>
    <s v="TRANSPORTATION LOSS - 4678 AZOZ"/>
    <x v="118"/>
    <s v="Loss"/>
    <x v="1"/>
    <x v="2"/>
    <x v="3"/>
    <s v="a.bakri"/>
    <n v="-10"/>
    <n v="-0.5"/>
    <n v="113984.52"/>
    <s v=""/>
    <s v="000002"/>
    <s v="X04699"/>
    <s v=""/>
    <s v="CNC000753"/>
    <n v="0"/>
    <n v="-1139845.2"/>
    <x v="1"/>
  </r>
  <r>
    <x v="10"/>
    <s v="XP"/>
    <x v="9"/>
    <x v="8"/>
    <s v="PP0002"/>
    <s v="Pigeon Peas New Halfa FG"/>
    <x v="26"/>
    <x v="0"/>
    <d v="2025-11-27T00:00:00"/>
    <s v="SCRP"/>
    <s v="TRANSPORTATION LOSS - 4684 AZOZ"/>
    <x v="118"/>
    <s v="Loss"/>
    <x v="1"/>
    <x v="2"/>
    <x v="3"/>
    <s v="a.bakri"/>
    <n v="-2"/>
    <n v="-0.1"/>
    <n v="113984.52"/>
    <s v=""/>
    <s v="000003"/>
    <s v="X04700"/>
    <s v=""/>
    <s v="CNC000753"/>
    <n v="0"/>
    <n v="-227969.04"/>
    <x v="1"/>
  </r>
  <r>
    <x v="10"/>
    <s v="IS"/>
    <x v="9"/>
    <x v="4"/>
    <s v="NF0001"/>
    <s v="Alnajm Flour from Mill 25KG"/>
    <x v="15"/>
    <x v="1"/>
    <d v="2025-11-30T00:00:00"/>
    <s v="SCRP"/>
    <s v="TRANSPORTATION LOSS - 8166 RIBA"/>
    <x v="118"/>
    <s v="Loss"/>
    <x v="1"/>
    <x v="2"/>
    <x v="3"/>
    <s v="a.bakri"/>
    <n v="-79"/>
    <n v="-1.9750000000000001"/>
    <n v="25402.08338"/>
    <s v=""/>
    <s v="000000"/>
    <s v="X04702"/>
    <s v=""/>
    <s v="P03951"/>
    <n v="0"/>
    <n v="-2006764.58702"/>
    <x v="2"/>
  </r>
  <r>
    <x v="10"/>
    <s v="IS"/>
    <x v="9"/>
    <x v="4"/>
    <s v="NF0001"/>
    <s v="Alnajm Flour from Mill 25KG"/>
    <x v="15"/>
    <x v="1"/>
    <d v="2025-11-30T00:00:00"/>
    <s v="SCRP"/>
    <s v="TRANSPORTATION LOSS - 6018 ANJAL"/>
    <x v="118"/>
    <s v="Loss"/>
    <x v="1"/>
    <x v="4"/>
    <x v="0"/>
    <s v="a.bakri"/>
    <n v="-3"/>
    <n v="-7.4999999999999997E-2"/>
    <n v="25402.08338"/>
    <s v=""/>
    <s v="000001"/>
    <s v="X04703"/>
    <s v=""/>
    <s v="P03951"/>
    <n v="0"/>
    <n v="-76206.250140000004"/>
    <x v="2"/>
  </r>
  <r>
    <x v="10"/>
    <s v="IS"/>
    <x v="9"/>
    <x v="4"/>
    <s v="NF0001"/>
    <s v="Alnajm Flour from Mill 25KG"/>
    <x v="15"/>
    <x v="1"/>
    <d v="2025-11-30T00:00:00"/>
    <s v="SCRP"/>
    <s v="TRANSPORTATION LOSS - 6021 ANJAL"/>
    <x v="118"/>
    <s v="Loss"/>
    <x v="1"/>
    <x v="4"/>
    <x v="0"/>
    <s v="a.bakri"/>
    <n v="-1"/>
    <n v="-2.5000000000000001E-2"/>
    <n v="25402.08338"/>
    <s v=""/>
    <s v="000002"/>
    <s v="X04704"/>
    <s v=""/>
    <s v="P03951"/>
    <n v="0"/>
    <n v="-25402.08338"/>
    <x v="2"/>
  </r>
  <r>
    <x v="10"/>
    <s v="IS"/>
    <x v="9"/>
    <x v="4"/>
    <s v="NF0001"/>
    <s v="Alnajm Flour from Mill 25KG"/>
    <x v="15"/>
    <x v="1"/>
    <d v="2025-11-30T00:00:00"/>
    <s v="SCRP"/>
    <s v="TRANSPORTATION LOSS - 6918 ALRIKABY"/>
    <x v="118"/>
    <s v="Loss"/>
    <x v="1"/>
    <x v="2"/>
    <x v="3"/>
    <s v="a.bakri"/>
    <n v="-6"/>
    <n v="-0.15"/>
    <n v="25402.08338"/>
    <s v=""/>
    <s v="000003"/>
    <s v="X04705"/>
    <s v=""/>
    <s v="P03951"/>
    <n v="0"/>
    <n v="-152412.50028000001"/>
    <x v="2"/>
  </r>
  <r>
    <x v="10"/>
    <s v="IS"/>
    <x v="9"/>
    <x v="4"/>
    <s v="NF0001"/>
    <s v="Alnajm Flour from Mill 25KG"/>
    <x v="15"/>
    <x v="1"/>
    <d v="2025-11-30T00:00:00"/>
    <s v="SCRP"/>
    <s v="TRANSPORTATION LOSS - 6919 I.ALMAHDI"/>
    <x v="118"/>
    <s v="Loss"/>
    <x v="1"/>
    <x v="2"/>
    <x v="3"/>
    <s v="a.bakri"/>
    <n v="-4"/>
    <n v="-0.1"/>
    <n v="25402.08338"/>
    <s v=""/>
    <s v="000004"/>
    <s v="X04706"/>
    <s v=""/>
    <s v="P03951"/>
    <n v="0"/>
    <n v="-101608.33352"/>
    <x v="2"/>
  </r>
  <r>
    <x v="10"/>
    <s v="IS"/>
    <x v="9"/>
    <x v="4"/>
    <s v="NF0001"/>
    <s v="Alnajm Flour from Mill 25KG"/>
    <x v="15"/>
    <x v="1"/>
    <d v="2025-11-30T00:00:00"/>
    <s v="SCRP"/>
    <s v="TRANSPORTATION LOSS - 6009 ALKASIR"/>
    <x v="118"/>
    <s v="Loss"/>
    <x v="1"/>
    <x v="4"/>
    <x v="0"/>
    <s v="a.bakri"/>
    <n v="-1"/>
    <n v="-2.5000000000000001E-2"/>
    <n v="25402.08338"/>
    <s v=""/>
    <s v="000005"/>
    <s v="X04708"/>
    <s v=""/>
    <s v="P03951"/>
    <n v="0"/>
    <n v="-25402.08338"/>
    <x v="2"/>
  </r>
  <r>
    <x v="10"/>
    <s v="IS"/>
    <x v="9"/>
    <x v="4"/>
    <s v="NF0001"/>
    <s v="Alnajm Flour from Mill 25KG"/>
    <x v="15"/>
    <x v="1"/>
    <d v="2025-11-30T00:00:00"/>
    <s v="SCRP"/>
    <s v="TRANSPORTATION LOSS - 6039 ANJAL"/>
    <x v="118"/>
    <s v="Loss"/>
    <x v="1"/>
    <x v="4"/>
    <x v="0"/>
    <s v="a.bakri"/>
    <n v="-3"/>
    <n v="-7.4999999999999997E-2"/>
    <n v="25402.08338"/>
    <s v=""/>
    <s v="000006"/>
    <s v="X04709"/>
    <s v=""/>
    <s v="P03951"/>
    <n v="0"/>
    <n v="-76206.250140000004"/>
    <x v="2"/>
  </r>
  <r>
    <x v="10"/>
    <s v="IS"/>
    <x v="9"/>
    <x v="4"/>
    <s v="NF0001"/>
    <s v="Alnajm Flour from Mill 25KG"/>
    <x v="15"/>
    <x v="1"/>
    <d v="2025-11-30T00:00:00"/>
    <s v="SCRP"/>
    <s v="TRANSPORTATION LOSS - 6048 ALNWA"/>
    <x v="118"/>
    <s v="Loss"/>
    <x v="1"/>
    <x v="2"/>
    <x v="3"/>
    <s v="a.bakri"/>
    <n v="-40"/>
    <n v="-1"/>
    <n v="25402.08338"/>
    <s v=""/>
    <s v="000007"/>
    <s v="X04710"/>
    <s v=""/>
    <s v="P03951"/>
    <n v="0"/>
    <n v="-1016083.3352"/>
    <x v="2"/>
  </r>
  <r>
    <x v="10"/>
    <s v="IS"/>
    <x v="9"/>
    <x v="4"/>
    <s v="NF0001"/>
    <s v="Alnajm Flour from Mill 25KG"/>
    <x v="15"/>
    <x v="1"/>
    <d v="2025-11-30T00:00:00"/>
    <s v="SCRP"/>
    <s v="TRANSPORTATION LOSS - 6870 KARKAR"/>
    <x v="118"/>
    <s v="Loss"/>
    <x v="1"/>
    <x v="4"/>
    <x v="0"/>
    <s v="a.bakri"/>
    <n v="-1"/>
    <n v="-2.5000000000000001E-2"/>
    <n v="25402.08338"/>
    <s v=""/>
    <s v="000008"/>
    <s v="X04711"/>
    <s v=""/>
    <s v="P03951"/>
    <n v="0"/>
    <n v="-25402.08338"/>
    <x v="2"/>
  </r>
  <r>
    <x v="10"/>
    <s v="IS"/>
    <x v="9"/>
    <x v="4"/>
    <s v="NF0001"/>
    <s v="Alnajm Flour from Mill 25KG"/>
    <x v="15"/>
    <x v="1"/>
    <d v="2025-11-30T00:00:00"/>
    <s v="SCRP"/>
    <s v="TRANSPORTATION LOSS - 6922 I.ALMAHDI"/>
    <x v="118"/>
    <s v="Loss"/>
    <x v="1"/>
    <x v="2"/>
    <x v="3"/>
    <s v="a.bakri"/>
    <n v="-1"/>
    <n v="-2.5000000000000001E-2"/>
    <n v="25402.08338"/>
    <s v=""/>
    <s v="000009"/>
    <s v="X04712"/>
    <s v=""/>
    <s v="P03951"/>
    <n v="0"/>
    <n v="-25402.08338"/>
    <x v="2"/>
  </r>
  <r>
    <x v="10"/>
    <s v="IS"/>
    <x v="9"/>
    <x v="4"/>
    <s v="NF0001"/>
    <s v="Alnajm Flour from Mill 25KG"/>
    <x v="15"/>
    <x v="1"/>
    <d v="2025-11-30T00:00:00"/>
    <s v="SCRP"/>
    <s v="TRANSPORTATION LOSS - 6074 ALTAF"/>
    <x v="118"/>
    <s v="Loss"/>
    <x v="1"/>
    <x v="2"/>
    <x v="3"/>
    <s v="a.bakri"/>
    <n v="-1"/>
    <n v="-2.5000000000000001E-2"/>
    <n v="25402.08338"/>
    <s v=""/>
    <s v="000010"/>
    <s v="X04713"/>
    <s v=""/>
    <s v="P03951"/>
    <n v="0"/>
    <n v="-25402.08338"/>
    <x v="2"/>
  </r>
  <r>
    <x v="10"/>
    <s v="IS"/>
    <x v="9"/>
    <x v="4"/>
    <s v="NF0001"/>
    <s v="Alnajm Flour from Mill 25KG"/>
    <x v="15"/>
    <x v="1"/>
    <d v="2025-11-30T00:00:00"/>
    <s v="SCRP"/>
    <s v="TRANSPORTATION LOSS - 7193 I.ALMAHDI"/>
    <x v="118"/>
    <s v="Loss"/>
    <x v="1"/>
    <x v="2"/>
    <x v="3"/>
    <s v="a.bakri"/>
    <n v="-1"/>
    <n v="-2.5000000000000001E-2"/>
    <n v="25402.08338"/>
    <s v=""/>
    <s v="000011"/>
    <s v="X04714"/>
    <s v=""/>
    <s v="P03951"/>
    <n v="0"/>
    <n v="-25402.08338"/>
    <x v="2"/>
  </r>
  <r>
    <x v="11"/>
    <s v="TM"/>
    <x v="9"/>
    <x v="3"/>
    <s v="RC9008"/>
    <s v="Rice Long Grade 1 Elngm 20Kg"/>
    <x v="9"/>
    <x v="1"/>
    <d v="2025-12-03T00:00:00"/>
    <s v="SCRP"/>
    <s v="TRANSPORTATION LOSS - 4933 KOTHBAN"/>
    <x v="118"/>
    <s v="Loss"/>
    <x v="1"/>
    <x v="4"/>
    <x v="0"/>
    <s v="a.bakri"/>
    <n v="-1"/>
    <n v="-0.02"/>
    <n v="23264.08728"/>
    <s v=""/>
    <s v="000000"/>
    <s v="X04716"/>
    <s v=""/>
    <s v="Q06290"/>
    <n v="0"/>
    <n v="-23264.08728"/>
    <x v="3"/>
  </r>
  <r>
    <x v="11"/>
    <s v="TM"/>
    <x v="9"/>
    <x v="3"/>
    <s v="RC9008"/>
    <s v="Rice Long Grade 1 Elngm 20Kg"/>
    <x v="9"/>
    <x v="1"/>
    <d v="2025-12-03T00:00:00"/>
    <s v="SCRP"/>
    <s v="TRANSPORTATION LOSS - 4934 QUICK"/>
    <x v="118"/>
    <s v="Loss"/>
    <x v="1"/>
    <x v="4"/>
    <x v="0"/>
    <s v="a.bakri"/>
    <n v="-17"/>
    <n v="-0.34"/>
    <n v="23264.08728"/>
    <s v=""/>
    <s v="000001"/>
    <s v="X04717"/>
    <s v=""/>
    <s v="Q06290"/>
    <n v="0"/>
    <n v="-395489.48375999997"/>
    <x v="3"/>
  </r>
  <r>
    <x v="11"/>
    <s v="IS"/>
    <x v="9"/>
    <x v="3"/>
    <s v="RC9008"/>
    <s v="Rice Long Grade 1 Elngm 20Kg"/>
    <x v="9"/>
    <x v="1"/>
    <d v="2025-12-03T00:00:00"/>
    <s v="SCRP"/>
    <s v="TRANSPORTATION LOSS - 4944 QUICK"/>
    <x v="118"/>
    <s v="Loss"/>
    <x v="1"/>
    <x v="4"/>
    <x v="0"/>
    <s v="a.bakri"/>
    <n v="-2"/>
    <n v="-0.04"/>
    <n v="23264.08728"/>
    <s v=""/>
    <s v="000000"/>
    <s v="X04718"/>
    <s v=""/>
    <s v="Q06290"/>
    <n v="0"/>
    <n v="-46528.174559999999"/>
    <x v="3"/>
  </r>
  <r>
    <x v="11"/>
    <s v="IS"/>
    <x v="9"/>
    <x v="3"/>
    <s v="RC9008"/>
    <s v="Rice Long Grade 1 Elngm 20Kg"/>
    <x v="9"/>
    <x v="1"/>
    <d v="2025-12-03T00:00:00"/>
    <s v="SCRP"/>
    <s v="TRANSPORTATION LOSS - 4945 QUICK"/>
    <x v="118"/>
    <s v="Loss"/>
    <x v="1"/>
    <x v="4"/>
    <x v="0"/>
    <s v="a.bakri"/>
    <n v="-1"/>
    <n v="-0.02"/>
    <n v="23264.08728"/>
    <s v=""/>
    <s v="000001"/>
    <s v="X04719"/>
    <s v=""/>
    <s v="Q06290"/>
    <n v="0"/>
    <n v="-23264.08728"/>
    <x v="3"/>
  </r>
  <r>
    <x v="11"/>
    <s v="IS"/>
    <x v="9"/>
    <x v="5"/>
    <s v="LE0001"/>
    <s v="Lentil TAT 20KG"/>
    <x v="7"/>
    <x v="1"/>
    <d v="2025-12-03T00:00:00"/>
    <s v="SCRP"/>
    <s v="TRANSPORTATION LOSS - 4908 ABURNAT"/>
    <x v="118"/>
    <s v="Loss"/>
    <x v="1"/>
    <x v="4"/>
    <x v="0"/>
    <s v="a.bakri"/>
    <n v="-3"/>
    <n v="-0.06"/>
    <n v="42710.736519999999"/>
    <s v=""/>
    <s v="000000"/>
    <s v="X04720"/>
    <s v=""/>
    <s v="Q06295"/>
    <n v="0"/>
    <n v="-128132.20955999999"/>
    <x v="3"/>
  </r>
  <r>
    <x v="11"/>
    <s v="IS"/>
    <x v="9"/>
    <x v="5"/>
    <s v="LE0001"/>
    <s v="Lentil TAT 20KG"/>
    <x v="7"/>
    <x v="1"/>
    <d v="2025-12-03T00:00:00"/>
    <s v="SCRP"/>
    <s v="TRANSPORTATION LOSS - 4946 DARKA"/>
    <x v="118"/>
    <s v="Loss"/>
    <x v="1"/>
    <x v="4"/>
    <x v="0"/>
    <s v="a.bakri"/>
    <n v="-1"/>
    <n v="-0.02"/>
    <n v="42710.736519999999"/>
    <s v=""/>
    <s v="000001"/>
    <s v="X04721"/>
    <s v=""/>
    <s v="Q06295"/>
    <n v="0"/>
    <n v="-42710.736519999999"/>
    <x v="3"/>
  </r>
  <r>
    <x v="11"/>
    <s v="IS"/>
    <x v="9"/>
    <x v="5"/>
    <s v="LE0001"/>
    <s v="Lentil TAT 20KG"/>
    <x v="7"/>
    <x v="1"/>
    <d v="2025-12-03T00:00:00"/>
    <s v="SCRP"/>
    <s v="TRANSPORTATION LOSS - 4950 ABURNAT"/>
    <x v="118"/>
    <s v="Loss"/>
    <x v="1"/>
    <x v="4"/>
    <x v="0"/>
    <s v="a.bakri"/>
    <n v="-3"/>
    <n v="-0.06"/>
    <n v="42710.736519999999"/>
    <s v=""/>
    <s v="000002"/>
    <s v="X04722"/>
    <s v=""/>
    <s v="Q06295"/>
    <n v="0"/>
    <n v="-128132.20955999999"/>
    <x v="3"/>
  </r>
  <r>
    <x v="11"/>
    <s v="TF"/>
    <x v="9"/>
    <x v="5"/>
    <s v="LE0001"/>
    <s v="Lentil TAT 20KG"/>
    <x v="7"/>
    <x v="1"/>
    <d v="2025-12-03T00:00:00"/>
    <s v="SCRP"/>
    <s v="TRANSPORTATION LOSS - 4492 ALASGALANI"/>
    <x v="118"/>
    <s v="Loss"/>
    <x v="1"/>
    <x v="4"/>
    <x v="0"/>
    <s v="a.bakri"/>
    <n v="-1"/>
    <n v="-0.02"/>
    <n v="42710.736519999999"/>
    <s v=""/>
    <s v="000000"/>
    <s v="X04723"/>
    <s v=""/>
    <s v="Q06295"/>
    <n v="0"/>
    <n v="-42710.736519999999"/>
    <x v="3"/>
  </r>
  <r>
    <x v="11"/>
    <s v="TM"/>
    <x v="9"/>
    <x v="5"/>
    <s v="LE0001"/>
    <s v="Lentil TAT 20KG"/>
    <x v="7"/>
    <x v="1"/>
    <d v="2025-12-03T00:00:00"/>
    <s v="SCRP"/>
    <s v="TRANSPORTATION LOSS - 4496 ABURNAT"/>
    <x v="118"/>
    <s v="Loss"/>
    <x v="1"/>
    <x v="4"/>
    <x v="0"/>
    <s v="a.bakri"/>
    <n v="-2"/>
    <n v="-0.04"/>
    <n v="42710.736519999999"/>
    <s v=""/>
    <s v="000000"/>
    <s v="X04724"/>
    <s v=""/>
    <s v="Q06295"/>
    <n v="0"/>
    <n v="-85421.473039999997"/>
    <x v="3"/>
  </r>
  <r>
    <x v="11"/>
    <s v="TM"/>
    <x v="9"/>
    <x v="5"/>
    <s v="LE0001"/>
    <s v="Lentil TAT 20KG"/>
    <x v="7"/>
    <x v="1"/>
    <d v="2025-12-03T00:00:00"/>
    <s v="SCRP"/>
    <s v="TRANSPORTATION LOSS - 4495 ABURNAT"/>
    <x v="118"/>
    <s v="Loss"/>
    <x v="1"/>
    <x v="4"/>
    <x v="0"/>
    <s v="a.bakri"/>
    <n v="-1"/>
    <n v="-0.02"/>
    <n v="42710.736519999999"/>
    <s v=""/>
    <s v="000001"/>
    <s v="X04725"/>
    <s v=""/>
    <s v="Q06295"/>
    <n v="0"/>
    <n v="-42710.736519999999"/>
    <x v="3"/>
  </r>
  <r>
    <x v="11"/>
    <s v="IS"/>
    <x v="7"/>
    <x v="4"/>
    <s v="NF0001"/>
    <s v="Alnajm Flour from Mill 25KG"/>
    <x v="15"/>
    <x v="1"/>
    <d v="2025-12-03T00:00:00"/>
    <s v="ADJ"/>
    <s v="EXCESS - 6909"/>
    <x v="108"/>
    <s v="Gain"/>
    <x v="1"/>
    <x v="5"/>
    <x v="0"/>
    <s v="a.bakri"/>
    <n v="1"/>
    <n v="2.5000000000000001E-2"/>
    <n v="24102.081340000001"/>
    <s v="IS0001"/>
    <s v="000000"/>
    <s v="A00950"/>
    <s v="C03085"/>
    <s v=""/>
    <n v="0"/>
    <n v="24102.081340000001"/>
    <x v="2"/>
  </r>
  <r>
    <x v="11"/>
    <s v="IS"/>
    <x v="7"/>
    <x v="4"/>
    <s v="NF0001"/>
    <s v="Alnajm Flour from Mill 25KG"/>
    <x v="15"/>
    <x v="1"/>
    <d v="2025-12-03T00:00:00"/>
    <s v="ADJ"/>
    <s v="EXCESS - 6032"/>
    <x v="108"/>
    <s v="Gain"/>
    <x v="1"/>
    <x v="5"/>
    <x v="0"/>
    <s v="a.bakri"/>
    <n v="1"/>
    <n v="2.5000000000000001E-2"/>
    <n v="24102.081340000001"/>
    <s v="IS0001"/>
    <s v="000001"/>
    <s v="A00951"/>
    <s v="C03086"/>
    <s v=""/>
    <n v="0"/>
    <n v="24102.081340000001"/>
    <x v="2"/>
  </r>
  <r>
    <x v="11"/>
    <s v="IS"/>
    <x v="7"/>
    <x v="4"/>
    <s v="NF0001"/>
    <s v="Alnajm Flour from Mill 25KG"/>
    <x v="15"/>
    <x v="1"/>
    <d v="2025-12-03T00:00:00"/>
    <s v="ADJ"/>
    <s v="EXCESS - 6200"/>
    <x v="108"/>
    <s v="Gain"/>
    <x v="1"/>
    <x v="5"/>
    <x v="0"/>
    <s v="a.bakri"/>
    <n v="1"/>
    <n v="2.5000000000000001E-2"/>
    <n v="24102.081340000001"/>
    <s v="IS0001"/>
    <s v="000002"/>
    <s v="A00952"/>
    <s v="C03087"/>
    <s v=""/>
    <n v="0"/>
    <n v="24102.081340000001"/>
    <x v="2"/>
  </r>
  <r>
    <x v="11"/>
    <s v="FJ"/>
    <x v="6"/>
    <x v="7"/>
    <s v="SM0001"/>
    <s v="Gadarif Sesame - FG"/>
    <x v="16"/>
    <x v="0"/>
    <d v="2025-12-07T00:00:00"/>
    <s v="SCRP"/>
    <s v="REPACKING LOSS - NC NO. 73"/>
    <x v="168"/>
    <s v="Loss"/>
    <x v="1"/>
    <x v="1"/>
    <x v="0"/>
    <s v="a.bakri"/>
    <n v="-3"/>
    <n v="-0.15"/>
    <n v="189125.99893999999"/>
    <s v=""/>
    <s v="000000"/>
    <s v="X04726"/>
    <s v=""/>
    <s v="CNC000755"/>
    <n v="0"/>
    <n v="-567377.99682"/>
    <x v="1"/>
  </r>
  <r>
    <x v="11"/>
    <s v="XI"/>
    <x v="2"/>
    <x v="5"/>
    <s v="LE0001"/>
    <s v="Lentil TAT 20KG"/>
    <x v="7"/>
    <x v="1"/>
    <d v="2025-12-08T00:00:00"/>
    <s v="SCRP"/>
    <s v="MV JPO VENUS-BL 7401-SHORTLANDED"/>
    <x v="169"/>
    <s v="Loss"/>
    <x v="1"/>
    <x v="2"/>
    <x v="2"/>
    <s v="a.bakri"/>
    <n v="-28"/>
    <n v="-0.56000000000000005"/>
    <n v="42710.736519999999"/>
    <s v=""/>
    <s v="000008"/>
    <s v="X04728"/>
    <s v=""/>
    <s v="Q06296"/>
    <n v="0"/>
    <n v="-1195900.62256"/>
    <x v="3"/>
  </r>
  <r>
    <x v="11"/>
    <s v="XI"/>
    <x v="3"/>
    <x v="5"/>
    <s v="LE0001"/>
    <s v="Lentil TAT 20KG"/>
    <x v="7"/>
    <x v="1"/>
    <d v="2025-12-08T00:00:00"/>
    <s v="ADJ"/>
    <s v="MV JPO VENUS-BL 8012-OVERLAND"/>
    <x v="170"/>
    <s v="Gain"/>
    <x v="1"/>
    <x v="5"/>
    <x v="0"/>
    <s v="a.bakri"/>
    <n v="19"/>
    <n v="0.38"/>
    <n v="42710.736519999999"/>
    <s v="XI0001"/>
    <s v="000001"/>
    <s v="A00953"/>
    <s v="C03089"/>
    <s v=""/>
    <n v="0"/>
    <n v="811503.99387999997"/>
    <x v="3"/>
  </r>
  <r>
    <x v="11"/>
    <s v="XI"/>
    <x v="3"/>
    <x v="5"/>
    <s v="LE0001"/>
    <s v="Lentil TAT 20KG"/>
    <x v="7"/>
    <x v="1"/>
    <d v="2025-12-08T00:00:00"/>
    <s v="ADJ"/>
    <s v="MV JPO VENUS-BL 9778-OVERLAND"/>
    <x v="171"/>
    <s v="Gain"/>
    <x v="1"/>
    <x v="5"/>
    <x v="0"/>
    <s v="a.bakri"/>
    <n v="18"/>
    <n v="0.36"/>
    <n v="42710.736519999999"/>
    <s v="XI0001"/>
    <s v="000002"/>
    <s v="A00954"/>
    <s v="C03090"/>
    <s v=""/>
    <n v="0"/>
    <n v="768793.25735999993"/>
    <x v="3"/>
  </r>
  <r>
    <x v="11"/>
    <s v="XI"/>
    <x v="3"/>
    <x v="5"/>
    <s v="LE0001"/>
    <s v="Lentil TAT 20KG"/>
    <x v="7"/>
    <x v="1"/>
    <d v="2025-12-08T00:00:00"/>
    <s v="ADJ"/>
    <s v="MV Newstriver-BL 1094EXY-OVER"/>
    <x v="172"/>
    <s v="Gain"/>
    <x v="1"/>
    <x v="5"/>
    <x v="0"/>
    <s v="a.bakri"/>
    <n v="19"/>
    <n v="0.38"/>
    <n v="42710.736519999999"/>
    <s v="XI0001"/>
    <s v="000003"/>
    <s v="A00955"/>
    <s v="C03091"/>
    <s v=""/>
    <n v="0"/>
    <n v="811503.99387999997"/>
    <x v="3"/>
  </r>
  <r>
    <x v="11"/>
    <s v="XI"/>
    <x v="3"/>
    <x v="5"/>
    <s v="LE0001"/>
    <s v="Lentil TAT 20KG"/>
    <x v="7"/>
    <x v="1"/>
    <d v="2025-12-08T00:00:00"/>
    <s v="ADJ"/>
    <s v="MV Newstriver-BL 1095EXY-OVER"/>
    <x v="173"/>
    <s v="Gain"/>
    <x v="1"/>
    <x v="5"/>
    <x v="0"/>
    <s v="a.bakri"/>
    <n v="14"/>
    <n v="0.28000000000000003"/>
    <n v="42710.736519999999"/>
    <s v="XI0001"/>
    <s v="000004"/>
    <s v="A00956"/>
    <s v="C03092"/>
    <s v=""/>
    <n v="0"/>
    <n v="597950.31128000002"/>
    <x v="3"/>
  </r>
  <r>
    <x v="11"/>
    <s v="XI"/>
    <x v="3"/>
    <x v="5"/>
    <s v="LE0001"/>
    <s v="Lentil TAT 20KG"/>
    <x v="7"/>
    <x v="1"/>
    <d v="2025-12-08T00:00:00"/>
    <s v="ADJ"/>
    <s v="MV Newstriver-BL 1096EXY-OVER"/>
    <x v="174"/>
    <s v="Gain"/>
    <x v="1"/>
    <x v="5"/>
    <x v="0"/>
    <s v="a.bakri"/>
    <n v="9"/>
    <n v="0.18"/>
    <n v="42710.736519999999"/>
    <s v="XI0001"/>
    <s v="000005"/>
    <s v="A00957"/>
    <s v="C03093"/>
    <s v=""/>
    <n v="0"/>
    <n v="384396.62867999997"/>
    <x v="3"/>
  </r>
  <r>
    <x v="11"/>
    <s v="XI"/>
    <x v="3"/>
    <x v="5"/>
    <s v="LE0001"/>
    <s v="Lentil TAT 20KG"/>
    <x v="7"/>
    <x v="1"/>
    <d v="2025-12-08T00:00:00"/>
    <s v="ADJ"/>
    <s v="MV Summit Xiamen-BL 9700-OVER"/>
    <x v="175"/>
    <s v="Gain"/>
    <x v="1"/>
    <x v="5"/>
    <x v="0"/>
    <s v="a.bakri"/>
    <n v="76"/>
    <n v="1.52"/>
    <n v="42710.736519999999"/>
    <s v="XI0001"/>
    <s v="000006"/>
    <s v="A00958"/>
    <s v="C03094"/>
    <s v=""/>
    <n v="0"/>
    <n v="3246015.9755199999"/>
    <x v="3"/>
  </r>
  <r>
    <x v="11"/>
    <s v="XI"/>
    <x v="3"/>
    <x v="5"/>
    <s v="LE0001"/>
    <s v="Lentil TAT 20KG"/>
    <x v="7"/>
    <x v="1"/>
    <d v="2025-12-08T00:00:00"/>
    <s v="ADJ"/>
    <s v="MV ZENYEP-BL 9501-OVERLANDED"/>
    <x v="176"/>
    <s v="Gain"/>
    <x v="1"/>
    <x v="5"/>
    <x v="0"/>
    <s v="a.bakri"/>
    <n v="119"/>
    <n v="2.38"/>
    <n v="42710.736519999999"/>
    <s v="XI0001"/>
    <s v="000007"/>
    <s v="A00959"/>
    <s v="C03095"/>
    <s v=""/>
    <n v="0"/>
    <n v="5082577.6458799997"/>
    <x v="3"/>
  </r>
  <r>
    <x v="11"/>
    <s v="IS"/>
    <x v="7"/>
    <x v="5"/>
    <s v="LE0001"/>
    <s v="Lentil TAT 20KG"/>
    <x v="7"/>
    <x v="1"/>
    <d v="2025-12-09T00:00:00"/>
    <s v="ADJ"/>
    <s v="EXCESS - 5194"/>
    <x v="108"/>
    <s v="Gain"/>
    <x v="1"/>
    <x v="5"/>
    <x v="0"/>
    <s v="a.bakri"/>
    <n v="4"/>
    <n v="0.08"/>
    <n v="42710.736519999999"/>
    <s v="IS0001"/>
    <s v="000000"/>
    <s v="A00960"/>
    <s v="C03096"/>
    <s v=""/>
    <n v="0"/>
    <n v="170842.94607999999"/>
    <x v="3"/>
  </r>
  <r>
    <x v="11"/>
    <s v="IS"/>
    <x v="7"/>
    <x v="4"/>
    <s v="NF0001"/>
    <s v="Alnajm Flour from Mill 25KG"/>
    <x v="15"/>
    <x v="1"/>
    <d v="2025-12-09T00:00:00"/>
    <s v="ADJ"/>
    <s v="EXCESS - 6211"/>
    <x v="108"/>
    <s v="Gain"/>
    <x v="1"/>
    <x v="5"/>
    <x v="0"/>
    <s v="a.bakri"/>
    <n v="4"/>
    <n v="0.1"/>
    <n v="24102.081340000001"/>
    <s v="IS0001"/>
    <s v="000000"/>
    <s v="A00961"/>
    <s v="C03097"/>
    <s v=""/>
    <n v="0"/>
    <n v="96408.325360000003"/>
    <x v="2"/>
  </r>
  <r>
    <x v="11"/>
    <s v="IS"/>
    <x v="7"/>
    <x v="4"/>
    <s v="NF0001"/>
    <s v="Alnajm Flour from Mill 25KG"/>
    <x v="15"/>
    <x v="1"/>
    <d v="2025-12-09T00:00:00"/>
    <s v="ADJ"/>
    <s v="EXCESS - 6210"/>
    <x v="108"/>
    <s v="Gain"/>
    <x v="1"/>
    <x v="5"/>
    <x v="0"/>
    <s v="a.bakri"/>
    <n v="1"/>
    <n v="2.5000000000000001E-2"/>
    <n v="24102.081340000001"/>
    <s v="IS0001"/>
    <s v="000001"/>
    <s v="A00962"/>
    <s v="C03098"/>
    <s v=""/>
    <n v="0"/>
    <n v="24102.081340000001"/>
    <x v="2"/>
  </r>
  <r>
    <x v="11"/>
    <s v="NN"/>
    <x v="6"/>
    <x v="5"/>
    <s v="LE0001"/>
    <s v="Lentil TAT 20KG"/>
    <x v="7"/>
    <x v="1"/>
    <d v="2025-12-09T00:00:00"/>
    <s v="SCRP"/>
    <s v="REPACKING LOSS - NC 70"/>
    <x v="177"/>
    <s v="Loss"/>
    <x v="1"/>
    <x v="1"/>
    <x v="0"/>
    <s v="a.bakri"/>
    <n v="-18"/>
    <n v="-0.36"/>
    <n v="42710.736519999999"/>
    <s v=""/>
    <s v="000000"/>
    <s v="X04730"/>
    <s v=""/>
    <s v="Q06277"/>
    <n v="0"/>
    <n v="-768793.25735999993"/>
    <x v="3"/>
  </r>
  <r>
    <x v="11"/>
    <s v="NN"/>
    <x v="6"/>
    <x v="5"/>
    <s v="LE0001"/>
    <s v="Lentil TAT 20KG"/>
    <x v="7"/>
    <x v="1"/>
    <d v="2025-12-09T00:00:00"/>
    <s v="SCRP"/>
    <s v="REPACKING LOSS - NC 75"/>
    <x v="178"/>
    <s v="Loss"/>
    <x v="1"/>
    <x v="1"/>
    <x v="0"/>
    <s v="a.bakri"/>
    <n v="-11"/>
    <n v="-0.22"/>
    <n v="42710.736519999999"/>
    <s v=""/>
    <s v="000001"/>
    <s v="X04731"/>
    <s v=""/>
    <s v="Q06277"/>
    <n v="0"/>
    <n v="-469818.10171999998"/>
    <x v="3"/>
  </r>
  <r>
    <x v="11"/>
    <s v="NN"/>
    <x v="6"/>
    <x v="5"/>
    <s v="LE0001"/>
    <s v="Lentil TAT 20KG"/>
    <x v="7"/>
    <x v="1"/>
    <d v="2025-12-09T00:00:00"/>
    <s v="SCRP"/>
    <s v="REPACKING LOSS - NC 76"/>
    <x v="179"/>
    <s v="Loss"/>
    <x v="1"/>
    <x v="1"/>
    <x v="0"/>
    <s v="a.bakri"/>
    <n v="-9"/>
    <n v="-0.18"/>
    <n v="42710.736519999999"/>
    <s v=""/>
    <s v="000002"/>
    <s v="X04732"/>
    <s v=""/>
    <s v="Q06277"/>
    <n v="0"/>
    <n v="-384396.62867999997"/>
    <x v="3"/>
  </r>
  <r>
    <x v="11"/>
    <s v="NN"/>
    <x v="6"/>
    <x v="5"/>
    <s v="LE0001"/>
    <s v="Lentil TAT 20KG"/>
    <x v="7"/>
    <x v="1"/>
    <d v="2025-12-09T00:00:00"/>
    <s v="SCRP"/>
    <s v="REPACKING LOSS - NC 84"/>
    <x v="180"/>
    <s v="Loss"/>
    <x v="1"/>
    <x v="1"/>
    <x v="0"/>
    <s v="a.bakri"/>
    <n v="-17"/>
    <n v="-0.34"/>
    <n v="42710.736519999999"/>
    <s v=""/>
    <s v="000003"/>
    <s v="X04733"/>
    <s v=""/>
    <s v="Q06277"/>
    <n v="0"/>
    <n v="-726082.52084000001"/>
    <x v="3"/>
  </r>
  <r>
    <x v="11"/>
    <s v="NN"/>
    <x v="6"/>
    <x v="3"/>
    <s v="RC9008"/>
    <s v="Rice Long Grade 1 Elngm 20Kg"/>
    <x v="9"/>
    <x v="1"/>
    <d v="2025-12-09T00:00:00"/>
    <s v="SCRP"/>
    <s v="REPACKING LOSS - NC 85"/>
    <x v="181"/>
    <s v="Loss"/>
    <x v="1"/>
    <x v="1"/>
    <x v="0"/>
    <s v="a.bakri"/>
    <n v="-1"/>
    <n v="-0.02"/>
    <n v="23264.08728"/>
    <s v=""/>
    <s v="000000"/>
    <s v="X04734"/>
    <s v=""/>
    <s v="Q06280"/>
    <n v="0"/>
    <n v="-23264.08728"/>
    <x v="3"/>
  </r>
  <r>
    <x v="11"/>
    <s v="NN"/>
    <x v="6"/>
    <x v="5"/>
    <s v="LE0001"/>
    <s v="Lentil TAT 20KG"/>
    <x v="7"/>
    <x v="1"/>
    <d v="2025-12-09T00:00:00"/>
    <s v="SCRP"/>
    <s v="REPACKING LOSS - NC 86"/>
    <x v="182"/>
    <s v="Loss"/>
    <x v="1"/>
    <x v="1"/>
    <x v="0"/>
    <s v="a.bakri"/>
    <n v="-6"/>
    <n v="-0.12"/>
    <n v="42710.736519999999"/>
    <s v=""/>
    <s v="000004"/>
    <s v="X04735"/>
    <s v=""/>
    <s v="Q06277"/>
    <n v="0"/>
    <n v="-256264.41911999998"/>
    <x v="3"/>
  </r>
  <r>
    <x v="11"/>
    <s v="XI"/>
    <x v="2"/>
    <x v="3"/>
    <s v="RC9008"/>
    <s v="Rice Long Grade 1 Elngm 20Kg"/>
    <x v="9"/>
    <x v="1"/>
    <d v="2025-12-09T00:00:00"/>
    <s v="SCRP"/>
    <s v="MV NORDIA-BL 1093-SHORTLANDED"/>
    <x v="183"/>
    <s v="Loss"/>
    <x v="1"/>
    <x v="2"/>
    <x v="2"/>
    <s v="a.bakri"/>
    <n v="-81"/>
    <n v="-1.62"/>
    <n v="23264.08728"/>
    <s v=""/>
    <s v="000000"/>
    <s v="X04736"/>
    <s v=""/>
    <s v="Q06299"/>
    <n v="0"/>
    <n v="-1884391.06968"/>
    <x v="3"/>
  </r>
  <r>
    <x v="11"/>
    <s v="ZS"/>
    <x v="15"/>
    <x v="2"/>
    <s v="WS0001"/>
    <s v="White Sugar"/>
    <x v="4"/>
    <x v="1"/>
    <d v="2025-12-10T00:00:00"/>
    <s v="ADJ"/>
    <s v="OPERATIONS MISCOUNTING"/>
    <x v="184"/>
    <m/>
    <x v="1"/>
    <x v="5"/>
    <x v="0"/>
    <s v="a.bakri"/>
    <n v="6"/>
    <n v="0.3"/>
    <n v="87806.150009999998"/>
    <s v="ZS0001"/>
    <s v="000000"/>
    <s v="A00963"/>
    <s v="C03099"/>
    <s v=""/>
    <n v="0"/>
    <n v="526836.90006000001"/>
    <x v="1"/>
  </r>
  <r>
    <x v="11"/>
    <s v="ZR"/>
    <x v="15"/>
    <x v="3"/>
    <s v="RC0006"/>
    <s v="Rice Short Grain Elngm 25Kg"/>
    <x v="3"/>
    <x v="1"/>
    <d v="2025-12-10T00:00:00"/>
    <s v="ADJ"/>
    <s v="OPERATIONS MICOUNTING"/>
    <x v="184"/>
    <m/>
    <x v="1"/>
    <x v="5"/>
    <x v="0"/>
    <s v="a.bakri"/>
    <n v="1"/>
    <n v="2.5000000000000001E-2"/>
    <n v="48871.565979999999"/>
    <s v="ZR0001"/>
    <s v="000000"/>
    <s v="A00964"/>
    <s v="C03100"/>
    <s v=""/>
    <n v="0"/>
    <n v="48871.565979999999"/>
    <x v="2"/>
  </r>
  <r>
    <x v="11"/>
    <s v="XP"/>
    <x v="5"/>
    <x v="14"/>
    <s v="SM0011"/>
    <s v="Red Sesame - FG"/>
    <x v="45"/>
    <x v="0"/>
    <d v="2025-12-14T00:00:00"/>
    <s v="SCRP"/>
    <s v="EXPIRED - RECLASSIFIED - NC NO. 64"/>
    <x v="185"/>
    <s v="Loss"/>
    <x v="1"/>
    <x v="1"/>
    <x v="0"/>
    <s v="a.bakri"/>
    <n v="-315"/>
    <n v="-15.75"/>
    <n v="169675.87367999999"/>
    <s v=""/>
    <s v="000000"/>
    <s v="X04738"/>
    <s v=""/>
    <s v="CNC000754"/>
    <n v="0"/>
    <n v="-53447900.209199995"/>
    <x v="1"/>
  </r>
  <r>
    <x v="11"/>
    <s v="XP"/>
    <x v="5"/>
    <x v="14"/>
    <s v="SM0053"/>
    <s v="Red Sesame LowQualty"/>
    <x v="46"/>
    <x v="0"/>
    <d v="2025-12-14T00:00:00"/>
    <s v="ADJ"/>
    <s v="EXPIRED-RECLASSIFIED-NC NO 64"/>
    <x v="185"/>
    <s v="Gain"/>
    <x v="1"/>
    <x v="5"/>
    <x v="0"/>
    <s v="a.bakri"/>
    <n v="315"/>
    <n v="15.75"/>
    <n v="67870.399999999994"/>
    <s v="XP0001"/>
    <s v="000000"/>
    <s v="A00965"/>
    <s v="C03101"/>
    <s v=""/>
    <n v="0"/>
    <n v="21379176"/>
    <x v="1"/>
  </r>
  <r>
    <x v="11"/>
    <s v="TF"/>
    <x v="9"/>
    <x v="5"/>
    <s v="LE0001"/>
    <s v="Lentil TAT 20KG"/>
    <x v="7"/>
    <x v="1"/>
    <d v="2025-12-15T00:00:00"/>
    <s v="SCRP"/>
    <s v="TRANSPORTATION LOSS - 5186 DARKA"/>
    <x v="118"/>
    <s v="Loss"/>
    <x v="1"/>
    <x v="2"/>
    <x v="3"/>
    <s v="a.bakri"/>
    <n v="-2"/>
    <n v="-0.04"/>
    <n v="42710.736519999999"/>
    <s v=""/>
    <s v="000000"/>
    <s v="X04740"/>
    <s v=""/>
    <s v="Q06295"/>
    <n v="0"/>
    <n v="-85421.473039999997"/>
    <x v="3"/>
  </r>
  <r>
    <x v="11"/>
    <s v="IS"/>
    <x v="9"/>
    <x v="5"/>
    <s v="LE0001"/>
    <s v="Lentil TAT 20KG"/>
    <x v="7"/>
    <x v="1"/>
    <d v="2025-12-15T00:00:00"/>
    <s v="SCRP"/>
    <s v="TRANSPORTATION LOSS - 6559 ANJAL"/>
    <x v="118"/>
    <s v="Loss"/>
    <x v="1"/>
    <x v="2"/>
    <x v="3"/>
    <s v="a.bakri"/>
    <n v="-1"/>
    <n v="-0.02"/>
    <n v="42710.736519999999"/>
    <s v=""/>
    <s v="000000"/>
    <s v="X04741"/>
    <s v=""/>
    <s v="Q06296"/>
    <n v="0"/>
    <n v="-42710.736519999999"/>
    <x v="3"/>
  </r>
  <r>
    <x v="11"/>
    <s v="IS"/>
    <x v="9"/>
    <x v="5"/>
    <s v="LE0001"/>
    <s v="Lentil TAT 20KG"/>
    <x v="7"/>
    <x v="1"/>
    <d v="2025-12-15T00:00:00"/>
    <s v="SCRP"/>
    <s v="TRANSPORTATION LOSS - 6585 ALWAHSHAB"/>
    <x v="118"/>
    <s v="Loss"/>
    <x v="1"/>
    <x v="2"/>
    <x v="3"/>
    <s v="a.bakri"/>
    <n v="-1"/>
    <n v="-0.02"/>
    <n v="42710.736519999999"/>
    <s v=""/>
    <s v="000001"/>
    <s v="X04742"/>
    <s v=""/>
    <s v="Q06296"/>
    <n v="0"/>
    <n v="-42710.736519999999"/>
    <x v="3"/>
  </r>
  <r>
    <x v="11"/>
    <s v="IS"/>
    <x v="9"/>
    <x v="5"/>
    <s v="LE0001"/>
    <s v="Lentil TAT 20KG"/>
    <x v="7"/>
    <x v="1"/>
    <d v="2025-12-15T00:00:00"/>
    <s v="SCRP"/>
    <s v="TRANSPORTATION LOSS - 6586 ALWAHSHAB"/>
    <x v="118"/>
    <s v="Loss"/>
    <x v="1"/>
    <x v="2"/>
    <x v="3"/>
    <s v="a.bakri"/>
    <n v="-1"/>
    <n v="-0.02"/>
    <n v="42710.736519999999"/>
    <s v=""/>
    <s v="000002"/>
    <s v="X04743"/>
    <s v=""/>
    <s v="Q06296"/>
    <n v="0"/>
    <n v="-42710.736519999999"/>
    <x v="3"/>
  </r>
  <r>
    <x v="11"/>
    <s v="IS"/>
    <x v="9"/>
    <x v="4"/>
    <s v="NF0001"/>
    <s v="Alnajm Flour from Mill 25KG"/>
    <x v="15"/>
    <x v="1"/>
    <d v="2025-12-16T00:00:00"/>
    <s v="SCRP"/>
    <s v="TRANSPORTATION LOSS - 6038 ANJAL"/>
    <x v="118"/>
    <s v="Loss"/>
    <x v="1"/>
    <x v="2"/>
    <x v="3"/>
    <s v="a.bakri"/>
    <n v="-1"/>
    <n v="-2.5000000000000001E-2"/>
    <n v="24102.081340000001"/>
    <s v=""/>
    <s v="000000"/>
    <s v="X04745"/>
    <s v=""/>
    <s v="P03970"/>
    <n v="0"/>
    <n v="-24102.081340000001"/>
    <x v="2"/>
  </r>
  <r>
    <x v="11"/>
    <s v="IS"/>
    <x v="9"/>
    <x v="4"/>
    <s v="NF0001"/>
    <s v="Alnajm Flour from Mill 25KG"/>
    <x v="15"/>
    <x v="1"/>
    <d v="2025-12-16T00:00:00"/>
    <s v="SCRP"/>
    <s v="TRANSPORTATION LOSS - 6131 ALWAHSHAB"/>
    <x v="118"/>
    <s v="Loss"/>
    <x v="1"/>
    <x v="2"/>
    <x v="3"/>
    <s v="a.bakri"/>
    <n v="-1"/>
    <n v="-2.5000000000000001E-2"/>
    <n v="24102.081340000001"/>
    <s v=""/>
    <s v="000001"/>
    <s v="X04746"/>
    <s v=""/>
    <s v="P03970"/>
    <n v="0"/>
    <n v="-24102.081340000001"/>
    <x v="2"/>
  </r>
  <r>
    <x v="11"/>
    <s v="IS"/>
    <x v="9"/>
    <x v="4"/>
    <s v="NF0001"/>
    <s v="Alnajm Flour from Mill 25KG"/>
    <x v="15"/>
    <x v="1"/>
    <d v="2025-12-16T00:00:00"/>
    <s v="SCRP"/>
    <s v="TRANSPORTATION LOSS - 6125 ANJAL"/>
    <x v="118"/>
    <s v="Loss"/>
    <x v="1"/>
    <x v="2"/>
    <x v="3"/>
    <s v="a.bakri"/>
    <n v="-1"/>
    <n v="-2.5000000000000001E-2"/>
    <n v="24102.081340000001"/>
    <s v=""/>
    <s v="000002"/>
    <s v="X04747"/>
    <s v=""/>
    <s v="P03970"/>
    <n v="0"/>
    <n v="-24102.081340000001"/>
    <x v="2"/>
  </r>
  <r>
    <x v="11"/>
    <s v="IS"/>
    <x v="9"/>
    <x v="4"/>
    <s v="NF0001"/>
    <s v="Alnajm Flour from Mill 25KG"/>
    <x v="15"/>
    <x v="1"/>
    <d v="2025-12-16T00:00:00"/>
    <s v="SCRP"/>
    <s v="TRANSPORTATION LOSS - 6199 ANJAL"/>
    <x v="118"/>
    <s v="Loss"/>
    <x v="1"/>
    <x v="2"/>
    <x v="3"/>
    <s v="a.bakri"/>
    <n v="-4"/>
    <n v="-0.1"/>
    <n v="24102.081340000001"/>
    <s v=""/>
    <s v="000003"/>
    <s v="X04748"/>
    <s v=""/>
    <s v="P03970"/>
    <n v="0"/>
    <n v="-96408.325360000003"/>
    <x v="2"/>
  </r>
  <r>
    <x v="11"/>
    <s v="IS"/>
    <x v="9"/>
    <x v="4"/>
    <s v="NF0001"/>
    <s v="Alnajm Flour from Mill 25KG"/>
    <x v="15"/>
    <x v="1"/>
    <d v="2025-12-16T00:00:00"/>
    <s v="SCRP"/>
    <s v="TRANSPORTATION LOSS - 9376 I.ALMAHDI"/>
    <x v="118"/>
    <s v="Loss"/>
    <x v="1"/>
    <x v="2"/>
    <x v="3"/>
    <s v="a.bakri"/>
    <n v="-1"/>
    <n v="-2.5000000000000001E-2"/>
    <n v="24102.081340000001"/>
    <s v=""/>
    <s v="000004"/>
    <s v="X04749"/>
    <s v=""/>
    <s v="P03970"/>
    <n v="0"/>
    <n v="-24102.081340000001"/>
    <x v="2"/>
  </r>
  <r>
    <x v="11"/>
    <s v="IS"/>
    <x v="9"/>
    <x v="4"/>
    <s v="NF0001"/>
    <s v="Alnajm Flour from Mill 25KG"/>
    <x v="15"/>
    <x v="1"/>
    <d v="2025-12-16T00:00:00"/>
    <s v="SCRP"/>
    <s v="TRANSPORTATION LOSS - 6284 ALWAHSHAB"/>
    <x v="118"/>
    <s v="Loss"/>
    <x v="1"/>
    <x v="2"/>
    <x v="3"/>
    <s v="a.bakri"/>
    <n v="-1"/>
    <n v="-2.5000000000000001E-2"/>
    <n v="24102.081340000001"/>
    <s v=""/>
    <s v="000005"/>
    <s v="X04750"/>
    <s v=""/>
    <s v="P03970"/>
    <n v="0"/>
    <n v="-24102.081340000001"/>
    <x v="2"/>
  </r>
  <r>
    <x v="11"/>
    <s v="IS"/>
    <x v="9"/>
    <x v="4"/>
    <s v="NF0001"/>
    <s v="Alnajm Flour from Mill 25KG"/>
    <x v="15"/>
    <x v="1"/>
    <d v="2025-12-16T00:00:00"/>
    <s v="SCRP"/>
    <s v="TRANSPORTATION LOSS - 7444 NYAS"/>
    <x v="118"/>
    <s v="Loss"/>
    <x v="1"/>
    <x v="2"/>
    <x v="3"/>
    <s v="a.bakri"/>
    <n v="-2"/>
    <n v="-0.05"/>
    <n v="24102.081340000001"/>
    <s v=""/>
    <s v="000006"/>
    <s v="X04751"/>
    <s v=""/>
    <s v="P03970"/>
    <n v="0"/>
    <n v="-48204.162680000001"/>
    <x v="2"/>
  </r>
  <r>
    <x v="11"/>
    <s v="IS"/>
    <x v="9"/>
    <x v="4"/>
    <s v="NF0001"/>
    <s v="Alnajm Flour from Mill 25KG"/>
    <x v="15"/>
    <x v="1"/>
    <d v="2025-12-16T00:00:00"/>
    <s v="SCRP"/>
    <s v="TRANSPORTATION LOSS - 7502 ALTAF"/>
    <x v="118"/>
    <s v="Loss"/>
    <x v="1"/>
    <x v="2"/>
    <x v="3"/>
    <s v="a.bakri"/>
    <n v="-1"/>
    <n v="-2.5000000000000001E-2"/>
    <n v="24102.081340000001"/>
    <s v=""/>
    <s v="000007"/>
    <s v="X04752"/>
    <s v=""/>
    <s v="P03970"/>
    <n v="0"/>
    <n v="-24102.08134000000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A0438D-327F-434F-B28E-645EB1E5D846}" name="PivotTable5" cacheId="30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3:K14" firstHeaderRow="1" firstDataRow="1" firstDataCol="1"/>
  <pivotFields count="7">
    <pivotField showAll="0"/>
    <pivotField axis="axisRow" showAll="0">
      <items count="11">
        <item x="3"/>
        <item x="2"/>
        <item x="1"/>
        <item x="9"/>
        <item x="8"/>
        <item x="7"/>
        <item x="0"/>
        <item x="4"/>
        <item x="5"/>
        <item x="6"/>
        <item t="default"/>
      </items>
    </pivotField>
    <pivotField showAll="0"/>
    <pivotField showAll="0"/>
    <pivotField showAll="0"/>
    <pivotField showAll="0"/>
    <pivotField dataField="1" showAll="0"/>
  </pivotFields>
  <rowFields count="1">
    <field x="1"/>
  </rowFields>
  <rowItems count="11">
    <i>
      <x/>
    </i>
    <i>
      <x v="1"/>
    </i>
    <i>
      <x v="2"/>
    </i>
    <i>
      <x v="3"/>
    </i>
    <i>
      <x v="4"/>
    </i>
    <i>
      <x v="5"/>
    </i>
    <i>
      <x v="6"/>
    </i>
    <i>
      <x v="7"/>
    </i>
    <i>
      <x v="8"/>
    </i>
    <i>
      <x v="9"/>
    </i>
    <i t="grand">
      <x/>
    </i>
  </rowItems>
  <colItems count="1">
    <i/>
  </colItems>
  <dataFields count="1">
    <dataField name="Sum of movement_quantity"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CFBA9C1-BEDB-448E-BA18-22EE310F4A8B}" name="PivotTable6" cacheId="30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4:L34" firstHeaderRow="1" firstDataRow="1" firstDataCol="1"/>
  <pivotFields count="8">
    <pivotField showAll="0"/>
    <pivotField axis="axisRow" showAll="0">
      <items count="8">
        <item m="1" x="5"/>
        <item x="0"/>
        <item x="1"/>
        <item x="2"/>
        <item m="1" x="6"/>
        <item x="3"/>
        <item x="4"/>
        <item t="default"/>
      </items>
    </pivotField>
    <pivotField showAll="0"/>
    <pivotField showAll="0"/>
    <pivotField axis="axisRow" showAll="0">
      <items count="26">
        <item x="9"/>
        <item m="1" x="23"/>
        <item m="1" x="24"/>
        <item m="1" x="22"/>
        <item x="12"/>
        <item x="7"/>
        <item x="8"/>
        <item x="6"/>
        <item x="10"/>
        <item x="11"/>
        <item x="20"/>
        <item x="21"/>
        <item x="19"/>
        <item x="14"/>
        <item x="18"/>
        <item x="15"/>
        <item x="17"/>
        <item x="16"/>
        <item x="13"/>
        <item x="0"/>
        <item x="3"/>
        <item x="1"/>
        <item x="5"/>
        <item x="4"/>
        <item x="2"/>
        <item t="default"/>
      </items>
    </pivotField>
    <pivotField showAll="0"/>
    <pivotField dataField="1" showAll="0"/>
    <pivotField showAll="0"/>
  </pivotFields>
  <rowFields count="2">
    <field x="1"/>
    <field x="4"/>
  </rowFields>
  <rowItems count="30">
    <i>
      <x v="1"/>
    </i>
    <i r="1">
      <x v="19"/>
    </i>
    <i>
      <x v="2"/>
    </i>
    <i r="1">
      <x v="20"/>
    </i>
    <i r="1">
      <x v="21"/>
    </i>
    <i r="1">
      <x v="22"/>
    </i>
    <i r="1">
      <x v="23"/>
    </i>
    <i r="1">
      <x v="24"/>
    </i>
    <i>
      <x v="3"/>
    </i>
    <i r="1">
      <x/>
    </i>
    <i r="1">
      <x v="4"/>
    </i>
    <i r="1">
      <x v="5"/>
    </i>
    <i r="1">
      <x v="6"/>
    </i>
    <i r="1">
      <x v="7"/>
    </i>
    <i r="1">
      <x v="8"/>
    </i>
    <i r="1">
      <x v="9"/>
    </i>
    <i>
      <x v="5"/>
    </i>
    <i r="1">
      <x/>
    </i>
    <i r="1">
      <x v="12"/>
    </i>
    <i r="1">
      <x v="13"/>
    </i>
    <i r="1">
      <x v="14"/>
    </i>
    <i r="1">
      <x v="15"/>
    </i>
    <i r="1">
      <x v="16"/>
    </i>
    <i r="1">
      <x v="17"/>
    </i>
    <i r="1">
      <x v="18"/>
    </i>
    <i>
      <x v="6"/>
    </i>
    <i r="1">
      <x/>
    </i>
    <i r="1">
      <x v="10"/>
    </i>
    <i r="1">
      <x v="11"/>
    </i>
    <i t="grand">
      <x/>
    </i>
  </rowItems>
  <colItems count="1">
    <i/>
  </colItems>
  <dataFields count="1">
    <dataField name="Sum of movement_quantity"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08CFBF-1F12-45D2-9BE3-3D07563710F5}" name="PivotTable7" cacheId="29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5:K13" firstHeaderRow="1" firstDataRow="1" firstDataCol="1"/>
  <pivotFields count="7">
    <pivotField showAll="0"/>
    <pivotField axis="axisRow" showAll="0">
      <items count="8">
        <item x="0"/>
        <item x="1"/>
        <item x="4"/>
        <item x="6"/>
        <item x="5"/>
        <item x="3"/>
        <item x="2"/>
        <item t="default"/>
      </items>
    </pivotField>
    <pivotField showAll="0"/>
    <pivotField showAll="0"/>
    <pivotField showAll="0"/>
    <pivotField showAll="0"/>
    <pivotField dataField="1" showAll="0"/>
  </pivotFields>
  <rowFields count="1">
    <field x="1"/>
  </rowFields>
  <rowItems count="8">
    <i>
      <x/>
    </i>
    <i>
      <x v="1"/>
    </i>
    <i>
      <x v="2"/>
    </i>
    <i>
      <x v="3"/>
    </i>
    <i>
      <x v="4"/>
    </i>
    <i>
      <x v="5"/>
    </i>
    <i>
      <x v="6"/>
    </i>
    <i t="grand">
      <x/>
    </i>
  </rowItems>
  <colItems count="1">
    <i/>
  </colItems>
  <dataFields count="1">
    <dataField name="Sum of movement_quantity"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317" applyNumberFormats="0" applyBorderFormats="0" applyFontFormats="0" applyPatternFormats="0" applyAlignmentFormats="0" applyWidthHeightFormats="1" dataCaption="Values" missingCaption="&quot;-&quot;" updatedVersion="8" minRefreshableVersion="3" showDrill="0" itemPrintTitles="1" createdVersion="8" indent="0" compact="0" compactData="0" multipleFieldFilters="0">
  <location ref="B4:F30" firstHeaderRow="0" firstDataRow="1" firstDataCol="3"/>
  <pivotFields count="28">
    <pivotField compact="0" outline="0" subtotalTop="0" showAll="0" defaultSubtotal="0"/>
    <pivotField compact="0" outline="0" subtotalTop="0" showAll="0" defaultSubtotal="0"/>
    <pivotField axis="axisRow" compact="0" outline="0" subtotalTop="0" showAll="0" sortType="ascending" defaultSubtotal="0">
      <items count="25">
        <item x="0"/>
        <item m="1" x="20"/>
        <item m="1" x="19"/>
        <item x="1"/>
        <item m="1" x="17"/>
        <item m="1" x="18"/>
        <item m="1" x="21"/>
        <item x="2"/>
        <item x="13"/>
        <item x="3"/>
        <item m="1" x="22"/>
        <item x="4"/>
        <item x="12"/>
        <item x="5"/>
        <item m="1" x="24"/>
        <item x="14"/>
        <item x="6"/>
        <item x="15"/>
        <item m="1" x="23"/>
        <item x="7"/>
        <item x="8"/>
        <item x="9"/>
        <item x="10"/>
        <item x="11"/>
        <item m="1" x="16"/>
      </items>
    </pivotField>
    <pivotField compact="0" outline="0" subtotalTop="0" showAll="0" defaultSubtotal="0">
      <items count="17">
        <item x="9"/>
        <item x="0"/>
        <item x="4"/>
        <item x="10"/>
        <item x="11"/>
        <item x="5"/>
        <item x="8"/>
        <item x="3"/>
        <item x="7"/>
        <item x="6"/>
        <item x="14"/>
        <item m="1" x="15"/>
        <item x="1"/>
        <item x="2"/>
        <item m="1" x="16"/>
        <item x="13"/>
        <item x="12"/>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items count="2">
        <item x="0"/>
        <item x="1"/>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sortType="ascending" defaultSubtotal="0"/>
    <pivotField axis="axisRow" compact="0" outline="0" subtotalTop="0" showAll="0">
      <items count="3">
        <item x="0"/>
        <item x="1"/>
        <item t="default"/>
      </items>
    </pivotField>
    <pivotField axis="axisRow" compact="0" outline="0" subtotalTop="0" showAll="0" defaultSubtotal="0">
      <items count="10">
        <item x="8"/>
        <item x="4"/>
        <item x="3"/>
        <item x="2"/>
        <item m="1" x="9"/>
        <item x="1"/>
        <item x="5"/>
        <item x="6"/>
        <item x="7"/>
        <item x="0"/>
      </items>
    </pivotField>
    <pivotField compact="0" outline="0" subtotalTop="0" showAll="0" defaultSubtotal="0"/>
    <pivotField compact="0" outline="0" subtotalTop="0" showAll="0" defaultSubtotal="0"/>
    <pivotField compact="0" outline="0" subtotalTop="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dataField="1" compact="0" outline="0" subtotalTop="0" showAll="0" defaultSubtotal="0"/>
    <pivotField compact="0" outline="0" showAll="0" defaultSubtotal="0"/>
  </pivotFields>
  <rowFields count="3">
    <field x="13"/>
    <field x="2"/>
    <field x="14"/>
  </rowFields>
  <rowItems count="26">
    <i>
      <x/>
      <x/>
      <x v="9"/>
    </i>
    <i r="1">
      <x v="20"/>
      <x v="7"/>
    </i>
    <i r="1">
      <x v="22"/>
      <x v="8"/>
    </i>
    <i t="default">
      <x/>
    </i>
    <i>
      <x v="1"/>
      <x v="3"/>
      <x v="3"/>
    </i>
    <i r="2">
      <x v="5"/>
    </i>
    <i r="1">
      <x v="7"/>
      <x v="1"/>
    </i>
    <i r="2">
      <x v="2"/>
    </i>
    <i r="2">
      <x v="3"/>
    </i>
    <i r="1">
      <x v="8"/>
      <x/>
    </i>
    <i r="1">
      <x v="9"/>
      <x v="6"/>
    </i>
    <i r="1">
      <x v="11"/>
      <x v="1"/>
    </i>
    <i r="1">
      <x v="12"/>
      <x/>
    </i>
    <i r="1">
      <x v="13"/>
      <x v="3"/>
    </i>
    <i r="2">
      <x v="5"/>
    </i>
    <i r="2">
      <x v="6"/>
    </i>
    <i r="1">
      <x v="15"/>
      <x v="2"/>
    </i>
    <i r="2">
      <x v="6"/>
    </i>
    <i r="1">
      <x v="16"/>
      <x v="5"/>
    </i>
    <i r="1">
      <x v="17"/>
      <x v="6"/>
    </i>
    <i r="1">
      <x v="19"/>
      <x v="6"/>
    </i>
    <i r="1">
      <x v="21"/>
      <x v="1"/>
    </i>
    <i r="2">
      <x v="3"/>
    </i>
    <i r="1">
      <x v="23"/>
      <x/>
    </i>
    <i t="default">
      <x v="1"/>
    </i>
    <i t="grand">
      <x/>
    </i>
  </rowItems>
  <colFields count="1">
    <field x="-2"/>
  </colFields>
  <colItems count="2">
    <i>
      <x/>
    </i>
    <i i="1">
      <x v="1"/>
    </i>
  </colItems>
  <dataFields count="2">
    <dataField name="QTY (MT)" fld="18" baseField="14" baseItem="0" numFmtId="39"/>
    <dataField name="Value (SDG) " fld="26" baseField="14" baseItem="0" numFmtId="39"/>
  </dataFields>
  <pivotTableStyleInfo name="PivotStyleDark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1" cacheId="317" applyNumberFormats="0" applyBorderFormats="0" applyFontFormats="0" applyPatternFormats="0" applyAlignmentFormats="0" applyWidthHeightFormats="1" dataCaption="Values" missingCaption="&quot;-&quot;" updatedVersion="8" minRefreshableVersion="3" showDrill="0" itemPrintTitles="1" createdVersion="8" indent="0" compact="0" compactData="0" multipleFieldFilters="0">
  <location ref="B4:G48" firstHeaderRow="0" firstDataRow="1" firstDataCol="4"/>
  <pivotFields count="28">
    <pivotField compact="0" outline="0" showAll="0"/>
    <pivotField compact="0" outline="0" showAll="0" defaultSubtotal="0"/>
    <pivotField axis="axisRow" compact="0" outline="0" showAll="0">
      <items count="26">
        <item x="0"/>
        <item x="1"/>
        <item m="1" x="21"/>
        <item m="1" x="22"/>
        <item x="4"/>
        <item x="5"/>
        <item x="6"/>
        <item m="1" x="23"/>
        <item x="8"/>
        <item x="9"/>
        <item x="10"/>
        <item m="1" x="24"/>
        <item x="11"/>
        <item m="1" x="16"/>
        <item x="7"/>
        <item x="2"/>
        <item x="3"/>
        <item x="12"/>
        <item m="1" x="20"/>
        <item m="1" x="19"/>
        <item m="1" x="18"/>
        <item m="1" x="17"/>
        <item x="13"/>
        <item x="14"/>
        <item x="15"/>
        <item t="default"/>
      </items>
    </pivotField>
    <pivotField compact="0" outline="0" showAll="0" defaultSubtotal="0">
      <items count="17">
        <item x="9"/>
        <item x="0"/>
        <item x="4"/>
        <item x="10"/>
        <item x="11"/>
        <item x="5"/>
        <item x="8"/>
        <item x="3"/>
        <item x="7"/>
        <item x="6"/>
        <item x="14"/>
        <item m="1" x="15"/>
        <item x="1"/>
        <item x="2"/>
        <item m="1" x="16"/>
        <item x="13"/>
        <item x="12"/>
      </items>
    </pivotField>
    <pivotField compact="0" outline="0" showAll="0" defaultSubtotal="0"/>
    <pivotField compact="0" outline="0" showAll="0" defaultSubtotal="0"/>
    <pivotField compact="0" outline="0" showAll="0" defaultSubtotal="0"/>
    <pivotField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sortType="ascending" defaultSubtotal="0"/>
    <pivotField axis="axisRow" compact="0" outline="0" showAll="0">
      <items count="3">
        <item x="0"/>
        <item x="1"/>
        <item t="default"/>
      </items>
    </pivotField>
    <pivotField axis="axisRow" compact="0" outline="0" showAll="0" defaultSubtotal="0">
      <items count="10">
        <item x="8"/>
        <item x="4"/>
        <item x="3"/>
        <item x="2"/>
        <item m="1" x="9"/>
        <item x="1"/>
        <item x="5"/>
        <item x="6"/>
        <item x="7"/>
        <item x="0"/>
      </items>
    </pivotField>
    <pivotField axis="axisRow" compact="0" outline="0" showAll="0" defaultSubtotal="0">
      <items count="8">
        <item x="0"/>
        <item x="4"/>
        <item x="1"/>
        <item x="2"/>
        <item m="1" x="7"/>
        <item m="1" x="5"/>
        <item m="1" x="6"/>
        <item x="3"/>
      </items>
    </pivotField>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s>
  <rowFields count="4">
    <field x="13"/>
    <field x="2"/>
    <field x="14"/>
    <field x="15"/>
  </rowFields>
  <rowItems count="44">
    <i>
      <x/>
      <x/>
      <x v="9"/>
      <x/>
    </i>
    <i t="default" r="1">
      <x/>
    </i>
    <i r="1">
      <x v="8"/>
      <x v="7"/>
      <x/>
    </i>
    <i t="default" r="1">
      <x v="8"/>
    </i>
    <i r="1">
      <x v="10"/>
      <x v="8"/>
      <x/>
    </i>
    <i t="default" r="1">
      <x v="10"/>
    </i>
    <i t="default">
      <x/>
    </i>
    <i>
      <x v="1"/>
      <x v="1"/>
      <x v="3"/>
      <x v="2"/>
    </i>
    <i r="2">
      <x v="5"/>
      <x/>
    </i>
    <i t="default" r="1">
      <x v="1"/>
    </i>
    <i r="1">
      <x v="4"/>
      <x v="1"/>
      <x/>
    </i>
    <i t="default" r="1">
      <x v="4"/>
    </i>
    <i r="1">
      <x v="5"/>
      <x v="3"/>
      <x v="1"/>
    </i>
    <i r="2">
      <x v="5"/>
      <x/>
    </i>
    <i r="2">
      <x v="6"/>
      <x/>
    </i>
    <i t="default" r="1">
      <x v="5"/>
    </i>
    <i r="1">
      <x v="6"/>
      <x v="5"/>
      <x/>
    </i>
    <i t="default" r="1">
      <x v="6"/>
    </i>
    <i r="1">
      <x v="9"/>
      <x v="1"/>
      <x/>
    </i>
    <i r="2">
      <x v="3"/>
      <x v="7"/>
    </i>
    <i t="default" r="1">
      <x v="9"/>
    </i>
    <i r="1">
      <x v="12"/>
      <x/>
      <x/>
    </i>
    <i t="default" r="1">
      <x v="12"/>
    </i>
    <i r="1">
      <x v="14"/>
      <x v="6"/>
      <x/>
    </i>
    <i t="default" r="1">
      <x v="14"/>
    </i>
    <i r="1">
      <x v="15"/>
      <x v="1"/>
      <x/>
    </i>
    <i r="2">
      <x v="2"/>
      <x/>
    </i>
    <i r="2">
      <x v="3"/>
      <x/>
    </i>
    <i r="3">
      <x v="2"/>
    </i>
    <i r="3">
      <x v="3"/>
    </i>
    <i t="default" r="1">
      <x v="15"/>
    </i>
    <i r="1">
      <x v="16"/>
      <x v="6"/>
      <x/>
    </i>
    <i t="default" r="1">
      <x v="16"/>
    </i>
    <i r="1">
      <x v="17"/>
      <x/>
      <x/>
    </i>
    <i t="default" r="1">
      <x v="17"/>
    </i>
    <i r="1">
      <x v="22"/>
      <x/>
      <x/>
    </i>
    <i t="default" r="1">
      <x v="22"/>
    </i>
    <i r="1">
      <x v="23"/>
      <x v="2"/>
      <x/>
    </i>
    <i r="2">
      <x v="6"/>
      <x/>
    </i>
    <i t="default" r="1">
      <x v="23"/>
    </i>
    <i r="1">
      <x v="24"/>
      <x v="6"/>
      <x/>
    </i>
    <i t="default" r="1">
      <x v="24"/>
    </i>
    <i t="default">
      <x v="1"/>
    </i>
    <i t="grand">
      <x/>
    </i>
  </rowItems>
  <colFields count="1">
    <field x="-2"/>
  </colFields>
  <colItems count="2">
    <i>
      <x/>
    </i>
    <i i="1">
      <x v="1"/>
    </i>
  </colItems>
  <dataFields count="2">
    <dataField name="QTY (MT)" fld="18" baseField="14" baseItem="0" numFmtId="39"/>
    <dataField name="Value (SDG) " fld="26" baseField="14" baseItem="0" numFmtId="39"/>
  </dataFields>
  <pivotTableStyleInfo name="PivotStyleMedium2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detailsPivot" cacheId="317" applyNumberFormats="0" applyBorderFormats="0" applyFontFormats="0" applyPatternFormats="0" applyAlignmentFormats="0" applyWidthHeightFormats="1" dataCaption="Values" updatedVersion="8" minRefreshableVersion="3" showDrill="0" itemPrintTitles="1" createdVersion="8" indent="0" compact="0" compactData="0" multipleFieldFilters="0">
  <location ref="B3:I554" firstHeaderRow="0" firstDataRow="1" firstDataCol="6"/>
  <pivotFields count="28">
    <pivotField compact="0" outline="0" subtotalTop="0" showAll="0" insertBlankRow="1" defaultSubtotal="0">
      <items count="12">
        <item x="0"/>
        <item x="1"/>
        <item x="6"/>
        <item x="8"/>
        <item x="5"/>
        <item x="4"/>
        <item x="2"/>
        <item x="7"/>
        <item x="3"/>
        <item x="9"/>
        <item x="10"/>
        <item x="11"/>
      </items>
    </pivotField>
    <pivotField compact="0" outline="0" showAll="0" insertBlankRow="1" defaultSubtotal="0"/>
    <pivotField compact="0" outline="0" showAll="0" insertBlankRow="1" defaultSubtotal="0">
      <items count="25">
        <item x="0"/>
        <item m="1" x="20"/>
        <item m="1" x="19"/>
        <item x="1"/>
        <item m="1" x="17"/>
        <item m="1" x="18"/>
        <item m="1" x="21"/>
        <item x="2"/>
        <item x="13"/>
        <item x="3"/>
        <item m="1" x="22"/>
        <item x="4"/>
        <item x="12"/>
        <item x="5"/>
        <item m="1" x="24"/>
        <item x="14"/>
        <item x="6"/>
        <item x="15"/>
        <item m="1" x="23"/>
        <item x="7"/>
        <item x="8"/>
        <item x="9"/>
        <item x="10"/>
        <item x="11"/>
        <item m="1" x="16"/>
      </items>
    </pivotField>
    <pivotField axis="axisRow" compact="0" outline="0" showAll="0" insertBlankRow="1">
      <items count="18">
        <item x="9"/>
        <item x="0"/>
        <item x="4"/>
        <item x="11"/>
        <item x="5"/>
        <item x="8"/>
        <item x="3"/>
        <item x="7"/>
        <item x="6"/>
        <item x="1"/>
        <item x="2"/>
        <item x="12"/>
        <item m="1" x="16"/>
        <item x="13"/>
        <item x="10"/>
        <item m="1" x="15"/>
        <item x="14"/>
        <item t="default"/>
      </items>
    </pivotField>
    <pivotField compact="0" outline="0" showAll="0" insertBlankRow="1" defaultSubtotal="0"/>
    <pivotField compact="0" outline="0" showAll="0" insertBlankRow="1" defaultSubtotal="0"/>
    <pivotField axis="axisRow" compact="0" outline="0" showAll="0" defaultSubtotal="0">
      <items count="48">
        <item x="33"/>
        <item x="28"/>
        <item x="29"/>
        <item x="35"/>
        <item x="36"/>
        <item x="6"/>
        <item x="5"/>
        <item x="15"/>
        <item x="16"/>
        <item x="24"/>
        <item x="13"/>
        <item x="32"/>
        <item x="31"/>
        <item x="10"/>
        <item x="7"/>
        <item x="11"/>
        <item x="19"/>
        <item x="12"/>
        <item x="25"/>
        <item x="26"/>
        <item x="27"/>
        <item x="23"/>
        <item x="8"/>
        <item x="9"/>
        <item x="3"/>
        <item x="22"/>
        <item x="21"/>
        <item x="20"/>
        <item x="1"/>
        <item x="38"/>
        <item x="0"/>
        <item x="2"/>
        <item x="17"/>
        <item x="18"/>
        <item x="4"/>
        <item x="14"/>
        <item x="39"/>
        <item x="30"/>
        <item x="37"/>
        <item m="1" x="47"/>
        <item x="34"/>
        <item x="40"/>
        <item x="41"/>
        <item x="42"/>
        <item x="43"/>
        <item x="44"/>
        <item x="45"/>
        <item x="46"/>
      </items>
    </pivotField>
    <pivotField compact="0" outline="0" showAll="0" insertBlankRow="1" defaultSubtotal="0">
      <items count="2">
        <item x="0"/>
        <item x="1"/>
      </items>
    </pivotField>
    <pivotField compact="0" numFmtId="14" outline="0" showAll="0" insertBlankRow="1" defaultSubtotal="0"/>
    <pivotField compact="0" outline="0" showAll="0" insertBlankRow="1" defaultSubtotal="0"/>
    <pivotField compact="0" outline="0" showAll="0" insertBlankRow="1" defaultSubtotal="0"/>
    <pivotField axis="axisRow" compact="0" outline="0" showAll="0" insertBlankRow="1" defaultSubtotal="0">
      <items count="305">
        <item m="1" x="233"/>
        <item n="3915 bags of Pigeon Peas FG 50KG  stock located at the Khabier 47 warehouse in PZU, was classified as deteriorated due to damage by long storage. Related NCs No 7. Local sales at unit price of 76,000 SDG per bag, amounting to a total value of 297,540,000" x="69"/>
        <item m="1" x="294"/>
        <item m="1" x="231"/>
        <item m="1" x="230"/>
        <item m="1" x="229"/>
        <item m="1" x="276"/>
        <item m="1" x="284"/>
        <item m="1" x="303"/>
        <item x="65"/>
        <item m="1" x="296"/>
        <item x="64"/>
        <item m="1" x="272"/>
        <item m="1" x="291"/>
        <item m="1" x="301"/>
        <item m="1" x="290"/>
        <item m="1" x="287"/>
        <item m="1" x="278"/>
        <item x="63"/>
        <item m="1" x="271"/>
        <item m="1" x="279"/>
        <item m="1" x="292"/>
        <item m="1" x="268"/>
        <item x="49"/>
        <item m="1" x="263"/>
        <item m="1" x="262"/>
        <item m="1" x="293"/>
        <item m="1" x="256"/>
        <item m="1" x="282"/>
        <item x="11"/>
        <item x="15"/>
        <item x="13"/>
        <item x="7"/>
        <item m="1" x="295"/>
        <item x="4"/>
        <item x="16"/>
        <item x="120"/>
        <item x="117"/>
        <item m="1" x="302"/>
        <item m="1" x="269"/>
        <item x="87"/>
        <item x="82"/>
        <item x="96"/>
        <item m="1" x="213"/>
        <item m="1" x="267"/>
        <item m="1" x="297"/>
        <item x="110"/>
        <item x="109"/>
        <item x="126"/>
        <item m="1" x="277"/>
        <item m="1" x="275"/>
        <item x="115"/>
        <item m="1" x="285"/>
        <item m="1" x="281"/>
        <item m="1" x="266"/>
        <item m="1" x="299"/>
        <item x="0"/>
        <item x="1"/>
        <item m="1" x="228"/>
        <item m="1" x="227"/>
        <item m="1" x="226"/>
        <item x="83"/>
        <item m="1" x="288"/>
        <item x="84"/>
        <item x="116"/>
        <item x="55"/>
        <item m="1" x="300"/>
        <item m="1" x="304"/>
        <item x="70"/>
        <item m="1" x="232"/>
        <item m="1" x="280"/>
        <item m="1" x="273"/>
        <item m="1" x="257"/>
        <item m="1" x="258"/>
        <item x="88"/>
        <item x="89"/>
        <item x="90"/>
        <item m="1" x="298"/>
        <item x="67"/>
        <item x="66"/>
        <item x="68"/>
        <item x="85"/>
        <item m="1" x="225"/>
        <item x="92"/>
        <item x="93"/>
        <item m="1" x="261"/>
        <item x="86"/>
        <item x="123"/>
        <item x="122"/>
        <item x="127"/>
        <item x="125"/>
        <item x="124"/>
        <item x="114"/>
        <item x="113"/>
        <item x="118"/>
        <item x="108"/>
        <item x="50"/>
        <item x="19"/>
        <item x="20"/>
        <item m="1" x="270"/>
        <item x="12"/>
        <item x="14"/>
        <item m="1" x="259"/>
        <item m="1" x="283"/>
        <item x="17"/>
        <item m="1" x="274"/>
        <item x="6"/>
        <item m="1" x="289"/>
        <item m="1" x="286"/>
        <item m="1" x="260"/>
        <item x="5"/>
        <item x="25"/>
        <item x="26"/>
        <item x="10"/>
        <item x="8"/>
        <item x="9"/>
        <item x="119"/>
        <item x="121"/>
        <item m="1" x="264"/>
        <item m="1" x="265"/>
        <item x="128"/>
        <item x="111"/>
        <item x="112"/>
        <item x="129"/>
        <item x="130"/>
        <item x="48"/>
        <item x="47"/>
        <item x="94"/>
        <item x="18"/>
        <item x="24"/>
        <item x="91"/>
        <item m="1" x="235"/>
        <item m="1" x="250"/>
        <item m="1" x="251"/>
        <item m="1" x="252"/>
        <item m="1" x="253"/>
        <item m="1" x="254"/>
        <item x="72"/>
        <item x="37"/>
        <item x="38"/>
        <item x="39"/>
        <item m="1" x="244"/>
        <item x="22"/>
        <item x="77"/>
        <item x="78"/>
        <item x="21"/>
        <item x="71"/>
        <item m="1" x="255"/>
        <item m="1" x="248"/>
        <item m="1" x="249"/>
        <item m="1" x="246"/>
        <item m="1" x="245"/>
        <item m="1" x="247"/>
        <item x="79"/>
        <item x="73"/>
        <item x="74"/>
        <item x="76"/>
        <item x="2"/>
        <item x="75"/>
        <item x="97"/>
        <item x="23"/>
        <item m="1" x="239"/>
        <item m="1" x="240"/>
        <item m="1" x="241"/>
        <item m="1" x="242"/>
        <item x="62"/>
        <item m="1" x="243"/>
        <item x="31"/>
        <item x="32"/>
        <item x="33"/>
        <item m="1" x="234"/>
        <item x="35"/>
        <item x="36"/>
        <item x="40"/>
        <item x="41"/>
        <item x="42"/>
        <item x="43"/>
        <item x="44"/>
        <item x="45"/>
        <item x="30"/>
        <item n="Flour Road Shipment, BL 12A Lot 82,BL QTY 22,000- Received Sound 21,790- Short landed 16 bags - Sample 6 bags - Damage 188 bags received in Dongola warehouse. Short landed and damage bags had been reported to Invictus. 4 bags had been eliminated - 116 ba" m="1" x="236"/>
        <item m="1" x="237"/>
        <item m="1" x="238"/>
        <item x="27"/>
        <item x="28"/>
        <item x="29"/>
        <item x="34"/>
        <item x="46"/>
        <item x="51"/>
        <item x="52"/>
        <item x="53"/>
        <item x="54"/>
        <item x="56"/>
        <item x="57"/>
        <item x="58"/>
        <item x="59"/>
        <item x="60"/>
        <item x="61"/>
        <item x="98"/>
        <item x="99"/>
        <item m="1" x="223"/>
        <item m="1" x="222"/>
        <item x="102"/>
        <item m="1" x="214"/>
        <item m="1" x="216"/>
        <item m="1" x="219"/>
        <item x="105"/>
        <item m="1" x="224"/>
        <item x="107"/>
        <item m="1" x="218"/>
        <item x="100"/>
        <item x="106"/>
        <item m="1" x="221"/>
        <item m="1" x="220"/>
        <item x="101"/>
        <item m="1" x="215"/>
        <item m="1" x="217"/>
        <item x="81"/>
        <item x="104"/>
        <item x="80"/>
        <item x="3"/>
        <item x="103"/>
        <item x="95"/>
        <item m="1" x="211"/>
        <item m="1" x="212"/>
        <item x="133"/>
        <item m="1" x="209"/>
        <item m="1" x="210"/>
        <item x="131"/>
        <item x="132"/>
        <item x="134"/>
        <item x="135"/>
        <item x="136"/>
        <item x="137"/>
        <item x="138"/>
        <item x="139"/>
        <item x="140"/>
        <item x="141"/>
        <item x="142"/>
        <item x="143"/>
        <item x="144"/>
        <item x="145"/>
        <item x="146"/>
        <item x="147"/>
        <item x="148"/>
        <item x="149"/>
        <item x="150"/>
        <item x="151"/>
        <item x="152"/>
        <item x="153"/>
        <item x="154"/>
        <item x="155"/>
        <item x="156"/>
        <item x="157"/>
        <item x="158"/>
        <item m="1" x="189"/>
        <item m="1" x="190"/>
        <item m="1" x="191"/>
        <item m="1" x="208"/>
        <item m="1" x="193"/>
        <item m="1" x="194"/>
        <item m="1" x="195"/>
        <item m="1" x="196"/>
        <item x="166"/>
        <item m="1" x="197"/>
        <item m="1" x="198"/>
        <item m="1" x="199"/>
        <item m="1" x="200"/>
        <item m="1" x="201"/>
        <item m="1" x="202"/>
        <item m="1" x="203"/>
        <item m="1" x="204"/>
        <item m="1" x="205"/>
        <item m="1" x="206"/>
        <item x="177"/>
        <item x="178"/>
        <item x="179"/>
        <item x="180"/>
        <item x="181"/>
        <item x="182"/>
        <item m="1" x="207"/>
        <item m="1" x="192"/>
        <item m="1" x="187"/>
        <item x="160"/>
        <item m="1" x="188"/>
        <item x="162"/>
        <item x="163"/>
        <item x="164"/>
        <item x="165"/>
        <item m="1" x="186"/>
        <item x="168"/>
        <item x="169"/>
        <item x="170"/>
        <item x="171"/>
        <item x="172"/>
        <item x="173"/>
        <item x="174"/>
        <item x="175"/>
        <item x="176"/>
        <item x="183"/>
        <item x="161"/>
        <item x="159"/>
        <item x="167"/>
        <item x="184"/>
        <item x="185"/>
      </items>
    </pivotField>
    <pivotField compact="0" outline="0" showAll="0" insertBlankRow="1" defaultSubtotal="0"/>
    <pivotField compact="0" outline="0" showAll="0" insertBlankRow="1" defaultSubtotal="0"/>
    <pivotField axis="axisRow" compact="0" outline="0" showAll="0" insertBlankRow="1" defaultSubtotal="0">
      <items count="10">
        <item x="8"/>
        <item x="4"/>
        <item x="3"/>
        <item x="2"/>
        <item m="1" x="9"/>
        <item x="1"/>
        <item x="5"/>
        <item x="6"/>
        <item x="7"/>
        <item x="0"/>
      </items>
    </pivotField>
    <pivotField axis="axisRow" compact="0" outline="0" showAll="0" insertBlankRow="1" defaultSubtotal="0">
      <items count="8">
        <item x="0"/>
        <item x="4"/>
        <item x="1"/>
        <item x="2"/>
        <item m="1" x="7"/>
        <item m="1" x="5"/>
        <item m="1" x="6"/>
        <item x="3"/>
      </items>
    </pivotField>
    <pivotField compact="0" outline="0" showAll="0" insertBlankRow="1" defaultSubtotal="0"/>
    <pivotField compact="0" outline="0" showAll="0" insertBlankRow="1" defaultSubtotal="0"/>
    <pivotField dataField="1"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compact="0" outline="0" showAll="0" insertBlankRow="1" defaultSubtotal="0"/>
    <pivotField dataField="1" compact="0" numFmtId="43" outline="0" showAll="0" insertBlankRow="1" defaultSubtotal="0"/>
    <pivotField axis="axisRow" compact="0" outline="0" showAll="0" defaultSubtotal="0">
      <items count="5">
        <item x="3"/>
        <item x="2"/>
        <item x="1"/>
        <item x="0"/>
        <item x="4"/>
      </items>
    </pivotField>
  </pivotFields>
  <rowFields count="6">
    <field x="3"/>
    <field x="11"/>
    <field x="14"/>
    <field x="15"/>
    <field x="6"/>
    <field x="27"/>
  </rowFields>
  <rowItems count="551">
    <i>
      <x/>
      <x v="80"/>
      <x v="5"/>
      <x/>
      <x v="1"/>
      <x v="2"/>
    </i>
    <i r="4">
      <x v="2"/>
      <x v="2"/>
    </i>
    <i t="blank" r="3">
      <x/>
    </i>
    <i r="1">
      <x v="196"/>
      <x v="1"/>
      <x/>
      <x v="1"/>
      <x v="2"/>
    </i>
    <i r="4">
      <x v="2"/>
      <x v="2"/>
    </i>
    <i t="blank" r="3">
      <x/>
    </i>
    <i t="default">
      <x/>
    </i>
    <i t="blank">
      <x/>
    </i>
    <i>
      <x v="1"/>
      <x v="46"/>
      <x v="7"/>
      <x/>
      <x v="3"/>
      <x v="3"/>
    </i>
    <i t="blank" r="3">
      <x/>
    </i>
    <i r="1">
      <x v="47"/>
      <x v="7"/>
      <x/>
      <x v="3"/>
      <x v="3"/>
    </i>
    <i t="blank" r="3">
      <x/>
    </i>
    <i r="1">
      <x v="48"/>
      <x v="8"/>
      <x/>
      <x v="3"/>
      <x v="3"/>
    </i>
    <i t="blank" r="3">
      <x/>
    </i>
    <i r="1">
      <x v="56"/>
      <x v="9"/>
      <x/>
      <x v="30"/>
      <x v="3"/>
    </i>
    <i t="blank" r="3">
      <x/>
    </i>
    <i r="1">
      <x v="57"/>
      <x v="9"/>
      <x/>
      <x v="30"/>
      <x v="3"/>
    </i>
    <i t="blank" r="3">
      <x/>
    </i>
    <i r="1">
      <x v="121"/>
      <x v="7"/>
      <x/>
      <x v="3"/>
      <x v="3"/>
    </i>
    <i t="blank" r="3">
      <x/>
    </i>
    <i r="1">
      <x v="122"/>
      <x v="7"/>
      <x/>
      <x v="3"/>
      <x v="3"/>
    </i>
    <i t="blank" r="3">
      <x/>
    </i>
    <i r="1">
      <x v="222"/>
      <x v="5"/>
      <x/>
      <x v="3"/>
      <x v="3"/>
    </i>
    <i r="4">
      <x v="4"/>
      <x v="3"/>
    </i>
    <i t="blank" r="3">
      <x/>
    </i>
    <i r="1">
      <x v="300"/>
      <x v="9"/>
      <x/>
      <x v="3"/>
      <x v="3"/>
    </i>
    <i r="4">
      <x v="45"/>
      <x v="3"/>
    </i>
    <i t="blank" r="3">
      <x/>
    </i>
    <i t="default">
      <x v="1"/>
    </i>
    <i t="blank">
      <x v="1"/>
    </i>
    <i>
      <x v="2"/>
      <x v="9"/>
      <x v="5"/>
      <x/>
      <x v="5"/>
      <x v="3"/>
    </i>
    <i r="4">
      <x v="6"/>
      <x v="1"/>
    </i>
    <i t="blank" r="3">
      <x/>
    </i>
    <i r="1">
      <x v="29"/>
      <x v="2"/>
      <x/>
      <x v="6"/>
      <x v="1"/>
    </i>
    <i t="blank" r="3">
      <x/>
    </i>
    <i r="2">
      <x v="5"/>
      <x/>
      <x v="5"/>
      <x v="3"/>
    </i>
    <i r="4">
      <x v="6"/>
      <x v="1"/>
    </i>
    <i t="blank" r="3">
      <x/>
    </i>
    <i r="1">
      <x v="30"/>
      <x v="3"/>
      <x v="2"/>
      <x v="6"/>
      <x v="1"/>
    </i>
    <i t="blank" r="3">
      <x v="2"/>
    </i>
    <i r="2">
      <x v="5"/>
      <x/>
      <x v="6"/>
      <x v="1"/>
    </i>
    <i t="blank" r="3">
      <x/>
    </i>
    <i r="1">
      <x v="31"/>
      <x v="2"/>
      <x/>
      <x v="6"/>
      <x v="1"/>
    </i>
    <i t="blank" r="3">
      <x/>
    </i>
    <i r="2">
      <x v="3"/>
      <x v="2"/>
      <x v="6"/>
      <x v="1"/>
    </i>
    <i t="blank" r="3">
      <x v="2"/>
    </i>
    <i r="2">
      <x v="5"/>
      <x/>
      <x v="6"/>
      <x v="1"/>
    </i>
    <i t="blank" r="3">
      <x/>
    </i>
    <i r="1">
      <x v="35"/>
      <x v="5"/>
      <x/>
      <x v="6"/>
      <x v="1"/>
    </i>
    <i t="blank" r="3">
      <x/>
    </i>
    <i r="2">
      <x v="6"/>
      <x/>
      <x v="6"/>
      <x v="1"/>
    </i>
    <i t="blank" r="3">
      <x/>
    </i>
    <i r="1">
      <x v="94"/>
      <x v="1"/>
      <x/>
      <x v="6"/>
      <x v="1"/>
    </i>
    <i r="4">
      <x v="7"/>
      <x v="1"/>
    </i>
    <i t="blank" r="3">
      <x/>
    </i>
    <i r="2">
      <x v="3"/>
      <x v="7"/>
      <x v="6"/>
      <x v="1"/>
    </i>
    <i r="4">
      <x v="7"/>
      <x v="1"/>
    </i>
    <i t="blank" r="3">
      <x v="7"/>
    </i>
    <i r="1">
      <x v="95"/>
      <x v="6"/>
      <x/>
      <x v="6"/>
      <x v="1"/>
    </i>
    <i r="4">
      <x v="7"/>
      <x v="1"/>
    </i>
    <i t="blank" r="3">
      <x/>
    </i>
    <i r="1">
      <x v="96"/>
      <x v="1"/>
      <x/>
      <x v="7"/>
      <x v="1"/>
    </i>
    <i t="blank" r="3">
      <x/>
    </i>
    <i r="1">
      <x v="97"/>
      <x v="5"/>
      <x/>
      <x v="6"/>
      <x v="1"/>
    </i>
    <i t="blank" r="3">
      <x/>
    </i>
    <i r="2">
      <x v="6"/>
      <x/>
      <x v="6"/>
      <x v="1"/>
    </i>
    <i t="blank" r="3">
      <x/>
    </i>
    <i r="1">
      <x v="98"/>
      <x v="2"/>
      <x/>
      <x v="6"/>
      <x v="1"/>
    </i>
    <i t="blank" r="3">
      <x/>
    </i>
    <i r="2">
      <x v="5"/>
      <x/>
      <x v="6"/>
      <x v="1"/>
    </i>
    <i t="blank" r="3">
      <x/>
    </i>
    <i r="1">
      <x v="100"/>
      <x v="2"/>
      <x/>
      <x v="6"/>
      <x v="1"/>
    </i>
    <i t="blank" r="3">
      <x/>
    </i>
    <i r="2">
      <x v="3"/>
      <x v="2"/>
      <x v="6"/>
      <x v="1"/>
    </i>
    <i t="blank" r="3">
      <x v="2"/>
    </i>
    <i r="2">
      <x v="5"/>
      <x/>
      <x v="6"/>
      <x v="1"/>
    </i>
    <i t="blank" r="3">
      <x/>
    </i>
    <i r="1">
      <x v="101"/>
      <x v="2"/>
      <x/>
      <x v="6"/>
      <x v="1"/>
    </i>
    <i t="blank" r="3">
      <x/>
    </i>
    <i r="2">
      <x v="5"/>
      <x/>
      <x v="6"/>
      <x v="1"/>
    </i>
    <i t="blank" r="3">
      <x/>
    </i>
    <i r="1">
      <x v="114"/>
      <x v="2"/>
      <x/>
      <x v="6"/>
      <x v="1"/>
    </i>
    <i t="blank" r="3">
      <x/>
    </i>
    <i r="2">
      <x v="5"/>
      <x/>
      <x v="6"/>
      <x v="1"/>
    </i>
    <i t="blank" r="3">
      <x/>
    </i>
    <i r="1">
      <x v="142"/>
      <x v="2"/>
      <x/>
      <x v="6"/>
      <x v="1"/>
    </i>
    <i t="blank" r="3">
      <x/>
    </i>
    <i r="2">
      <x v="3"/>
      <x v="2"/>
      <x v="6"/>
      <x v="1"/>
    </i>
    <i t="blank" r="3">
      <x v="2"/>
    </i>
    <i r="2">
      <x v="5"/>
      <x/>
      <x v="6"/>
      <x v="1"/>
    </i>
    <i t="blank" r="3">
      <x/>
    </i>
    <i r="1">
      <x v="145"/>
      <x v="3"/>
      <x v="2"/>
      <x v="6"/>
      <x v="1"/>
    </i>
    <i t="blank" r="3">
      <x v="2"/>
    </i>
    <i r="1">
      <x v="146"/>
      <x v="5"/>
      <x/>
      <x v="6"/>
      <x v="1"/>
    </i>
    <i t="blank" r="3">
      <x/>
    </i>
    <i r="1">
      <x v="160"/>
      <x v="3"/>
      <x v="2"/>
      <x v="6"/>
      <x v="1"/>
    </i>
    <i t="blank" r="3">
      <x v="2"/>
    </i>
    <i r="2">
      <x v="5"/>
      <x/>
      <x v="6"/>
      <x v="1"/>
    </i>
    <i t="blank" r="3">
      <x/>
    </i>
    <i r="1">
      <x v="183"/>
      <x v="3"/>
      <x v="3"/>
      <x v="6"/>
      <x v="1"/>
    </i>
    <i t="blank" r="3">
      <x v="3"/>
    </i>
    <i r="1">
      <x v="184"/>
      <x v="3"/>
      <x v="3"/>
      <x v="6"/>
      <x v="1"/>
    </i>
    <i t="blank" r="3">
      <x v="3"/>
    </i>
    <i r="1">
      <x v="185"/>
      <x v="3"/>
      <x v="3"/>
      <x v="6"/>
      <x v="1"/>
    </i>
    <i t="blank" r="3">
      <x v="3"/>
    </i>
    <i r="1">
      <x v="218"/>
      <x v="5"/>
      <x/>
      <x v="6"/>
      <x v="1"/>
    </i>
    <i r="4">
      <x v="40"/>
      <x v="1"/>
    </i>
    <i t="blank" r="3">
      <x/>
    </i>
    <i r="1">
      <x v="219"/>
      <x v="5"/>
      <x/>
      <x v="6"/>
      <x v="1"/>
    </i>
    <i r="4">
      <x v="40"/>
      <x v="1"/>
    </i>
    <i t="blank" r="3">
      <x/>
    </i>
    <i r="1">
      <x v="237"/>
      <x v="2"/>
      <x/>
      <x v="6"/>
      <x v="1"/>
    </i>
    <i t="blank" r="3">
      <x/>
    </i>
    <i r="2">
      <x v="6"/>
      <x/>
      <x v="7"/>
      <x v="1"/>
    </i>
    <i t="blank" r="3">
      <x/>
    </i>
    <i r="1">
      <x v="254"/>
      <x v="5"/>
      <x/>
      <x v="7"/>
      <x v="1"/>
    </i>
    <i t="blank" r="3">
      <x/>
    </i>
    <i t="default">
      <x v="2"/>
    </i>
    <i t="blank">
      <x v="2"/>
    </i>
    <i>
      <x v="3"/>
      <x v="11"/>
      <x v="6"/>
      <x/>
      <x v="11"/>
      <x v="2"/>
    </i>
    <i r="4">
      <x v="12"/>
      <x v="3"/>
    </i>
    <i t="blank" r="3">
      <x/>
    </i>
    <i r="1">
      <x v="252"/>
      <x v="8"/>
      <x/>
      <x v="44"/>
      <x v="3"/>
    </i>
    <i t="blank" r="3">
      <x/>
    </i>
    <i r="1">
      <x v="253"/>
      <x v="9"/>
      <x/>
      <x v="44"/>
      <x v="3"/>
    </i>
    <i t="blank" r="3">
      <x/>
    </i>
    <i t="default">
      <x v="3"/>
    </i>
    <i t="blank">
      <x v="3"/>
    </i>
    <i>
      <x v="4"/>
      <x v="83"/>
      <x v="5"/>
      <x/>
      <x v="14"/>
      <x/>
    </i>
    <i t="blank" r="3">
      <x/>
    </i>
    <i r="1">
      <x v="84"/>
      <x v="5"/>
      <x/>
      <x v="14"/>
      <x/>
    </i>
    <i t="blank" r="3">
      <x/>
    </i>
    <i r="1">
      <x v="94"/>
      <x v="1"/>
      <x/>
      <x v="14"/>
      <x/>
    </i>
    <i t="blank" r="3">
      <x/>
    </i>
    <i r="2">
      <x v="3"/>
      <x v="7"/>
      <x v="14"/>
      <x/>
    </i>
    <i t="blank" r="3">
      <x v="7"/>
    </i>
    <i r="1">
      <x v="95"/>
      <x v="6"/>
      <x/>
      <x v="14"/>
      <x/>
    </i>
    <i t="blank" r="3">
      <x/>
    </i>
    <i r="1">
      <x v="128"/>
      <x v="2"/>
      <x/>
      <x v="13"/>
      <x/>
    </i>
    <i r="4">
      <x v="14"/>
      <x/>
    </i>
    <i t="blank" r="3">
      <x/>
    </i>
    <i r="2">
      <x v="5"/>
      <x/>
      <x v="14"/>
      <x/>
    </i>
    <i t="blank" r="3">
      <x/>
    </i>
    <i r="1">
      <x v="130"/>
      <x v="5"/>
      <x/>
      <x v="14"/>
      <x/>
    </i>
    <i t="blank" r="3">
      <x/>
    </i>
    <i r="1">
      <x v="138"/>
      <x v="6"/>
      <x/>
      <x v="14"/>
      <x/>
    </i>
    <i t="blank" r="3">
      <x/>
    </i>
    <i r="1">
      <x v="139"/>
      <x v="6"/>
      <x/>
      <x v="14"/>
      <x/>
    </i>
    <i t="blank" r="3">
      <x/>
    </i>
    <i r="1">
      <x v="140"/>
      <x v="6"/>
      <x/>
      <x v="14"/>
      <x/>
    </i>
    <i t="blank" r="3">
      <x/>
    </i>
    <i r="1">
      <x v="156"/>
      <x v="5"/>
      <x/>
      <x v="13"/>
      <x/>
    </i>
    <i r="4">
      <x v="14"/>
      <x/>
    </i>
    <i t="blank" r="3">
      <x/>
    </i>
    <i r="1">
      <x v="167"/>
      <x v="3"/>
      <x v="3"/>
      <x v="14"/>
      <x/>
    </i>
    <i t="blank" r="3">
      <x v="3"/>
    </i>
    <i r="1">
      <x v="168"/>
      <x v="3"/>
      <x v="3"/>
      <x v="14"/>
      <x/>
    </i>
    <i t="blank" r="3">
      <x v="3"/>
    </i>
    <i r="1">
      <x v="169"/>
      <x v="3"/>
      <x v="3"/>
      <x v="14"/>
      <x/>
    </i>
    <i t="blank" r="3">
      <x v="3"/>
    </i>
    <i r="1">
      <x v="171"/>
      <x v="3"/>
      <x v="3"/>
      <x v="14"/>
      <x/>
    </i>
    <i t="blank" r="3">
      <x v="3"/>
    </i>
    <i r="1">
      <x v="172"/>
      <x v="3"/>
      <x v="3"/>
      <x v="14"/>
      <x/>
    </i>
    <i t="blank" r="3">
      <x v="3"/>
    </i>
    <i r="1">
      <x v="173"/>
      <x v="6"/>
      <x/>
      <x v="14"/>
      <x/>
    </i>
    <i t="blank" r="3">
      <x/>
    </i>
    <i r="1">
      <x v="174"/>
      <x v="6"/>
      <x/>
      <x v="14"/>
      <x/>
    </i>
    <i t="blank" r="3">
      <x/>
    </i>
    <i r="1">
      <x v="175"/>
      <x v="6"/>
      <x/>
      <x v="14"/>
      <x/>
    </i>
    <i t="blank" r="3">
      <x/>
    </i>
    <i r="1">
      <x v="176"/>
      <x v="6"/>
      <x/>
      <x v="14"/>
      <x/>
    </i>
    <i t="blank" r="3">
      <x/>
    </i>
    <i r="1">
      <x v="177"/>
      <x v="6"/>
      <x/>
      <x v="14"/>
      <x/>
    </i>
    <i t="blank" r="3">
      <x/>
    </i>
    <i r="1">
      <x v="178"/>
      <x v="6"/>
      <x/>
      <x v="14"/>
      <x/>
    </i>
    <i t="blank" r="3">
      <x/>
    </i>
    <i r="1">
      <x v="186"/>
      <x v="1"/>
      <x/>
      <x v="14"/>
      <x/>
    </i>
    <i t="blank" r="3">
      <x/>
    </i>
    <i r="1">
      <x v="197"/>
      <x v="1"/>
      <x/>
      <x v="13"/>
      <x/>
    </i>
    <i r="4">
      <x v="14"/>
      <x/>
    </i>
    <i t="blank" r="3">
      <x/>
    </i>
    <i r="1">
      <x v="208"/>
      <x v="5"/>
      <x/>
      <x v="14"/>
      <x/>
    </i>
    <i t="blank" r="3">
      <x/>
    </i>
    <i r="1">
      <x v="210"/>
      <x v="5"/>
      <x/>
      <x v="13"/>
      <x v="2"/>
    </i>
    <i r="4">
      <x v="14"/>
      <x/>
    </i>
    <i t="blank" r="3">
      <x/>
    </i>
    <i r="1">
      <x v="211"/>
      <x v="5"/>
      <x/>
      <x v="13"/>
      <x v="2"/>
    </i>
    <i r="4">
      <x v="14"/>
      <x/>
    </i>
    <i t="blank" r="3">
      <x/>
    </i>
    <i r="1">
      <x v="233"/>
      <x v="5"/>
      <x/>
      <x v="13"/>
      <x/>
    </i>
    <i r="5">
      <x v="2"/>
    </i>
    <i r="4">
      <x v="14"/>
      <x/>
    </i>
    <i t="blank" r="3">
      <x/>
    </i>
    <i r="1">
      <x v="235"/>
      <x v="2"/>
      <x/>
      <x v="14"/>
      <x/>
    </i>
    <i t="blank" r="3">
      <x/>
    </i>
    <i r="1">
      <x v="236"/>
      <x v="2"/>
      <x/>
      <x v="14"/>
      <x/>
    </i>
    <i t="blank" r="3">
      <x/>
    </i>
    <i r="1">
      <x v="238"/>
      <x v="2"/>
      <x/>
      <x v="14"/>
      <x/>
    </i>
    <i t="blank" r="3">
      <x/>
    </i>
    <i r="1">
      <x v="239"/>
      <x v="2"/>
      <x/>
      <x v="14"/>
      <x/>
    </i>
    <i t="blank" r="3">
      <x/>
    </i>
    <i r="1">
      <x v="240"/>
      <x v="3"/>
      <x/>
      <x v="14"/>
      <x/>
    </i>
    <i t="blank" r="3">
      <x/>
    </i>
    <i r="1">
      <x v="241"/>
      <x v="3"/>
      <x/>
      <x v="14"/>
      <x/>
    </i>
    <i t="blank" r="3">
      <x/>
    </i>
    <i r="1">
      <x v="242"/>
      <x v="3"/>
      <x/>
      <x v="14"/>
      <x/>
    </i>
    <i t="blank" r="3">
      <x/>
    </i>
    <i r="1">
      <x v="243"/>
      <x v="6"/>
      <x/>
      <x v="14"/>
      <x/>
    </i>
    <i t="blank" r="3">
      <x/>
    </i>
    <i r="1">
      <x v="246"/>
      <x v="2"/>
      <x/>
      <x v="14"/>
      <x/>
    </i>
    <i t="blank" r="3">
      <x/>
    </i>
    <i r="1">
      <x v="247"/>
      <x v="1"/>
      <x/>
      <x v="14"/>
      <x/>
    </i>
    <i t="blank" r="3">
      <x/>
    </i>
    <i r="1">
      <x v="248"/>
      <x v="3"/>
      <x v="2"/>
      <x v="14"/>
      <x/>
    </i>
    <i t="blank" r="3">
      <x v="2"/>
    </i>
    <i r="1">
      <x v="249"/>
      <x v="2"/>
      <x/>
      <x v="14"/>
      <x/>
    </i>
    <i t="blank" r="3">
      <x/>
    </i>
    <i r="1">
      <x v="250"/>
      <x v="3"/>
      <x v="1"/>
      <x v="13"/>
      <x/>
    </i>
    <i r="4">
      <x v="14"/>
      <x/>
    </i>
    <i t="blank" r="3">
      <x v="1"/>
    </i>
    <i r="1">
      <x v="274"/>
      <x v="5"/>
      <x/>
      <x v="14"/>
      <x/>
    </i>
    <i t="blank" r="3">
      <x/>
    </i>
    <i r="1">
      <x v="275"/>
      <x v="5"/>
      <x/>
      <x v="14"/>
      <x/>
    </i>
    <i t="blank" r="3">
      <x/>
    </i>
    <i r="1">
      <x v="276"/>
      <x v="5"/>
      <x/>
      <x v="14"/>
      <x/>
    </i>
    <i t="blank" r="3">
      <x/>
    </i>
    <i r="1">
      <x v="277"/>
      <x v="5"/>
      <x/>
      <x v="14"/>
      <x/>
    </i>
    <i t="blank" r="3">
      <x/>
    </i>
    <i r="1">
      <x v="279"/>
      <x v="5"/>
      <x/>
      <x v="14"/>
      <x/>
    </i>
    <i t="blank" r="3">
      <x/>
    </i>
    <i r="1">
      <x v="285"/>
      <x v="6"/>
      <x/>
      <x v="14"/>
      <x/>
    </i>
    <i t="blank" r="3">
      <x/>
    </i>
    <i r="1">
      <x v="286"/>
      <x v="6"/>
      <x/>
      <x v="14"/>
      <x/>
    </i>
    <i t="blank" r="3">
      <x/>
    </i>
    <i r="1">
      <x v="287"/>
      <x v="6"/>
      <x/>
      <x v="14"/>
      <x/>
    </i>
    <i t="blank" r="3">
      <x/>
    </i>
    <i r="1">
      <x v="288"/>
      <x v="6"/>
      <x/>
      <x v="14"/>
      <x/>
    </i>
    <i t="blank" r="3">
      <x/>
    </i>
    <i r="1">
      <x v="291"/>
      <x v="3"/>
      <x v="3"/>
      <x v="14"/>
      <x/>
    </i>
    <i t="blank" r="3">
      <x v="3"/>
    </i>
    <i r="1">
      <x v="292"/>
      <x v="6"/>
      <x/>
      <x v="14"/>
      <x/>
    </i>
    <i t="blank" r="3">
      <x/>
    </i>
    <i r="1">
      <x v="293"/>
      <x v="6"/>
      <x/>
      <x v="14"/>
      <x/>
    </i>
    <i t="blank" r="3">
      <x/>
    </i>
    <i r="1">
      <x v="294"/>
      <x v="6"/>
      <x/>
      <x v="14"/>
      <x/>
    </i>
    <i t="blank" r="3">
      <x/>
    </i>
    <i r="1">
      <x v="295"/>
      <x v="6"/>
      <x/>
      <x v="14"/>
      <x/>
    </i>
    <i t="blank" r="3">
      <x/>
    </i>
    <i r="1">
      <x v="296"/>
      <x v="6"/>
      <x/>
      <x v="14"/>
      <x/>
    </i>
    <i t="blank" r="3">
      <x/>
    </i>
    <i r="1">
      <x v="297"/>
      <x v="6"/>
      <x/>
      <x v="14"/>
      <x/>
    </i>
    <i t="blank" r="3">
      <x/>
    </i>
    <i r="1">
      <x v="298"/>
      <x v="6"/>
      <x/>
      <x v="14"/>
      <x/>
    </i>
    <i t="blank" r="3">
      <x/>
    </i>
    <i t="default">
      <x v="4"/>
    </i>
    <i t="blank">
      <x v="4"/>
    </i>
    <i>
      <x v="5"/>
      <x v="1"/>
      <x v="5"/>
      <x/>
      <x v="19"/>
      <x v="2"/>
    </i>
    <i r="4">
      <x v="20"/>
      <x v="2"/>
    </i>
    <i t="blank" r="3">
      <x/>
    </i>
    <i r="1">
      <x v="65"/>
      <x v="1"/>
      <x/>
      <x v="21"/>
      <x v="3"/>
    </i>
    <i t="blank" r="3">
      <x/>
    </i>
    <i r="1">
      <x v="94"/>
      <x v="1"/>
      <x/>
      <x v="19"/>
      <x v="2"/>
    </i>
    <i t="blank" r="3">
      <x/>
    </i>
    <i r="2">
      <x v="3"/>
      <x v="7"/>
      <x v="19"/>
      <x v="2"/>
    </i>
    <i t="blank" r="3">
      <x v="7"/>
    </i>
    <i r="1">
      <x v="194"/>
      <x v="1"/>
      <x/>
      <x v="19"/>
      <x v="2"/>
    </i>
    <i r="4">
      <x v="20"/>
      <x v="2"/>
    </i>
    <i t="blank" r="3">
      <x/>
    </i>
    <i t="default">
      <x v="5"/>
    </i>
    <i t="blank">
      <x v="5"/>
    </i>
    <i>
      <x v="6"/>
      <x v="68"/>
      <x v="5"/>
      <x/>
      <x v="22"/>
      <x v="1"/>
    </i>
    <i r="4">
      <x v="24"/>
      <x v="1"/>
    </i>
    <i t="blank" r="3">
      <x/>
    </i>
    <i r="1">
      <x v="74"/>
      <x v="5"/>
      <x/>
      <x v="23"/>
      <x/>
    </i>
    <i t="blank" r="3">
      <x/>
    </i>
    <i r="1">
      <x v="75"/>
      <x v="5"/>
      <x/>
      <x v="23"/>
      <x/>
    </i>
    <i t="blank" r="3">
      <x/>
    </i>
    <i r="1">
      <x v="76"/>
      <x v="5"/>
      <x/>
      <x v="22"/>
      <x v="1"/>
    </i>
    <i r="4">
      <x v="23"/>
      <x/>
    </i>
    <i t="blank" r="3">
      <x/>
    </i>
    <i r="1">
      <x v="94"/>
      <x v="1"/>
      <x/>
      <x v="23"/>
      <x/>
    </i>
    <i r="4">
      <x v="24"/>
      <x v="1"/>
    </i>
    <i t="blank" r="3">
      <x/>
    </i>
    <i r="1">
      <x v="95"/>
      <x v="6"/>
      <x/>
      <x v="23"/>
      <x/>
    </i>
    <i r="4">
      <x v="24"/>
      <x v="1"/>
    </i>
    <i t="blank" r="3">
      <x/>
    </i>
    <i r="1">
      <x v="106"/>
      <x v="3"/>
      <x v="3"/>
      <x v="24"/>
      <x v="1"/>
    </i>
    <i t="blank" r="3">
      <x v="3"/>
    </i>
    <i r="2">
      <x v="5"/>
      <x/>
      <x v="24"/>
      <x v="1"/>
    </i>
    <i t="blank" r="3">
      <x/>
    </i>
    <i r="1">
      <x v="110"/>
      <x v="1"/>
      <x/>
      <x v="24"/>
      <x v="1"/>
    </i>
    <i t="blank" r="3">
      <x/>
    </i>
    <i r="2">
      <x v="5"/>
      <x/>
      <x v="24"/>
      <x v="1"/>
    </i>
    <i t="blank" r="3">
      <x/>
    </i>
    <i r="1">
      <x v="111"/>
      <x v="1"/>
      <x/>
      <x v="24"/>
      <x v="1"/>
    </i>
    <i t="blank" r="3">
      <x/>
    </i>
    <i r="1">
      <x v="112"/>
      <x v="2"/>
      <x/>
      <x v="23"/>
      <x/>
    </i>
    <i t="blank" r="3">
      <x/>
    </i>
    <i r="1">
      <x v="125"/>
      <x v="1"/>
      <x/>
      <x v="24"/>
      <x v="1"/>
    </i>
    <i t="blank" r="3">
      <x/>
    </i>
    <i r="1">
      <x v="127"/>
      <x v="5"/>
      <x/>
      <x v="24"/>
      <x v="1"/>
    </i>
    <i t="blank" r="3">
      <x/>
    </i>
    <i r="1">
      <x v="129"/>
      <x v="2"/>
      <x/>
      <x v="22"/>
      <x v="1"/>
    </i>
    <i r="4">
      <x v="24"/>
      <x v="1"/>
    </i>
    <i t="blank" r="3">
      <x/>
    </i>
    <i r="1">
      <x v="144"/>
      <x v="5"/>
      <x/>
      <x v="24"/>
      <x v="1"/>
    </i>
    <i t="blank" r="3">
      <x/>
    </i>
    <i r="1">
      <x v="179"/>
      <x v="2"/>
      <x/>
      <x v="24"/>
      <x v="1"/>
    </i>
    <i t="blank" r="3">
      <x/>
    </i>
    <i r="1">
      <x v="195"/>
      <x v="1"/>
      <x/>
      <x v="22"/>
      <x v="1"/>
    </i>
    <i r="4">
      <x v="24"/>
      <x v="1"/>
    </i>
    <i t="blank" r="3">
      <x/>
    </i>
    <i r="1">
      <x v="202"/>
      <x v="5"/>
      <x/>
      <x v="24"/>
      <x v="1"/>
    </i>
    <i r="4">
      <x v="38"/>
      <x v="2"/>
    </i>
    <i t="blank" r="3">
      <x/>
    </i>
    <i r="1">
      <x v="206"/>
      <x v="5"/>
      <x/>
      <x v="23"/>
      <x/>
    </i>
    <i r="5">
      <x v="2"/>
    </i>
    <i t="blank" r="3">
      <x/>
    </i>
    <i r="1">
      <x v="230"/>
      <x v="3"/>
      <x v="1"/>
      <x v="22"/>
      <x v="1"/>
    </i>
    <i r="4">
      <x v="24"/>
      <x v="1"/>
    </i>
    <i t="blank" r="3">
      <x v="1"/>
    </i>
    <i r="1">
      <x v="231"/>
      <x v="5"/>
      <x/>
      <x v="23"/>
      <x/>
    </i>
    <i t="blank" r="3">
      <x/>
    </i>
    <i r="1">
      <x v="278"/>
      <x v="5"/>
      <x/>
      <x v="23"/>
      <x/>
    </i>
    <i t="blank" r="3">
      <x/>
    </i>
    <i r="1">
      <x v="283"/>
      <x v="3"/>
      <x v="3"/>
      <x v="23"/>
      <x/>
    </i>
    <i t="blank" r="3">
      <x v="3"/>
    </i>
    <i r="1">
      <x v="299"/>
      <x v="3"/>
      <x v="3"/>
      <x v="23"/>
      <x/>
    </i>
    <i t="blank" r="3">
      <x v="3"/>
    </i>
    <i r="1">
      <x v="303"/>
      <x v="6"/>
      <x/>
      <x v="24"/>
      <x v="1"/>
    </i>
    <i t="blank" r="3">
      <x/>
    </i>
    <i t="default">
      <x v="6"/>
    </i>
    <i t="blank">
      <x v="6"/>
    </i>
    <i>
      <x v="7"/>
      <x v="36"/>
      <x v="8"/>
      <x/>
      <x v="10"/>
      <x v="3"/>
    </i>
    <i t="blank" r="3">
      <x/>
    </i>
    <i r="1">
      <x v="37"/>
      <x v="1"/>
      <x/>
      <x v="10"/>
      <x v="3"/>
    </i>
    <i t="blank" r="3">
      <x/>
    </i>
    <i r="2">
      <x v="8"/>
      <x/>
      <x v="10"/>
      <x v="3"/>
    </i>
    <i t="blank" r="3">
      <x/>
    </i>
    <i r="1">
      <x v="40"/>
      <x v="5"/>
      <x/>
      <x v="8"/>
      <x v="2"/>
    </i>
    <i r="4">
      <x v="32"/>
      <x v="2"/>
    </i>
    <i t="blank" r="3">
      <x/>
    </i>
    <i r="1">
      <x v="51"/>
      <x v="1"/>
      <x/>
      <x v="10"/>
      <x v="3"/>
    </i>
    <i t="blank" r="3">
      <x/>
    </i>
    <i r="2">
      <x v="8"/>
      <x/>
      <x v="10"/>
      <x v="3"/>
    </i>
    <i t="blank" r="3">
      <x/>
    </i>
    <i r="1">
      <x v="64"/>
      <x v="1"/>
      <x/>
      <x v="10"/>
      <x v="3"/>
    </i>
    <i t="blank" r="3">
      <x/>
    </i>
    <i r="2">
      <x v="8"/>
      <x/>
      <x v="10"/>
      <x v="3"/>
    </i>
    <i t="blank" r="3">
      <x/>
    </i>
    <i r="1">
      <x v="81"/>
      <x v="5"/>
      <x/>
      <x v="8"/>
      <x v="2"/>
    </i>
    <i r="4">
      <x v="32"/>
      <x v="2"/>
    </i>
    <i t="blank" r="3">
      <x/>
    </i>
    <i r="1">
      <x v="86"/>
      <x v="5"/>
      <x/>
      <x v="8"/>
      <x v="2"/>
    </i>
    <i r="4">
      <x v="32"/>
      <x v="2"/>
    </i>
    <i t="blank" r="3">
      <x/>
    </i>
    <i r="1">
      <x v="87"/>
      <x v="8"/>
      <x/>
      <x v="10"/>
      <x v="3"/>
    </i>
    <i t="blank" r="3">
      <x/>
    </i>
    <i r="1">
      <x v="88"/>
      <x v="8"/>
      <x/>
      <x v="10"/>
      <x v="3"/>
    </i>
    <i t="blank" r="3">
      <x/>
    </i>
    <i r="1">
      <x v="92"/>
      <x v="1"/>
      <x/>
      <x v="10"/>
      <x v="3"/>
    </i>
    <i t="blank" r="3">
      <x/>
    </i>
    <i r="1">
      <x v="93"/>
      <x v="1"/>
      <x/>
      <x v="10"/>
      <x v="3"/>
    </i>
    <i t="blank" r="3">
      <x/>
    </i>
    <i r="1">
      <x v="94"/>
      <x v="1"/>
      <x/>
      <x v="8"/>
      <x v="2"/>
    </i>
    <i t="blank" r="3">
      <x/>
    </i>
    <i r="1">
      <x v="116"/>
      <x v="8"/>
      <x/>
      <x v="10"/>
      <x v="3"/>
    </i>
    <i t="blank" r="3">
      <x/>
    </i>
    <i r="1">
      <x v="117"/>
      <x v="8"/>
      <x/>
      <x v="10"/>
      <x v="3"/>
    </i>
    <i t="blank" r="3">
      <x/>
    </i>
    <i r="1">
      <x v="126"/>
      <x v="1"/>
      <x/>
      <x v="10"/>
      <x v="3"/>
    </i>
    <i t="blank" r="3">
      <x/>
    </i>
    <i r="1">
      <x v="188"/>
      <x v="1"/>
      <x/>
      <x v="8"/>
      <x v="2"/>
    </i>
    <i r="4">
      <x v="32"/>
      <x v="2"/>
    </i>
    <i t="blank" r="3">
      <x/>
    </i>
    <i r="1">
      <x v="192"/>
      <x v="1"/>
      <x/>
      <x v="8"/>
      <x v="2"/>
    </i>
    <i r="4">
      <x v="9"/>
      <x v="2"/>
    </i>
    <i t="blank" r="3">
      <x/>
    </i>
    <i r="1">
      <x v="214"/>
      <x v="5"/>
      <x/>
      <x v="8"/>
      <x v="2"/>
    </i>
    <i r="4">
      <x v="32"/>
      <x v="2"/>
    </i>
    <i t="blank" r="3">
      <x/>
    </i>
    <i r="1">
      <x v="290"/>
      <x v="5"/>
      <x/>
      <x v="8"/>
      <x v="2"/>
    </i>
    <i t="blank" r="3">
      <x/>
    </i>
    <i t="default">
      <x v="7"/>
    </i>
    <i t="blank">
      <x v="7"/>
    </i>
    <i>
      <x v="8"/>
      <x v="41"/>
      <x v="5"/>
      <x/>
      <x v="33"/>
      <x v="2"/>
    </i>
    <i t="blank" r="3">
      <x/>
    </i>
    <i r="1">
      <x v="61"/>
      <x v="5"/>
      <x/>
      <x v="16"/>
      <x v="2"/>
    </i>
    <i r="4">
      <x v="33"/>
      <x v="2"/>
    </i>
    <i t="blank" r="3">
      <x/>
    </i>
    <i r="1">
      <x v="63"/>
      <x v="5"/>
      <x/>
      <x v="16"/>
      <x v="2"/>
    </i>
    <i r="4">
      <x v="33"/>
      <x v="2"/>
    </i>
    <i t="blank" r="3">
      <x/>
    </i>
    <i r="1">
      <x v="94"/>
      <x v="1"/>
      <x/>
      <x v="33"/>
      <x v="2"/>
    </i>
    <i t="blank" r="3">
      <x/>
    </i>
    <i r="1">
      <x v="187"/>
      <x v="1"/>
      <x/>
      <x v="15"/>
      <x v="2"/>
    </i>
    <i r="4">
      <x v="17"/>
      <x v="2"/>
    </i>
    <i t="blank" r="3">
      <x/>
    </i>
    <i r="1">
      <x v="189"/>
      <x v="1"/>
      <x/>
      <x v="16"/>
      <x v="2"/>
    </i>
    <i r="4">
      <x v="33"/>
      <x v="2"/>
    </i>
    <i t="blank" r="3">
      <x/>
    </i>
    <i r="1">
      <x v="190"/>
      <x v="1"/>
      <x/>
      <x v="16"/>
      <x v="2"/>
    </i>
    <i r="4">
      <x v="33"/>
      <x v="2"/>
    </i>
    <i t="blank" r="3">
      <x/>
    </i>
    <i r="1">
      <x v="193"/>
      <x v="1"/>
      <x/>
      <x v="18"/>
      <x v="2"/>
    </i>
    <i r="4">
      <x v="33"/>
      <x v="2"/>
    </i>
    <i t="blank" r="3">
      <x/>
    </i>
    <i t="default">
      <x v="8"/>
    </i>
    <i t="blank">
      <x v="8"/>
    </i>
    <i>
      <x v="9"/>
      <x v="18"/>
      <x v="5"/>
      <x/>
      <x v="26"/>
      <x v="3"/>
    </i>
    <i r="4">
      <x v="28"/>
      <x v="3"/>
    </i>
    <i t="blank" r="3">
      <x/>
    </i>
    <i r="1">
      <x v="89"/>
      <x v="8"/>
      <x/>
      <x v="28"/>
      <x v="3"/>
    </i>
    <i t="blank" r="3">
      <x/>
    </i>
    <i r="1">
      <x v="157"/>
      <x v="9"/>
      <x/>
      <x v="28"/>
      <x v="3"/>
    </i>
    <i t="blank" r="3">
      <x/>
    </i>
    <i r="1">
      <x v="159"/>
      <x v="5"/>
      <x/>
      <x v="28"/>
      <x v="3"/>
    </i>
    <i t="blank" r="3">
      <x/>
    </i>
    <i r="1">
      <x v="191"/>
      <x v="1"/>
      <x/>
      <x v="25"/>
      <x v="2"/>
    </i>
    <i r="4">
      <x v="26"/>
      <x v="3"/>
    </i>
    <i r="4">
      <x v="27"/>
      <x v="2"/>
    </i>
    <i r="4">
      <x v="28"/>
      <x v="3"/>
    </i>
    <i t="blank" r="3">
      <x/>
    </i>
    <i r="1">
      <x v="220"/>
      <x v="9"/>
      <x/>
      <x v="28"/>
      <x v="3"/>
    </i>
    <i t="blank" r="3">
      <x/>
    </i>
    <i r="1">
      <x v="221"/>
      <x v="5"/>
      <x/>
      <x v="26"/>
      <x v="3"/>
    </i>
    <i r="4">
      <x v="28"/>
      <x v="3"/>
    </i>
    <i t="blank" r="3">
      <x/>
    </i>
    <i r="1">
      <x v="234"/>
      <x v="2"/>
      <x/>
      <x v="27"/>
      <x v="2"/>
    </i>
    <i t="blank" r="3">
      <x/>
    </i>
    <i r="2">
      <x v="6"/>
      <x/>
      <x v="27"/>
      <x v="3"/>
    </i>
    <i t="blank" r="3">
      <x/>
    </i>
    <i r="1">
      <x v="244"/>
      <x v="8"/>
      <x/>
      <x v="28"/>
      <x v="3"/>
    </i>
    <i t="blank" r="3">
      <x/>
    </i>
    <i r="1">
      <x v="263"/>
      <x v="9"/>
      <x/>
      <x v="28"/>
      <x v="3"/>
    </i>
    <i t="blank" r="3">
      <x/>
    </i>
    <i r="1">
      <x v="301"/>
      <x v="5"/>
      <x/>
      <x v="26"/>
      <x v="3"/>
    </i>
    <i r="4">
      <x v="27"/>
      <x v="3"/>
    </i>
    <i t="blank" r="3">
      <x/>
    </i>
    <i t="default">
      <x v="9"/>
    </i>
    <i t="blank">
      <x v="9"/>
    </i>
    <i>
      <x v="10"/>
      <x v="23"/>
      <x v="1"/>
      <x/>
      <x v="34"/>
      <x v="2"/>
    </i>
    <i r="4">
      <x v="35"/>
      <x v="2"/>
    </i>
    <i t="blank" r="3">
      <x/>
    </i>
    <i r="1">
      <x v="32"/>
      <x v="3"/>
      <x v="2"/>
      <x v="34"/>
      <x v="2"/>
    </i>
    <i t="blank" r="3">
      <x v="2"/>
    </i>
    <i r="2">
      <x v="5"/>
      <x/>
      <x v="34"/>
      <x v="2"/>
    </i>
    <i t="blank" r="3">
      <x/>
    </i>
    <i r="1">
      <x v="34"/>
      <x v="2"/>
      <x/>
      <x v="31"/>
      <x v="2"/>
    </i>
    <i t="blank" r="3">
      <x/>
    </i>
    <i r="2">
      <x v="5"/>
      <x/>
      <x v="31"/>
      <x v="2"/>
    </i>
    <i t="blank" r="3">
      <x/>
    </i>
    <i r="1">
      <x v="42"/>
      <x v="5"/>
      <x/>
      <x v="34"/>
      <x v="2"/>
    </i>
    <i t="blank" r="3">
      <x/>
    </i>
    <i r="1">
      <x v="78"/>
      <x v="5"/>
      <x/>
      <x v="34"/>
      <x v="2"/>
    </i>
    <i t="blank" r="3">
      <x/>
    </i>
    <i r="1">
      <x v="79"/>
      <x v="5"/>
      <x/>
      <x/>
      <x v="2"/>
    </i>
    <i r="4">
      <x v="31"/>
      <x v="2"/>
    </i>
    <i t="blank" r="3">
      <x/>
    </i>
    <i r="1">
      <x v="94"/>
      <x v="1"/>
      <x/>
      <x v="34"/>
      <x v="2"/>
    </i>
    <i t="blank" r="3">
      <x/>
    </i>
    <i r="1">
      <x v="95"/>
      <x v="6"/>
      <x/>
      <x v="31"/>
      <x v="2"/>
    </i>
    <i r="4">
      <x v="34"/>
      <x v="2"/>
    </i>
    <i t="blank" r="3">
      <x/>
    </i>
    <i r="1">
      <x v="104"/>
      <x v="3"/>
      <x v="2"/>
      <x v="34"/>
      <x v="2"/>
    </i>
    <i t="blank" r="3">
      <x v="2"/>
    </i>
    <i r="2">
      <x v="5"/>
      <x/>
      <x v="34"/>
      <x v="2"/>
    </i>
    <i t="blank" r="3">
      <x/>
    </i>
    <i r="1">
      <x v="113"/>
      <x v="2"/>
      <x/>
      <x v="34"/>
      <x v="2"/>
    </i>
    <i t="blank" r="3">
      <x/>
    </i>
    <i r="2">
      <x v="5"/>
      <x/>
      <x v="34"/>
      <x v="2"/>
    </i>
    <i t="blank" r="3">
      <x/>
    </i>
    <i r="1">
      <x v="115"/>
      <x v="2"/>
      <x/>
      <x v="34"/>
      <x v="2"/>
    </i>
    <i t="blank" r="3">
      <x/>
    </i>
    <i r="2">
      <x v="5"/>
      <x/>
      <x v="34"/>
      <x v="2"/>
    </i>
    <i t="blank" r="3">
      <x/>
    </i>
    <i r="1">
      <x v="137"/>
      <x v="5"/>
      <x/>
      <x/>
      <x v="2"/>
    </i>
    <i r="4">
      <x v="31"/>
      <x v="2"/>
    </i>
    <i r="4">
      <x v="34"/>
      <x v="2"/>
    </i>
    <i t="blank" r="3">
      <x/>
    </i>
    <i r="1">
      <x v="143"/>
      <x v="5"/>
      <x/>
      <x v="34"/>
      <x v="2"/>
    </i>
    <i t="blank" r="3">
      <x/>
    </i>
    <i r="1">
      <x v="153"/>
      <x v="5"/>
      <x/>
      <x/>
      <x v="2"/>
    </i>
    <i r="4">
      <x v="31"/>
      <x v="2"/>
    </i>
    <i t="blank" r="3">
      <x/>
    </i>
    <i r="1">
      <x v="154"/>
      <x v="5"/>
      <x/>
      <x/>
      <x v="2"/>
    </i>
    <i r="4">
      <x v="34"/>
      <x v="2"/>
    </i>
    <i t="blank" r="3">
      <x/>
    </i>
    <i r="1">
      <x v="155"/>
      <x v="5"/>
      <x/>
      <x/>
      <x v="2"/>
    </i>
    <i r="4">
      <x v="34"/>
      <x v="2"/>
    </i>
    <i t="blank" r="3">
      <x/>
    </i>
    <i r="1">
      <x v="158"/>
      <x v="5"/>
      <x/>
      <x/>
      <x v="2"/>
    </i>
    <i r="4">
      <x v="31"/>
      <x v="2"/>
    </i>
    <i r="4">
      <x v="34"/>
      <x v="2"/>
    </i>
    <i r="4">
      <x v="35"/>
      <x v="2"/>
    </i>
    <i t="blank" r="3">
      <x/>
    </i>
    <i r="1">
      <x v="198"/>
      <x v="5"/>
      <x/>
      <x v="34"/>
      <x v="2"/>
    </i>
    <i r="4">
      <x v="35"/>
      <x v="2"/>
    </i>
    <i t="blank" r="3">
      <x/>
    </i>
    <i r="1">
      <x v="199"/>
      <x v="5"/>
      <x/>
      <x v="34"/>
      <x v="2"/>
    </i>
    <i r="4">
      <x v="35"/>
      <x v="2"/>
    </i>
    <i t="blank" r="3">
      <x/>
    </i>
    <i r="1">
      <x v="217"/>
      <x v="5"/>
      <x/>
      <x v="34"/>
      <x v="2"/>
    </i>
    <i r="4">
      <x v="35"/>
      <x v="2"/>
    </i>
    <i t="blank" r="3">
      <x/>
    </i>
    <i r="1">
      <x v="232"/>
      <x v="5"/>
      <x/>
      <x/>
      <x v="2"/>
    </i>
    <i r="4">
      <x v="43"/>
      <x v="2"/>
    </i>
    <i t="blank" r="3">
      <x/>
    </i>
    <i r="1">
      <x v="245"/>
      <x v="6"/>
      <x/>
      <x/>
      <x v="2"/>
    </i>
    <i r="4">
      <x v="31"/>
      <x v="2"/>
    </i>
    <i t="blank" r="3">
      <x/>
    </i>
    <i r="1">
      <x v="251"/>
      <x v="5"/>
      <x/>
      <x v="35"/>
      <x v="2"/>
    </i>
    <i t="blank" r="3">
      <x/>
    </i>
    <i r="1">
      <x v="302"/>
      <x v="5"/>
      <x/>
      <x v="31"/>
      <x v="2"/>
    </i>
    <i r="4">
      <x v="34"/>
      <x v="2"/>
    </i>
    <i t="blank" r="3">
      <x/>
    </i>
    <i r="1">
      <x v="303"/>
      <x v="6"/>
      <x/>
      <x v="34"/>
      <x v="2"/>
    </i>
    <i t="blank" r="3">
      <x/>
    </i>
    <i t="default">
      <x v="10"/>
    </i>
    <i t="blank">
      <x v="10"/>
    </i>
    <i>
      <x v="11"/>
      <x v="90"/>
      <x v="8"/>
      <x/>
      <x v="29"/>
      <x v="3"/>
    </i>
    <i t="blank" r="3">
      <x/>
    </i>
    <i r="1">
      <x v="91"/>
      <x v="8"/>
      <x/>
      <x v="29"/>
      <x v="3"/>
    </i>
    <i t="blank" r="3">
      <x/>
    </i>
    <i r="1">
      <x v="120"/>
      <x v="8"/>
      <x/>
      <x v="29"/>
      <x v="3"/>
    </i>
    <i t="blank" r="3">
      <x/>
    </i>
    <i t="default">
      <x v="11"/>
    </i>
    <i t="blank">
      <x v="11"/>
    </i>
    <i>
      <x v="13"/>
      <x v="123"/>
      <x/>
      <x/>
      <x v="36"/>
      <x v="4"/>
    </i>
    <i t="blank" r="3">
      <x/>
    </i>
    <i r="1">
      <x v="124"/>
      <x/>
      <x/>
      <x v="36"/>
      <x v="4"/>
    </i>
    <i t="blank" r="3">
      <x/>
    </i>
    <i r="1">
      <x v="225"/>
      <x/>
      <x/>
      <x v="42"/>
      <x v="4"/>
    </i>
    <i t="blank" r="3">
      <x/>
    </i>
    <i r="1">
      <x v="228"/>
      <x/>
      <x/>
      <x v="41"/>
      <x v="4"/>
    </i>
    <i t="blank" r="3">
      <x/>
    </i>
    <i r="1">
      <x v="229"/>
      <x/>
      <x/>
      <x v="41"/>
      <x v="4"/>
    </i>
    <i t="blank" r="3">
      <x/>
    </i>
    <i t="default">
      <x v="13"/>
    </i>
    <i t="blank">
      <x v="13"/>
    </i>
    <i>
      <x v="14"/>
      <x v="165"/>
      <x v="1"/>
      <x/>
      <x v="37"/>
      <x v="2"/>
    </i>
    <i t="blank" r="3">
      <x/>
    </i>
    <i t="default">
      <x v="14"/>
    </i>
    <i t="blank">
      <x v="14"/>
    </i>
    <i>
      <x v="16"/>
      <x v="304"/>
      <x v="5"/>
      <x/>
      <x v="46"/>
      <x v="2"/>
    </i>
    <i t="blank" r="3">
      <x/>
    </i>
    <i r="2">
      <x v="6"/>
      <x/>
      <x v="47"/>
      <x v="2"/>
    </i>
    <i t="blank" r="3">
      <x/>
    </i>
    <i t="default">
      <x v="16"/>
    </i>
    <i t="blank">
      <x v="16"/>
    </i>
    <i t="grand">
      <x/>
    </i>
  </rowItems>
  <colFields count="1">
    <field x="-2"/>
  </colFields>
  <colItems count="2">
    <i>
      <x/>
    </i>
    <i i="1">
      <x v="1"/>
    </i>
  </colItems>
  <dataFields count="2">
    <dataField name="Sum of QTY -MT" fld="18" baseField="6" baseItem="14" numFmtId="39"/>
    <dataField name="Sum of Value " fld="26" baseField="0" baseItem="0" numFmtId="43"/>
  </dataFields>
  <formats count="52">
    <format dxfId="320">
      <pivotArea type="all" dataOnly="0" outline="0" fieldPosition="0"/>
    </format>
    <format dxfId="319">
      <pivotArea outline="0" collapsedLevelsAreSubtotals="1" fieldPosition="0"/>
    </format>
    <format dxfId="318">
      <pivotArea field="3" type="button" dataOnly="0" labelOnly="1" outline="0" axis="axisRow" fieldPosition="0"/>
    </format>
    <format dxfId="317">
      <pivotArea field="11" type="button" dataOnly="0" labelOnly="1" outline="0" axis="axisRow" fieldPosition="1"/>
    </format>
    <format dxfId="316">
      <pivotArea dataOnly="0" labelOnly="1" outline="0" fieldPosition="0">
        <references count="1">
          <reference field="3" count="8">
            <x v="0"/>
            <x v="1"/>
            <x v="3"/>
            <x v="5"/>
            <x v="7"/>
            <x v="8"/>
            <x v="9"/>
            <x v="11"/>
          </reference>
        </references>
      </pivotArea>
    </format>
    <format dxfId="315">
      <pivotArea dataOnly="0" labelOnly="1" grandRow="1" outline="0" fieldPosition="0"/>
    </format>
    <format dxfId="314">
      <pivotArea dataOnly="0" labelOnly="1" outline="0" fieldPosition="0">
        <references count="2">
          <reference field="3" count="1" selected="0">
            <x v="0"/>
          </reference>
          <reference field="11" count="2">
            <x v="0"/>
            <x v="2"/>
          </reference>
        </references>
      </pivotArea>
    </format>
    <format dxfId="313">
      <pivotArea dataOnly="0" labelOnly="1" outline="0" fieldPosition="0">
        <references count="2">
          <reference field="3" count="1" selected="0">
            <x v="1"/>
          </reference>
          <reference field="11" count="3">
            <x v="6"/>
            <x v="8"/>
            <x v="27"/>
          </reference>
        </references>
      </pivotArea>
    </format>
    <format dxfId="312">
      <pivotArea dataOnly="0" labelOnly="1" outline="0" fieldPosition="0">
        <references count="2">
          <reference field="3" count="1" selected="0">
            <x v="3"/>
          </reference>
          <reference field="11" count="1">
            <x v="11"/>
          </reference>
        </references>
      </pivotArea>
    </format>
    <format dxfId="311">
      <pivotArea dataOnly="0" labelOnly="1" outline="0" fieldPosition="0">
        <references count="2">
          <reference field="3" count="1" selected="0">
            <x v="5"/>
          </reference>
          <reference field="11" count="3">
            <x v="1"/>
            <x v="3"/>
            <x v="27"/>
          </reference>
        </references>
      </pivotArea>
    </format>
    <format dxfId="310">
      <pivotArea dataOnly="0" labelOnly="1" outline="0" fieldPosition="0">
        <references count="2">
          <reference field="3" count="1" selected="0">
            <x v="7"/>
          </reference>
          <reference field="11" count="5">
            <x v="5"/>
            <x v="21"/>
            <x v="25"/>
            <x v="26"/>
            <x v="27"/>
          </reference>
        </references>
      </pivotArea>
    </format>
    <format dxfId="309">
      <pivotArea dataOnly="0" labelOnly="1" outline="0" fieldPosition="0">
        <references count="2">
          <reference field="3" count="1" selected="0">
            <x v="8"/>
          </reference>
          <reference field="11" count="4">
            <x v="4"/>
            <x v="19"/>
            <x v="20"/>
            <x v="27"/>
          </reference>
        </references>
      </pivotArea>
    </format>
    <format dxfId="308">
      <pivotArea dataOnly="0" labelOnly="1" outline="0" fieldPosition="0">
        <references count="2">
          <reference field="3" count="1" selected="0">
            <x v="9"/>
          </reference>
          <reference field="11" count="2">
            <x v="18"/>
            <x v="27"/>
          </reference>
        </references>
      </pivotArea>
    </format>
    <format dxfId="307">
      <pivotArea dataOnly="0" labelOnly="1" outline="0" fieldPosition="0">
        <references count="2">
          <reference field="3" count="1" selected="0">
            <x v="11"/>
          </reference>
          <reference field="11" count="1">
            <x v="27"/>
          </reference>
        </references>
      </pivotArea>
    </format>
    <format dxfId="306">
      <pivotArea dataOnly="0" labelOnly="1" outline="0" fieldPosition="0">
        <references count="3">
          <reference field="3" count="1" selected="0">
            <x v="0"/>
          </reference>
          <reference field="6" count="2">
            <x v="1"/>
            <x v="2"/>
          </reference>
          <reference field="11" count="1" selected="0">
            <x v="0"/>
          </reference>
        </references>
      </pivotArea>
    </format>
    <format dxfId="305">
      <pivotArea dataOnly="0" labelOnly="1" outline="0" fieldPosition="0">
        <references count="3">
          <reference field="3" count="1" selected="0">
            <x v="0"/>
          </reference>
          <reference field="6" count="2">
            <x v="1"/>
            <x v="2"/>
          </reference>
          <reference field="11" count="1" selected="0">
            <x v="2"/>
          </reference>
        </references>
      </pivotArea>
    </format>
    <format dxfId="304">
      <pivotArea dataOnly="0" labelOnly="1" outline="0" fieldPosition="0">
        <references count="3">
          <reference field="3" count="1" selected="0">
            <x v="1"/>
          </reference>
          <reference field="6" count="2">
            <x v="3"/>
            <x v="4"/>
          </reference>
          <reference field="11" count="1" selected="0">
            <x v="6"/>
          </reference>
        </references>
      </pivotArea>
    </format>
    <format dxfId="303">
      <pivotArea dataOnly="0" labelOnly="1" outline="0" fieldPosition="0">
        <references count="3">
          <reference field="3" count="1" selected="0">
            <x v="1"/>
          </reference>
          <reference field="6" count="1">
            <x v="30"/>
          </reference>
          <reference field="11" count="1" selected="0">
            <x v="8"/>
          </reference>
        </references>
      </pivotArea>
    </format>
    <format dxfId="302">
      <pivotArea dataOnly="0" labelOnly="1" outline="0" fieldPosition="0">
        <references count="3">
          <reference field="3" count="1" selected="0">
            <x v="1"/>
          </reference>
          <reference field="6" count="2">
            <x v="3"/>
            <x v="30"/>
          </reference>
          <reference field="11" count="1" selected="0">
            <x v="27"/>
          </reference>
        </references>
      </pivotArea>
    </format>
    <format dxfId="301">
      <pivotArea dataOnly="0" labelOnly="1" outline="0" fieldPosition="0">
        <references count="3">
          <reference field="3" count="1" selected="0">
            <x v="3"/>
          </reference>
          <reference field="6" count="2">
            <x v="11"/>
            <x v="12"/>
          </reference>
          <reference field="11" count="1" selected="0">
            <x v="11"/>
          </reference>
        </references>
      </pivotArea>
    </format>
    <format dxfId="300">
      <pivotArea dataOnly="0" labelOnly="1" outline="0" fieldPosition="0">
        <references count="3">
          <reference field="3" count="1" selected="0">
            <x v="5"/>
          </reference>
          <reference field="6" count="2">
            <x v="19"/>
            <x v="20"/>
          </reference>
          <reference field="11" count="1" selected="0">
            <x v="1"/>
          </reference>
        </references>
      </pivotArea>
    </format>
    <format dxfId="299">
      <pivotArea dataOnly="0" labelOnly="1" outline="0" fieldPosition="0">
        <references count="3">
          <reference field="3" count="1" selected="0">
            <x v="5"/>
          </reference>
          <reference field="6" count="2">
            <x v="19"/>
            <x v="20"/>
          </reference>
          <reference field="11" count="1" selected="0">
            <x v="3"/>
          </reference>
        </references>
      </pivotArea>
    </format>
    <format dxfId="298">
      <pivotArea dataOnly="0" labelOnly="1" outline="0" fieldPosition="0">
        <references count="3">
          <reference field="3" count="1" selected="0">
            <x v="5"/>
          </reference>
          <reference field="6" count="1">
            <x v="21"/>
          </reference>
          <reference field="11" count="1" selected="0">
            <x v="27"/>
          </reference>
        </references>
      </pivotArea>
    </format>
    <format dxfId="297">
      <pivotArea dataOnly="0" labelOnly="1" outline="0" fieldPosition="0">
        <references count="3">
          <reference field="3" count="1" selected="0">
            <x v="7"/>
          </reference>
          <reference field="6" count="2">
            <x v="8"/>
            <x v="9"/>
          </reference>
          <reference field="11" count="1" selected="0">
            <x v="5"/>
          </reference>
        </references>
      </pivotArea>
    </format>
    <format dxfId="296">
      <pivotArea dataOnly="0" labelOnly="1" outline="0" fieldPosition="0">
        <references count="3">
          <reference field="3" count="1" selected="0">
            <x v="7"/>
          </reference>
          <reference field="6" count="1">
            <x v="8"/>
          </reference>
          <reference field="11" count="1" selected="0">
            <x v="21"/>
          </reference>
        </references>
      </pivotArea>
    </format>
    <format dxfId="295">
      <pivotArea dataOnly="0" labelOnly="1" outline="0" fieldPosition="0">
        <references count="3">
          <reference field="3" count="1" selected="0">
            <x v="7"/>
          </reference>
          <reference field="6" count="1">
            <x v="10"/>
          </reference>
          <reference field="11" count="1" selected="0">
            <x v="25"/>
          </reference>
        </references>
      </pivotArea>
    </format>
    <format dxfId="294">
      <pivotArea dataOnly="0" labelOnly="1" outline="0" fieldPosition="0">
        <references count="3">
          <reference field="3" count="1" selected="0">
            <x v="7"/>
          </reference>
          <reference field="6" count="1">
            <x v="10"/>
          </reference>
          <reference field="11" count="1" selected="0">
            <x v="26"/>
          </reference>
        </references>
      </pivotArea>
    </format>
    <format dxfId="293">
      <pivotArea dataOnly="0" labelOnly="1" outline="0" fieldPosition="0">
        <references count="3">
          <reference field="3" count="1" selected="0">
            <x v="7"/>
          </reference>
          <reference field="6" count="3">
            <x v="8"/>
            <x v="10"/>
            <x v="32"/>
          </reference>
          <reference field="11" count="1" selected="0">
            <x v="27"/>
          </reference>
        </references>
      </pivotArea>
    </format>
    <format dxfId="292">
      <pivotArea dataOnly="0" labelOnly="1" outline="0" fieldPosition="0">
        <references count="3">
          <reference field="3" count="1" selected="0">
            <x v="8"/>
          </reference>
          <reference field="6" count="2">
            <x v="18"/>
            <x v="33"/>
          </reference>
          <reference field="11" count="1" selected="0">
            <x v="4"/>
          </reference>
        </references>
      </pivotArea>
    </format>
    <format dxfId="291">
      <pivotArea dataOnly="0" labelOnly="1" outline="0" fieldPosition="0">
        <references count="3">
          <reference field="3" count="1" selected="0">
            <x v="8"/>
          </reference>
          <reference field="6" count="1">
            <x v="33"/>
          </reference>
          <reference field="11" count="1" selected="0">
            <x v="19"/>
          </reference>
        </references>
      </pivotArea>
    </format>
    <format dxfId="290">
      <pivotArea dataOnly="0" labelOnly="1" outline="0" fieldPosition="0">
        <references count="3">
          <reference field="3" count="1" selected="0">
            <x v="8"/>
          </reference>
          <reference field="6" count="1">
            <x v="33"/>
          </reference>
          <reference field="11" count="1" selected="0">
            <x v="20"/>
          </reference>
        </references>
      </pivotArea>
    </format>
    <format dxfId="289">
      <pivotArea dataOnly="0" labelOnly="1" outline="0" fieldPosition="0">
        <references count="3">
          <reference field="3" count="1" selected="0">
            <x v="8"/>
          </reference>
          <reference field="6" count="4">
            <x v="15"/>
            <x v="16"/>
            <x v="17"/>
            <x v="33"/>
          </reference>
          <reference field="11" count="1" selected="0">
            <x v="27"/>
          </reference>
        </references>
      </pivotArea>
    </format>
    <format dxfId="288">
      <pivotArea dataOnly="0" labelOnly="1" outline="0" fieldPosition="0">
        <references count="3">
          <reference field="3" count="1" selected="0">
            <x v="9"/>
          </reference>
          <reference field="6" count="4">
            <x v="25"/>
            <x v="26"/>
            <x v="27"/>
            <x v="28"/>
          </reference>
          <reference field="11" count="1" selected="0">
            <x v="18"/>
          </reference>
        </references>
      </pivotArea>
    </format>
    <format dxfId="287">
      <pivotArea dataOnly="0" labelOnly="1" outline="0" fieldPosition="0">
        <references count="3">
          <reference field="3" count="1" selected="0">
            <x v="9"/>
          </reference>
          <reference field="6" count="1">
            <x v="28"/>
          </reference>
          <reference field="11" count="1" selected="0">
            <x v="27"/>
          </reference>
        </references>
      </pivotArea>
    </format>
    <format dxfId="286">
      <pivotArea dataOnly="0" labelOnly="1" outline="0" fieldPosition="0">
        <references count="3">
          <reference field="3" count="1" selected="0">
            <x v="11"/>
          </reference>
          <reference field="6" count="1">
            <x v="29"/>
          </reference>
          <reference field="11" count="1" selected="0">
            <x v="27"/>
          </reference>
        </references>
      </pivotArea>
    </format>
    <format dxfId="285">
      <pivotArea dataOnly="0" labelOnly="1" outline="0" fieldPosition="0">
        <references count="1">
          <reference field="4294967294" count="2">
            <x v="0"/>
            <x v="1"/>
          </reference>
        </references>
      </pivotArea>
    </format>
    <format dxfId="284">
      <pivotArea field="6" type="button" dataOnly="0" labelOnly="1" outline="0" axis="axisRow" fieldPosition="4"/>
    </format>
    <format dxfId="283">
      <pivotArea field="14" type="button" dataOnly="0" labelOnly="1" outline="0" axis="axisRow" fieldPosition="2"/>
    </format>
    <format dxfId="282">
      <pivotArea type="all" dataOnly="0" outline="0" fieldPosition="0"/>
    </format>
    <format dxfId="281">
      <pivotArea outline="0" collapsedLevelsAreSubtotals="1" fieldPosition="0"/>
    </format>
    <format dxfId="280">
      <pivotArea field="3" type="button" dataOnly="0" labelOnly="1" outline="0" axis="axisRow" fieldPosition="0"/>
    </format>
    <format dxfId="279">
      <pivotArea field="11" type="button" dataOnly="0" labelOnly="1" outline="0" axis="axisRow" fieldPosition="1"/>
    </format>
    <format dxfId="278">
      <pivotArea field="14" type="button" dataOnly="0" labelOnly="1" outline="0" axis="axisRow" fieldPosition="2"/>
    </format>
    <format dxfId="277">
      <pivotArea field="6" type="button" dataOnly="0" labelOnly="1" outline="0" axis="axisRow" fieldPosition="4"/>
    </format>
    <format dxfId="276">
      <pivotArea dataOnly="0" labelOnly="1" outline="0" fieldPosition="0">
        <references count="1">
          <reference field="3" count="3">
            <x v="4"/>
            <x v="6"/>
            <x v="10"/>
          </reference>
        </references>
      </pivotArea>
    </format>
    <format dxfId="275">
      <pivotArea dataOnly="0" labelOnly="1" outline="0" fieldPosition="0">
        <references count="1">
          <reference field="3" count="3" defaultSubtotal="1">
            <x v="4"/>
            <x v="6"/>
            <x v="10"/>
          </reference>
        </references>
      </pivotArea>
    </format>
    <format dxfId="274">
      <pivotArea dataOnly="0" labelOnly="1" grandRow="1" outline="0" fieldPosition="0"/>
    </format>
    <format dxfId="273">
      <pivotArea dataOnly="0" labelOnly="1" outline="0" fieldPosition="0">
        <references count="2">
          <reference field="3" count="1" selected="0">
            <x v="4"/>
          </reference>
          <reference field="11" count="3">
            <x v="73"/>
            <x v="83"/>
            <x v="84"/>
          </reference>
        </references>
      </pivotArea>
    </format>
    <format dxfId="272">
      <pivotArea dataOnly="0" labelOnly="1" outline="0" fieldPosition="0">
        <references count="2">
          <reference field="3" count="1" selected="0">
            <x v="6"/>
          </reference>
          <reference field="11" count="5">
            <x v="27"/>
            <x v="74"/>
            <x v="75"/>
            <x v="76"/>
            <x v="77"/>
          </reference>
        </references>
      </pivotArea>
    </format>
    <format dxfId="271">
      <pivotArea dataOnly="0" labelOnly="1" outline="0" fieldPosition="0">
        <references count="2">
          <reference field="3" count="1" selected="0">
            <x v="10"/>
          </reference>
          <reference field="11" count="1">
            <x v="42"/>
          </reference>
        </references>
      </pivotArea>
    </format>
    <format dxfId="270">
      <pivotArea dataOnly="0" labelOnly="1" outline="0" fieldPosition="0">
        <references count="1">
          <reference field="4294967294" count="2">
            <x v="0"/>
            <x v="1"/>
          </reference>
        </references>
      </pivotArea>
    </format>
    <format dxfId="269">
      <pivotArea field="14" type="button" dataOnly="0" labelOnly="1" outline="0" axis="axisRow" fieldPosition="2"/>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InsertBlankRowDefault="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eam" xr10:uid="{00000000-0013-0000-FFFF-FFFF01000000}" sourceName="Stream">
  <pivotTables>
    <pivotTable tabId="5" name="PivotTable1"/>
  </pivotTables>
  <data>
    <tabular pivotCacheId="2076102794" showMissing="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00000000-0013-0000-FFFF-FFFF02000000}" sourceName="Product Type">
  <pivotTables>
    <pivotTable tabId="5" name="PivotTable1"/>
  </pivotTables>
  <data>
    <tabular pivotCacheId="2076102794" showMissing="0">
      <items count="17">
        <i x="9" s="1"/>
        <i x="0" s="1"/>
        <i x="4" s="1"/>
        <i x="10" s="1"/>
        <i x="11" s="1"/>
        <i x="5" s="1"/>
        <i x="8" s="1"/>
        <i x="3" s="1"/>
        <i x="7" s="1"/>
        <i x="6" s="1"/>
        <i x="14" s="1"/>
        <i x="1" s="1"/>
        <i x="2" s="1"/>
        <i x="13" s="1"/>
        <i x="12" s="1"/>
        <i x="15" s="1" nd="1"/>
        <i x="1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dj_Type" xr10:uid="{00000000-0013-0000-FFFF-FFFF03000000}" sourceName="Adj Type">
  <pivotTables>
    <pivotTable tabId="9" name="detailsPivot"/>
  </pivotTables>
  <data>
    <tabular pivotCacheId="2076102794" showMissing="0">
      <items count="25">
        <i x="0" s="1"/>
        <i x="1" s="1"/>
        <i x="2" s="1"/>
        <i x="13" s="1"/>
        <i x="3" s="1"/>
        <i x="4" s="1"/>
        <i x="12" s="1"/>
        <i x="5" s="1"/>
        <i x="14" s="1"/>
        <i x="6" s="1"/>
        <i x="15" s="1"/>
        <i x="7" s="1"/>
        <i x="8" s="1"/>
        <i x="9" s="1"/>
        <i x="10" s="1"/>
        <i x="11" s="1"/>
        <i x="20" s="1" nd="1"/>
        <i x="19" s="1" nd="1"/>
        <i x="17" s="1" nd="1"/>
        <i x="18" s="1" nd="1"/>
        <i x="21" s="1" nd="1"/>
        <i x="22" s="1" nd="1"/>
        <i x="24" s="1" nd="1"/>
        <i x="23" s="1" nd="1"/>
        <i x="1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eam1" xr10:uid="{00000000-0013-0000-FFFF-FFFF04000000}" sourceName="Stream">
  <pivotTables>
    <pivotTable tabId="9" name="detailsPivot"/>
  </pivotTables>
  <data>
    <tabular pivotCacheId="2076102794" showMissing="0">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nsation_Status" xr10:uid="{00000000-0013-0000-FFFF-FFFF05000000}" sourceName="Compensation Status">
  <pivotTables>
    <pivotTable tabId="5" name="PivotTable1"/>
  </pivotTables>
  <data>
    <tabular pivotCacheId="2076102794" sortOrder="descending" showMissing="0">
      <items count="10">
        <i x="6" s="1"/>
        <i x="0" s="1"/>
        <i x="2" s="1"/>
        <i x="1" s="1"/>
        <i x="3" s="1"/>
        <i x="5" s="1"/>
        <i x="4" s="1"/>
        <i x="7" s="1"/>
        <i x="8" s="1"/>
        <i x="9"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eam2" xr10:uid="{00000000-0013-0000-FFFF-FFFF06000000}" sourceName="Stream">
  <pivotTables>
    <pivotTable tabId="11" name="PivotTable1"/>
  </pivotTables>
  <data>
    <tabular pivotCacheId="2076102794" showMissing="0">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1" xr10:uid="{00000000-0013-0000-FFFF-FFFF07000000}" sourceName="Product Type">
  <pivotTables>
    <pivotTable tabId="11" name="PivotTable1"/>
  </pivotTables>
  <data>
    <tabular pivotCacheId="2076102794">
      <items count="17">
        <i x="9" s="1"/>
        <i x="0" s="1"/>
        <i x="4" s="1"/>
        <i x="10" s="1"/>
        <i x="11" s="1"/>
        <i x="5" s="1"/>
        <i x="8" s="1"/>
        <i x="3" s="1"/>
        <i x="7" s="1"/>
        <i x="6" s="1"/>
        <i x="14" s="1"/>
        <i x="1" s="1"/>
        <i x="2" s="1"/>
        <i x="13" s="1"/>
        <i x="12" s="1"/>
        <i x="15" s="1" nd="1"/>
        <i x="16"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nsation_Status1" xr10:uid="{00000000-0013-0000-FFFF-FFFF08000000}" sourceName="Compensation Status">
  <pivotTables>
    <pivotTable tabId="11" name="PivotTable1"/>
  </pivotTables>
  <data>
    <tabular pivotCacheId="2076102794" sortOrder="descending" showMissing="0">
      <items count="10">
        <i x="6" s="1"/>
        <i x="0" s="1"/>
        <i x="2" s="1"/>
        <i x="1" s="1"/>
        <i x="3" s="1"/>
        <i x="5" s="1"/>
        <i x="4" s="1"/>
        <i x="7" s="1"/>
        <i x="8" s="1"/>
        <i x="9"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746F290-8F48-46D4-90AC-5EFE6C1AB076}" sourceName="Month">
  <pivotTables>
    <pivotTable tabId="9" name="detailsPivot"/>
  </pivotTables>
  <data>
    <tabular pivotCacheId="2076102794">
      <items count="12">
        <i x="0" s="1"/>
        <i x="1" s="1"/>
        <i x="6" s="1"/>
        <i x="8" s="1"/>
        <i x="5" s="1"/>
        <i x="4" s="1"/>
        <i x="2" s="1"/>
        <i x="7" s="1"/>
        <i x="3"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ream" xr10:uid="{00000000-0014-0000-FFFF-FFFF01000000}" cache="Slicer_Stream" caption="Stream" columnCount="2" rowHeight="234950"/>
  <slicer name="Product Type" xr10:uid="{00000000-0014-0000-FFFF-FFFF02000000}" cache="Slicer_Product_Type" caption="Product Type" rowHeight="234950"/>
  <slicer name="Compensation Status" xr10:uid="{00000000-0014-0000-FFFF-FFFF03000000}" cache="Slicer_Compensation_Status" caption="Compensation Status" columnCount="9"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ream 2" xr10:uid="{00000000-0014-0000-FFFF-FFFF04000000}" cache="Slicer_Stream2" caption="Stream" columnCount="2" rowHeight="234950"/>
  <slicer name="Product Type 1" xr10:uid="{00000000-0014-0000-FFFF-FFFF05000000}" cache="Slicer_Product_Type1" caption="Product Type" rowHeight="234950"/>
  <slicer name="Compensation Status 1" xr10:uid="{00000000-0014-0000-FFFF-FFFF06000000}" cache="Slicer_Compensation_Status1" caption="Compensation Status" columnCount="9"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dj Type" xr10:uid="{00000000-0014-0000-FFFF-FFFF07000000}" cache="Slicer_Adj_Type" caption="Adj Type" startItem="6" columnCount="3" rowHeight="234950"/>
  <slicer name="Stream 1" xr10:uid="{00000000-0014-0000-FFFF-FFFF08000000}" cache="Slicer_Stream1" caption="Stream" rowHeight="234950"/>
  <slicer name="Month" xr10:uid="{ED3C0F80-8173-46C7-BD6F-3019D74B28A5}" cache="Slicer_Month" caption="Month" startItem="2"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B7684A-8CFC-46B2-AC72-2AEABCE755D6}" name="Table3" displayName="Table3" ref="A1:G44" totalsRowShown="0" headerRowDxfId="352" headerRowBorderDxfId="351" tableBorderDxfId="350" totalsRowBorderDxfId="349">
  <autoFilter ref="A1:G44" xr:uid="{A0D37088-16C6-481C-98B2-79080448E63D}"/>
  <tableColumns count="7">
    <tableColumn id="1" xr3:uid="{C73F6AFF-5687-4C45-A265-ABE5B5FEDB85}" name="warehouse" dataDxfId="348"/>
    <tableColumn id="2" xr3:uid="{E57B1282-A1DA-4C2D-B0D9-6120A52F97BB}" name="product" dataDxfId="347"/>
    <tableColumn id="3" xr3:uid="{9D85F322-BC71-4ADA-AD58-BA7ABEFD659A}" name="dated"/>
    <tableColumn id="4" xr3:uid="{789F4C4D-376A-4D7A-B6B9-414775473B33}" name="transaction_type" dataDxfId="346"/>
    <tableColumn id="5" xr3:uid="{83A3EAAD-4597-45B5-9460-B203659D9CC1}" name="comments" dataDxfId="345"/>
    <tableColumn id="6" xr3:uid="{B09492A7-5880-47A3-BFA1-4693C3D39C30}" name="user_id" dataDxfId="344"/>
    <tableColumn id="7" xr3:uid="{ED33644C-1B94-4548-9D8B-07C2DA51096B}" name="movement_quantity" dataDxfId="343"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12BE5A1-130B-446A-A4D0-722B7555E63F}" name="Table5" displayName="Table5" ref="A1:H181" totalsRowShown="0" headerRowBorderDxfId="342" tableBorderDxfId="341" totalsRowBorderDxfId="340">
  <autoFilter ref="A1:H181" xr:uid="{512BE5A1-130B-446A-A4D0-722B7555E63F}"/>
  <tableColumns count="8">
    <tableColumn id="1" xr3:uid="{169C9275-6CCB-403B-A270-C335862DAFF3}" name="warehouse" dataDxfId="339"/>
    <tableColumn id="2" xr3:uid="{E0782759-5189-4517-B65C-A76DF210FF91}" name="product" dataDxfId="338"/>
    <tableColumn id="3" xr3:uid="{4ADC0274-631C-437A-A082-E8065B3431AA}" name="dated" dataDxfId="337"/>
    <tableColumn id="4" xr3:uid="{72341347-32DC-4006-9273-3C55E5C1C3BB}" name="transaction_type" dataDxfId="336"/>
    <tableColumn id="5" xr3:uid="{6F24C5BD-7F5E-4AFA-9DA2-18FAC2F25CB8}" name="comments" dataDxfId="335"/>
    <tableColumn id="6" xr3:uid="{F5F85C52-6095-4FFC-A232-08DDC5E75A16}" name="user_id" dataDxfId="334"/>
    <tableColumn id="7" xr3:uid="{4F5EDD6F-64CB-42AC-8C81-7DD5A3C6702A}" name="movement_quantity" dataDxfId="333" dataCellStyle="Comma"/>
    <tableColumn id="8" xr3:uid="{277894EF-834D-44E5-879E-326725F48C9F}" name="movement_cost" dataDxfId="33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1288CCA-7528-4FDE-BE36-CF76C212B13B}" name="Table1" displayName="Table1" ref="A1:G68" totalsRowShown="0" headerRowDxfId="331" headerRowBorderDxfId="330" tableBorderDxfId="329" totalsRowBorderDxfId="328">
  <autoFilter ref="A1:G68" xr:uid="{F90BC7BD-9C01-466D-8DE9-CBCDF44D9981}"/>
  <tableColumns count="7">
    <tableColumn id="1" xr3:uid="{44678C2D-CBA2-498F-9C39-63C5DAB3FAFD}" name="warehouse" dataDxfId="327"/>
    <tableColumn id="2" xr3:uid="{88076F44-FE7D-44AD-9F0A-BD470C8FF462}" name="product" dataDxfId="326"/>
    <tableColumn id="3" xr3:uid="{99ABD674-1C56-4BDA-AB81-6FCBD6D12947}" name="dated" dataDxfId="325"/>
    <tableColumn id="4" xr3:uid="{39E9A074-A497-421F-95A5-7C4FBD0A43BE}" name="transaction_type" dataDxfId="324"/>
    <tableColumn id="5" xr3:uid="{E7CD48B4-C63E-4613-BDDA-69FA6ACE4B7E}" name="comments" dataDxfId="323"/>
    <tableColumn id="6" xr3:uid="{ADFCD6F4-49B2-406B-80E7-E1661FB6A724}" name="user_id" dataDxfId="322"/>
    <tableColumn id="7" xr3:uid="{A7603D8D-6AA7-4B9B-A1E3-09ADA542129B}" name="movement_quantity" dataDxfId="321" dataCellStyle="Comma"/>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AB1222" totalsRowShown="0">
  <autoFilter ref="A1:AB1222" xr:uid="{00000000-0009-0000-0100-000002000000}"/>
  <tableColumns count="28">
    <tableColumn id="29" xr3:uid="{4D848886-F415-4E1A-8108-8ABD38ECD602}" name="Month" dataDxfId="268">
      <calculatedColumnFormula>TEXT(Table2[[#This Row],[dated]],"mmm")</calculatedColumnFormula>
    </tableColumn>
    <tableColumn id="1" xr3:uid="{00000000-0010-0000-0000-000001000000}" name="warehouse"/>
    <tableColumn id="18" xr3:uid="{00000000-0010-0000-0000-000012000000}" name="Adj Type" dataDxfId="267"/>
    <tableColumn id="15" xr3:uid="{00000000-0010-0000-0000-00000F000000}" name="Product Type" dataDxfId="266">
      <calculatedColumnFormula>VLOOKUP(Table2[[#This Row],[product]],Ref[#All],7,FALSE)</calculatedColumnFormula>
    </tableColumn>
    <tableColumn id="2" xr3:uid="{00000000-0010-0000-0000-000002000000}" name="product"/>
    <tableColumn id="19" xr3:uid="{00000000-0010-0000-0000-000013000000}" name="product description" dataDxfId="265"/>
    <tableColumn id="17" xr3:uid="{00000000-0010-0000-0000-000011000000}" name="Short Description" dataDxfId="264">
      <calculatedColumnFormula>VLOOKUP(Table2[[#This Row],[product]],Ref[#All],3,FALSE)</calculatedColumnFormula>
    </tableColumn>
    <tableColumn id="21" xr3:uid="{00000000-0010-0000-0000-000015000000}" name="Stream" dataDxfId="263"/>
    <tableColumn id="3" xr3:uid="{00000000-0010-0000-0000-000003000000}" name="dated" dataDxfId="262"/>
    <tableColumn id="4" xr3:uid="{00000000-0010-0000-0000-000004000000}" name="transaction_type"/>
    <tableColumn id="5" xr3:uid="{00000000-0010-0000-0000-000005000000}" name="comments"/>
    <tableColumn id="24" xr3:uid="{00000000-0010-0000-0000-000018000000}" name="Remarks"/>
    <tableColumn id="23" xr3:uid="{00000000-0010-0000-0000-000017000000}" name="Adj. Type"/>
    <tableColumn id="22" xr3:uid="{00000000-0010-0000-0000-000016000000}" name="Variance Classification"/>
    <tableColumn id="26" xr3:uid="{00000000-0010-0000-0000-00001A000000}" name="Compensation Status"/>
    <tableColumn id="25" xr3:uid="{00000000-0010-0000-0000-000019000000}" name="Compensation Process"/>
    <tableColumn id="6" xr3:uid="{00000000-0010-0000-0000-000006000000}" name="user_id"/>
    <tableColumn id="7" xr3:uid="{00000000-0010-0000-0000-000007000000}" name="movement_quantity"/>
    <tableColumn id="27" xr3:uid="{00000000-0010-0000-0000-00001B000000}" name="QTY -MT" dataDxfId="261"/>
    <tableColumn id="8" xr3:uid="{00000000-0010-0000-0000-000008000000}" name="movement_cost"/>
    <tableColumn id="9" xr3:uid="{00000000-0010-0000-0000-000009000000}" name="to_bin_number"/>
    <tableColumn id="10" xr3:uid="{00000000-0010-0000-0000-00000A000000}" name="sequence_no"/>
    <tableColumn id="11" xr3:uid="{00000000-0010-0000-0000-00000B000000}" name="movement_reference"/>
    <tableColumn id="12" xr3:uid="{00000000-0010-0000-0000-00000C000000}" name="movement_source"/>
    <tableColumn id="13" xr3:uid="{00000000-0010-0000-0000-00000D000000}" name="batch_number"/>
    <tableColumn id="14" xr3:uid="{00000000-0010-0000-0000-00000E000000}" name="opening_balance"/>
    <tableColumn id="16" xr3:uid="{00000000-0010-0000-0000-000010000000}" name="Value " dataCellStyle="Comma"/>
    <tableColumn id="28" xr3:uid="{00000000-0010-0000-0000-00001C000000}" name="Unit" dataDxfId="26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A20AE59-F69A-4252-A30E-6D20E63F8C5F}" name="Ref" displayName="Ref" ref="A1:G93" totalsRowShown="0">
  <autoFilter ref="A1:G93" xr:uid="{5EF418CE-77D2-4BD9-8183-F941E1B9EB7C}"/>
  <tableColumns count="7">
    <tableColumn id="1" xr3:uid="{492EA2C9-799D-44C9-A058-5B08ABF6E6B9}" name="Product"/>
    <tableColumn id="2" xr3:uid="{EA109395-E702-4435-80B7-57A29ADDCFE4}" name="Product Description"/>
    <tableColumn id="7" xr3:uid="{6F74CAC0-DE73-4FA6-B649-62C6CF9D9105}" name="Short Description"/>
    <tableColumn id="3" xr3:uid="{5A161CA3-87DB-4961-8E16-804035A20143}" name="Stream"/>
    <tableColumn id="4" xr3:uid="{751F09D3-05C1-4162-AB3F-CAD733DD246A}" name="Conversion"/>
    <tableColumn id="5" xr3:uid="{0F914FE8-2DBC-4722-972E-2ACF5D81E5A7}" name="Unit"/>
    <tableColumn id="6" xr3:uid="{086BFA0A-724D-47AB-9C0B-1E8569616AF3}" name="Product Type"/>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159" dT="2025-12-10T14:16:27.67" personId="{7BA10891-1DAE-48F9-9C92-A59B3B9D7493}" id="{94474D10-688D-493C-B89E-AE501E5F809D}">
    <text>will be deducted within 4 months(77 M)</text>
  </threadedComment>
  <threadedComment ref="P1160" dT="2025-12-10T14:16:39.94" personId="{7BA10891-1DAE-48F9-9C92-A59B3B9D7493}" id="{22229C61-6F69-4DEF-9822-37BC7C09171F}">
    <text>will be deducted within 4 months(77 M)</text>
  </threadedComment>
  <threadedComment ref="P1161" dT="2025-12-10T14:16:46.11" personId="{7BA10891-1DAE-48F9-9C92-A59B3B9D7493}" id="{FD5AB06B-09F9-4E82-80F4-CFBA263BBABC}">
    <text>will be deducted within 4 months(77 M)</text>
  </threadedComment>
  <threadedComment ref="P1162" dT="2025-12-10T14:16:52.94" personId="{7BA10891-1DAE-48F9-9C92-A59B3B9D7493}" id="{B1EACF9D-3B5F-4410-B6A5-3125A9D91652}">
    <text>will be deducted within 4 months(77 M)</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941E9-C9B8-4F2E-8602-BFC8D651EBBB}">
  <dimension ref="A1:K44"/>
  <sheetViews>
    <sheetView topLeftCell="A22" workbookViewId="0"/>
  </sheetViews>
  <sheetFormatPr defaultRowHeight="15" x14ac:dyDescent="0.25"/>
  <cols>
    <col min="1" max="1" width="13" customWidth="1"/>
    <col min="2" max="2" width="10" customWidth="1"/>
    <col min="3" max="3" width="14.85546875" bestFit="1" customWidth="1"/>
    <col min="4" max="4" width="18" customWidth="1"/>
    <col min="5" max="5" width="12.42578125" customWidth="1"/>
    <col min="6" max="6" width="9.7109375" customWidth="1"/>
    <col min="7" max="7" width="22.7109375" customWidth="1"/>
    <col min="10" max="10" width="13.140625" bestFit="1" customWidth="1"/>
    <col min="11" max="11" width="26.28515625" style="2" bestFit="1" customWidth="1"/>
  </cols>
  <sheetData>
    <row r="1" spans="1:11" x14ac:dyDescent="0.25">
      <c r="A1" s="41" t="s">
        <v>0</v>
      </c>
      <c r="B1" s="41" t="s">
        <v>1</v>
      </c>
      <c r="C1" s="42" t="s">
        <v>2</v>
      </c>
      <c r="D1" s="41" t="s">
        <v>3</v>
      </c>
      <c r="E1" s="42" t="s">
        <v>4</v>
      </c>
      <c r="F1" s="42" t="s">
        <v>5</v>
      </c>
      <c r="G1" s="43" t="s">
        <v>6</v>
      </c>
    </row>
    <row r="2" spans="1:11" x14ac:dyDescent="0.25">
      <c r="A2" s="44" t="s">
        <v>811</v>
      </c>
      <c r="B2" s="44" t="s">
        <v>45</v>
      </c>
      <c r="C2" s="45">
        <v>45626</v>
      </c>
      <c r="D2" s="44" t="s">
        <v>2732</v>
      </c>
      <c r="E2" s="46" t="s">
        <v>2799</v>
      </c>
      <c r="F2" s="46" t="s">
        <v>2734</v>
      </c>
      <c r="G2" s="52">
        <v>20000</v>
      </c>
    </row>
    <row r="3" spans="1:11" x14ac:dyDescent="0.25">
      <c r="A3" s="48" t="s">
        <v>811</v>
      </c>
      <c r="B3" s="48" t="s">
        <v>853</v>
      </c>
      <c r="C3" s="49">
        <v>45626</v>
      </c>
      <c r="D3" s="48" t="s">
        <v>2732</v>
      </c>
      <c r="E3" s="21" t="s">
        <v>2800</v>
      </c>
      <c r="F3" s="21" t="s">
        <v>2734</v>
      </c>
      <c r="G3" s="35">
        <v>12500</v>
      </c>
      <c r="J3" s="3" t="s">
        <v>2842</v>
      </c>
      <c r="K3" t="s">
        <v>2737</v>
      </c>
    </row>
    <row r="4" spans="1:11" x14ac:dyDescent="0.25">
      <c r="A4" s="44" t="s">
        <v>20</v>
      </c>
      <c r="B4" s="44" t="s">
        <v>39</v>
      </c>
      <c r="C4" s="45">
        <v>45637</v>
      </c>
      <c r="D4" s="44" t="s">
        <v>2732</v>
      </c>
      <c r="E4" s="46" t="s">
        <v>2801</v>
      </c>
      <c r="F4" s="46" t="s">
        <v>2739</v>
      </c>
      <c r="G4" s="52">
        <v>28000</v>
      </c>
      <c r="J4" s="51" t="s">
        <v>36</v>
      </c>
      <c r="K4" s="83">
        <v>628200</v>
      </c>
    </row>
    <row r="5" spans="1:11" x14ac:dyDescent="0.25">
      <c r="A5" s="48" t="s">
        <v>20</v>
      </c>
      <c r="B5" s="48" t="s">
        <v>39</v>
      </c>
      <c r="C5" s="49">
        <v>45637</v>
      </c>
      <c r="D5" s="48" t="s">
        <v>2732</v>
      </c>
      <c r="E5" s="21" t="s">
        <v>2802</v>
      </c>
      <c r="F5" s="21" t="s">
        <v>2739</v>
      </c>
      <c r="G5" s="35">
        <v>28000</v>
      </c>
      <c r="J5" s="51" t="s">
        <v>39</v>
      </c>
      <c r="K5" s="83">
        <v>334200</v>
      </c>
    </row>
    <row r="6" spans="1:11" x14ac:dyDescent="0.25">
      <c r="A6" s="44" t="s">
        <v>20</v>
      </c>
      <c r="B6" s="44" t="s">
        <v>36</v>
      </c>
      <c r="C6" s="45">
        <v>45637</v>
      </c>
      <c r="D6" s="44" t="s">
        <v>2732</v>
      </c>
      <c r="E6" s="46" t="s">
        <v>2803</v>
      </c>
      <c r="F6" s="46" t="s">
        <v>2747</v>
      </c>
      <c r="G6" s="52">
        <v>200000</v>
      </c>
      <c r="J6" s="51" t="s">
        <v>853</v>
      </c>
      <c r="K6" s="83">
        <v>12500</v>
      </c>
    </row>
    <row r="7" spans="1:11" x14ac:dyDescent="0.25">
      <c r="A7" s="48" t="s">
        <v>20</v>
      </c>
      <c r="B7" s="48" t="s">
        <v>176</v>
      </c>
      <c r="C7" s="49">
        <v>45635</v>
      </c>
      <c r="D7" s="48" t="s">
        <v>2732</v>
      </c>
      <c r="E7" s="21" t="s">
        <v>2804</v>
      </c>
      <c r="F7" s="21" t="s">
        <v>2739</v>
      </c>
      <c r="G7" s="35">
        <v>13500</v>
      </c>
      <c r="J7" s="51" t="s">
        <v>2742</v>
      </c>
      <c r="K7" s="83">
        <v>3500</v>
      </c>
    </row>
    <row r="8" spans="1:11" x14ac:dyDescent="0.25">
      <c r="A8" s="44" t="s">
        <v>20</v>
      </c>
      <c r="B8" s="44" t="s">
        <v>39</v>
      </c>
      <c r="C8" s="45">
        <v>45638</v>
      </c>
      <c r="D8" s="44" t="s">
        <v>2732</v>
      </c>
      <c r="E8" s="46" t="s">
        <v>2805</v>
      </c>
      <c r="F8" s="46" t="s">
        <v>2739</v>
      </c>
      <c r="G8" s="61">
        <v>12600</v>
      </c>
      <c r="J8" s="51" t="s">
        <v>2825</v>
      </c>
      <c r="K8" s="83">
        <v>5284</v>
      </c>
    </row>
    <row r="9" spans="1:11" x14ac:dyDescent="0.25">
      <c r="A9" s="48" t="s">
        <v>20</v>
      </c>
      <c r="B9" s="48" t="s">
        <v>176</v>
      </c>
      <c r="C9" s="49">
        <v>45638</v>
      </c>
      <c r="D9" s="48" t="s">
        <v>2732</v>
      </c>
      <c r="E9" s="21" t="s">
        <v>2806</v>
      </c>
      <c r="F9" s="21" t="s">
        <v>2739</v>
      </c>
      <c r="G9" s="50">
        <v>1350</v>
      </c>
      <c r="J9" s="51" t="s">
        <v>47</v>
      </c>
      <c r="K9" s="83">
        <v>100875</v>
      </c>
    </row>
    <row r="10" spans="1:11" x14ac:dyDescent="0.25">
      <c r="A10" s="44" t="s">
        <v>20</v>
      </c>
      <c r="B10" s="44" t="s">
        <v>176</v>
      </c>
      <c r="C10" s="45">
        <v>45640</v>
      </c>
      <c r="D10" s="44" t="s">
        <v>2732</v>
      </c>
      <c r="E10" s="46" t="s">
        <v>2806</v>
      </c>
      <c r="F10" s="46" t="s">
        <v>2739</v>
      </c>
      <c r="G10" s="47">
        <v>12150</v>
      </c>
      <c r="J10" s="51" t="s">
        <v>45</v>
      </c>
      <c r="K10" s="83">
        <v>40000</v>
      </c>
    </row>
    <row r="11" spans="1:11" x14ac:dyDescent="0.25">
      <c r="A11" s="48" t="s">
        <v>20</v>
      </c>
      <c r="B11" s="48" t="s">
        <v>39</v>
      </c>
      <c r="C11" s="49">
        <v>45638</v>
      </c>
      <c r="D11" s="48" t="s">
        <v>2732</v>
      </c>
      <c r="E11" s="21" t="s">
        <v>2807</v>
      </c>
      <c r="F11" s="21" t="s">
        <v>2739</v>
      </c>
      <c r="G11" s="50">
        <v>28000</v>
      </c>
      <c r="J11" s="51" t="s">
        <v>176</v>
      </c>
      <c r="K11" s="83">
        <v>54000</v>
      </c>
    </row>
    <row r="12" spans="1:11" x14ac:dyDescent="0.25">
      <c r="A12" s="44" t="s">
        <v>20</v>
      </c>
      <c r="B12" s="44" t="s">
        <v>39</v>
      </c>
      <c r="C12" s="45">
        <v>45644</v>
      </c>
      <c r="D12" s="44" t="s">
        <v>2732</v>
      </c>
      <c r="E12" s="46" t="s">
        <v>2808</v>
      </c>
      <c r="F12" s="46" t="s">
        <v>2739</v>
      </c>
      <c r="G12" s="52">
        <v>26600</v>
      </c>
      <c r="J12" s="51" t="s">
        <v>72</v>
      </c>
      <c r="K12" s="83">
        <v>100000</v>
      </c>
    </row>
    <row r="13" spans="1:11" x14ac:dyDescent="0.25">
      <c r="A13" s="48" t="s">
        <v>20</v>
      </c>
      <c r="B13" s="48" t="s">
        <v>39</v>
      </c>
      <c r="C13" s="54">
        <v>45650</v>
      </c>
      <c r="D13" s="48" t="s">
        <v>2732</v>
      </c>
      <c r="E13" s="21" t="s">
        <v>2809</v>
      </c>
      <c r="F13" s="21" t="s">
        <v>2739</v>
      </c>
      <c r="G13" s="35">
        <v>1400</v>
      </c>
      <c r="J13" s="51" t="s">
        <v>16</v>
      </c>
      <c r="K13" s="83">
        <v>100000</v>
      </c>
    </row>
    <row r="14" spans="1:11" x14ac:dyDescent="0.25">
      <c r="A14" s="44" t="s">
        <v>811</v>
      </c>
      <c r="B14" s="44" t="s">
        <v>36</v>
      </c>
      <c r="C14" s="45">
        <v>45657</v>
      </c>
      <c r="D14" s="44" t="s">
        <v>2732</v>
      </c>
      <c r="E14" s="46" t="s">
        <v>2810</v>
      </c>
      <c r="F14" s="46" t="s">
        <v>2734</v>
      </c>
      <c r="G14" s="47">
        <v>20000</v>
      </c>
      <c r="J14" s="51" t="s">
        <v>1115</v>
      </c>
      <c r="K14" s="83">
        <v>1378559</v>
      </c>
    </row>
    <row r="15" spans="1:11" x14ac:dyDescent="0.25">
      <c r="A15" s="48" t="s">
        <v>811</v>
      </c>
      <c r="B15" s="48" t="s">
        <v>36</v>
      </c>
      <c r="C15" s="49">
        <v>45657</v>
      </c>
      <c r="D15" s="48" t="s">
        <v>2732</v>
      </c>
      <c r="E15" s="21" t="s">
        <v>2811</v>
      </c>
      <c r="F15" s="21" t="s">
        <v>2734</v>
      </c>
      <c r="G15" s="62">
        <v>20000</v>
      </c>
    </row>
    <row r="16" spans="1:11" x14ac:dyDescent="0.25">
      <c r="A16" s="44" t="s">
        <v>811</v>
      </c>
      <c r="B16" s="44" t="s">
        <v>36</v>
      </c>
      <c r="C16" s="45">
        <v>45657</v>
      </c>
      <c r="D16" s="44" t="s">
        <v>2732</v>
      </c>
      <c r="E16" s="46" t="s">
        <v>2812</v>
      </c>
      <c r="F16" s="46" t="s">
        <v>2734</v>
      </c>
      <c r="G16" s="47">
        <v>20000</v>
      </c>
    </row>
    <row r="17" spans="1:7" x14ac:dyDescent="0.25">
      <c r="A17" s="48" t="s">
        <v>811</v>
      </c>
      <c r="B17" s="48" t="s">
        <v>36</v>
      </c>
      <c r="C17" s="54">
        <v>45572</v>
      </c>
      <c r="D17" s="48" t="s">
        <v>2732</v>
      </c>
      <c r="E17" s="21" t="s">
        <v>2813</v>
      </c>
      <c r="F17" s="21" t="s">
        <v>2734</v>
      </c>
      <c r="G17" s="35">
        <v>20000</v>
      </c>
    </row>
    <row r="18" spans="1:7" x14ac:dyDescent="0.25">
      <c r="A18" s="44" t="s">
        <v>811</v>
      </c>
      <c r="B18" s="44" t="s">
        <v>36</v>
      </c>
      <c r="C18" s="53">
        <v>45574</v>
      </c>
      <c r="D18" s="44" t="s">
        <v>2732</v>
      </c>
      <c r="E18" s="46" t="s">
        <v>2814</v>
      </c>
      <c r="F18" s="46" t="s">
        <v>2734</v>
      </c>
      <c r="G18" s="52">
        <v>20000</v>
      </c>
    </row>
    <row r="19" spans="1:7" x14ac:dyDescent="0.25">
      <c r="A19" s="48" t="s">
        <v>811</v>
      </c>
      <c r="B19" s="48" t="s">
        <v>36</v>
      </c>
      <c r="C19" s="54">
        <v>45574</v>
      </c>
      <c r="D19" s="48" t="s">
        <v>2732</v>
      </c>
      <c r="E19" s="21" t="s">
        <v>2815</v>
      </c>
      <c r="F19" s="21" t="s">
        <v>2734</v>
      </c>
      <c r="G19" s="35">
        <v>20000</v>
      </c>
    </row>
    <row r="20" spans="1:7" x14ac:dyDescent="0.25">
      <c r="A20" s="44" t="s">
        <v>20</v>
      </c>
      <c r="B20" s="44" t="s">
        <v>72</v>
      </c>
      <c r="C20" s="53">
        <v>45581</v>
      </c>
      <c r="D20" s="44" t="s">
        <v>2732</v>
      </c>
      <c r="E20" s="46" t="s">
        <v>2816</v>
      </c>
      <c r="F20" s="46" t="s">
        <v>2747</v>
      </c>
      <c r="G20" s="52">
        <v>100000</v>
      </c>
    </row>
    <row r="21" spans="1:7" x14ac:dyDescent="0.25">
      <c r="A21" s="48" t="s">
        <v>20</v>
      </c>
      <c r="B21" s="48" t="s">
        <v>16</v>
      </c>
      <c r="C21" s="54">
        <v>45581</v>
      </c>
      <c r="D21" s="48" t="s">
        <v>2732</v>
      </c>
      <c r="E21" s="21" t="s">
        <v>2817</v>
      </c>
      <c r="F21" s="21" t="s">
        <v>2747</v>
      </c>
      <c r="G21" s="35">
        <v>100000</v>
      </c>
    </row>
    <row r="22" spans="1:7" x14ac:dyDescent="0.25">
      <c r="A22" s="44" t="s">
        <v>20</v>
      </c>
      <c r="B22" s="44" t="s">
        <v>47</v>
      </c>
      <c r="C22" s="45">
        <v>45585</v>
      </c>
      <c r="D22" s="44" t="s">
        <v>2732</v>
      </c>
      <c r="E22" s="46" t="s">
        <v>2818</v>
      </c>
      <c r="F22" s="46" t="s">
        <v>2739</v>
      </c>
      <c r="G22" s="52">
        <v>13500</v>
      </c>
    </row>
    <row r="23" spans="1:7" x14ac:dyDescent="0.25">
      <c r="A23" s="48" t="s">
        <v>20</v>
      </c>
      <c r="B23" s="48" t="s">
        <v>47</v>
      </c>
      <c r="C23" s="49">
        <v>45585</v>
      </c>
      <c r="D23" s="48" t="s">
        <v>2732</v>
      </c>
      <c r="E23" s="21" t="s">
        <v>2819</v>
      </c>
      <c r="F23" s="21" t="s">
        <v>2739</v>
      </c>
      <c r="G23" s="35">
        <v>13500</v>
      </c>
    </row>
    <row r="24" spans="1:7" x14ac:dyDescent="0.25">
      <c r="A24" s="44" t="s">
        <v>20</v>
      </c>
      <c r="B24" s="44" t="s">
        <v>39</v>
      </c>
      <c r="C24" s="45">
        <v>45585</v>
      </c>
      <c r="D24" s="44" t="s">
        <v>2732</v>
      </c>
      <c r="E24" s="46" t="s">
        <v>2820</v>
      </c>
      <c r="F24" s="46" t="s">
        <v>2739</v>
      </c>
      <c r="G24" s="52">
        <v>10000</v>
      </c>
    </row>
    <row r="25" spans="1:7" x14ac:dyDescent="0.25">
      <c r="A25" s="48" t="s">
        <v>20</v>
      </c>
      <c r="B25" s="48" t="s">
        <v>39</v>
      </c>
      <c r="C25" s="49">
        <v>45586</v>
      </c>
      <c r="D25" s="48" t="s">
        <v>2732</v>
      </c>
      <c r="E25" s="21" t="s">
        <v>2821</v>
      </c>
      <c r="F25" s="21" t="s">
        <v>2739</v>
      </c>
      <c r="G25" s="62">
        <v>25000</v>
      </c>
    </row>
    <row r="26" spans="1:7" x14ac:dyDescent="0.25">
      <c r="A26" s="44" t="s">
        <v>811</v>
      </c>
      <c r="B26" s="44" t="s">
        <v>36</v>
      </c>
      <c r="C26" s="53">
        <v>45585</v>
      </c>
      <c r="D26" s="44" t="s">
        <v>2732</v>
      </c>
      <c r="E26" s="46" t="s">
        <v>2822</v>
      </c>
      <c r="F26" s="46" t="s">
        <v>2734</v>
      </c>
      <c r="G26" s="52">
        <v>22000</v>
      </c>
    </row>
    <row r="27" spans="1:7" x14ac:dyDescent="0.25">
      <c r="A27" s="48" t="s">
        <v>20</v>
      </c>
      <c r="B27" s="48" t="s">
        <v>39</v>
      </c>
      <c r="C27" s="49">
        <v>45587</v>
      </c>
      <c r="D27" s="48" t="s">
        <v>2732</v>
      </c>
      <c r="E27" s="21" t="s">
        <v>2823</v>
      </c>
      <c r="F27" s="21" t="s">
        <v>2739</v>
      </c>
      <c r="G27" s="35">
        <v>25000</v>
      </c>
    </row>
    <row r="28" spans="1:7" x14ac:dyDescent="0.25">
      <c r="A28" s="44" t="s">
        <v>811</v>
      </c>
      <c r="B28" s="44" t="s">
        <v>36</v>
      </c>
      <c r="C28" s="53">
        <v>45586</v>
      </c>
      <c r="D28" s="44" t="s">
        <v>2732</v>
      </c>
      <c r="E28" s="46" t="s">
        <v>2824</v>
      </c>
      <c r="F28" s="46" t="s">
        <v>2734</v>
      </c>
      <c r="G28" s="52">
        <v>24200</v>
      </c>
    </row>
    <row r="29" spans="1:7" x14ac:dyDescent="0.25">
      <c r="A29" s="48" t="s">
        <v>20</v>
      </c>
      <c r="B29" s="48" t="s">
        <v>2825</v>
      </c>
      <c r="C29" s="54">
        <v>45589</v>
      </c>
      <c r="D29" s="48" t="s">
        <v>2732</v>
      </c>
      <c r="E29" s="21" t="s">
        <v>2826</v>
      </c>
      <c r="F29" s="21" t="s">
        <v>2747</v>
      </c>
      <c r="G29" s="35">
        <v>4352</v>
      </c>
    </row>
    <row r="30" spans="1:7" x14ac:dyDescent="0.25">
      <c r="A30" s="44" t="s">
        <v>20</v>
      </c>
      <c r="B30" s="44" t="s">
        <v>39</v>
      </c>
      <c r="C30" s="63">
        <v>45589</v>
      </c>
      <c r="D30" s="44" t="s">
        <v>2732</v>
      </c>
      <c r="E30" s="46" t="s">
        <v>2827</v>
      </c>
      <c r="F30" s="46" t="s">
        <v>2739</v>
      </c>
      <c r="G30" s="52">
        <v>25000</v>
      </c>
    </row>
    <row r="31" spans="1:7" x14ac:dyDescent="0.25">
      <c r="A31" s="48" t="s">
        <v>20</v>
      </c>
      <c r="B31" s="48" t="s">
        <v>47</v>
      </c>
      <c r="C31" s="54">
        <v>45589</v>
      </c>
      <c r="D31" s="48" t="s">
        <v>2732</v>
      </c>
      <c r="E31" s="21" t="s">
        <v>2828</v>
      </c>
      <c r="F31" s="21" t="s">
        <v>2739</v>
      </c>
      <c r="G31" s="35">
        <v>27000</v>
      </c>
    </row>
    <row r="32" spans="1:7" x14ac:dyDescent="0.25">
      <c r="A32" s="44" t="s">
        <v>20</v>
      </c>
      <c r="B32" s="44" t="s">
        <v>36</v>
      </c>
      <c r="C32" s="63">
        <v>45592</v>
      </c>
      <c r="D32" s="44" t="s">
        <v>2732</v>
      </c>
      <c r="E32" s="46" t="s">
        <v>2829</v>
      </c>
      <c r="F32" s="46" t="s">
        <v>2747</v>
      </c>
      <c r="G32" s="52">
        <v>240000</v>
      </c>
    </row>
    <row r="33" spans="1:7" x14ac:dyDescent="0.25">
      <c r="A33" s="48" t="s">
        <v>20</v>
      </c>
      <c r="B33" s="48" t="s">
        <v>2825</v>
      </c>
      <c r="C33" s="63">
        <v>45591</v>
      </c>
      <c r="D33" s="48" t="s">
        <v>2732</v>
      </c>
      <c r="E33" s="21" t="s">
        <v>2830</v>
      </c>
      <c r="F33" s="21" t="s">
        <v>2747</v>
      </c>
      <c r="G33" s="35">
        <v>932</v>
      </c>
    </row>
    <row r="34" spans="1:7" x14ac:dyDescent="0.25">
      <c r="A34" s="44" t="s">
        <v>20</v>
      </c>
      <c r="B34" s="44" t="s">
        <v>39</v>
      </c>
      <c r="C34" s="45">
        <v>45595</v>
      </c>
      <c r="D34" s="44" t="s">
        <v>2732</v>
      </c>
      <c r="E34" s="46" t="s">
        <v>2831</v>
      </c>
      <c r="F34" s="46" t="s">
        <v>2739</v>
      </c>
      <c r="G34" s="52">
        <v>28000</v>
      </c>
    </row>
    <row r="35" spans="1:7" x14ac:dyDescent="0.25">
      <c r="A35" s="48" t="s">
        <v>811</v>
      </c>
      <c r="B35" s="48" t="s">
        <v>36</v>
      </c>
      <c r="C35" s="54">
        <v>45596</v>
      </c>
      <c r="D35" s="48" t="s">
        <v>2732</v>
      </c>
      <c r="E35" s="21" t="s">
        <v>2832</v>
      </c>
      <c r="F35" s="21" t="s">
        <v>2734</v>
      </c>
      <c r="G35" s="35">
        <v>22000</v>
      </c>
    </row>
    <row r="36" spans="1:7" x14ac:dyDescent="0.25">
      <c r="A36" s="44" t="s">
        <v>20</v>
      </c>
      <c r="B36" s="44" t="s">
        <v>39</v>
      </c>
      <c r="C36" s="45">
        <v>45601</v>
      </c>
      <c r="D36" s="44" t="s">
        <v>2732</v>
      </c>
      <c r="E36" s="46" t="s">
        <v>2833</v>
      </c>
      <c r="F36" s="46" t="s">
        <v>2739</v>
      </c>
      <c r="G36" s="52">
        <v>28000</v>
      </c>
    </row>
    <row r="37" spans="1:7" x14ac:dyDescent="0.25">
      <c r="A37" s="48" t="s">
        <v>811</v>
      </c>
      <c r="B37" s="48" t="s">
        <v>45</v>
      </c>
      <c r="C37" s="49">
        <v>45601</v>
      </c>
      <c r="D37" s="48" t="s">
        <v>2732</v>
      </c>
      <c r="E37" s="21" t="s">
        <v>2834</v>
      </c>
      <c r="F37" s="21" t="s">
        <v>2734</v>
      </c>
      <c r="G37" s="35">
        <v>20000</v>
      </c>
    </row>
    <row r="38" spans="1:7" x14ac:dyDescent="0.25">
      <c r="A38" s="44" t="s">
        <v>20</v>
      </c>
      <c r="B38" s="44" t="s">
        <v>39</v>
      </c>
      <c r="C38" s="45">
        <v>45602</v>
      </c>
      <c r="D38" s="44" t="s">
        <v>2732</v>
      </c>
      <c r="E38" s="46" t="s">
        <v>2835</v>
      </c>
      <c r="F38" s="46" t="s">
        <v>2739</v>
      </c>
      <c r="G38" s="52">
        <v>40600</v>
      </c>
    </row>
    <row r="39" spans="1:7" x14ac:dyDescent="0.25">
      <c r="A39" s="48" t="s">
        <v>20</v>
      </c>
      <c r="B39" s="48" t="s">
        <v>39</v>
      </c>
      <c r="C39" s="54">
        <v>45602</v>
      </c>
      <c r="D39" s="48" t="s">
        <v>2732</v>
      </c>
      <c r="E39" s="21" t="s">
        <v>2836</v>
      </c>
      <c r="F39" s="21" t="s">
        <v>2739</v>
      </c>
      <c r="G39" s="35">
        <v>28000</v>
      </c>
    </row>
    <row r="40" spans="1:7" x14ac:dyDescent="0.25">
      <c r="A40" s="44" t="s">
        <v>20</v>
      </c>
      <c r="B40" s="44" t="s">
        <v>176</v>
      </c>
      <c r="C40" s="45">
        <v>45610</v>
      </c>
      <c r="D40" s="44" t="s">
        <v>2732</v>
      </c>
      <c r="E40" s="46" t="s">
        <v>2837</v>
      </c>
      <c r="F40" s="46" t="s">
        <v>2739</v>
      </c>
      <c r="G40" s="52">
        <v>13500</v>
      </c>
    </row>
    <row r="41" spans="1:7" x14ac:dyDescent="0.25">
      <c r="A41" s="48" t="s">
        <v>20</v>
      </c>
      <c r="B41" s="48" t="s">
        <v>2742</v>
      </c>
      <c r="C41" s="49">
        <v>45609</v>
      </c>
      <c r="D41" s="48" t="s">
        <v>2732</v>
      </c>
      <c r="E41" s="21" t="s">
        <v>2838</v>
      </c>
      <c r="F41" s="21" t="s">
        <v>2747</v>
      </c>
      <c r="G41" s="35">
        <v>3500</v>
      </c>
    </row>
    <row r="42" spans="1:7" x14ac:dyDescent="0.25">
      <c r="A42" s="44" t="s">
        <v>20</v>
      </c>
      <c r="B42" s="44" t="s">
        <v>176</v>
      </c>
      <c r="C42" s="45">
        <v>45610</v>
      </c>
      <c r="D42" s="44" t="s">
        <v>2732</v>
      </c>
      <c r="E42" s="46" t="s">
        <v>2839</v>
      </c>
      <c r="F42" s="46" t="s">
        <v>2739</v>
      </c>
      <c r="G42" s="52">
        <v>13500</v>
      </c>
    </row>
    <row r="43" spans="1:7" x14ac:dyDescent="0.25">
      <c r="A43" s="48" t="s">
        <v>20</v>
      </c>
      <c r="B43" s="48" t="s">
        <v>47</v>
      </c>
      <c r="C43" s="54">
        <v>45613</v>
      </c>
      <c r="D43" s="48" t="s">
        <v>2732</v>
      </c>
      <c r="E43" s="21" t="s">
        <v>2840</v>
      </c>
      <c r="F43" s="21" t="s">
        <v>2739</v>
      </c>
      <c r="G43" s="35">
        <v>19875</v>
      </c>
    </row>
    <row r="44" spans="1:7" x14ac:dyDescent="0.25">
      <c r="A44" s="64" t="s">
        <v>20</v>
      </c>
      <c r="B44" s="64" t="s">
        <v>47</v>
      </c>
      <c r="C44" s="65">
        <v>45613</v>
      </c>
      <c r="D44" s="64" t="s">
        <v>2732</v>
      </c>
      <c r="E44" s="66" t="s">
        <v>2841</v>
      </c>
      <c r="F44" s="66" t="s">
        <v>2739</v>
      </c>
      <c r="G44" s="67">
        <v>27000</v>
      </c>
    </row>
  </sheetData>
  <pageMargins left="0.7" right="0.7" top="0.75" bottom="0.75" header="0.3" footer="0.3"/>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ADCDB-284F-40D0-B368-EA8193866DF0}">
  <dimension ref="A1:L181"/>
  <sheetViews>
    <sheetView workbookViewId="0"/>
  </sheetViews>
  <sheetFormatPr defaultRowHeight="15" x14ac:dyDescent="0.25"/>
  <cols>
    <col min="1" max="1" width="13" customWidth="1"/>
    <col min="2" max="2" width="10" customWidth="1"/>
    <col min="3" max="3" width="14.85546875" bestFit="1" customWidth="1"/>
    <col min="4" max="4" width="18" customWidth="1"/>
    <col min="5" max="5" width="29.7109375" bestFit="1" customWidth="1"/>
    <col min="6" max="6" width="9.7109375" customWidth="1"/>
    <col min="7" max="7" width="22.7109375" customWidth="1"/>
    <col min="8" max="8" width="18.85546875" customWidth="1"/>
    <col min="11" max="11" width="33.42578125" bestFit="1" customWidth="1"/>
    <col min="12" max="12" width="26.28515625" style="2" bestFit="1" customWidth="1"/>
  </cols>
  <sheetData>
    <row r="1" spans="1:12" x14ac:dyDescent="0.25">
      <c r="A1" s="41" t="s">
        <v>0</v>
      </c>
      <c r="B1" s="41" t="s">
        <v>1</v>
      </c>
      <c r="C1" s="42" t="s">
        <v>2</v>
      </c>
      <c r="D1" s="41" t="s">
        <v>3</v>
      </c>
      <c r="E1" s="42" t="s">
        <v>4</v>
      </c>
      <c r="F1" s="42" t="s">
        <v>5</v>
      </c>
      <c r="G1" s="43" t="s">
        <v>6</v>
      </c>
      <c r="H1" s="43" t="s">
        <v>7</v>
      </c>
    </row>
    <row r="2" spans="1:12" x14ac:dyDescent="0.25">
      <c r="A2" s="44" t="s">
        <v>2870</v>
      </c>
      <c r="B2" s="44" t="s">
        <v>2871</v>
      </c>
      <c r="C2" s="45">
        <v>45864</v>
      </c>
      <c r="D2" s="44" t="s">
        <v>2732</v>
      </c>
      <c r="E2" s="55" t="s">
        <v>2872</v>
      </c>
      <c r="F2" s="55" t="s">
        <v>2873</v>
      </c>
      <c r="G2" s="52">
        <v>50.274999999999999</v>
      </c>
      <c r="H2" s="55">
        <v>2890551.5534999999</v>
      </c>
    </row>
    <row r="3" spans="1:12" x14ac:dyDescent="0.25">
      <c r="A3" s="48" t="s">
        <v>2870</v>
      </c>
      <c r="B3" s="48" t="s">
        <v>2871</v>
      </c>
      <c r="C3" s="49">
        <v>45864</v>
      </c>
      <c r="D3" s="48" t="s">
        <v>2732</v>
      </c>
      <c r="E3" s="56" t="s">
        <v>2872</v>
      </c>
      <c r="F3" s="56" t="s">
        <v>2873</v>
      </c>
      <c r="G3" s="35">
        <v>21.024000000000008</v>
      </c>
      <c r="H3" s="56">
        <v>2890551.5534999999</v>
      </c>
    </row>
    <row r="4" spans="1:12" x14ac:dyDescent="0.25">
      <c r="A4" s="44" t="s">
        <v>2870</v>
      </c>
      <c r="B4" s="44" t="s">
        <v>2871</v>
      </c>
      <c r="C4" s="45">
        <v>45864</v>
      </c>
      <c r="D4" s="44" t="s">
        <v>2732</v>
      </c>
      <c r="E4" s="55" t="s">
        <v>2872</v>
      </c>
      <c r="F4" s="55" t="s">
        <v>2873</v>
      </c>
      <c r="G4" s="52">
        <v>18.584999999999994</v>
      </c>
      <c r="H4" s="55">
        <v>2890551.5534999999</v>
      </c>
      <c r="K4" s="3" t="s">
        <v>2842</v>
      </c>
      <c r="L4" t="s">
        <v>2737</v>
      </c>
    </row>
    <row r="5" spans="1:12" x14ac:dyDescent="0.25">
      <c r="A5" s="48" t="s">
        <v>2870</v>
      </c>
      <c r="B5" s="48" t="s">
        <v>2871</v>
      </c>
      <c r="C5" s="49">
        <v>45864</v>
      </c>
      <c r="D5" s="48" t="s">
        <v>2732</v>
      </c>
      <c r="E5" s="56" t="s">
        <v>2872</v>
      </c>
      <c r="F5" s="56" t="s">
        <v>2873</v>
      </c>
      <c r="G5" s="35">
        <v>22.620000000000005</v>
      </c>
      <c r="H5" s="56">
        <v>2890551.5534999999</v>
      </c>
      <c r="K5" s="51" t="s">
        <v>2871</v>
      </c>
      <c r="L5" s="83">
        <v>234.184</v>
      </c>
    </row>
    <row r="6" spans="1:12" x14ac:dyDescent="0.25">
      <c r="A6" s="44" t="s">
        <v>2870</v>
      </c>
      <c r="B6" s="44" t="s">
        <v>2871</v>
      </c>
      <c r="C6" s="45">
        <v>45864</v>
      </c>
      <c r="D6" s="44" t="s">
        <v>2732</v>
      </c>
      <c r="E6" s="55" t="s">
        <v>2872</v>
      </c>
      <c r="F6" s="55" t="s">
        <v>2873</v>
      </c>
      <c r="G6" s="52">
        <v>22.528000000000006</v>
      </c>
      <c r="H6" s="55">
        <v>2890551.5534999999</v>
      </c>
      <c r="K6" s="69" t="s">
        <v>2872</v>
      </c>
      <c r="L6" s="83">
        <v>234.184</v>
      </c>
    </row>
    <row r="7" spans="1:12" x14ac:dyDescent="0.25">
      <c r="A7" s="48" t="s">
        <v>2870</v>
      </c>
      <c r="B7" s="48" t="s">
        <v>2871</v>
      </c>
      <c r="C7" s="49">
        <v>45864</v>
      </c>
      <c r="D7" s="48" t="s">
        <v>2732</v>
      </c>
      <c r="E7" s="56" t="s">
        <v>2872</v>
      </c>
      <c r="F7" s="56" t="s">
        <v>2873</v>
      </c>
      <c r="G7" s="35">
        <v>22.399999999999977</v>
      </c>
      <c r="H7" s="56">
        <v>2890551.5534999999</v>
      </c>
      <c r="K7" s="51" t="s">
        <v>2865</v>
      </c>
      <c r="L7" s="83">
        <v>926</v>
      </c>
    </row>
    <row r="8" spans="1:12" x14ac:dyDescent="0.25">
      <c r="A8" s="44" t="s">
        <v>2870</v>
      </c>
      <c r="B8" s="44" t="s">
        <v>2871</v>
      </c>
      <c r="C8" s="45">
        <v>45864</v>
      </c>
      <c r="D8" s="44" t="s">
        <v>2732</v>
      </c>
      <c r="E8" s="55" t="s">
        <v>2872</v>
      </c>
      <c r="F8" s="55" t="s">
        <v>2873</v>
      </c>
      <c r="G8" s="52">
        <v>18.963000000000022</v>
      </c>
      <c r="H8" s="55">
        <v>2890551.5534999999</v>
      </c>
      <c r="K8" s="69" t="s">
        <v>2874</v>
      </c>
      <c r="L8" s="83">
        <v>300</v>
      </c>
    </row>
    <row r="9" spans="1:12" x14ac:dyDescent="0.25">
      <c r="A9" s="48" t="s">
        <v>2870</v>
      </c>
      <c r="B9" s="48" t="s">
        <v>2871</v>
      </c>
      <c r="C9" s="49">
        <v>45864</v>
      </c>
      <c r="D9" s="48" t="s">
        <v>2732</v>
      </c>
      <c r="E9" s="56" t="s">
        <v>2872</v>
      </c>
      <c r="F9" s="56" t="s">
        <v>2873</v>
      </c>
      <c r="G9" s="35">
        <v>15.197000000000003</v>
      </c>
      <c r="H9" s="56">
        <v>2890551.5534999999</v>
      </c>
      <c r="K9" s="69" t="s">
        <v>2866</v>
      </c>
      <c r="L9" s="83">
        <v>49.24</v>
      </c>
    </row>
    <row r="10" spans="1:12" x14ac:dyDescent="0.25">
      <c r="A10" s="44" t="s">
        <v>2870</v>
      </c>
      <c r="B10" s="44" t="s">
        <v>2871</v>
      </c>
      <c r="C10" s="45">
        <v>45864</v>
      </c>
      <c r="D10" s="44" t="s">
        <v>2732</v>
      </c>
      <c r="E10" s="55" t="s">
        <v>2872</v>
      </c>
      <c r="F10" s="55" t="s">
        <v>2873</v>
      </c>
      <c r="G10" s="52">
        <v>9.6879999999999882</v>
      </c>
      <c r="H10" s="55">
        <v>2890551.5534999999</v>
      </c>
      <c r="K10" s="69" t="s">
        <v>2876</v>
      </c>
      <c r="L10" s="83">
        <v>250</v>
      </c>
    </row>
    <row r="11" spans="1:12" x14ac:dyDescent="0.25">
      <c r="A11" s="48" t="s">
        <v>2870</v>
      </c>
      <c r="B11" s="48" t="s">
        <v>2871</v>
      </c>
      <c r="C11" s="49">
        <v>45864</v>
      </c>
      <c r="D11" s="48" t="s">
        <v>2732</v>
      </c>
      <c r="E11" s="56" t="s">
        <v>2872</v>
      </c>
      <c r="F11" s="56" t="s">
        <v>2873</v>
      </c>
      <c r="G11" s="35">
        <v>3.1069999999999993</v>
      </c>
      <c r="H11" s="56">
        <v>2890551.5534999999</v>
      </c>
      <c r="K11" s="69" t="s">
        <v>2875</v>
      </c>
      <c r="L11" s="83">
        <v>128</v>
      </c>
    </row>
    <row r="12" spans="1:12" x14ac:dyDescent="0.25">
      <c r="A12" s="44" t="s">
        <v>2870</v>
      </c>
      <c r="B12" s="44" t="s">
        <v>2871</v>
      </c>
      <c r="C12" s="45">
        <v>45864</v>
      </c>
      <c r="D12" s="44" t="s">
        <v>2732</v>
      </c>
      <c r="E12" s="55" t="s">
        <v>2872</v>
      </c>
      <c r="F12" s="55" t="s">
        <v>2873</v>
      </c>
      <c r="G12" s="52">
        <v>17.382000000000005</v>
      </c>
      <c r="H12" s="55">
        <v>2890551.5534999999</v>
      </c>
      <c r="K12" s="69" t="s">
        <v>2868</v>
      </c>
      <c r="L12" s="83">
        <v>198.76</v>
      </c>
    </row>
    <row r="13" spans="1:12" x14ac:dyDescent="0.25">
      <c r="A13" s="48" t="s">
        <v>2870</v>
      </c>
      <c r="B13" s="48" t="s">
        <v>2871</v>
      </c>
      <c r="C13" s="49">
        <v>45864</v>
      </c>
      <c r="D13" s="48" t="s">
        <v>2732</v>
      </c>
      <c r="E13" s="56" t="s">
        <v>2872</v>
      </c>
      <c r="F13" s="56" t="s">
        <v>2873</v>
      </c>
      <c r="G13" s="35">
        <v>5.0790000000000077</v>
      </c>
      <c r="H13" s="56">
        <v>2890551.5534999999</v>
      </c>
      <c r="K13" s="51" t="s">
        <v>90</v>
      </c>
      <c r="L13" s="83">
        <v>7787.9260000000004</v>
      </c>
    </row>
    <row r="14" spans="1:12" x14ac:dyDescent="0.25">
      <c r="A14" s="44" t="s">
        <v>2870</v>
      </c>
      <c r="B14" s="44" t="s">
        <v>2871</v>
      </c>
      <c r="C14" s="45">
        <v>45864</v>
      </c>
      <c r="D14" s="44" t="s">
        <v>2732</v>
      </c>
      <c r="E14" s="55" t="s">
        <v>2872</v>
      </c>
      <c r="F14" s="55" t="s">
        <v>2873</v>
      </c>
      <c r="G14" s="52">
        <v>7.3359999999999843</v>
      </c>
      <c r="H14" s="55">
        <v>2890551.5534999999</v>
      </c>
      <c r="K14" s="69"/>
      <c r="L14" s="83">
        <v>-339.58000000000004</v>
      </c>
    </row>
    <row r="15" spans="1:12" x14ac:dyDescent="0.25">
      <c r="A15" s="44" t="s">
        <v>2864</v>
      </c>
      <c r="B15" s="44" t="s">
        <v>2865</v>
      </c>
      <c r="C15" s="45">
        <v>45826</v>
      </c>
      <c r="D15" s="44" t="s">
        <v>2732</v>
      </c>
      <c r="E15" s="46" t="s">
        <v>2866</v>
      </c>
      <c r="F15" s="46" t="s">
        <v>2851</v>
      </c>
      <c r="G15" s="61">
        <v>49.24</v>
      </c>
      <c r="H15" s="46">
        <v>2643728.1818200001</v>
      </c>
      <c r="K15" s="69" t="s">
        <v>2853</v>
      </c>
      <c r="L15" s="83">
        <v>90.350000000000364</v>
      </c>
    </row>
    <row r="16" spans="1:12" x14ac:dyDescent="0.25">
      <c r="A16" s="44" t="s">
        <v>2864</v>
      </c>
      <c r="B16" s="44" t="s">
        <v>2865</v>
      </c>
      <c r="C16" s="53">
        <v>45857</v>
      </c>
      <c r="D16" s="44" t="s">
        <v>2732</v>
      </c>
      <c r="E16" s="46" t="s">
        <v>2868</v>
      </c>
      <c r="F16" s="46" t="s">
        <v>2869</v>
      </c>
      <c r="G16" s="52">
        <v>49.759999999999991</v>
      </c>
      <c r="H16" s="55">
        <v>2178032.12182</v>
      </c>
      <c r="K16" s="69" t="s">
        <v>2845</v>
      </c>
      <c r="L16" s="83">
        <v>6564.5940000000001</v>
      </c>
    </row>
    <row r="17" spans="1:12" x14ac:dyDescent="0.25">
      <c r="A17" s="48" t="s">
        <v>2864</v>
      </c>
      <c r="B17" s="48" t="s">
        <v>2865</v>
      </c>
      <c r="C17" s="49">
        <v>45858</v>
      </c>
      <c r="D17" s="48" t="s">
        <v>2732</v>
      </c>
      <c r="E17" s="21" t="s">
        <v>2868</v>
      </c>
      <c r="F17" s="21" t="s">
        <v>2869</v>
      </c>
      <c r="G17" s="35">
        <v>50.240000000000009</v>
      </c>
      <c r="H17" s="21">
        <v>2178032.12182</v>
      </c>
      <c r="K17" s="69" t="s">
        <v>2846</v>
      </c>
      <c r="L17" s="83">
        <v>221.78000000000003</v>
      </c>
    </row>
    <row r="18" spans="1:12" x14ac:dyDescent="0.25">
      <c r="A18" s="48" t="s">
        <v>2864</v>
      </c>
      <c r="B18" s="48" t="s">
        <v>2865</v>
      </c>
      <c r="C18" s="49">
        <v>45844</v>
      </c>
      <c r="D18" s="48" t="s">
        <v>2732</v>
      </c>
      <c r="E18" s="56" t="s">
        <v>2868</v>
      </c>
      <c r="F18" s="56" t="s">
        <v>2869</v>
      </c>
      <c r="G18" s="35">
        <v>98.759999999999991</v>
      </c>
      <c r="H18" s="56">
        <v>2178032.12182</v>
      </c>
      <c r="K18" s="69" t="s">
        <v>2843</v>
      </c>
      <c r="L18" s="83">
        <v>1160.922</v>
      </c>
    </row>
    <row r="19" spans="1:12" x14ac:dyDescent="0.25">
      <c r="A19" s="44" t="s">
        <v>2864</v>
      </c>
      <c r="B19" s="44" t="s">
        <v>2865</v>
      </c>
      <c r="C19" s="53">
        <v>45880</v>
      </c>
      <c r="D19" s="44" t="s">
        <v>2732</v>
      </c>
      <c r="E19" s="46" t="s">
        <v>2874</v>
      </c>
      <c r="F19" s="46" t="s">
        <v>2869</v>
      </c>
      <c r="G19" s="52">
        <v>300</v>
      </c>
      <c r="H19" s="46">
        <v>2787976.5818099999</v>
      </c>
      <c r="K19" s="69" t="s">
        <v>2849</v>
      </c>
      <c r="L19" s="83">
        <v>39.700000000000045</v>
      </c>
    </row>
    <row r="20" spans="1:12" x14ac:dyDescent="0.25">
      <c r="A20" s="48" t="s">
        <v>2864</v>
      </c>
      <c r="B20" s="48" t="s">
        <v>2865</v>
      </c>
      <c r="C20" s="49">
        <v>45900</v>
      </c>
      <c r="D20" s="48" t="s">
        <v>2732</v>
      </c>
      <c r="E20" s="56" t="s">
        <v>2875</v>
      </c>
      <c r="F20" s="56" t="s">
        <v>2869</v>
      </c>
      <c r="G20" s="35">
        <v>128</v>
      </c>
      <c r="H20" s="56">
        <v>2787976.5818099999</v>
      </c>
      <c r="K20" s="69" t="s">
        <v>2852</v>
      </c>
      <c r="L20" s="83">
        <v>50.160000000000082</v>
      </c>
    </row>
    <row r="21" spans="1:12" x14ac:dyDescent="0.25">
      <c r="A21" s="44" t="s">
        <v>2864</v>
      </c>
      <c r="B21" s="44" t="s">
        <v>2865</v>
      </c>
      <c r="C21" s="45">
        <v>45914</v>
      </c>
      <c r="D21" s="44" t="s">
        <v>2732</v>
      </c>
      <c r="E21" s="55" t="s">
        <v>2876</v>
      </c>
      <c r="F21" s="55" t="s">
        <v>2869</v>
      </c>
      <c r="G21" s="52">
        <v>100</v>
      </c>
      <c r="H21" s="55">
        <v>2424998.58182</v>
      </c>
      <c r="K21" s="51" t="s">
        <v>137</v>
      </c>
      <c r="L21" s="83">
        <v>10884.368</v>
      </c>
    </row>
    <row r="22" spans="1:12" x14ac:dyDescent="0.25">
      <c r="A22" s="48" t="s">
        <v>2864</v>
      </c>
      <c r="B22" s="48" t="s">
        <v>2865</v>
      </c>
      <c r="C22" s="49">
        <v>45935</v>
      </c>
      <c r="D22" s="48" t="s">
        <v>2732</v>
      </c>
      <c r="E22" s="56" t="s">
        <v>2876</v>
      </c>
      <c r="F22" s="56" t="s">
        <v>2851</v>
      </c>
      <c r="G22" s="35">
        <v>150</v>
      </c>
      <c r="H22" s="56">
        <v>2279690</v>
      </c>
      <c r="K22" s="69"/>
      <c r="L22" s="83">
        <v>-0.54</v>
      </c>
    </row>
    <row r="23" spans="1:12" x14ac:dyDescent="0.25">
      <c r="A23" s="44" t="s">
        <v>50</v>
      </c>
      <c r="B23" s="44" t="s">
        <v>90</v>
      </c>
      <c r="C23" s="53">
        <v>45642</v>
      </c>
      <c r="D23" s="44" t="s">
        <v>2732</v>
      </c>
      <c r="E23" s="46" t="s">
        <v>2843</v>
      </c>
      <c r="F23" s="46" t="s">
        <v>2844</v>
      </c>
      <c r="G23" s="52">
        <v>85.56</v>
      </c>
      <c r="H23" s="46">
        <v>3485742.5</v>
      </c>
      <c r="K23" s="69" t="s">
        <v>2857</v>
      </c>
      <c r="L23" s="83">
        <v>1733.4280000000001</v>
      </c>
    </row>
    <row r="24" spans="1:12" x14ac:dyDescent="0.25">
      <c r="A24" s="48" t="s">
        <v>50</v>
      </c>
      <c r="B24" s="48" t="s">
        <v>90</v>
      </c>
      <c r="C24" s="49">
        <v>45643</v>
      </c>
      <c r="D24" s="48" t="s">
        <v>2732</v>
      </c>
      <c r="E24" s="21" t="s">
        <v>2845</v>
      </c>
      <c r="F24" s="21" t="s">
        <v>2844</v>
      </c>
      <c r="G24" s="35">
        <v>44.88</v>
      </c>
      <c r="H24" s="21">
        <v>3485742.5</v>
      </c>
      <c r="K24" s="69" t="s">
        <v>2860</v>
      </c>
      <c r="L24" s="83">
        <v>725.83999999999969</v>
      </c>
    </row>
    <row r="25" spans="1:12" x14ac:dyDescent="0.25">
      <c r="A25" s="44" t="s">
        <v>50</v>
      </c>
      <c r="B25" s="44" t="s">
        <v>90</v>
      </c>
      <c r="C25" s="45">
        <v>45643</v>
      </c>
      <c r="D25" s="44" t="s">
        <v>2732</v>
      </c>
      <c r="E25" s="46" t="s">
        <v>2846</v>
      </c>
      <c r="F25" s="46" t="s">
        <v>2844</v>
      </c>
      <c r="G25" s="52">
        <v>44.139999999999993</v>
      </c>
      <c r="H25" s="46">
        <v>3485742.5</v>
      </c>
      <c r="K25" s="69" t="s">
        <v>2867</v>
      </c>
      <c r="L25" s="83">
        <v>1403.0999999999995</v>
      </c>
    </row>
    <row r="26" spans="1:12" x14ac:dyDescent="0.25">
      <c r="A26" s="48" t="s">
        <v>50</v>
      </c>
      <c r="B26" s="48" t="s">
        <v>90</v>
      </c>
      <c r="C26" s="49">
        <v>45643</v>
      </c>
      <c r="D26" s="48" t="s">
        <v>2732</v>
      </c>
      <c r="E26" s="21" t="s">
        <v>2845</v>
      </c>
      <c r="F26" s="21" t="s">
        <v>2844</v>
      </c>
      <c r="G26" s="35">
        <v>161.86000000000001</v>
      </c>
      <c r="H26" s="21">
        <v>3485742.5</v>
      </c>
      <c r="K26" s="69" t="s">
        <v>2854</v>
      </c>
      <c r="L26" s="83">
        <v>987.60000000000036</v>
      </c>
    </row>
    <row r="27" spans="1:12" x14ac:dyDescent="0.25">
      <c r="A27" s="44" t="s">
        <v>50</v>
      </c>
      <c r="B27" s="44" t="s">
        <v>90</v>
      </c>
      <c r="C27" s="45">
        <v>45643</v>
      </c>
      <c r="D27" s="44" t="s">
        <v>2732</v>
      </c>
      <c r="E27" s="46" t="s">
        <v>2846</v>
      </c>
      <c r="F27" s="46" t="s">
        <v>2844</v>
      </c>
      <c r="G27" s="52">
        <v>123.07999999999998</v>
      </c>
      <c r="H27" s="46">
        <v>3485742.5</v>
      </c>
      <c r="K27" s="69" t="s">
        <v>2863</v>
      </c>
      <c r="L27" s="83">
        <v>545.65999999999985</v>
      </c>
    </row>
    <row r="28" spans="1:12" x14ac:dyDescent="0.25">
      <c r="A28" s="48" t="s">
        <v>50</v>
      </c>
      <c r="B28" s="48" t="s">
        <v>90</v>
      </c>
      <c r="C28" s="49">
        <v>45643</v>
      </c>
      <c r="D28" s="48" t="s">
        <v>2732</v>
      </c>
      <c r="E28" s="21" t="s">
        <v>2845</v>
      </c>
      <c r="F28" s="21" t="s">
        <v>2844</v>
      </c>
      <c r="G28" s="35">
        <v>88.480000000000018</v>
      </c>
      <c r="H28" s="21">
        <v>3485742.5</v>
      </c>
      <c r="K28" s="69" t="s">
        <v>2862</v>
      </c>
      <c r="L28" s="83">
        <v>923.15999999999985</v>
      </c>
    </row>
    <row r="29" spans="1:12" x14ac:dyDescent="0.25">
      <c r="A29" s="44" t="s">
        <v>50</v>
      </c>
      <c r="B29" s="44" t="s">
        <v>90</v>
      </c>
      <c r="C29" s="45">
        <v>45643</v>
      </c>
      <c r="D29" s="44" t="s">
        <v>2732</v>
      </c>
      <c r="E29" s="46" t="s">
        <v>2845</v>
      </c>
      <c r="F29" s="46" t="s">
        <v>2844</v>
      </c>
      <c r="G29" s="52">
        <v>97.420000000000016</v>
      </c>
      <c r="H29" s="46">
        <v>3485742.5</v>
      </c>
      <c r="K29" s="69" t="s">
        <v>2858</v>
      </c>
      <c r="L29" s="83">
        <v>4566.1200000000008</v>
      </c>
    </row>
    <row r="30" spans="1:12" x14ac:dyDescent="0.25">
      <c r="A30" s="48" t="s">
        <v>50</v>
      </c>
      <c r="B30" s="48" t="s">
        <v>90</v>
      </c>
      <c r="C30" s="49">
        <v>45643</v>
      </c>
      <c r="D30" s="48" t="s">
        <v>2732</v>
      </c>
      <c r="E30" s="21" t="s">
        <v>2845</v>
      </c>
      <c r="F30" s="21" t="s">
        <v>2844</v>
      </c>
      <c r="G30" s="35">
        <v>98.059999999999945</v>
      </c>
      <c r="H30" s="21">
        <v>3485742.5</v>
      </c>
      <c r="K30" s="51" t="s">
        <v>51</v>
      </c>
      <c r="L30" s="83">
        <v>2739.8400000000011</v>
      </c>
    </row>
    <row r="31" spans="1:12" x14ac:dyDescent="0.25">
      <c r="A31" s="44" t="s">
        <v>50</v>
      </c>
      <c r="B31" s="44" t="s">
        <v>90</v>
      </c>
      <c r="C31" s="45">
        <v>45643</v>
      </c>
      <c r="D31" s="44" t="s">
        <v>2732</v>
      </c>
      <c r="E31" s="46" t="s">
        <v>2845</v>
      </c>
      <c r="F31" s="46" t="s">
        <v>2844</v>
      </c>
      <c r="G31" s="52">
        <v>47.160000000000082</v>
      </c>
      <c r="H31" s="46">
        <v>3485742.5</v>
      </c>
      <c r="K31" s="69"/>
      <c r="L31" s="83">
        <v>-101.754</v>
      </c>
    </row>
    <row r="32" spans="1:12" x14ac:dyDescent="0.25">
      <c r="A32" s="48" t="s">
        <v>50</v>
      </c>
      <c r="B32" s="48" t="s">
        <v>90</v>
      </c>
      <c r="C32" s="49">
        <v>45643</v>
      </c>
      <c r="D32" s="48" t="s">
        <v>2732</v>
      </c>
      <c r="E32" s="21" t="s">
        <v>2845</v>
      </c>
      <c r="F32" s="21" t="s">
        <v>2844</v>
      </c>
      <c r="G32" s="62">
        <v>139.55999999999995</v>
      </c>
      <c r="H32" s="21">
        <v>3485742.5</v>
      </c>
      <c r="K32" s="69" t="s">
        <v>2847</v>
      </c>
      <c r="L32" s="83">
        <v>2751.208000000001</v>
      </c>
    </row>
    <row r="33" spans="1:12" x14ac:dyDescent="0.25">
      <c r="A33" s="44" t="s">
        <v>50</v>
      </c>
      <c r="B33" s="44" t="s">
        <v>90</v>
      </c>
      <c r="C33" s="45">
        <v>45643</v>
      </c>
      <c r="D33" s="44" t="s">
        <v>2732</v>
      </c>
      <c r="E33" s="46" t="s">
        <v>2846</v>
      </c>
      <c r="F33" s="46" t="s">
        <v>2844</v>
      </c>
      <c r="G33" s="61">
        <v>54.560000000000059</v>
      </c>
      <c r="H33" s="46">
        <v>3485742.5</v>
      </c>
      <c r="K33" s="69" t="s">
        <v>2859</v>
      </c>
      <c r="L33" s="83">
        <v>90.385999999999967</v>
      </c>
    </row>
    <row r="34" spans="1:12" x14ac:dyDescent="0.25">
      <c r="A34" s="48" t="s">
        <v>50</v>
      </c>
      <c r="B34" s="48" t="s">
        <v>90</v>
      </c>
      <c r="C34" s="49">
        <v>45643</v>
      </c>
      <c r="D34" s="48" t="s">
        <v>2732</v>
      </c>
      <c r="E34" s="21" t="s">
        <v>2845</v>
      </c>
      <c r="F34" s="21" t="s">
        <v>2844</v>
      </c>
      <c r="G34" s="62">
        <v>98.079999999999927</v>
      </c>
      <c r="H34" s="21">
        <v>3485742.5</v>
      </c>
      <c r="K34" s="51" t="s">
        <v>1115</v>
      </c>
      <c r="L34" s="83">
        <v>22572.317999999999</v>
      </c>
    </row>
    <row r="35" spans="1:12" x14ac:dyDescent="0.25">
      <c r="A35" s="44" t="s">
        <v>50</v>
      </c>
      <c r="B35" s="44" t="s">
        <v>90</v>
      </c>
      <c r="C35" s="45">
        <v>45643</v>
      </c>
      <c r="D35" s="44" t="s">
        <v>2732</v>
      </c>
      <c r="E35" s="46" t="s">
        <v>2845</v>
      </c>
      <c r="F35" s="46" t="s">
        <v>2844</v>
      </c>
      <c r="G35" s="61">
        <v>48.220000000000027</v>
      </c>
      <c r="H35" s="46">
        <v>3485742.5</v>
      </c>
      <c r="L35"/>
    </row>
    <row r="36" spans="1:12" x14ac:dyDescent="0.25">
      <c r="A36" s="48" t="s">
        <v>50</v>
      </c>
      <c r="B36" s="48" t="s">
        <v>90</v>
      </c>
      <c r="C36" s="49">
        <v>45645</v>
      </c>
      <c r="D36" s="48" t="s">
        <v>2732</v>
      </c>
      <c r="E36" s="21" t="s">
        <v>2845</v>
      </c>
      <c r="F36" s="21" t="s">
        <v>2844</v>
      </c>
      <c r="G36" s="35">
        <v>90.680000000000064</v>
      </c>
      <c r="H36" s="21">
        <v>3485742.5</v>
      </c>
      <c r="L36"/>
    </row>
    <row r="37" spans="1:12" x14ac:dyDescent="0.25">
      <c r="A37" s="48" t="s">
        <v>50</v>
      </c>
      <c r="B37" s="48" t="s">
        <v>90</v>
      </c>
      <c r="C37" s="49">
        <v>45698</v>
      </c>
      <c r="D37" s="48" t="s">
        <v>2848</v>
      </c>
      <c r="E37" s="21" t="s">
        <v>17</v>
      </c>
      <c r="F37" s="21" t="s">
        <v>2844</v>
      </c>
      <c r="G37" s="35">
        <v>-45</v>
      </c>
      <c r="H37" s="21">
        <v>3854317.5</v>
      </c>
    </row>
    <row r="38" spans="1:12" x14ac:dyDescent="0.25">
      <c r="A38" s="44" t="s">
        <v>50</v>
      </c>
      <c r="B38" s="44" t="s">
        <v>90</v>
      </c>
      <c r="C38" s="45">
        <v>45698</v>
      </c>
      <c r="D38" s="44" t="s">
        <v>2732</v>
      </c>
      <c r="E38" s="46" t="s">
        <v>2843</v>
      </c>
      <c r="F38" s="46" t="s">
        <v>2844</v>
      </c>
      <c r="G38" s="52">
        <v>43.513999999999896</v>
      </c>
      <c r="H38" s="46">
        <v>3854317.5</v>
      </c>
    </row>
    <row r="39" spans="1:12" x14ac:dyDescent="0.25">
      <c r="A39" s="48" t="s">
        <v>50</v>
      </c>
      <c r="B39" s="48" t="s">
        <v>90</v>
      </c>
      <c r="C39" s="49">
        <v>45698</v>
      </c>
      <c r="D39" s="48" t="s">
        <v>2732</v>
      </c>
      <c r="E39" s="21" t="s">
        <v>2843</v>
      </c>
      <c r="F39" s="21" t="s">
        <v>2844</v>
      </c>
      <c r="G39" s="35">
        <v>43.134000000000015</v>
      </c>
      <c r="H39" s="21">
        <v>3854317.5</v>
      </c>
    </row>
    <row r="40" spans="1:12" x14ac:dyDescent="0.25">
      <c r="A40" s="48" t="s">
        <v>50</v>
      </c>
      <c r="B40" s="48" t="s">
        <v>90</v>
      </c>
      <c r="C40" s="49">
        <v>45700</v>
      </c>
      <c r="D40" s="48" t="s">
        <v>2732</v>
      </c>
      <c r="E40" s="21" t="s">
        <v>2845</v>
      </c>
      <c r="F40" s="21" t="s">
        <v>2844</v>
      </c>
      <c r="G40" s="50">
        <v>57.600000000000364</v>
      </c>
      <c r="H40" s="21">
        <v>3854317.5</v>
      </c>
    </row>
    <row r="41" spans="1:12" x14ac:dyDescent="0.25">
      <c r="A41" s="44" t="s">
        <v>50</v>
      </c>
      <c r="B41" s="44" t="s">
        <v>90</v>
      </c>
      <c r="C41" s="45">
        <v>45698</v>
      </c>
      <c r="D41" s="44" t="s">
        <v>2732</v>
      </c>
      <c r="E41" s="46" t="s">
        <v>2845</v>
      </c>
      <c r="F41" s="46" t="s">
        <v>2844</v>
      </c>
      <c r="G41" s="47">
        <v>45.759999999999764</v>
      </c>
      <c r="H41" s="46">
        <v>3854317.5</v>
      </c>
    </row>
    <row r="42" spans="1:12" x14ac:dyDescent="0.25">
      <c r="A42" s="48" t="s">
        <v>50</v>
      </c>
      <c r="B42" s="48" t="s">
        <v>90</v>
      </c>
      <c r="C42" s="49">
        <v>45698</v>
      </c>
      <c r="D42" s="48" t="s">
        <v>2732</v>
      </c>
      <c r="E42" s="21" t="s">
        <v>2845</v>
      </c>
      <c r="F42" s="21" t="s">
        <v>2844</v>
      </c>
      <c r="G42" s="50">
        <v>47.735999999999876</v>
      </c>
      <c r="H42" s="21">
        <v>3854317.5</v>
      </c>
    </row>
    <row r="43" spans="1:12" x14ac:dyDescent="0.25">
      <c r="A43" s="44" t="s">
        <v>50</v>
      </c>
      <c r="B43" s="44" t="s">
        <v>90</v>
      </c>
      <c r="C43" s="45">
        <v>45698</v>
      </c>
      <c r="D43" s="44" t="s">
        <v>2732</v>
      </c>
      <c r="E43" s="46" t="s">
        <v>2843</v>
      </c>
      <c r="F43" s="46" t="s">
        <v>2844</v>
      </c>
      <c r="G43" s="47">
        <v>44.329999999999927</v>
      </c>
      <c r="H43" s="46">
        <v>3854317.5</v>
      </c>
    </row>
    <row r="44" spans="1:12" x14ac:dyDescent="0.25">
      <c r="A44" s="48" t="s">
        <v>50</v>
      </c>
      <c r="B44" s="48" t="s">
        <v>90</v>
      </c>
      <c r="C44" s="49">
        <v>45700</v>
      </c>
      <c r="D44" s="48" t="s">
        <v>2732</v>
      </c>
      <c r="E44" s="21" t="s">
        <v>2845</v>
      </c>
      <c r="F44" s="21" t="s">
        <v>2844</v>
      </c>
      <c r="G44" s="35">
        <v>103.2199999999998</v>
      </c>
      <c r="H44" s="21">
        <v>3854317.5</v>
      </c>
    </row>
    <row r="45" spans="1:12" x14ac:dyDescent="0.25">
      <c r="A45" s="44" t="s">
        <v>50</v>
      </c>
      <c r="B45" s="44" t="s">
        <v>90</v>
      </c>
      <c r="C45" s="45">
        <v>45700</v>
      </c>
      <c r="D45" s="44" t="s">
        <v>2732</v>
      </c>
      <c r="E45" s="46" t="s">
        <v>2849</v>
      </c>
      <c r="F45" s="46" t="s">
        <v>2844</v>
      </c>
      <c r="G45" s="47">
        <v>39.700000000000045</v>
      </c>
      <c r="H45" s="46">
        <v>3854317.5</v>
      </c>
    </row>
    <row r="46" spans="1:12" x14ac:dyDescent="0.25">
      <c r="A46" s="48" t="s">
        <v>50</v>
      </c>
      <c r="B46" s="48" t="s">
        <v>90</v>
      </c>
      <c r="C46" s="49">
        <v>45701</v>
      </c>
      <c r="D46" s="48" t="s">
        <v>2732</v>
      </c>
      <c r="E46" s="21" t="s">
        <v>2845</v>
      </c>
      <c r="F46" s="21" t="s">
        <v>2844</v>
      </c>
      <c r="G46" s="35">
        <v>52.139999999999873</v>
      </c>
      <c r="H46" s="21">
        <v>3854317.5</v>
      </c>
    </row>
    <row r="47" spans="1:12" x14ac:dyDescent="0.25">
      <c r="A47" s="44" t="s">
        <v>50</v>
      </c>
      <c r="B47" s="44" t="s">
        <v>90</v>
      </c>
      <c r="C47" s="45">
        <v>45701</v>
      </c>
      <c r="D47" s="44" t="s">
        <v>2732</v>
      </c>
      <c r="E47" s="46" t="s">
        <v>2843</v>
      </c>
      <c r="F47" s="46" t="s">
        <v>2844</v>
      </c>
      <c r="G47" s="52">
        <v>19.849999999999909</v>
      </c>
      <c r="H47" s="46">
        <v>3854317.5</v>
      </c>
    </row>
    <row r="48" spans="1:12" x14ac:dyDescent="0.25">
      <c r="A48" s="48" t="s">
        <v>50</v>
      </c>
      <c r="B48" s="48" t="s">
        <v>90</v>
      </c>
      <c r="C48" s="49">
        <v>45703</v>
      </c>
      <c r="D48" s="48" t="s">
        <v>2732</v>
      </c>
      <c r="E48" s="21" t="s">
        <v>2843</v>
      </c>
      <c r="F48" s="21" t="s">
        <v>2844</v>
      </c>
      <c r="G48" s="35">
        <v>14.960000000000036</v>
      </c>
      <c r="H48" s="21">
        <v>3854317.5</v>
      </c>
    </row>
    <row r="49" spans="1:8" x14ac:dyDescent="0.25">
      <c r="A49" s="44" t="s">
        <v>50</v>
      </c>
      <c r="B49" s="44" t="s">
        <v>90</v>
      </c>
      <c r="C49" s="45">
        <v>45703</v>
      </c>
      <c r="D49" s="44" t="s">
        <v>2732</v>
      </c>
      <c r="E49" s="46" t="s">
        <v>2845</v>
      </c>
      <c r="F49" s="46" t="s">
        <v>2844</v>
      </c>
      <c r="G49" s="52">
        <v>34.039999999999964</v>
      </c>
      <c r="H49" s="46">
        <v>3854317.5</v>
      </c>
    </row>
    <row r="50" spans="1:8" x14ac:dyDescent="0.25">
      <c r="A50" s="48" t="s">
        <v>50</v>
      </c>
      <c r="B50" s="48" t="s">
        <v>90</v>
      </c>
      <c r="C50" s="49">
        <v>45666</v>
      </c>
      <c r="D50" s="48" t="s">
        <v>2732</v>
      </c>
      <c r="E50" s="21" t="s">
        <v>2845</v>
      </c>
      <c r="F50" s="21" t="s">
        <v>2844</v>
      </c>
      <c r="G50" s="35">
        <v>150.27999999999997</v>
      </c>
      <c r="H50" s="21">
        <v>3559457.5</v>
      </c>
    </row>
    <row r="51" spans="1:8" x14ac:dyDescent="0.25">
      <c r="A51" s="44" t="s">
        <v>50</v>
      </c>
      <c r="B51" s="44" t="s">
        <v>90</v>
      </c>
      <c r="C51" s="45">
        <v>45666</v>
      </c>
      <c r="D51" s="44" t="s">
        <v>2732</v>
      </c>
      <c r="E51" s="46" t="s">
        <v>2845</v>
      </c>
      <c r="F51" s="46" t="s">
        <v>2844</v>
      </c>
      <c r="G51" s="52">
        <v>104.51999999999998</v>
      </c>
      <c r="H51" s="46">
        <v>3559457.5</v>
      </c>
    </row>
    <row r="52" spans="1:8" x14ac:dyDescent="0.25">
      <c r="A52" s="48" t="s">
        <v>50</v>
      </c>
      <c r="B52" s="48" t="s">
        <v>90</v>
      </c>
      <c r="C52" s="49">
        <v>45673</v>
      </c>
      <c r="D52" s="48" t="s">
        <v>2732</v>
      </c>
      <c r="E52" s="21" t="s">
        <v>2845</v>
      </c>
      <c r="F52" s="21" t="s">
        <v>2844</v>
      </c>
      <c r="G52" s="35">
        <v>101.87999999999988</v>
      </c>
      <c r="H52" s="21">
        <v>3559457.5</v>
      </c>
    </row>
    <row r="53" spans="1:8" x14ac:dyDescent="0.25">
      <c r="A53" s="44" t="s">
        <v>50</v>
      </c>
      <c r="B53" s="44" t="s">
        <v>90</v>
      </c>
      <c r="C53" s="45">
        <v>45673</v>
      </c>
      <c r="D53" s="44" t="s">
        <v>2732</v>
      </c>
      <c r="E53" s="46" t="s">
        <v>2845</v>
      </c>
      <c r="F53" s="46" t="s">
        <v>2844</v>
      </c>
      <c r="G53" s="52">
        <v>152.66000000000008</v>
      </c>
      <c r="H53" s="46">
        <v>3559457.5</v>
      </c>
    </row>
    <row r="54" spans="1:8" x14ac:dyDescent="0.25">
      <c r="A54" s="48" t="s">
        <v>50</v>
      </c>
      <c r="B54" s="48" t="s">
        <v>90</v>
      </c>
      <c r="C54" s="49">
        <v>45673</v>
      </c>
      <c r="D54" s="48" t="s">
        <v>2732</v>
      </c>
      <c r="E54" s="21" t="s">
        <v>2845</v>
      </c>
      <c r="F54" s="21" t="s">
        <v>2844</v>
      </c>
      <c r="G54" s="35">
        <v>98.539999999999964</v>
      </c>
      <c r="H54" s="21">
        <v>3559457.5</v>
      </c>
    </row>
    <row r="55" spans="1:8" x14ac:dyDescent="0.25">
      <c r="A55" s="44" t="s">
        <v>50</v>
      </c>
      <c r="B55" s="44" t="s">
        <v>90</v>
      </c>
      <c r="C55" s="45">
        <v>45673</v>
      </c>
      <c r="D55" s="44" t="s">
        <v>2732</v>
      </c>
      <c r="E55" s="46" t="s">
        <v>2843</v>
      </c>
      <c r="F55" s="46" t="s">
        <v>2844</v>
      </c>
      <c r="G55" s="52">
        <v>102.97999999999999</v>
      </c>
      <c r="H55" s="46">
        <v>3559457.5</v>
      </c>
    </row>
    <row r="56" spans="1:8" x14ac:dyDescent="0.25">
      <c r="A56" s="48" t="s">
        <v>50</v>
      </c>
      <c r="B56" s="48" t="s">
        <v>90</v>
      </c>
      <c r="C56" s="49">
        <v>45673</v>
      </c>
      <c r="D56" s="48" t="s">
        <v>2732</v>
      </c>
      <c r="E56" s="21" t="s">
        <v>2845</v>
      </c>
      <c r="F56" s="21" t="s">
        <v>2844</v>
      </c>
      <c r="G56" s="35">
        <v>95.599999999999909</v>
      </c>
      <c r="H56" s="21">
        <v>3559457.5</v>
      </c>
    </row>
    <row r="57" spans="1:8" x14ac:dyDescent="0.25">
      <c r="A57" s="44" t="s">
        <v>50</v>
      </c>
      <c r="B57" s="44" t="s">
        <v>90</v>
      </c>
      <c r="C57" s="45">
        <v>45673</v>
      </c>
      <c r="D57" s="44" t="s">
        <v>2732</v>
      </c>
      <c r="E57" s="46" t="s">
        <v>2845</v>
      </c>
      <c r="F57" s="46" t="s">
        <v>2844</v>
      </c>
      <c r="G57" s="52">
        <v>38.180000000000064</v>
      </c>
      <c r="H57" s="46">
        <v>3559457.5</v>
      </c>
    </row>
    <row r="58" spans="1:8" x14ac:dyDescent="0.25">
      <c r="A58" s="48" t="s">
        <v>50</v>
      </c>
      <c r="B58" s="48" t="s">
        <v>90</v>
      </c>
      <c r="C58" s="49">
        <v>45673</v>
      </c>
      <c r="D58" s="48" t="s">
        <v>2732</v>
      </c>
      <c r="E58" s="21" t="s">
        <v>2845</v>
      </c>
      <c r="F58" s="21" t="s">
        <v>2844</v>
      </c>
      <c r="G58" s="35">
        <v>150.72000000000003</v>
      </c>
      <c r="H58" s="21">
        <v>3559457.5</v>
      </c>
    </row>
    <row r="59" spans="1:8" x14ac:dyDescent="0.25">
      <c r="A59" s="44" t="s">
        <v>50</v>
      </c>
      <c r="B59" s="44" t="s">
        <v>90</v>
      </c>
      <c r="C59" s="53">
        <v>45677</v>
      </c>
      <c r="D59" s="44" t="s">
        <v>2732</v>
      </c>
      <c r="E59" s="46" t="s">
        <v>2845</v>
      </c>
      <c r="F59" s="46" t="s">
        <v>2844</v>
      </c>
      <c r="G59" s="52">
        <v>51.919999999999618</v>
      </c>
      <c r="H59" s="46">
        <v>3559457.5</v>
      </c>
    </row>
    <row r="60" spans="1:8" x14ac:dyDescent="0.25">
      <c r="A60" s="48" t="s">
        <v>50</v>
      </c>
      <c r="B60" s="48" t="s">
        <v>90</v>
      </c>
      <c r="C60" s="49">
        <v>45676</v>
      </c>
      <c r="D60" s="48" t="s">
        <v>2732</v>
      </c>
      <c r="E60" s="21" t="s">
        <v>2845</v>
      </c>
      <c r="F60" s="21" t="s">
        <v>2844</v>
      </c>
      <c r="G60" s="35">
        <v>0.72000000000002728</v>
      </c>
      <c r="H60" s="21">
        <v>3559457.5</v>
      </c>
    </row>
    <row r="61" spans="1:8" x14ac:dyDescent="0.25">
      <c r="A61" s="44" t="s">
        <v>50</v>
      </c>
      <c r="B61" s="44" t="s">
        <v>90</v>
      </c>
      <c r="C61" s="45">
        <v>45676</v>
      </c>
      <c r="D61" s="44" t="s">
        <v>2732</v>
      </c>
      <c r="E61" s="46" t="s">
        <v>2845</v>
      </c>
      <c r="F61" s="46" t="s">
        <v>2844</v>
      </c>
      <c r="G61" s="52">
        <v>201.52000000000021</v>
      </c>
      <c r="H61" s="46">
        <v>3559457.5</v>
      </c>
    </row>
    <row r="62" spans="1:8" x14ac:dyDescent="0.25">
      <c r="A62" s="48" t="s">
        <v>50</v>
      </c>
      <c r="B62" s="48" t="s">
        <v>90</v>
      </c>
      <c r="C62" s="49">
        <v>45676</v>
      </c>
      <c r="D62" s="48" t="s">
        <v>2732</v>
      </c>
      <c r="E62" s="21" t="s">
        <v>2843</v>
      </c>
      <c r="F62" s="21" t="s">
        <v>2844</v>
      </c>
      <c r="G62" s="35">
        <v>51.580000000000013</v>
      </c>
      <c r="H62" s="21">
        <v>3559457.5</v>
      </c>
    </row>
    <row r="63" spans="1:8" x14ac:dyDescent="0.25">
      <c r="A63" s="44" t="s">
        <v>50</v>
      </c>
      <c r="B63" s="44" t="s">
        <v>90</v>
      </c>
      <c r="C63" s="53">
        <v>45677</v>
      </c>
      <c r="D63" s="44" t="s">
        <v>2848</v>
      </c>
      <c r="E63" s="46" t="s">
        <v>17</v>
      </c>
      <c r="F63" s="46" t="s">
        <v>2844</v>
      </c>
      <c r="G63" s="52">
        <v>-150.28</v>
      </c>
      <c r="H63" s="46">
        <v>3559457.5</v>
      </c>
    </row>
    <row r="64" spans="1:8" x14ac:dyDescent="0.25">
      <c r="A64" s="48" t="s">
        <v>50</v>
      </c>
      <c r="B64" s="48" t="s">
        <v>90</v>
      </c>
      <c r="C64" s="54">
        <v>45676</v>
      </c>
      <c r="D64" s="48" t="s">
        <v>2732</v>
      </c>
      <c r="E64" s="21" t="s">
        <v>2843</v>
      </c>
      <c r="F64" s="21" t="s">
        <v>2844</v>
      </c>
      <c r="G64" s="35">
        <v>50.279999999999973</v>
      </c>
      <c r="H64" s="56">
        <v>3559457.5</v>
      </c>
    </row>
    <row r="65" spans="1:8" x14ac:dyDescent="0.25">
      <c r="A65" s="44" t="s">
        <v>50</v>
      </c>
      <c r="B65" s="44" t="s">
        <v>90</v>
      </c>
      <c r="C65" s="53">
        <v>45677</v>
      </c>
      <c r="D65" s="44" t="s">
        <v>2732</v>
      </c>
      <c r="E65" s="46" t="s">
        <v>2843</v>
      </c>
      <c r="F65" s="46" t="s">
        <v>2844</v>
      </c>
      <c r="G65" s="52">
        <v>150.28000000000003</v>
      </c>
      <c r="H65" s="46">
        <v>3559457.5</v>
      </c>
    </row>
    <row r="66" spans="1:8" x14ac:dyDescent="0.25">
      <c r="A66" s="48" t="s">
        <v>50</v>
      </c>
      <c r="B66" s="48" t="s">
        <v>90</v>
      </c>
      <c r="C66" s="54">
        <v>45679</v>
      </c>
      <c r="D66" s="48" t="s">
        <v>2732</v>
      </c>
      <c r="E66" s="21" t="s">
        <v>2843</v>
      </c>
      <c r="F66" s="21" t="s">
        <v>2844</v>
      </c>
      <c r="G66" s="35">
        <v>11.779999999999973</v>
      </c>
      <c r="H66" s="21">
        <v>3559457.5</v>
      </c>
    </row>
    <row r="67" spans="1:8" x14ac:dyDescent="0.25">
      <c r="A67" s="44" t="s">
        <v>50</v>
      </c>
      <c r="B67" s="44" t="s">
        <v>90</v>
      </c>
      <c r="C67" s="53">
        <v>45679</v>
      </c>
      <c r="D67" s="44" t="s">
        <v>2732</v>
      </c>
      <c r="E67" s="46" t="s">
        <v>2843</v>
      </c>
      <c r="F67" s="46" t="s">
        <v>2844</v>
      </c>
      <c r="G67" s="52">
        <v>23.720000000000027</v>
      </c>
      <c r="H67" s="46">
        <v>3559457.5</v>
      </c>
    </row>
    <row r="68" spans="1:8" x14ac:dyDescent="0.25">
      <c r="A68" s="48" t="s">
        <v>50</v>
      </c>
      <c r="B68" s="48" t="s">
        <v>90</v>
      </c>
      <c r="C68" s="54">
        <v>45679</v>
      </c>
      <c r="D68" s="48" t="s">
        <v>2732</v>
      </c>
      <c r="E68" s="21" t="s">
        <v>2843</v>
      </c>
      <c r="F68" s="21" t="s">
        <v>2844</v>
      </c>
      <c r="G68" s="35">
        <v>36.555999999999983</v>
      </c>
      <c r="H68" s="21">
        <v>3559457.5</v>
      </c>
    </row>
    <row r="69" spans="1:8" x14ac:dyDescent="0.25">
      <c r="A69" s="44" t="s">
        <v>50</v>
      </c>
      <c r="B69" s="44" t="s">
        <v>90</v>
      </c>
      <c r="C69" s="53">
        <v>45679</v>
      </c>
      <c r="D69" s="44" t="s">
        <v>2732</v>
      </c>
      <c r="E69" s="46" t="s">
        <v>2845</v>
      </c>
      <c r="F69" s="46" t="s">
        <v>2844</v>
      </c>
      <c r="G69" s="52">
        <v>86.320000000000164</v>
      </c>
      <c r="H69" s="46">
        <v>3559457.5</v>
      </c>
    </row>
    <row r="70" spans="1:8" x14ac:dyDescent="0.25">
      <c r="A70" s="48" t="s">
        <v>50</v>
      </c>
      <c r="B70" s="48" t="s">
        <v>90</v>
      </c>
      <c r="C70" s="54">
        <v>45679</v>
      </c>
      <c r="D70" s="48" t="s">
        <v>2732</v>
      </c>
      <c r="E70" s="21" t="s">
        <v>2845</v>
      </c>
      <c r="F70" s="21" t="s">
        <v>2844</v>
      </c>
      <c r="G70" s="35">
        <v>109.31999999999971</v>
      </c>
      <c r="H70" s="21">
        <v>3559457.5</v>
      </c>
    </row>
    <row r="71" spans="1:8" x14ac:dyDescent="0.25">
      <c r="A71" s="44" t="s">
        <v>50</v>
      </c>
      <c r="B71" s="44" t="s">
        <v>90</v>
      </c>
      <c r="C71" s="53">
        <v>45679</v>
      </c>
      <c r="D71" s="44" t="s">
        <v>2732</v>
      </c>
      <c r="E71" s="46" t="s">
        <v>2845</v>
      </c>
      <c r="F71" s="46" t="s">
        <v>2844</v>
      </c>
      <c r="G71" s="52">
        <v>44.139999999999873</v>
      </c>
      <c r="H71" s="46">
        <v>3559457.5</v>
      </c>
    </row>
    <row r="72" spans="1:8" x14ac:dyDescent="0.25">
      <c r="A72" s="48" t="s">
        <v>50</v>
      </c>
      <c r="B72" s="48" t="s">
        <v>90</v>
      </c>
      <c r="C72" s="54">
        <v>45679</v>
      </c>
      <c r="D72" s="48" t="s">
        <v>2732</v>
      </c>
      <c r="E72" s="21" t="s">
        <v>2845</v>
      </c>
      <c r="F72" s="21" t="s">
        <v>2844</v>
      </c>
      <c r="G72" s="35">
        <v>170.40000000000009</v>
      </c>
      <c r="H72" s="21">
        <v>3559457.5</v>
      </c>
    </row>
    <row r="73" spans="1:8" x14ac:dyDescent="0.25">
      <c r="A73" s="44" t="s">
        <v>50</v>
      </c>
      <c r="B73" s="44" t="s">
        <v>90</v>
      </c>
      <c r="C73" s="53">
        <v>45679</v>
      </c>
      <c r="D73" s="44" t="s">
        <v>2732</v>
      </c>
      <c r="E73" s="46" t="s">
        <v>2845</v>
      </c>
      <c r="F73" s="46" t="s">
        <v>2844</v>
      </c>
      <c r="G73" s="52">
        <v>103.44000000000005</v>
      </c>
      <c r="H73" s="46">
        <v>3559457.5</v>
      </c>
    </row>
    <row r="74" spans="1:8" x14ac:dyDescent="0.25">
      <c r="A74" s="44" t="s">
        <v>50</v>
      </c>
      <c r="B74" s="44" t="s">
        <v>90</v>
      </c>
      <c r="C74" s="53">
        <v>45679</v>
      </c>
      <c r="D74" s="44" t="s">
        <v>2732</v>
      </c>
      <c r="E74" s="46" t="s">
        <v>2843</v>
      </c>
      <c r="F74" s="46" t="s">
        <v>2844</v>
      </c>
      <c r="G74" s="52">
        <v>94.519999999999982</v>
      </c>
      <c r="H74" s="46">
        <v>3559457.5</v>
      </c>
    </row>
    <row r="75" spans="1:8" x14ac:dyDescent="0.25">
      <c r="A75" s="48" t="s">
        <v>50</v>
      </c>
      <c r="B75" s="48" t="s">
        <v>90</v>
      </c>
      <c r="C75" s="54">
        <v>45679</v>
      </c>
      <c r="D75" s="48" t="s">
        <v>2732</v>
      </c>
      <c r="E75" s="21" t="s">
        <v>2845</v>
      </c>
      <c r="F75" s="21" t="s">
        <v>2844</v>
      </c>
      <c r="G75" s="35">
        <v>42.139999999999873</v>
      </c>
      <c r="H75" s="21">
        <v>3559457.5</v>
      </c>
    </row>
    <row r="76" spans="1:8" x14ac:dyDescent="0.25">
      <c r="A76" s="44" t="s">
        <v>50</v>
      </c>
      <c r="B76" s="44" t="s">
        <v>90</v>
      </c>
      <c r="C76" s="53">
        <v>45708</v>
      </c>
      <c r="D76" s="44" t="s">
        <v>2732</v>
      </c>
      <c r="E76" s="46" t="s">
        <v>2845</v>
      </c>
      <c r="F76" s="46" t="s">
        <v>2844</v>
      </c>
      <c r="G76" s="52">
        <v>151.64000000000033</v>
      </c>
      <c r="H76" s="46">
        <v>3854317.5</v>
      </c>
    </row>
    <row r="77" spans="1:8" x14ac:dyDescent="0.25">
      <c r="A77" s="48" t="s">
        <v>50</v>
      </c>
      <c r="B77" s="48" t="s">
        <v>90</v>
      </c>
      <c r="C77" s="54">
        <v>45708</v>
      </c>
      <c r="D77" s="48" t="s">
        <v>2732</v>
      </c>
      <c r="E77" s="21" t="s">
        <v>2845</v>
      </c>
      <c r="F77" s="21" t="s">
        <v>2844</v>
      </c>
      <c r="G77" s="35">
        <v>42.239999999999782</v>
      </c>
      <c r="H77" s="21">
        <v>3854317.5</v>
      </c>
    </row>
    <row r="78" spans="1:8" x14ac:dyDescent="0.25">
      <c r="A78" s="44" t="s">
        <v>50</v>
      </c>
      <c r="B78" s="44" t="s">
        <v>90</v>
      </c>
      <c r="C78" s="45">
        <v>45708</v>
      </c>
      <c r="D78" s="44" t="s">
        <v>2732</v>
      </c>
      <c r="E78" s="46" t="s">
        <v>2845</v>
      </c>
      <c r="F78" s="46" t="s">
        <v>2844</v>
      </c>
      <c r="G78" s="52">
        <v>4.8400000000001455</v>
      </c>
      <c r="H78" s="46">
        <v>3854317.5</v>
      </c>
    </row>
    <row r="79" spans="1:8" x14ac:dyDescent="0.25">
      <c r="A79" s="48" t="s">
        <v>50</v>
      </c>
      <c r="B79" s="48" t="s">
        <v>90</v>
      </c>
      <c r="C79" s="49">
        <v>45708</v>
      </c>
      <c r="D79" s="48" t="s">
        <v>2732</v>
      </c>
      <c r="E79" s="21" t="s">
        <v>2845</v>
      </c>
      <c r="F79" s="21" t="s">
        <v>2844</v>
      </c>
      <c r="G79" s="35">
        <v>99.359999999999673</v>
      </c>
      <c r="H79" s="21">
        <v>3854317.5</v>
      </c>
    </row>
    <row r="80" spans="1:8" x14ac:dyDescent="0.25">
      <c r="A80" s="44" t="s">
        <v>50</v>
      </c>
      <c r="B80" s="44" t="s">
        <v>90</v>
      </c>
      <c r="C80" s="45">
        <v>45680</v>
      </c>
      <c r="D80" s="44" t="s">
        <v>2732</v>
      </c>
      <c r="E80" s="46" t="s">
        <v>2845</v>
      </c>
      <c r="F80" s="46" t="s">
        <v>2844</v>
      </c>
      <c r="G80" s="52">
        <v>45.120000000000346</v>
      </c>
      <c r="H80" s="46">
        <v>3559457.5</v>
      </c>
    </row>
    <row r="81" spans="1:8" x14ac:dyDescent="0.25">
      <c r="A81" s="48" t="s">
        <v>50</v>
      </c>
      <c r="B81" s="48" t="s">
        <v>90</v>
      </c>
      <c r="C81" s="49">
        <v>45680</v>
      </c>
      <c r="D81" s="48" t="s">
        <v>2732</v>
      </c>
      <c r="E81" s="21" t="s">
        <v>2845</v>
      </c>
      <c r="F81" s="21" t="s">
        <v>2844</v>
      </c>
      <c r="G81" s="35">
        <v>48.239999999999782</v>
      </c>
      <c r="H81" s="21">
        <v>3559457.5</v>
      </c>
    </row>
    <row r="82" spans="1:8" x14ac:dyDescent="0.25">
      <c r="A82" s="44" t="s">
        <v>50</v>
      </c>
      <c r="B82" s="44" t="s">
        <v>90</v>
      </c>
      <c r="C82" s="45">
        <v>45680</v>
      </c>
      <c r="D82" s="44" t="s">
        <v>2732</v>
      </c>
      <c r="E82" s="46" t="s">
        <v>2845</v>
      </c>
      <c r="F82" s="46" t="s">
        <v>2844</v>
      </c>
      <c r="G82" s="52">
        <v>196.74000000000024</v>
      </c>
      <c r="H82" s="46">
        <v>3559457.5</v>
      </c>
    </row>
    <row r="83" spans="1:8" x14ac:dyDescent="0.25">
      <c r="A83" s="48" t="s">
        <v>50</v>
      </c>
      <c r="B83" s="48" t="s">
        <v>90</v>
      </c>
      <c r="C83" s="54">
        <v>45680</v>
      </c>
      <c r="D83" s="48" t="s">
        <v>2732</v>
      </c>
      <c r="E83" s="21" t="s">
        <v>2852</v>
      </c>
      <c r="F83" s="21" t="s">
        <v>2844</v>
      </c>
      <c r="G83" s="35">
        <v>50.160000000000082</v>
      </c>
      <c r="H83" s="21">
        <v>3559457.5</v>
      </c>
    </row>
    <row r="84" spans="1:8" x14ac:dyDescent="0.25">
      <c r="A84" s="44" t="s">
        <v>50</v>
      </c>
      <c r="B84" s="44" t="s">
        <v>90</v>
      </c>
      <c r="C84" s="53">
        <v>45680</v>
      </c>
      <c r="D84" s="44" t="s">
        <v>2732</v>
      </c>
      <c r="E84" s="46" t="s">
        <v>2843</v>
      </c>
      <c r="F84" s="46" t="s">
        <v>2844</v>
      </c>
      <c r="G84" s="52">
        <v>24.379999999999995</v>
      </c>
      <c r="H84" s="46">
        <v>3559457.5</v>
      </c>
    </row>
    <row r="85" spans="1:8" x14ac:dyDescent="0.25">
      <c r="A85" s="48" t="s">
        <v>50</v>
      </c>
      <c r="B85" s="48" t="s">
        <v>90</v>
      </c>
      <c r="C85" s="54">
        <v>45680</v>
      </c>
      <c r="D85" s="48" t="s">
        <v>2732</v>
      </c>
      <c r="E85" s="21" t="s">
        <v>2843</v>
      </c>
      <c r="F85" s="21" t="s">
        <v>2844</v>
      </c>
      <c r="G85" s="35">
        <v>33.919999999999959</v>
      </c>
      <c r="H85" s="21">
        <v>3559457.5</v>
      </c>
    </row>
    <row r="86" spans="1:8" x14ac:dyDescent="0.25">
      <c r="A86" s="44" t="s">
        <v>50</v>
      </c>
      <c r="B86" s="44" t="s">
        <v>90</v>
      </c>
      <c r="C86" s="53">
        <v>45680</v>
      </c>
      <c r="D86" s="44" t="s">
        <v>2732</v>
      </c>
      <c r="E86" s="46" t="s">
        <v>2845</v>
      </c>
      <c r="F86" s="46" t="s">
        <v>2844</v>
      </c>
      <c r="G86" s="52">
        <v>60.19399999999996</v>
      </c>
      <c r="H86" s="46">
        <v>3559457.5</v>
      </c>
    </row>
    <row r="87" spans="1:8" x14ac:dyDescent="0.25">
      <c r="A87" s="48" t="s">
        <v>50</v>
      </c>
      <c r="B87" s="48" t="s">
        <v>90</v>
      </c>
      <c r="C87" s="54">
        <v>45683</v>
      </c>
      <c r="D87" s="48" t="s">
        <v>2732</v>
      </c>
      <c r="E87" s="21" t="s">
        <v>2845</v>
      </c>
      <c r="F87" s="21" t="s">
        <v>2844</v>
      </c>
      <c r="G87" s="35">
        <v>102.87999999999965</v>
      </c>
      <c r="H87" s="21">
        <v>3559457.5</v>
      </c>
    </row>
    <row r="88" spans="1:8" x14ac:dyDescent="0.25">
      <c r="A88" s="44" t="s">
        <v>50</v>
      </c>
      <c r="B88" s="44" t="s">
        <v>90</v>
      </c>
      <c r="C88" s="45">
        <v>45686</v>
      </c>
      <c r="D88" s="44" t="s">
        <v>2732</v>
      </c>
      <c r="E88" s="46" t="s">
        <v>2845</v>
      </c>
      <c r="F88" s="46" t="s">
        <v>2844</v>
      </c>
      <c r="G88" s="47">
        <v>75.820000000000164</v>
      </c>
      <c r="H88" s="46">
        <v>3559457.5</v>
      </c>
    </row>
    <row r="89" spans="1:8" x14ac:dyDescent="0.25">
      <c r="A89" s="48" t="s">
        <v>50</v>
      </c>
      <c r="B89" s="48" t="s">
        <v>90</v>
      </c>
      <c r="C89" s="49">
        <v>45686</v>
      </c>
      <c r="D89" s="48" t="s">
        <v>2732</v>
      </c>
      <c r="E89" s="21" t="s">
        <v>2845</v>
      </c>
      <c r="F89" s="21" t="s">
        <v>2844</v>
      </c>
      <c r="G89" s="50">
        <v>104.65999999999985</v>
      </c>
      <c r="H89" s="21">
        <v>3559457.5</v>
      </c>
    </row>
    <row r="90" spans="1:8" x14ac:dyDescent="0.25">
      <c r="A90" s="44" t="s">
        <v>50</v>
      </c>
      <c r="B90" s="44" t="s">
        <v>90</v>
      </c>
      <c r="C90" s="45">
        <v>45686</v>
      </c>
      <c r="D90" s="44" t="s">
        <v>2732</v>
      </c>
      <c r="E90" s="46" t="s">
        <v>2843</v>
      </c>
      <c r="F90" s="46" t="s">
        <v>2844</v>
      </c>
      <c r="G90" s="47">
        <v>26.319999999999936</v>
      </c>
      <c r="H90" s="46">
        <v>3559457.5</v>
      </c>
    </row>
    <row r="91" spans="1:8" x14ac:dyDescent="0.25">
      <c r="A91" s="48" t="s">
        <v>50</v>
      </c>
      <c r="B91" s="48" t="s">
        <v>90</v>
      </c>
      <c r="C91" s="49">
        <v>45686</v>
      </c>
      <c r="D91" s="48" t="s">
        <v>2732</v>
      </c>
      <c r="E91" s="21" t="s">
        <v>2843</v>
      </c>
      <c r="F91" s="21" t="s">
        <v>2844</v>
      </c>
      <c r="G91" s="35">
        <v>39.80600000000004</v>
      </c>
      <c r="H91" s="21">
        <v>3559457.5</v>
      </c>
    </row>
    <row r="92" spans="1:8" x14ac:dyDescent="0.25">
      <c r="A92" s="44" t="s">
        <v>50</v>
      </c>
      <c r="B92" s="44" t="s">
        <v>90</v>
      </c>
      <c r="C92" s="45">
        <v>45686</v>
      </c>
      <c r="D92" s="44" t="s">
        <v>2732</v>
      </c>
      <c r="E92" s="46" t="s">
        <v>2843</v>
      </c>
      <c r="F92" s="46" t="s">
        <v>2844</v>
      </c>
      <c r="G92" s="52">
        <v>82.779999999999973</v>
      </c>
      <c r="H92" s="46">
        <v>3559457.5</v>
      </c>
    </row>
    <row r="93" spans="1:8" x14ac:dyDescent="0.25">
      <c r="A93" s="48" t="s">
        <v>50</v>
      </c>
      <c r="B93" s="48" t="s">
        <v>90</v>
      </c>
      <c r="C93" s="49">
        <v>45686</v>
      </c>
      <c r="D93" s="48" t="s">
        <v>2732</v>
      </c>
      <c r="E93" s="21" t="s">
        <v>2843</v>
      </c>
      <c r="F93" s="21" t="s">
        <v>2844</v>
      </c>
      <c r="G93" s="35">
        <v>47.720000000000027</v>
      </c>
      <c r="H93" s="21">
        <v>3559457.5</v>
      </c>
    </row>
    <row r="94" spans="1:8" x14ac:dyDescent="0.25">
      <c r="A94" s="44" t="s">
        <v>50</v>
      </c>
      <c r="B94" s="44" t="s">
        <v>90</v>
      </c>
      <c r="C94" s="45">
        <v>45690</v>
      </c>
      <c r="D94" s="44" t="s">
        <v>2732</v>
      </c>
      <c r="E94" s="46" t="s">
        <v>2853</v>
      </c>
      <c r="F94" s="46" t="s">
        <v>2844</v>
      </c>
      <c r="G94" s="52">
        <v>90.350000000000364</v>
      </c>
      <c r="H94" s="46">
        <v>3854317.5</v>
      </c>
    </row>
    <row r="95" spans="1:8" x14ac:dyDescent="0.25">
      <c r="A95" s="48" t="s">
        <v>50</v>
      </c>
      <c r="B95" s="48" t="s">
        <v>90</v>
      </c>
      <c r="C95" s="49">
        <v>45690</v>
      </c>
      <c r="D95" s="48" t="s">
        <v>2732</v>
      </c>
      <c r="E95" s="21" t="s">
        <v>2845</v>
      </c>
      <c r="F95" s="21" t="s">
        <v>2844</v>
      </c>
      <c r="G95" s="35">
        <v>103.39999999999964</v>
      </c>
      <c r="H95" s="21">
        <v>3854317.5</v>
      </c>
    </row>
    <row r="96" spans="1:8" x14ac:dyDescent="0.25">
      <c r="A96" s="44" t="s">
        <v>50</v>
      </c>
      <c r="B96" s="44" t="s">
        <v>90</v>
      </c>
      <c r="C96" s="45">
        <v>45690</v>
      </c>
      <c r="D96" s="44" t="s">
        <v>2732</v>
      </c>
      <c r="E96" s="46" t="s">
        <v>2845</v>
      </c>
      <c r="F96" s="46" t="s">
        <v>2844</v>
      </c>
      <c r="G96" s="52">
        <v>94.820000000000164</v>
      </c>
      <c r="H96" s="46">
        <v>3854317.5</v>
      </c>
    </row>
    <row r="97" spans="1:8" x14ac:dyDescent="0.25">
      <c r="A97" s="48" t="s">
        <v>50</v>
      </c>
      <c r="B97" s="48" t="s">
        <v>90</v>
      </c>
      <c r="C97" s="49">
        <v>45690</v>
      </c>
      <c r="D97" s="48" t="s">
        <v>2732</v>
      </c>
      <c r="E97" s="21" t="s">
        <v>2843</v>
      </c>
      <c r="F97" s="21" t="s">
        <v>2844</v>
      </c>
      <c r="G97" s="35">
        <v>3.7599999999999909</v>
      </c>
      <c r="H97" s="21">
        <v>3854317.5</v>
      </c>
    </row>
    <row r="98" spans="1:8" x14ac:dyDescent="0.25">
      <c r="A98" s="44" t="s">
        <v>50</v>
      </c>
      <c r="B98" s="44" t="s">
        <v>90</v>
      </c>
      <c r="C98" s="45">
        <v>45690</v>
      </c>
      <c r="D98" s="44" t="s">
        <v>2732</v>
      </c>
      <c r="E98" s="46" t="s">
        <v>2843</v>
      </c>
      <c r="F98" s="46" t="s">
        <v>2844</v>
      </c>
      <c r="G98" s="52">
        <v>74.731999999999971</v>
      </c>
      <c r="H98" s="46">
        <v>3854317.5</v>
      </c>
    </row>
    <row r="99" spans="1:8" x14ac:dyDescent="0.25">
      <c r="A99" s="48" t="s">
        <v>50</v>
      </c>
      <c r="B99" s="48" t="s">
        <v>90</v>
      </c>
      <c r="C99" s="49">
        <v>45690</v>
      </c>
      <c r="D99" s="48" t="s">
        <v>2732</v>
      </c>
      <c r="E99" s="21" t="s">
        <v>2843</v>
      </c>
      <c r="F99" s="21" t="s">
        <v>2844</v>
      </c>
      <c r="G99" s="50">
        <v>54.46000000000015</v>
      </c>
      <c r="H99" s="21">
        <v>3854317.5</v>
      </c>
    </row>
    <row r="100" spans="1:8" x14ac:dyDescent="0.25">
      <c r="A100" s="44" t="s">
        <v>50</v>
      </c>
      <c r="B100" s="44" t="s">
        <v>90</v>
      </c>
      <c r="C100" s="45">
        <v>45690</v>
      </c>
      <c r="D100" s="44" t="s">
        <v>2732</v>
      </c>
      <c r="E100" s="46" t="s">
        <v>2845</v>
      </c>
      <c r="F100" s="46" t="s">
        <v>2844</v>
      </c>
      <c r="G100" s="52">
        <v>0.1999999999998181</v>
      </c>
      <c r="H100" s="46">
        <v>3854317.5</v>
      </c>
    </row>
    <row r="101" spans="1:8" x14ac:dyDescent="0.25">
      <c r="A101" s="48" t="s">
        <v>50</v>
      </c>
      <c r="B101" s="48" t="s">
        <v>90</v>
      </c>
      <c r="C101" s="49">
        <v>45692</v>
      </c>
      <c r="D101" s="48" t="s">
        <v>2732</v>
      </c>
      <c r="E101" s="21" t="s">
        <v>2845</v>
      </c>
      <c r="F101" s="21" t="s">
        <v>2844</v>
      </c>
      <c r="G101" s="35">
        <v>150.62000000000035</v>
      </c>
      <c r="H101" s="21">
        <v>3854317.5</v>
      </c>
    </row>
    <row r="102" spans="1:8" x14ac:dyDescent="0.25">
      <c r="A102" s="48" t="s">
        <v>50</v>
      </c>
      <c r="B102" s="48" t="s">
        <v>90</v>
      </c>
      <c r="C102" s="49">
        <v>45720</v>
      </c>
      <c r="D102" s="48" t="s">
        <v>2848</v>
      </c>
      <c r="E102" s="21" t="s">
        <v>17</v>
      </c>
      <c r="F102" s="21" t="s">
        <v>2844</v>
      </c>
      <c r="G102" s="35">
        <v>-12.782</v>
      </c>
      <c r="H102" s="21">
        <v>3870463.5</v>
      </c>
    </row>
    <row r="103" spans="1:8" x14ac:dyDescent="0.25">
      <c r="A103" s="44" t="s">
        <v>50</v>
      </c>
      <c r="B103" s="44" t="s">
        <v>90</v>
      </c>
      <c r="C103" s="45">
        <v>45720</v>
      </c>
      <c r="D103" s="44" t="s">
        <v>2848</v>
      </c>
      <c r="E103" s="46" t="s">
        <v>17</v>
      </c>
      <c r="F103" s="46" t="s">
        <v>2844</v>
      </c>
      <c r="G103" s="52">
        <v>-21.097999999999999</v>
      </c>
      <c r="H103" s="46">
        <v>3870463.5</v>
      </c>
    </row>
    <row r="104" spans="1:8" x14ac:dyDescent="0.25">
      <c r="A104" s="48" t="s">
        <v>50</v>
      </c>
      <c r="B104" s="48" t="s">
        <v>90</v>
      </c>
      <c r="C104" s="49">
        <v>45720</v>
      </c>
      <c r="D104" s="48" t="s">
        <v>2848</v>
      </c>
      <c r="E104" s="21" t="s">
        <v>17</v>
      </c>
      <c r="F104" s="21" t="s">
        <v>2844</v>
      </c>
      <c r="G104" s="35">
        <v>-0.98399999999999999</v>
      </c>
      <c r="H104" s="21">
        <v>3870463.5</v>
      </c>
    </row>
    <row r="105" spans="1:8" x14ac:dyDescent="0.25">
      <c r="A105" s="44" t="s">
        <v>50</v>
      </c>
      <c r="B105" s="44" t="s">
        <v>90</v>
      </c>
      <c r="C105" s="45">
        <v>45720</v>
      </c>
      <c r="D105" s="44" t="s">
        <v>2848</v>
      </c>
      <c r="E105" s="46" t="s">
        <v>17</v>
      </c>
      <c r="F105" s="46" t="s">
        <v>2844</v>
      </c>
      <c r="G105" s="52">
        <v>-20.158000000000001</v>
      </c>
      <c r="H105" s="46">
        <v>3870463.5</v>
      </c>
    </row>
    <row r="106" spans="1:8" x14ac:dyDescent="0.25">
      <c r="A106" s="48" t="s">
        <v>50</v>
      </c>
      <c r="B106" s="48" t="s">
        <v>90</v>
      </c>
      <c r="C106" s="49">
        <v>45720</v>
      </c>
      <c r="D106" s="48" t="s">
        <v>2848</v>
      </c>
      <c r="E106" s="21" t="s">
        <v>17</v>
      </c>
      <c r="F106" s="21" t="s">
        <v>2844</v>
      </c>
      <c r="G106" s="35">
        <v>-4.84</v>
      </c>
      <c r="H106" s="21">
        <v>3870463.5</v>
      </c>
    </row>
    <row r="107" spans="1:8" x14ac:dyDescent="0.25">
      <c r="A107" s="44" t="s">
        <v>50</v>
      </c>
      <c r="B107" s="44" t="s">
        <v>90</v>
      </c>
      <c r="C107" s="45">
        <v>45720</v>
      </c>
      <c r="D107" s="44" t="s">
        <v>2848</v>
      </c>
      <c r="E107" s="46" t="s">
        <v>17</v>
      </c>
      <c r="F107" s="46" t="s">
        <v>2844</v>
      </c>
      <c r="G107" s="52">
        <v>-43.118000000000002</v>
      </c>
      <c r="H107" s="46">
        <v>3870463.5</v>
      </c>
    </row>
    <row r="108" spans="1:8" x14ac:dyDescent="0.25">
      <c r="A108" s="48" t="s">
        <v>50</v>
      </c>
      <c r="B108" s="48" t="s">
        <v>90</v>
      </c>
      <c r="C108" s="49">
        <v>45720</v>
      </c>
      <c r="D108" s="48" t="s">
        <v>2732</v>
      </c>
      <c r="E108" s="21" t="s">
        <v>2845</v>
      </c>
      <c r="F108" s="21" t="s">
        <v>2844</v>
      </c>
      <c r="G108" s="35">
        <v>102.98000000000047</v>
      </c>
      <c r="H108" s="21">
        <v>3870463.5</v>
      </c>
    </row>
    <row r="109" spans="1:8" x14ac:dyDescent="0.25">
      <c r="A109" s="48" t="s">
        <v>50</v>
      </c>
      <c r="B109" s="48" t="s">
        <v>90</v>
      </c>
      <c r="C109" s="49">
        <v>45731</v>
      </c>
      <c r="D109" s="48" t="s">
        <v>2732</v>
      </c>
      <c r="E109" s="21" t="s">
        <v>2845</v>
      </c>
      <c r="F109" s="21" t="s">
        <v>2844</v>
      </c>
      <c r="G109" s="35">
        <v>174.06800000000021</v>
      </c>
      <c r="H109" s="21">
        <v>3870463.5</v>
      </c>
    </row>
    <row r="110" spans="1:8" x14ac:dyDescent="0.25">
      <c r="A110" s="44" t="s">
        <v>50</v>
      </c>
      <c r="B110" s="44" t="s">
        <v>90</v>
      </c>
      <c r="C110" s="45">
        <v>45731</v>
      </c>
      <c r="D110" s="44" t="s">
        <v>2732</v>
      </c>
      <c r="E110" s="46" t="s">
        <v>2845</v>
      </c>
      <c r="F110" s="46" t="s">
        <v>2844</v>
      </c>
      <c r="G110" s="52">
        <v>26.679999999999382</v>
      </c>
      <c r="H110" s="46">
        <v>3870463.5</v>
      </c>
    </row>
    <row r="111" spans="1:8" x14ac:dyDescent="0.25">
      <c r="A111" s="48" t="s">
        <v>50</v>
      </c>
      <c r="B111" s="48" t="s">
        <v>90</v>
      </c>
      <c r="C111" s="49">
        <v>45731</v>
      </c>
      <c r="D111" s="48" t="s">
        <v>2732</v>
      </c>
      <c r="E111" s="21" t="s">
        <v>2845</v>
      </c>
      <c r="F111" s="21" t="s">
        <v>2844</v>
      </c>
      <c r="G111" s="35">
        <v>146.88000000000011</v>
      </c>
      <c r="H111" s="21">
        <v>3870463.5</v>
      </c>
    </row>
    <row r="112" spans="1:8" x14ac:dyDescent="0.25">
      <c r="A112" s="44" t="s">
        <v>50</v>
      </c>
      <c r="B112" s="44" t="s">
        <v>90</v>
      </c>
      <c r="C112" s="45">
        <v>45731</v>
      </c>
      <c r="D112" s="44" t="s">
        <v>2732</v>
      </c>
      <c r="E112" s="46" t="s">
        <v>2845</v>
      </c>
      <c r="F112" s="46" t="s">
        <v>2844</v>
      </c>
      <c r="G112" s="52">
        <v>186.69999999999982</v>
      </c>
      <c r="H112" s="46">
        <v>3870463.5</v>
      </c>
    </row>
    <row r="113" spans="1:8" x14ac:dyDescent="0.25">
      <c r="A113" s="48" t="s">
        <v>50</v>
      </c>
      <c r="B113" s="48" t="s">
        <v>90</v>
      </c>
      <c r="C113" s="54">
        <v>45731</v>
      </c>
      <c r="D113" s="48" t="s">
        <v>2732</v>
      </c>
      <c r="E113" s="21" t="s">
        <v>2845</v>
      </c>
      <c r="F113" s="21" t="s">
        <v>2844</v>
      </c>
      <c r="G113" s="35">
        <v>42.400000000000546</v>
      </c>
      <c r="H113" s="21">
        <v>3870463.5</v>
      </c>
    </row>
    <row r="114" spans="1:8" x14ac:dyDescent="0.25">
      <c r="A114" s="48" t="s">
        <v>50</v>
      </c>
      <c r="B114" s="48" t="s">
        <v>90</v>
      </c>
      <c r="C114" s="54">
        <v>45736</v>
      </c>
      <c r="D114" s="48" t="s">
        <v>2732</v>
      </c>
      <c r="E114" s="21" t="s">
        <v>2845</v>
      </c>
      <c r="F114" s="21" t="s">
        <v>2844</v>
      </c>
      <c r="G114" s="35">
        <v>40.159999999999854</v>
      </c>
      <c r="H114" s="21">
        <v>3870463.5</v>
      </c>
    </row>
    <row r="115" spans="1:8" x14ac:dyDescent="0.25">
      <c r="A115" s="44" t="s">
        <v>50</v>
      </c>
      <c r="B115" s="44" t="s">
        <v>90</v>
      </c>
      <c r="C115" s="53">
        <v>45736</v>
      </c>
      <c r="D115" s="44" t="s">
        <v>2732</v>
      </c>
      <c r="E115" s="46" t="s">
        <v>2845</v>
      </c>
      <c r="F115" s="46" t="s">
        <v>2844</v>
      </c>
      <c r="G115" s="52">
        <v>83.865999999999985</v>
      </c>
      <c r="H115" s="46">
        <v>3870463.5</v>
      </c>
    </row>
    <row r="116" spans="1:8" x14ac:dyDescent="0.25">
      <c r="A116" s="48" t="s">
        <v>50</v>
      </c>
      <c r="B116" s="48" t="s">
        <v>90</v>
      </c>
      <c r="C116" s="54">
        <v>45736</v>
      </c>
      <c r="D116" s="48" t="s">
        <v>2732</v>
      </c>
      <c r="E116" s="21" t="s">
        <v>2845</v>
      </c>
      <c r="F116" s="21" t="s">
        <v>2844</v>
      </c>
      <c r="G116" s="35">
        <v>173.05999999999949</v>
      </c>
      <c r="H116" s="21">
        <v>3870463.5</v>
      </c>
    </row>
    <row r="117" spans="1:8" x14ac:dyDescent="0.25">
      <c r="A117" s="44" t="s">
        <v>50</v>
      </c>
      <c r="B117" s="44" t="s">
        <v>90</v>
      </c>
      <c r="C117" s="53">
        <v>45736</v>
      </c>
      <c r="D117" s="44" t="s">
        <v>2732</v>
      </c>
      <c r="E117" s="46" t="s">
        <v>2845</v>
      </c>
      <c r="F117" s="46" t="s">
        <v>2844</v>
      </c>
      <c r="G117" s="52">
        <v>110.74000000000069</v>
      </c>
      <c r="H117" s="46">
        <v>3870463.5</v>
      </c>
    </row>
    <row r="118" spans="1:8" x14ac:dyDescent="0.25">
      <c r="A118" s="44" t="s">
        <v>50</v>
      </c>
      <c r="B118" s="44" t="s">
        <v>90</v>
      </c>
      <c r="C118" s="53">
        <v>45741</v>
      </c>
      <c r="D118" s="44" t="s">
        <v>2732</v>
      </c>
      <c r="E118" s="46" t="s">
        <v>2845</v>
      </c>
      <c r="F118" s="46" t="s">
        <v>2844</v>
      </c>
      <c r="G118" s="52">
        <v>141.81999999999971</v>
      </c>
      <c r="H118" s="46">
        <v>3870463.5</v>
      </c>
    </row>
    <row r="119" spans="1:8" x14ac:dyDescent="0.25">
      <c r="A119" s="48" t="s">
        <v>50</v>
      </c>
      <c r="B119" s="48" t="s">
        <v>90</v>
      </c>
      <c r="C119" s="54">
        <v>45741</v>
      </c>
      <c r="D119" s="48" t="s">
        <v>2732</v>
      </c>
      <c r="E119" s="21" t="s">
        <v>2845</v>
      </c>
      <c r="F119" s="21" t="s">
        <v>2844</v>
      </c>
      <c r="G119" s="35">
        <v>151.11999999999989</v>
      </c>
      <c r="H119" s="21">
        <v>3870463.5</v>
      </c>
    </row>
    <row r="120" spans="1:8" x14ac:dyDescent="0.25">
      <c r="A120" s="44" t="s">
        <v>50</v>
      </c>
      <c r="B120" s="44" t="s">
        <v>90</v>
      </c>
      <c r="C120" s="53">
        <v>45741</v>
      </c>
      <c r="D120" s="44" t="s">
        <v>2732</v>
      </c>
      <c r="E120" s="46" t="s">
        <v>2845</v>
      </c>
      <c r="F120" s="46" t="s">
        <v>2844</v>
      </c>
      <c r="G120" s="52">
        <v>50.217999999999847</v>
      </c>
      <c r="H120" s="46">
        <v>3870463.5</v>
      </c>
    </row>
    <row r="121" spans="1:8" x14ac:dyDescent="0.25">
      <c r="A121" s="48" t="s">
        <v>50</v>
      </c>
      <c r="B121" s="48" t="s">
        <v>90</v>
      </c>
      <c r="C121" s="54">
        <v>45741</v>
      </c>
      <c r="D121" s="48" t="s">
        <v>2732</v>
      </c>
      <c r="E121" s="21" t="s">
        <v>2845</v>
      </c>
      <c r="F121" s="21" t="s">
        <v>2844</v>
      </c>
      <c r="G121" s="35">
        <v>181.68000000000029</v>
      </c>
      <c r="H121" s="21">
        <v>3870463.5</v>
      </c>
    </row>
    <row r="122" spans="1:8" x14ac:dyDescent="0.25">
      <c r="A122" s="48" t="s">
        <v>50</v>
      </c>
      <c r="B122" s="48" t="s">
        <v>90</v>
      </c>
      <c r="C122" s="49">
        <v>45745</v>
      </c>
      <c r="D122" s="48" t="s">
        <v>2732</v>
      </c>
      <c r="E122" s="21" t="s">
        <v>2845</v>
      </c>
      <c r="F122" s="21" t="s">
        <v>2844</v>
      </c>
      <c r="G122" s="62">
        <v>87.840000000000146</v>
      </c>
      <c r="H122" s="21">
        <v>3870463.5</v>
      </c>
    </row>
    <row r="123" spans="1:8" x14ac:dyDescent="0.25">
      <c r="A123" s="44" t="s">
        <v>50</v>
      </c>
      <c r="B123" s="44" t="s">
        <v>90</v>
      </c>
      <c r="C123" s="45">
        <v>45745</v>
      </c>
      <c r="D123" s="44" t="s">
        <v>2732</v>
      </c>
      <c r="E123" s="46" t="s">
        <v>2845</v>
      </c>
      <c r="F123" s="46" t="s">
        <v>2844</v>
      </c>
      <c r="G123" s="61">
        <v>82.880000000000109</v>
      </c>
      <c r="H123" s="46">
        <v>3870463.5</v>
      </c>
    </row>
    <row r="124" spans="1:8" x14ac:dyDescent="0.25">
      <c r="A124" s="48" t="s">
        <v>50</v>
      </c>
      <c r="B124" s="48" t="s">
        <v>90</v>
      </c>
      <c r="C124" s="49">
        <v>45745</v>
      </c>
      <c r="D124" s="48" t="s">
        <v>2732</v>
      </c>
      <c r="E124" s="21" t="s">
        <v>2845</v>
      </c>
      <c r="F124" s="21" t="s">
        <v>2844</v>
      </c>
      <c r="G124" s="62">
        <v>139.34000000000015</v>
      </c>
      <c r="H124" s="21">
        <v>3870463.5</v>
      </c>
    </row>
    <row r="125" spans="1:8" x14ac:dyDescent="0.25">
      <c r="A125" s="44" t="s">
        <v>50</v>
      </c>
      <c r="B125" s="44" t="s">
        <v>90</v>
      </c>
      <c r="C125" s="45">
        <v>45745</v>
      </c>
      <c r="D125" s="44" t="s">
        <v>2732</v>
      </c>
      <c r="E125" s="46" t="s">
        <v>2845</v>
      </c>
      <c r="F125" s="46" t="s">
        <v>2844</v>
      </c>
      <c r="G125" s="47">
        <v>152.8799999999992</v>
      </c>
      <c r="H125" s="46">
        <v>3870463.5</v>
      </c>
    </row>
    <row r="126" spans="1:8" x14ac:dyDescent="0.25">
      <c r="A126" s="48" t="s">
        <v>50</v>
      </c>
      <c r="B126" s="48" t="s">
        <v>90</v>
      </c>
      <c r="C126" s="49">
        <v>45745</v>
      </c>
      <c r="D126" s="48" t="s">
        <v>2732</v>
      </c>
      <c r="E126" s="21" t="s">
        <v>2845</v>
      </c>
      <c r="F126" s="21" t="s">
        <v>2844</v>
      </c>
      <c r="G126" s="62">
        <v>93.920000000000073</v>
      </c>
      <c r="H126" s="21">
        <v>3870463.5</v>
      </c>
    </row>
    <row r="127" spans="1:8" x14ac:dyDescent="0.25">
      <c r="A127" s="48" t="s">
        <v>50</v>
      </c>
      <c r="B127" s="48" t="s">
        <v>90</v>
      </c>
      <c r="C127" s="54">
        <v>45763</v>
      </c>
      <c r="D127" s="48" t="s">
        <v>2732</v>
      </c>
      <c r="E127" s="21" t="s">
        <v>2845</v>
      </c>
      <c r="F127" s="21" t="s">
        <v>2844</v>
      </c>
      <c r="G127" s="35">
        <v>12.579999999999927</v>
      </c>
      <c r="H127" s="56">
        <v>3788405.5</v>
      </c>
    </row>
    <row r="128" spans="1:8" x14ac:dyDescent="0.25">
      <c r="A128" s="44" t="s">
        <v>50</v>
      </c>
      <c r="B128" s="44" t="s">
        <v>90</v>
      </c>
      <c r="C128" s="53">
        <v>45763</v>
      </c>
      <c r="D128" s="44" t="s">
        <v>2848</v>
      </c>
      <c r="E128" s="46" t="s">
        <v>17</v>
      </c>
      <c r="F128" s="46" t="s">
        <v>2844</v>
      </c>
      <c r="G128" s="52">
        <v>-12.58</v>
      </c>
      <c r="H128" s="55">
        <v>3788405.5</v>
      </c>
    </row>
    <row r="129" spans="1:8" x14ac:dyDescent="0.25">
      <c r="A129" s="48" t="s">
        <v>50</v>
      </c>
      <c r="B129" s="48" t="s">
        <v>90</v>
      </c>
      <c r="C129" s="54">
        <v>45763</v>
      </c>
      <c r="D129" s="48" t="s">
        <v>2848</v>
      </c>
      <c r="E129" s="21" t="s">
        <v>17</v>
      </c>
      <c r="F129" s="21" t="s">
        <v>2844</v>
      </c>
      <c r="G129" s="35">
        <v>-14.36</v>
      </c>
      <c r="H129" s="56">
        <v>3788405.5</v>
      </c>
    </row>
    <row r="130" spans="1:8" x14ac:dyDescent="0.25">
      <c r="A130" s="44" t="s">
        <v>50</v>
      </c>
      <c r="B130" s="44" t="s">
        <v>90</v>
      </c>
      <c r="C130" s="53">
        <v>45763</v>
      </c>
      <c r="D130" s="44" t="s">
        <v>2732</v>
      </c>
      <c r="E130" s="46" t="s">
        <v>2845</v>
      </c>
      <c r="F130" s="46" t="s">
        <v>2844</v>
      </c>
      <c r="G130" s="52">
        <v>14.360000000000582</v>
      </c>
      <c r="H130" s="55">
        <v>3788405.5</v>
      </c>
    </row>
    <row r="131" spans="1:8" x14ac:dyDescent="0.25">
      <c r="A131" s="48" t="s">
        <v>50</v>
      </c>
      <c r="B131" s="48" t="s">
        <v>90</v>
      </c>
      <c r="C131" s="49">
        <v>45763</v>
      </c>
      <c r="D131" s="48" t="s">
        <v>2848</v>
      </c>
      <c r="E131" s="21" t="s">
        <v>17</v>
      </c>
      <c r="F131" s="21" t="s">
        <v>2844</v>
      </c>
      <c r="G131" s="35">
        <v>-14.38</v>
      </c>
      <c r="H131" s="21">
        <v>3788405.5</v>
      </c>
    </row>
    <row r="132" spans="1:8" x14ac:dyDescent="0.25">
      <c r="A132" s="44" t="s">
        <v>50</v>
      </c>
      <c r="B132" s="44" t="s">
        <v>90</v>
      </c>
      <c r="C132" s="45">
        <v>45763</v>
      </c>
      <c r="D132" s="44" t="s">
        <v>2732</v>
      </c>
      <c r="E132" s="46" t="s">
        <v>2845</v>
      </c>
      <c r="F132" s="46" t="s">
        <v>2844</v>
      </c>
      <c r="G132" s="52">
        <v>130.45200000000023</v>
      </c>
      <c r="H132" s="46">
        <v>3788405.5</v>
      </c>
    </row>
    <row r="133" spans="1:8" x14ac:dyDescent="0.25">
      <c r="A133" s="44" t="s">
        <v>2850</v>
      </c>
      <c r="B133" s="44" t="s">
        <v>137</v>
      </c>
      <c r="C133" s="45">
        <v>45727</v>
      </c>
      <c r="D133" s="44" t="s">
        <v>2732</v>
      </c>
      <c r="E133" s="46" t="s">
        <v>2858</v>
      </c>
      <c r="F133" s="46" t="s">
        <v>2855</v>
      </c>
      <c r="G133" s="61">
        <v>3287.76</v>
      </c>
      <c r="H133" s="46">
        <v>955306.92</v>
      </c>
    </row>
    <row r="134" spans="1:8" x14ac:dyDescent="0.25">
      <c r="A134" s="48" t="s">
        <v>2850</v>
      </c>
      <c r="B134" s="48" t="s">
        <v>137</v>
      </c>
      <c r="C134" s="49">
        <v>45731</v>
      </c>
      <c r="D134" s="48" t="s">
        <v>2732</v>
      </c>
      <c r="E134" s="21" t="s">
        <v>2860</v>
      </c>
      <c r="F134" s="21" t="s">
        <v>2855</v>
      </c>
      <c r="G134" s="50">
        <v>725.83999999999969</v>
      </c>
      <c r="H134" s="21">
        <v>955306.92</v>
      </c>
    </row>
    <row r="135" spans="1:8" x14ac:dyDescent="0.25">
      <c r="A135" s="48" t="s">
        <v>2850</v>
      </c>
      <c r="B135" s="48" t="s">
        <v>137</v>
      </c>
      <c r="C135" s="54">
        <v>45735</v>
      </c>
      <c r="D135" s="48" t="s">
        <v>2732</v>
      </c>
      <c r="E135" s="21" t="s">
        <v>2861</v>
      </c>
      <c r="F135" s="21" t="s">
        <v>2855</v>
      </c>
      <c r="G135" s="35">
        <v>1278.3600000000001</v>
      </c>
      <c r="H135" s="21">
        <v>955306.92</v>
      </c>
    </row>
    <row r="136" spans="1:8" x14ac:dyDescent="0.25">
      <c r="A136" s="44" t="s">
        <v>2850</v>
      </c>
      <c r="B136" s="44" t="s">
        <v>137</v>
      </c>
      <c r="C136" s="53">
        <v>45736</v>
      </c>
      <c r="D136" s="44" t="s">
        <v>2732</v>
      </c>
      <c r="E136" s="46" t="s">
        <v>2854</v>
      </c>
      <c r="F136" s="46" t="s">
        <v>2855</v>
      </c>
      <c r="G136" s="52">
        <v>364.60000000000036</v>
      </c>
      <c r="H136" s="46">
        <v>955306.92</v>
      </c>
    </row>
    <row r="137" spans="1:8" x14ac:dyDescent="0.25">
      <c r="A137" s="44" t="s">
        <v>2850</v>
      </c>
      <c r="B137" s="44" t="s">
        <v>137</v>
      </c>
      <c r="C137" s="53">
        <v>45739</v>
      </c>
      <c r="D137" s="44" t="s">
        <v>2732</v>
      </c>
      <c r="E137" s="46" t="s">
        <v>2862</v>
      </c>
      <c r="F137" s="46" t="s">
        <v>2855</v>
      </c>
      <c r="G137" s="52">
        <v>923.15999999999985</v>
      </c>
      <c r="H137" s="46">
        <v>955306.92</v>
      </c>
    </row>
    <row r="138" spans="1:8" x14ac:dyDescent="0.25">
      <c r="A138" s="44" t="s">
        <v>2850</v>
      </c>
      <c r="B138" s="44" t="s">
        <v>137</v>
      </c>
      <c r="C138" s="53">
        <v>45743</v>
      </c>
      <c r="D138" s="44" t="s">
        <v>2732</v>
      </c>
      <c r="E138" s="46" t="s">
        <v>2863</v>
      </c>
      <c r="F138" s="46" t="s">
        <v>2855</v>
      </c>
      <c r="G138" s="52">
        <v>545.65999999999985</v>
      </c>
      <c r="H138" s="46">
        <v>955306.92</v>
      </c>
    </row>
    <row r="139" spans="1:8" x14ac:dyDescent="0.25">
      <c r="A139" s="48" t="s">
        <v>2850</v>
      </c>
      <c r="B139" s="48" t="s">
        <v>137</v>
      </c>
      <c r="C139" s="54">
        <v>45767</v>
      </c>
      <c r="D139" s="48" t="s">
        <v>2732</v>
      </c>
      <c r="E139" s="21" t="s">
        <v>2867</v>
      </c>
      <c r="F139" s="21" t="s">
        <v>2855</v>
      </c>
      <c r="G139" s="35">
        <v>1403.0999999999995</v>
      </c>
      <c r="H139" s="21">
        <v>947797.31544000003</v>
      </c>
    </row>
    <row r="140" spans="1:8" x14ac:dyDescent="0.25">
      <c r="A140" s="44" t="s">
        <v>2850</v>
      </c>
      <c r="B140" s="44" t="s">
        <v>137</v>
      </c>
      <c r="C140" s="53">
        <v>45778</v>
      </c>
      <c r="D140" s="44" t="s">
        <v>2732</v>
      </c>
      <c r="E140" s="46" t="s">
        <v>2854</v>
      </c>
      <c r="F140" s="46" t="s">
        <v>2855</v>
      </c>
      <c r="G140" s="52">
        <v>622.39999999999964</v>
      </c>
      <c r="H140" s="46">
        <v>947797.31544000003</v>
      </c>
    </row>
    <row r="141" spans="1:8" x14ac:dyDescent="0.25">
      <c r="A141" s="48" t="s">
        <v>2850</v>
      </c>
      <c r="B141" s="48" t="s">
        <v>137</v>
      </c>
      <c r="C141" s="54">
        <v>45778</v>
      </c>
      <c r="D141" s="48" t="s">
        <v>2732</v>
      </c>
      <c r="E141" s="21" t="s">
        <v>2856</v>
      </c>
      <c r="F141" s="21" t="s">
        <v>2855</v>
      </c>
      <c r="G141" s="35">
        <v>0.6000000000003638</v>
      </c>
      <c r="H141" s="21">
        <v>947797.31544000003</v>
      </c>
    </row>
    <row r="142" spans="1:8" x14ac:dyDescent="0.25">
      <c r="A142" s="44" t="s">
        <v>2850</v>
      </c>
      <c r="B142" s="44" t="s">
        <v>137</v>
      </c>
      <c r="C142" s="53">
        <v>45778</v>
      </c>
      <c r="D142" s="44" t="s">
        <v>2848</v>
      </c>
      <c r="E142" s="46" t="s">
        <v>17</v>
      </c>
      <c r="F142" s="46" t="s">
        <v>2855</v>
      </c>
      <c r="G142" s="52">
        <v>-0.5</v>
      </c>
      <c r="H142" s="46">
        <v>947797.31544000003</v>
      </c>
    </row>
    <row r="143" spans="1:8" x14ac:dyDescent="0.25">
      <c r="A143" s="48" t="s">
        <v>2850</v>
      </c>
      <c r="B143" s="48" t="s">
        <v>137</v>
      </c>
      <c r="C143" s="54">
        <v>45778</v>
      </c>
      <c r="D143" s="48" t="s">
        <v>2848</v>
      </c>
      <c r="E143" s="21" t="s">
        <v>17</v>
      </c>
      <c r="F143" s="21" t="s">
        <v>2855</v>
      </c>
      <c r="G143" s="35">
        <v>-0.04</v>
      </c>
      <c r="H143" s="21">
        <v>947797.31544000003</v>
      </c>
    </row>
    <row r="144" spans="1:8" x14ac:dyDescent="0.25">
      <c r="A144" s="44" t="s">
        <v>50</v>
      </c>
      <c r="B144" s="44" t="s">
        <v>137</v>
      </c>
      <c r="C144" s="53">
        <v>45780</v>
      </c>
      <c r="D144" s="44" t="s">
        <v>2732</v>
      </c>
      <c r="E144" s="46" t="s">
        <v>2857</v>
      </c>
      <c r="F144" s="46" t="s">
        <v>2844</v>
      </c>
      <c r="G144" s="52">
        <v>512.23400000000004</v>
      </c>
      <c r="H144" s="46">
        <v>947797.31544000003</v>
      </c>
    </row>
    <row r="145" spans="1:8" x14ac:dyDescent="0.25">
      <c r="A145" s="48" t="s">
        <v>50</v>
      </c>
      <c r="B145" s="48" t="s">
        <v>137</v>
      </c>
      <c r="C145" s="54">
        <v>45780</v>
      </c>
      <c r="D145" s="48" t="s">
        <v>2732</v>
      </c>
      <c r="E145" s="21" t="s">
        <v>2857</v>
      </c>
      <c r="F145" s="21" t="s">
        <v>2844</v>
      </c>
      <c r="G145" s="35">
        <v>474.76400000000001</v>
      </c>
      <c r="H145" s="21">
        <v>947797.31544000003</v>
      </c>
    </row>
    <row r="146" spans="1:8" x14ac:dyDescent="0.25">
      <c r="A146" s="44" t="s">
        <v>50</v>
      </c>
      <c r="B146" s="44" t="s">
        <v>137</v>
      </c>
      <c r="C146" s="53">
        <v>45781</v>
      </c>
      <c r="D146" s="44" t="s">
        <v>2732</v>
      </c>
      <c r="E146" s="46" t="s">
        <v>2857</v>
      </c>
      <c r="F146" s="46" t="s">
        <v>2844</v>
      </c>
      <c r="G146" s="52">
        <v>515.17799999999988</v>
      </c>
      <c r="H146" s="46">
        <v>947797.31544000003</v>
      </c>
    </row>
    <row r="147" spans="1:8" x14ac:dyDescent="0.25">
      <c r="A147" s="44" t="s">
        <v>50</v>
      </c>
      <c r="B147" s="44" t="s">
        <v>137</v>
      </c>
      <c r="C147" s="45">
        <v>45782</v>
      </c>
      <c r="D147" s="44" t="s">
        <v>2732</v>
      </c>
      <c r="E147" s="46" t="s">
        <v>2857</v>
      </c>
      <c r="F147" s="46" t="s">
        <v>2844</v>
      </c>
      <c r="G147" s="61">
        <v>231.25200000000018</v>
      </c>
      <c r="H147" s="46">
        <v>947797.31544000003</v>
      </c>
    </row>
    <row r="148" spans="1:8" x14ac:dyDescent="0.25">
      <c r="A148" s="44" t="s">
        <v>50</v>
      </c>
      <c r="B148" s="44" t="s">
        <v>51</v>
      </c>
      <c r="C148" s="45">
        <v>45698</v>
      </c>
      <c r="D148" s="44" t="s">
        <v>2732</v>
      </c>
      <c r="E148" s="46" t="s">
        <v>2847</v>
      </c>
      <c r="F148" s="46" t="s">
        <v>2844</v>
      </c>
      <c r="G148" s="52">
        <v>94.525999999999954</v>
      </c>
      <c r="H148" s="46">
        <v>3447392</v>
      </c>
    </row>
    <row r="149" spans="1:8" x14ac:dyDescent="0.25">
      <c r="A149" s="44" t="s">
        <v>50</v>
      </c>
      <c r="B149" s="44" t="s">
        <v>51</v>
      </c>
      <c r="C149" s="45">
        <v>45698</v>
      </c>
      <c r="D149" s="44" t="s">
        <v>2732</v>
      </c>
      <c r="E149" s="46" t="s">
        <v>2847</v>
      </c>
      <c r="F149" s="46" t="s">
        <v>2844</v>
      </c>
      <c r="G149" s="52">
        <v>101.75400000000002</v>
      </c>
      <c r="H149" s="46">
        <v>3447392</v>
      </c>
    </row>
    <row r="150" spans="1:8" x14ac:dyDescent="0.25">
      <c r="A150" s="44" t="s">
        <v>50</v>
      </c>
      <c r="B150" s="44" t="s">
        <v>51</v>
      </c>
      <c r="C150" s="45">
        <v>45698</v>
      </c>
      <c r="D150" s="44" t="s">
        <v>2732</v>
      </c>
      <c r="E150" s="46" t="s">
        <v>2847</v>
      </c>
      <c r="F150" s="46" t="s">
        <v>2844</v>
      </c>
      <c r="G150" s="47">
        <v>101.75400000000002</v>
      </c>
      <c r="H150" s="46">
        <v>3447392</v>
      </c>
    </row>
    <row r="151" spans="1:8" x14ac:dyDescent="0.25">
      <c r="A151" s="48" t="s">
        <v>50</v>
      </c>
      <c r="B151" s="48" t="s">
        <v>51</v>
      </c>
      <c r="C151" s="49">
        <v>45704</v>
      </c>
      <c r="D151" s="48" t="s">
        <v>2732</v>
      </c>
      <c r="E151" s="21" t="s">
        <v>2847</v>
      </c>
      <c r="F151" s="21" t="s">
        <v>2844</v>
      </c>
      <c r="G151" s="62">
        <v>143.10400000000004</v>
      </c>
      <c r="H151" s="21">
        <v>3447392</v>
      </c>
    </row>
    <row r="152" spans="1:8" x14ac:dyDescent="0.25">
      <c r="A152" s="44" t="s">
        <v>50</v>
      </c>
      <c r="B152" s="44" t="s">
        <v>51</v>
      </c>
      <c r="C152" s="45">
        <v>45704</v>
      </c>
      <c r="D152" s="44" t="s">
        <v>2732</v>
      </c>
      <c r="E152" s="46" t="s">
        <v>2847</v>
      </c>
      <c r="F152" s="46" t="s">
        <v>2844</v>
      </c>
      <c r="G152" s="52">
        <v>99.187999999999988</v>
      </c>
      <c r="H152" s="46">
        <v>3447392</v>
      </c>
    </row>
    <row r="153" spans="1:8" x14ac:dyDescent="0.25">
      <c r="A153" s="48" t="s">
        <v>50</v>
      </c>
      <c r="B153" s="48" t="s">
        <v>51</v>
      </c>
      <c r="C153" s="49">
        <v>45704</v>
      </c>
      <c r="D153" s="48" t="s">
        <v>2732</v>
      </c>
      <c r="E153" s="21" t="s">
        <v>2847</v>
      </c>
      <c r="F153" s="21" t="s">
        <v>2844</v>
      </c>
      <c r="G153" s="35">
        <v>77.960000000000036</v>
      </c>
      <c r="H153" s="21">
        <v>3447392</v>
      </c>
    </row>
    <row r="154" spans="1:8" x14ac:dyDescent="0.25">
      <c r="A154" s="44" t="s">
        <v>50</v>
      </c>
      <c r="B154" s="44" t="s">
        <v>51</v>
      </c>
      <c r="C154" s="45">
        <v>45704</v>
      </c>
      <c r="D154" s="44" t="s">
        <v>2732</v>
      </c>
      <c r="E154" s="46" t="s">
        <v>2847</v>
      </c>
      <c r="F154" s="46" t="s">
        <v>2844</v>
      </c>
      <c r="G154" s="52">
        <v>32.372000000000071</v>
      </c>
      <c r="H154" s="46">
        <v>3447392</v>
      </c>
    </row>
    <row r="155" spans="1:8" x14ac:dyDescent="0.25">
      <c r="A155" s="44" t="s">
        <v>50</v>
      </c>
      <c r="B155" s="44" t="s">
        <v>51</v>
      </c>
      <c r="C155" s="45">
        <v>45707</v>
      </c>
      <c r="D155" s="44" t="s">
        <v>2732</v>
      </c>
      <c r="E155" s="46" t="s">
        <v>2847</v>
      </c>
      <c r="F155" s="46" t="s">
        <v>2844</v>
      </c>
      <c r="G155" s="52">
        <v>93.157999999999902</v>
      </c>
      <c r="H155" s="46">
        <v>3447392</v>
      </c>
    </row>
    <row r="156" spans="1:8" x14ac:dyDescent="0.25">
      <c r="A156" s="44" t="s">
        <v>50</v>
      </c>
      <c r="B156" s="44" t="s">
        <v>51</v>
      </c>
      <c r="C156" s="45">
        <v>45676</v>
      </c>
      <c r="D156" s="44" t="s">
        <v>2732</v>
      </c>
      <c r="E156" s="46" t="s">
        <v>2847</v>
      </c>
      <c r="F156" s="46" t="s">
        <v>2844</v>
      </c>
      <c r="G156" s="61">
        <v>16.591999999999999</v>
      </c>
      <c r="H156" s="46">
        <v>3182208</v>
      </c>
    </row>
    <row r="157" spans="1:8" x14ac:dyDescent="0.25">
      <c r="A157" s="48" t="s">
        <v>50</v>
      </c>
      <c r="B157" s="48" t="s">
        <v>51</v>
      </c>
      <c r="C157" s="49">
        <v>45676</v>
      </c>
      <c r="D157" s="48" t="s">
        <v>2732</v>
      </c>
      <c r="E157" s="21" t="s">
        <v>2847</v>
      </c>
      <c r="F157" s="21" t="s">
        <v>2844</v>
      </c>
      <c r="G157" s="50">
        <v>91.194000000000003</v>
      </c>
      <c r="H157" s="21">
        <v>3182208</v>
      </c>
    </row>
    <row r="158" spans="1:8" x14ac:dyDescent="0.25">
      <c r="A158" s="44" t="s">
        <v>50</v>
      </c>
      <c r="B158" s="44" t="s">
        <v>51</v>
      </c>
      <c r="C158" s="45">
        <v>45676</v>
      </c>
      <c r="D158" s="44" t="s">
        <v>2732</v>
      </c>
      <c r="E158" s="46" t="s">
        <v>2847</v>
      </c>
      <c r="F158" s="46" t="s">
        <v>2844</v>
      </c>
      <c r="G158" s="61">
        <v>88.294000000000011</v>
      </c>
      <c r="H158" s="46">
        <v>3182208</v>
      </c>
    </row>
    <row r="159" spans="1:8" x14ac:dyDescent="0.25">
      <c r="A159" s="48" t="s">
        <v>50</v>
      </c>
      <c r="B159" s="48" t="s">
        <v>51</v>
      </c>
      <c r="C159" s="68">
        <v>45676</v>
      </c>
      <c r="D159" s="48" t="s">
        <v>2732</v>
      </c>
      <c r="E159" s="21" t="s">
        <v>2847</v>
      </c>
      <c r="F159" s="21" t="s">
        <v>2844</v>
      </c>
      <c r="G159" s="35">
        <v>103.65</v>
      </c>
      <c r="H159" s="21">
        <v>3182208</v>
      </c>
    </row>
    <row r="160" spans="1:8" x14ac:dyDescent="0.25">
      <c r="A160" s="48" t="s">
        <v>50</v>
      </c>
      <c r="B160" s="48" t="s">
        <v>51</v>
      </c>
      <c r="C160" s="68">
        <v>45677</v>
      </c>
      <c r="D160" s="48" t="s">
        <v>2732</v>
      </c>
      <c r="E160" s="21" t="s">
        <v>2847</v>
      </c>
      <c r="F160" s="21" t="s">
        <v>2844</v>
      </c>
      <c r="G160" s="50">
        <v>143.38599999999997</v>
      </c>
      <c r="H160" s="21">
        <v>3182208</v>
      </c>
    </row>
    <row r="161" spans="1:8" x14ac:dyDescent="0.25">
      <c r="A161" s="44" t="s">
        <v>50</v>
      </c>
      <c r="B161" s="44" t="s">
        <v>51</v>
      </c>
      <c r="C161" s="68">
        <v>45777</v>
      </c>
      <c r="D161" s="44" t="s">
        <v>2732</v>
      </c>
      <c r="E161" s="46" t="s">
        <v>2847</v>
      </c>
      <c r="F161" s="46" t="s">
        <v>2844</v>
      </c>
      <c r="G161" s="47">
        <v>60.188000000000102</v>
      </c>
      <c r="H161" s="46">
        <v>2590825.5</v>
      </c>
    </row>
    <row r="162" spans="1:8" x14ac:dyDescent="0.25">
      <c r="A162" s="48" t="s">
        <v>50</v>
      </c>
      <c r="B162" s="48" t="s">
        <v>51</v>
      </c>
      <c r="C162" s="68">
        <v>45777</v>
      </c>
      <c r="D162" s="48" t="s">
        <v>2732</v>
      </c>
      <c r="E162" s="21" t="s">
        <v>2847</v>
      </c>
      <c r="F162" s="21" t="s">
        <v>2844</v>
      </c>
      <c r="G162" s="50">
        <v>171.76800000000003</v>
      </c>
      <c r="H162" s="21">
        <v>2590825.5</v>
      </c>
    </row>
    <row r="163" spans="1:8" x14ac:dyDescent="0.25">
      <c r="A163" s="44" t="s">
        <v>50</v>
      </c>
      <c r="B163" s="44" t="s">
        <v>51</v>
      </c>
      <c r="C163" s="68">
        <v>45777</v>
      </c>
      <c r="D163" s="44" t="s">
        <v>2732</v>
      </c>
      <c r="E163" s="46" t="s">
        <v>2847</v>
      </c>
      <c r="F163" s="46" t="s">
        <v>2844</v>
      </c>
      <c r="G163" s="47">
        <v>124.01800000000003</v>
      </c>
      <c r="H163" s="46">
        <v>2590825.5</v>
      </c>
    </row>
    <row r="164" spans="1:8" x14ac:dyDescent="0.25">
      <c r="A164" s="48" t="s">
        <v>50</v>
      </c>
      <c r="B164" s="48" t="s">
        <v>51</v>
      </c>
      <c r="C164" s="68">
        <v>45679</v>
      </c>
      <c r="D164" s="48" t="s">
        <v>2732</v>
      </c>
      <c r="E164" s="21" t="s">
        <v>2847</v>
      </c>
      <c r="F164" s="21" t="s">
        <v>2844</v>
      </c>
      <c r="G164" s="50">
        <v>103.56200000000001</v>
      </c>
      <c r="H164" s="21">
        <v>3182208</v>
      </c>
    </row>
    <row r="165" spans="1:8" x14ac:dyDescent="0.25">
      <c r="A165" s="44" t="s">
        <v>50</v>
      </c>
      <c r="B165" s="44" t="s">
        <v>51</v>
      </c>
      <c r="C165" s="68">
        <v>45708</v>
      </c>
      <c r="D165" s="44" t="s">
        <v>2732</v>
      </c>
      <c r="E165" s="46" t="s">
        <v>2847</v>
      </c>
      <c r="F165" s="46" t="s">
        <v>2844</v>
      </c>
      <c r="G165" s="47">
        <v>13.352000000000089</v>
      </c>
      <c r="H165" s="46">
        <v>3447392</v>
      </c>
    </row>
    <row r="166" spans="1:8" x14ac:dyDescent="0.25">
      <c r="A166" s="48" t="s">
        <v>50</v>
      </c>
      <c r="B166" s="48" t="s">
        <v>51</v>
      </c>
      <c r="C166" s="68">
        <v>45708</v>
      </c>
      <c r="D166" s="48" t="s">
        <v>2732</v>
      </c>
      <c r="E166" s="21" t="s">
        <v>2847</v>
      </c>
      <c r="F166" s="21" t="s">
        <v>2844</v>
      </c>
      <c r="G166" s="50">
        <v>45.836000000000013</v>
      </c>
      <c r="H166" s="21">
        <v>3447392</v>
      </c>
    </row>
    <row r="167" spans="1:8" x14ac:dyDescent="0.25">
      <c r="A167" s="48" t="s">
        <v>50</v>
      </c>
      <c r="B167" s="48" t="s">
        <v>51</v>
      </c>
      <c r="C167" s="49">
        <v>45729</v>
      </c>
      <c r="D167" s="48" t="s">
        <v>2732</v>
      </c>
      <c r="E167" s="21" t="s">
        <v>2847</v>
      </c>
      <c r="F167" s="21" t="s">
        <v>2844</v>
      </c>
      <c r="G167" s="35">
        <v>84.932000000000016</v>
      </c>
      <c r="H167" s="21">
        <v>2682004</v>
      </c>
    </row>
    <row r="168" spans="1:8" x14ac:dyDescent="0.25">
      <c r="A168" s="44" t="s">
        <v>50</v>
      </c>
      <c r="B168" s="44" t="s">
        <v>51</v>
      </c>
      <c r="C168" s="45">
        <v>45729</v>
      </c>
      <c r="D168" s="44" t="s">
        <v>2732</v>
      </c>
      <c r="E168" s="46" t="s">
        <v>2859</v>
      </c>
      <c r="F168" s="46" t="s">
        <v>2844</v>
      </c>
      <c r="G168" s="52">
        <v>90.385999999999967</v>
      </c>
      <c r="H168" s="46">
        <v>2682004</v>
      </c>
    </row>
    <row r="169" spans="1:8" x14ac:dyDescent="0.25">
      <c r="A169" s="48" t="s">
        <v>50</v>
      </c>
      <c r="B169" s="48" t="s">
        <v>51</v>
      </c>
      <c r="C169" s="49">
        <v>45729</v>
      </c>
      <c r="D169" s="48" t="s">
        <v>2732</v>
      </c>
      <c r="E169" s="21" t="s">
        <v>2847</v>
      </c>
      <c r="F169" s="21" t="s">
        <v>2844</v>
      </c>
      <c r="G169" s="35">
        <v>54.30600000000004</v>
      </c>
      <c r="H169" s="21">
        <v>2682004</v>
      </c>
    </row>
    <row r="170" spans="1:8" x14ac:dyDescent="0.25">
      <c r="A170" s="44" t="s">
        <v>50</v>
      </c>
      <c r="B170" s="44" t="s">
        <v>51</v>
      </c>
      <c r="C170" s="45">
        <v>45729</v>
      </c>
      <c r="D170" s="44" t="s">
        <v>2848</v>
      </c>
      <c r="E170" s="46" t="s">
        <v>17</v>
      </c>
      <c r="F170" s="46" t="s">
        <v>2844</v>
      </c>
      <c r="G170" s="52">
        <v>-101.754</v>
      </c>
      <c r="H170" s="46">
        <v>2682004</v>
      </c>
    </row>
    <row r="171" spans="1:8" x14ac:dyDescent="0.25">
      <c r="A171" s="44" t="s">
        <v>50</v>
      </c>
      <c r="B171" s="44" t="s">
        <v>51</v>
      </c>
      <c r="C171" s="45">
        <v>45731</v>
      </c>
      <c r="D171" s="44" t="s">
        <v>2732</v>
      </c>
      <c r="E171" s="46" t="s">
        <v>2847</v>
      </c>
      <c r="F171" s="46" t="s">
        <v>2844</v>
      </c>
      <c r="G171" s="52">
        <v>42.400000000000091</v>
      </c>
      <c r="H171" s="46">
        <v>2682004</v>
      </c>
    </row>
    <row r="172" spans="1:8" x14ac:dyDescent="0.25">
      <c r="A172" s="44" t="s">
        <v>50</v>
      </c>
      <c r="B172" s="44" t="s">
        <v>51</v>
      </c>
      <c r="C172" s="45">
        <v>45731</v>
      </c>
      <c r="D172" s="44" t="s">
        <v>2732</v>
      </c>
      <c r="E172" s="46" t="s">
        <v>2847</v>
      </c>
      <c r="F172" s="46" t="s">
        <v>2844</v>
      </c>
      <c r="G172" s="52">
        <v>42.895999999999958</v>
      </c>
      <c r="H172" s="46">
        <v>2682004</v>
      </c>
    </row>
    <row r="173" spans="1:8" x14ac:dyDescent="0.25">
      <c r="A173" s="48" t="s">
        <v>50</v>
      </c>
      <c r="B173" s="48" t="s">
        <v>51</v>
      </c>
      <c r="C173" s="49">
        <v>45731</v>
      </c>
      <c r="D173" s="48" t="s">
        <v>2732</v>
      </c>
      <c r="E173" s="21" t="s">
        <v>2847</v>
      </c>
      <c r="F173" s="21" t="s">
        <v>2844</v>
      </c>
      <c r="G173" s="35">
        <v>91.894000000000005</v>
      </c>
      <c r="H173" s="21">
        <v>2682004</v>
      </c>
    </row>
    <row r="174" spans="1:8" x14ac:dyDescent="0.25">
      <c r="A174" s="48" t="s">
        <v>50</v>
      </c>
      <c r="B174" s="48" t="s">
        <v>51</v>
      </c>
      <c r="C174" s="49">
        <v>45738</v>
      </c>
      <c r="D174" s="48" t="s">
        <v>2732</v>
      </c>
      <c r="E174" s="21" t="s">
        <v>2847</v>
      </c>
      <c r="F174" s="21" t="s">
        <v>2844</v>
      </c>
      <c r="G174" s="35">
        <v>61.236000000000104</v>
      </c>
      <c r="H174" s="21">
        <v>2682004</v>
      </c>
    </row>
    <row r="175" spans="1:8" x14ac:dyDescent="0.25">
      <c r="A175" s="44" t="s">
        <v>50</v>
      </c>
      <c r="B175" s="44" t="s">
        <v>51</v>
      </c>
      <c r="C175" s="45">
        <v>45738</v>
      </c>
      <c r="D175" s="44" t="s">
        <v>2732</v>
      </c>
      <c r="E175" s="46" t="s">
        <v>2847</v>
      </c>
      <c r="F175" s="46" t="s">
        <v>2844</v>
      </c>
      <c r="G175" s="52">
        <v>117.23000000000002</v>
      </c>
      <c r="H175" s="46">
        <v>2682004</v>
      </c>
    </row>
    <row r="176" spans="1:8" x14ac:dyDescent="0.25">
      <c r="A176" s="48" t="s">
        <v>50</v>
      </c>
      <c r="B176" s="48" t="s">
        <v>51</v>
      </c>
      <c r="C176" s="49">
        <v>45738</v>
      </c>
      <c r="D176" s="48" t="s">
        <v>2732</v>
      </c>
      <c r="E176" s="21" t="s">
        <v>2847</v>
      </c>
      <c r="F176" s="21" t="s">
        <v>2844</v>
      </c>
      <c r="G176" s="35">
        <v>63.059999999999945</v>
      </c>
      <c r="H176" s="21">
        <v>2682004</v>
      </c>
    </row>
    <row r="177" spans="1:8" x14ac:dyDescent="0.25">
      <c r="A177" s="44" t="s">
        <v>50</v>
      </c>
      <c r="B177" s="44" t="s">
        <v>51</v>
      </c>
      <c r="C177" s="45">
        <v>45740</v>
      </c>
      <c r="D177" s="44" t="s">
        <v>2732</v>
      </c>
      <c r="E177" s="46" t="s">
        <v>2847</v>
      </c>
      <c r="F177" s="46" t="s">
        <v>2844</v>
      </c>
      <c r="G177" s="52">
        <v>13.5</v>
      </c>
      <c r="H177" s="46">
        <v>2682004</v>
      </c>
    </row>
    <row r="178" spans="1:8" x14ac:dyDescent="0.25">
      <c r="A178" s="48" t="s">
        <v>50</v>
      </c>
      <c r="B178" s="48" t="s">
        <v>51</v>
      </c>
      <c r="C178" s="49">
        <v>45740</v>
      </c>
      <c r="D178" s="48" t="s">
        <v>2732</v>
      </c>
      <c r="E178" s="21" t="s">
        <v>2847</v>
      </c>
      <c r="F178" s="21" t="s">
        <v>2844</v>
      </c>
      <c r="G178" s="35">
        <v>131.452</v>
      </c>
      <c r="H178" s="21">
        <v>2682004</v>
      </c>
    </row>
    <row r="179" spans="1:8" x14ac:dyDescent="0.25">
      <c r="A179" s="48" t="s">
        <v>50</v>
      </c>
      <c r="B179" s="48" t="s">
        <v>51</v>
      </c>
      <c r="C179" s="49">
        <v>45741</v>
      </c>
      <c r="D179" s="48" t="s">
        <v>2732</v>
      </c>
      <c r="E179" s="21" t="s">
        <v>2847</v>
      </c>
      <c r="F179" s="21" t="s">
        <v>2844</v>
      </c>
      <c r="G179" s="35">
        <v>234.66599999999994</v>
      </c>
      <c r="H179" s="21">
        <v>2682004</v>
      </c>
    </row>
    <row r="180" spans="1:8" x14ac:dyDescent="0.25">
      <c r="A180" s="44" t="s">
        <v>50</v>
      </c>
      <c r="B180" s="44" t="s">
        <v>51</v>
      </c>
      <c r="C180" s="53">
        <v>45753</v>
      </c>
      <c r="D180" s="44" t="s">
        <v>2732</v>
      </c>
      <c r="E180" s="46" t="s">
        <v>2847</v>
      </c>
      <c r="F180" s="46" t="s">
        <v>2844</v>
      </c>
      <c r="G180" s="52">
        <v>50.003999999999905</v>
      </c>
      <c r="H180" s="46">
        <v>2590825.5</v>
      </c>
    </row>
    <row r="181" spans="1:8" x14ac:dyDescent="0.25">
      <c r="A181" s="57" t="s">
        <v>50</v>
      </c>
      <c r="B181" s="57" t="s">
        <v>51</v>
      </c>
      <c r="C181" s="58">
        <v>45753</v>
      </c>
      <c r="D181" s="57" t="s">
        <v>2732</v>
      </c>
      <c r="E181" s="31" t="s">
        <v>2847</v>
      </c>
      <c r="F181" s="31" t="s">
        <v>2844</v>
      </c>
      <c r="G181" s="70">
        <v>57.976000000000113</v>
      </c>
      <c r="H181" s="31">
        <v>2590825.5</v>
      </c>
    </row>
  </sheetData>
  <pageMargins left="0.7" right="0.7" top="0.75" bottom="0.75" header="0.3" footer="0.3"/>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11DB-E240-40AD-9CD0-16E8E65B5621}">
  <dimension ref="A1:K68"/>
  <sheetViews>
    <sheetView topLeftCell="A2" workbookViewId="0">
      <selection activeCell="K17" sqref="K17"/>
    </sheetView>
  </sheetViews>
  <sheetFormatPr defaultRowHeight="15" x14ac:dyDescent="0.25"/>
  <cols>
    <col min="1" max="1" width="13" customWidth="1"/>
    <col min="2" max="2" width="10" customWidth="1"/>
    <col min="3" max="3" width="14.85546875" bestFit="1" customWidth="1"/>
    <col min="4" max="4" width="18" customWidth="1"/>
    <col min="5" max="5" width="12.42578125" customWidth="1"/>
    <col min="6" max="6" width="9.7109375" customWidth="1"/>
    <col min="7" max="7" width="22.7109375" customWidth="1"/>
    <col min="10" max="10" width="13.140625" bestFit="1" customWidth="1"/>
    <col min="11" max="11" width="26.28515625" style="2" bestFit="1" customWidth="1"/>
  </cols>
  <sheetData>
    <row r="1" spans="1:11" x14ac:dyDescent="0.25">
      <c r="A1" s="41" t="s">
        <v>0</v>
      </c>
      <c r="B1" s="41" t="s">
        <v>1</v>
      </c>
      <c r="C1" s="42" t="s">
        <v>2</v>
      </c>
      <c r="D1" s="41" t="s">
        <v>3</v>
      </c>
      <c r="E1" s="42" t="s">
        <v>4</v>
      </c>
      <c r="F1" s="42" t="s">
        <v>5</v>
      </c>
      <c r="G1" s="43" t="s">
        <v>6</v>
      </c>
    </row>
    <row r="2" spans="1:11" x14ac:dyDescent="0.25">
      <c r="A2" s="44" t="s">
        <v>811</v>
      </c>
      <c r="B2" s="44" t="s">
        <v>36</v>
      </c>
      <c r="C2" s="45">
        <v>45697</v>
      </c>
      <c r="D2" s="44" t="s">
        <v>2732</v>
      </c>
      <c r="E2" s="46" t="s">
        <v>2733</v>
      </c>
      <c r="F2" s="46" t="s">
        <v>2734</v>
      </c>
      <c r="G2" s="47">
        <v>20000</v>
      </c>
    </row>
    <row r="3" spans="1:11" x14ac:dyDescent="0.25">
      <c r="A3" s="48" t="s">
        <v>811</v>
      </c>
      <c r="B3" s="48" t="s">
        <v>36</v>
      </c>
      <c r="C3" s="49">
        <v>45697</v>
      </c>
      <c r="D3" s="48" t="s">
        <v>2732</v>
      </c>
      <c r="E3" s="21" t="s">
        <v>2735</v>
      </c>
      <c r="F3" s="21" t="s">
        <v>2734</v>
      </c>
      <c r="G3" s="35">
        <v>20000</v>
      </c>
    </row>
    <row r="4" spans="1:11" x14ac:dyDescent="0.25">
      <c r="A4" s="44" t="s">
        <v>811</v>
      </c>
      <c r="B4" s="44" t="s">
        <v>36</v>
      </c>
      <c r="C4" s="45">
        <v>45697</v>
      </c>
      <c r="D4" s="44" t="s">
        <v>2732</v>
      </c>
      <c r="E4" s="46" t="s">
        <v>2736</v>
      </c>
      <c r="F4" s="46" t="s">
        <v>2734</v>
      </c>
      <c r="G4" s="47">
        <v>20000</v>
      </c>
    </row>
    <row r="5" spans="1:11" x14ac:dyDescent="0.25">
      <c r="A5" s="48" t="s">
        <v>20</v>
      </c>
      <c r="B5" s="48" t="s">
        <v>39</v>
      </c>
      <c r="C5" s="49">
        <v>45699</v>
      </c>
      <c r="D5" s="48" t="s">
        <v>2732</v>
      </c>
      <c r="E5" s="21" t="s">
        <v>2738</v>
      </c>
      <c r="F5" s="21" t="s">
        <v>2739</v>
      </c>
      <c r="G5" s="50">
        <v>28000</v>
      </c>
      <c r="J5" s="3" t="s">
        <v>2842</v>
      </c>
      <c r="K5" t="s">
        <v>2737</v>
      </c>
    </row>
    <row r="6" spans="1:11" x14ac:dyDescent="0.25">
      <c r="A6" s="44" t="s">
        <v>20</v>
      </c>
      <c r="B6" s="44" t="s">
        <v>39</v>
      </c>
      <c r="C6" s="45">
        <v>45703</v>
      </c>
      <c r="D6" s="44" t="s">
        <v>2732</v>
      </c>
      <c r="E6" s="46" t="s">
        <v>2740</v>
      </c>
      <c r="F6" s="46" t="s">
        <v>2739</v>
      </c>
      <c r="G6" s="52">
        <v>28000</v>
      </c>
      <c r="J6" s="51" t="s">
        <v>36</v>
      </c>
      <c r="K6" s="83">
        <v>1880000</v>
      </c>
    </row>
    <row r="7" spans="1:11" x14ac:dyDescent="0.25">
      <c r="A7" s="48" t="s">
        <v>20</v>
      </c>
      <c r="B7" s="48" t="s">
        <v>39</v>
      </c>
      <c r="C7" s="49">
        <v>45703</v>
      </c>
      <c r="D7" s="48" t="s">
        <v>2732</v>
      </c>
      <c r="E7" s="21" t="s">
        <v>2741</v>
      </c>
      <c r="F7" s="21" t="s">
        <v>2739</v>
      </c>
      <c r="G7" s="35">
        <v>28000</v>
      </c>
      <c r="J7" s="51" t="s">
        <v>39</v>
      </c>
      <c r="K7" s="83">
        <v>864800</v>
      </c>
    </row>
    <row r="8" spans="1:11" x14ac:dyDescent="0.25">
      <c r="A8" s="44" t="s">
        <v>20</v>
      </c>
      <c r="B8" s="44" t="s">
        <v>39</v>
      </c>
      <c r="C8" s="53">
        <v>45705</v>
      </c>
      <c r="D8" s="44" t="s">
        <v>2732</v>
      </c>
      <c r="E8" s="46" t="s">
        <v>2743</v>
      </c>
      <c r="F8" s="46" t="s">
        <v>2739</v>
      </c>
      <c r="G8" s="52">
        <v>21000</v>
      </c>
      <c r="J8" s="51" t="s">
        <v>2742</v>
      </c>
      <c r="K8" s="83">
        <v>5118</v>
      </c>
    </row>
    <row r="9" spans="1:11" x14ac:dyDescent="0.25">
      <c r="A9" s="48" t="s">
        <v>20</v>
      </c>
      <c r="B9" s="48" t="s">
        <v>39</v>
      </c>
      <c r="C9" s="49">
        <v>45704</v>
      </c>
      <c r="D9" s="48" t="s">
        <v>2732</v>
      </c>
      <c r="E9" s="21" t="s">
        <v>2744</v>
      </c>
      <c r="F9" s="21" t="s">
        <v>2739</v>
      </c>
      <c r="G9" s="50">
        <v>14000</v>
      </c>
      <c r="J9" s="51" t="s">
        <v>45</v>
      </c>
      <c r="K9" s="83">
        <v>80000</v>
      </c>
    </row>
    <row r="10" spans="1:11" x14ac:dyDescent="0.25">
      <c r="A10" s="44" t="s">
        <v>20</v>
      </c>
      <c r="B10" s="44" t="s">
        <v>39</v>
      </c>
      <c r="C10" s="53">
        <v>45705</v>
      </c>
      <c r="D10" s="44" t="s">
        <v>2732</v>
      </c>
      <c r="E10" s="46" t="s">
        <v>2745</v>
      </c>
      <c r="F10" s="46" t="s">
        <v>2739</v>
      </c>
      <c r="G10" s="52">
        <v>7000</v>
      </c>
      <c r="J10" s="51" t="s">
        <v>176</v>
      </c>
      <c r="K10" s="83">
        <v>27000</v>
      </c>
    </row>
    <row r="11" spans="1:11" x14ac:dyDescent="0.25">
      <c r="A11" s="48" t="s">
        <v>20</v>
      </c>
      <c r="B11" s="48" t="s">
        <v>36</v>
      </c>
      <c r="C11" s="54">
        <v>45706</v>
      </c>
      <c r="D11" s="48" t="s">
        <v>2732</v>
      </c>
      <c r="E11" s="21" t="s">
        <v>2746</v>
      </c>
      <c r="F11" s="21" t="s">
        <v>2747</v>
      </c>
      <c r="G11" s="35">
        <v>200000</v>
      </c>
      <c r="J11" s="51" t="s">
        <v>72</v>
      </c>
      <c r="K11" s="83">
        <v>242600</v>
      </c>
    </row>
    <row r="12" spans="1:11" x14ac:dyDescent="0.25">
      <c r="A12" s="44" t="s">
        <v>20</v>
      </c>
      <c r="B12" s="44" t="s">
        <v>39</v>
      </c>
      <c r="C12" s="53">
        <v>45705</v>
      </c>
      <c r="D12" s="44" t="s">
        <v>2732</v>
      </c>
      <c r="E12" s="46" t="s">
        <v>2748</v>
      </c>
      <c r="F12" s="46" t="s">
        <v>2739</v>
      </c>
      <c r="G12" s="52">
        <v>21000</v>
      </c>
      <c r="J12" s="51" t="s">
        <v>16</v>
      </c>
      <c r="K12" s="83">
        <v>290000</v>
      </c>
    </row>
    <row r="13" spans="1:11" x14ac:dyDescent="0.25">
      <c r="A13" s="48" t="s">
        <v>20</v>
      </c>
      <c r="B13" s="48" t="s">
        <v>39</v>
      </c>
      <c r="C13" s="49">
        <v>45666</v>
      </c>
      <c r="D13" s="48" t="s">
        <v>2732</v>
      </c>
      <c r="E13" s="21" t="s">
        <v>2749</v>
      </c>
      <c r="F13" s="21" t="s">
        <v>2750</v>
      </c>
      <c r="G13" s="35">
        <v>28000</v>
      </c>
      <c r="J13" s="51" t="s">
        <v>1115</v>
      </c>
      <c r="K13" s="83">
        <v>3389518</v>
      </c>
    </row>
    <row r="14" spans="1:11" x14ac:dyDescent="0.25">
      <c r="A14" s="44" t="s">
        <v>20</v>
      </c>
      <c r="B14" s="44" t="s">
        <v>36</v>
      </c>
      <c r="C14" s="45">
        <v>45668</v>
      </c>
      <c r="D14" s="44" t="s">
        <v>2732</v>
      </c>
      <c r="E14" s="46" t="s">
        <v>2751</v>
      </c>
      <c r="F14" s="46" t="s">
        <v>2747</v>
      </c>
      <c r="G14" s="52">
        <v>200000</v>
      </c>
    </row>
    <row r="15" spans="1:11" x14ac:dyDescent="0.25">
      <c r="A15" s="48" t="s">
        <v>20</v>
      </c>
      <c r="B15" s="48" t="s">
        <v>39</v>
      </c>
      <c r="C15" s="49">
        <v>45708</v>
      </c>
      <c r="D15" s="48" t="s">
        <v>2732</v>
      </c>
      <c r="E15" s="21" t="s">
        <v>2752</v>
      </c>
      <c r="F15" s="21" t="s">
        <v>2750</v>
      </c>
      <c r="G15" s="35">
        <v>9800</v>
      </c>
    </row>
    <row r="16" spans="1:11" x14ac:dyDescent="0.25">
      <c r="A16" s="44" t="s">
        <v>20</v>
      </c>
      <c r="B16" s="44" t="s">
        <v>39</v>
      </c>
      <c r="C16" s="45">
        <v>45676</v>
      </c>
      <c r="D16" s="44" t="s">
        <v>2732</v>
      </c>
      <c r="E16" s="46" t="s">
        <v>2753</v>
      </c>
      <c r="F16" s="46" t="s">
        <v>2739</v>
      </c>
      <c r="G16" s="52">
        <v>15400</v>
      </c>
    </row>
    <row r="17" spans="1:7" x14ac:dyDescent="0.25">
      <c r="A17" s="48" t="s">
        <v>20</v>
      </c>
      <c r="B17" s="48" t="s">
        <v>16</v>
      </c>
      <c r="C17" s="54">
        <v>45687</v>
      </c>
      <c r="D17" s="48" t="s">
        <v>2732</v>
      </c>
      <c r="E17" s="21" t="s">
        <v>2754</v>
      </c>
      <c r="F17" s="21" t="s">
        <v>2747</v>
      </c>
      <c r="G17" s="35">
        <v>140000</v>
      </c>
    </row>
    <row r="18" spans="1:7" x14ac:dyDescent="0.25">
      <c r="A18" s="44" t="s">
        <v>20</v>
      </c>
      <c r="B18" s="44" t="s">
        <v>36</v>
      </c>
      <c r="C18" s="53">
        <v>45777</v>
      </c>
      <c r="D18" s="44" t="s">
        <v>2732</v>
      </c>
      <c r="E18" s="46" t="s">
        <v>2755</v>
      </c>
      <c r="F18" s="46" t="s">
        <v>2756</v>
      </c>
      <c r="G18" s="52">
        <v>240000</v>
      </c>
    </row>
    <row r="19" spans="1:7" x14ac:dyDescent="0.25">
      <c r="A19" s="48" t="s">
        <v>20</v>
      </c>
      <c r="B19" s="48" t="s">
        <v>36</v>
      </c>
      <c r="C19" s="54">
        <v>45782</v>
      </c>
      <c r="D19" s="48" t="s">
        <v>2732</v>
      </c>
      <c r="E19" s="21" t="s">
        <v>2757</v>
      </c>
      <c r="F19" s="21" t="s">
        <v>2756</v>
      </c>
      <c r="G19" s="35">
        <v>120000</v>
      </c>
    </row>
    <row r="20" spans="1:7" x14ac:dyDescent="0.25">
      <c r="A20" s="44" t="s">
        <v>20</v>
      </c>
      <c r="B20" s="44" t="s">
        <v>39</v>
      </c>
      <c r="C20" s="45">
        <v>45719</v>
      </c>
      <c r="D20" s="44" t="s">
        <v>2732</v>
      </c>
      <c r="E20" s="46" t="s">
        <v>2758</v>
      </c>
      <c r="F20" s="46" t="s">
        <v>2750</v>
      </c>
      <c r="G20" s="47">
        <v>28000</v>
      </c>
    </row>
    <row r="21" spans="1:7" x14ac:dyDescent="0.25">
      <c r="A21" s="48" t="s">
        <v>20</v>
      </c>
      <c r="B21" s="48" t="s">
        <v>36</v>
      </c>
      <c r="C21" s="49">
        <v>45722</v>
      </c>
      <c r="D21" s="48" t="s">
        <v>2732</v>
      </c>
      <c r="E21" s="21" t="s">
        <v>2759</v>
      </c>
      <c r="F21" s="21" t="s">
        <v>2756</v>
      </c>
      <c r="G21" s="35">
        <v>240000</v>
      </c>
    </row>
    <row r="22" spans="1:7" x14ac:dyDescent="0.25">
      <c r="A22" s="44" t="s">
        <v>20</v>
      </c>
      <c r="B22" s="44" t="s">
        <v>16</v>
      </c>
      <c r="C22" s="45">
        <v>45726</v>
      </c>
      <c r="D22" s="44" t="s">
        <v>2732</v>
      </c>
      <c r="E22" s="46" t="s">
        <v>2760</v>
      </c>
      <c r="F22" s="46" t="s">
        <v>2756</v>
      </c>
      <c r="G22" s="52">
        <v>150000</v>
      </c>
    </row>
    <row r="23" spans="1:7" x14ac:dyDescent="0.25">
      <c r="A23" s="48" t="s">
        <v>20</v>
      </c>
      <c r="B23" s="48" t="s">
        <v>39</v>
      </c>
      <c r="C23" s="49">
        <v>45728</v>
      </c>
      <c r="D23" s="48" t="s">
        <v>2732</v>
      </c>
      <c r="E23" s="21" t="s">
        <v>2761</v>
      </c>
      <c r="F23" s="21" t="s">
        <v>2750</v>
      </c>
      <c r="G23" s="35">
        <v>28000</v>
      </c>
    </row>
    <row r="24" spans="1:7" x14ac:dyDescent="0.25">
      <c r="A24" s="44" t="s">
        <v>20</v>
      </c>
      <c r="B24" s="44" t="s">
        <v>39</v>
      </c>
      <c r="C24" s="45">
        <v>45732</v>
      </c>
      <c r="D24" s="44" t="s">
        <v>2732</v>
      </c>
      <c r="E24" s="46" t="s">
        <v>2762</v>
      </c>
      <c r="F24" s="46" t="s">
        <v>2750</v>
      </c>
      <c r="G24" s="52">
        <v>28000</v>
      </c>
    </row>
    <row r="25" spans="1:7" x14ac:dyDescent="0.25">
      <c r="A25" s="48" t="s">
        <v>20</v>
      </c>
      <c r="B25" s="48" t="s">
        <v>39</v>
      </c>
      <c r="C25" s="49">
        <v>45783</v>
      </c>
      <c r="D25" s="48" t="s">
        <v>2732</v>
      </c>
      <c r="E25" s="21" t="s">
        <v>2763</v>
      </c>
      <c r="F25" s="21" t="s">
        <v>2739</v>
      </c>
      <c r="G25" s="35">
        <v>31250</v>
      </c>
    </row>
    <row r="26" spans="1:7" x14ac:dyDescent="0.25">
      <c r="A26" s="44" t="s">
        <v>20</v>
      </c>
      <c r="B26" s="44" t="s">
        <v>39</v>
      </c>
      <c r="C26" s="45">
        <v>45784</v>
      </c>
      <c r="D26" s="44" t="s">
        <v>2732</v>
      </c>
      <c r="E26" s="46" t="s">
        <v>2764</v>
      </c>
      <c r="F26" s="46" t="s">
        <v>2739</v>
      </c>
      <c r="G26" s="52">
        <v>31250</v>
      </c>
    </row>
    <row r="27" spans="1:7" x14ac:dyDescent="0.25">
      <c r="A27" s="48" t="s">
        <v>20</v>
      </c>
      <c r="B27" s="48" t="s">
        <v>39</v>
      </c>
      <c r="C27" s="49">
        <v>45789</v>
      </c>
      <c r="D27" s="48" t="s">
        <v>2732</v>
      </c>
      <c r="E27" s="21" t="s">
        <v>2765</v>
      </c>
      <c r="F27" s="21" t="s">
        <v>2739</v>
      </c>
      <c r="G27" s="35">
        <v>28750</v>
      </c>
    </row>
    <row r="28" spans="1:7" x14ac:dyDescent="0.25">
      <c r="A28" s="44" t="s">
        <v>20</v>
      </c>
      <c r="B28" s="44" t="s">
        <v>39</v>
      </c>
      <c r="C28" s="45">
        <v>45790</v>
      </c>
      <c r="D28" s="44" t="s">
        <v>2732</v>
      </c>
      <c r="E28" s="46" t="s">
        <v>2766</v>
      </c>
      <c r="F28" s="46" t="s">
        <v>2739</v>
      </c>
      <c r="G28" s="52">
        <v>30000</v>
      </c>
    </row>
    <row r="29" spans="1:7" x14ac:dyDescent="0.25">
      <c r="A29" s="48" t="s">
        <v>811</v>
      </c>
      <c r="B29" s="48" t="s">
        <v>36</v>
      </c>
      <c r="C29" s="49">
        <v>45741</v>
      </c>
      <c r="D29" s="48" t="s">
        <v>2732</v>
      </c>
      <c r="E29" s="21" t="s">
        <v>2767</v>
      </c>
      <c r="F29" s="21" t="s">
        <v>2734</v>
      </c>
      <c r="G29" s="35">
        <v>24000</v>
      </c>
    </row>
    <row r="30" spans="1:7" x14ac:dyDescent="0.25">
      <c r="A30" s="44" t="s">
        <v>811</v>
      </c>
      <c r="B30" s="44" t="s">
        <v>36</v>
      </c>
      <c r="C30" s="45">
        <v>45741</v>
      </c>
      <c r="D30" s="44" t="s">
        <v>2732</v>
      </c>
      <c r="E30" s="46" t="s">
        <v>2768</v>
      </c>
      <c r="F30" s="46" t="s">
        <v>2734</v>
      </c>
      <c r="G30" s="52">
        <v>24000</v>
      </c>
    </row>
    <row r="31" spans="1:7" x14ac:dyDescent="0.25">
      <c r="A31" s="48" t="s">
        <v>811</v>
      </c>
      <c r="B31" s="48" t="s">
        <v>36</v>
      </c>
      <c r="C31" s="49">
        <v>45741</v>
      </c>
      <c r="D31" s="48" t="s">
        <v>2732</v>
      </c>
      <c r="E31" s="21" t="s">
        <v>2769</v>
      </c>
      <c r="F31" s="21" t="s">
        <v>2734</v>
      </c>
      <c r="G31" s="35">
        <v>12000</v>
      </c>
    </row>
    <row r="32" spans="1:7" x14ac:dyDescent="0.25">
      <c r="A32" s="44" t="s">
        <v>20</v>
      </c>
      <c r="B32" s="44" t="s">
        <v>36</v>
      </c>
      <c r="C32" s="45">
        <v>45745</v>
      </c>
      <c r="D32" s="44" t="s">
        <v>2732</v>
      </c>
      <c r="E32" s="46" t="s">
        <v>2770</v>
      </c>
      <c r="F32" s="46" t="s">
        <v>2756</v>
      </c>
      <c r="G32" s="47">
        <v>100000</v>
      </c>
    </row>
    <row r="33" spans="1:7" x14ac:dyDescent="0.25">
      <c r="A33" s="48" t="s">
        <v>20</v>
      </c>
      <c r="B33" s="48" t="s">
        <v>36</v>
      </c>
      <c r="C33" s="49">
        <v>45757</v>
      </c>
      <c r="D33" s="48" t="s">
        <v>2732</v>
      </c>
      <c r="E33" s="21" t="s">
        <v>2771</v>
      </c>
      <c r="F33" s="21" t="s">
        <v>2756</v>
      </c>
      <c r="G33" s="35">
        <v>240000</v>
      </c>
    </row>
    <row r="34" spans="1:7" x14ac:dyDescent="0.25">
      <c r="A34" s="44" t="s">
        <v>20</v>
      </c>
      <c r="B34" s="44" t="s">
        <v>39</v>
      </c>
      <c r="C34" s="45">
        <v>45792</v>
      </c>
      <c r="D34" s="44" t="s">
        <v>2732</v>
      </c>
      <c r="E34" s="46" t="s">
        <v>2772</v>
      </c>
      <c r="F34" s="46" t="s">
        <v>2739</v>
      </c>
      <c r="G34" s="52">
        <v>28750</v>
      </c>
    </row>
    <row r="35" spans="1:7" x14ac:dyDescent="0.25">
      <c r="A35" s="48" t="s">
        <v>20</v>
      </c>
      <c r="B35" s="48" t="s">
        <v>72</v>
      </c>
      <c r="C35" s="54">
        <v>45762</v>
      </c>
      <c r="D35" s="48" t="s">
        <v>2732</v>
      </c>
      <c r="E35" s="21" t="s">
        <v>2773</v>
      </c>
      <c r="F35" s="21" t="s">
        <v>2756</v>
      </c>
      <c r="G35" s="35">
        <v>170000</v>
      </c>
    </row>
    <row r="36" spans="1:7" x14ac:dyDescent="0.25">
      <c r="A36" s="44" t="s">
        <v>20</v>
      </c>
      <c r="B36" s="44" t="s">
        <v>72</v>
      </c>
      <c r="C36" s="53">
        <v>45762</v>
      </c>
      <c r="D36" s="44" t="s">
        <v>2732</v>
      </c>
      <c r="E36" s="46" t="s">
        <v>2773</v>
      </c>
      <c r="F36" s="46" t="s">
        <v>2756</v>
      </c>
      <c r="G36" s="52">
        <v>72600</v>
      </c>
    </row>
    <row r="37" spans="1:7" x14ac:dyDescent="0.25">
      <c r="A37" s="48" t="s">
        <v>20</v>
      </c>
      <c r="B37" s="48" t="s">
        <v>39</v>
      </c>
      <c r="C37" s="49">
        <v>45763</v>
      </c>
      <c r="D37" s="48" t="s">
        <v>2732</v>
      </c>
      <c r="E37" s="21" t="s">
        <v>2774</v>
      </c>
      <c r="F37" s="21" t="s">
        <v>2750</v>
      </c>
      <c r="G37" s="35">
        <v>20973</v>
      </c>
    </row>
    <row r="38" spans="1:7" x14ac:dyDescent="0.25">
      <c r="A38" s="44" t="s">
        <v>20</v>
      </c>
      <c r="B38" s="44" t="s">
        <v>39</v>
      </c>
      <c r="C38" s="45">
        <v>45763</v>
      </c>
      <c r="D38" s="44" t="s">
        <v>2732</v>
      </c>
      <c r="E38" s="46" t="s">
        <v>2775</v>
      </c>
      <c r="F38" s="46" t="s">
        <v>2750</v>
      </c>
      <c r="G38" s="52">
        <v>23776</v>
      </c>
    </row>
    <row r="39" spans="1:7" x14ac:dyDescent="0.25">
      <c r="A39" s="48" t="s">
        <v>20</v>
      </c>
      <c r="B39" s="48" t="s">
        <v>39</v>
      </c>
      <c r="C39" s="49">
        <v>45763</v>
      </c>
      <c r="D39" s="48" t="s">
        <v>2732</v>
      </c>
      <c r="E39" s="21" t="s">
        <v>2776</v>
      </c>
      <c r="F39" s="21" t="s">
        <v>2750</v>
      </c>
      <c r="G39" s="35">
        <v>20966</v>
      </c>
    </row>
    <row r="40" spans="1:7" x14ac:dyDescent="0.25">
      <c r="A40" s="44" t="s">
        <v>20</v>
      </c>
      <c r="B40" s="44" t="s">
        <v>39</v>
      </c>
      <c r="C40" s="45">
        <v>45764</v>
      </c>
      <c r="D40" s="44" t="s">
        <v>2732</v>
      </c>
      <c r="E40" s="46" t="s">
        <v>2777</v>
      </c>
      <c r="F40" s="46" t="s">
        <v>2750</v>
      </c>
      <c r="G40" s="52">
        <v>24</v>
      </c>
    </row>
    <row r="41" spans="1:7" x14ac:dyDescent="0.25">
      <c r="A41" s="48" t="s">
        <v>20</v>
      </c>
      <c r="B41" s="48" t="s">
        <v>39</v>
      </c>
      <c r="C41" s="49">
        <v>45764</v>
      </c>
      <c r="D41" s="48" t="s">
        <v>2732</v>
      </c>
      <c r="E41" s="21" t="s">
        <v>2778</v>
      </c>
      <c r="F41" s="21" t="s">
        <v>2750</v>
      </c>
      <c r="G41" s="35">
        <v>27</v>
      </c>
    </row>
    <row r="42" spans="1:7" x14ac:dyDescent="0.25">
      <c r="A42" s="44" t="s">
        <v>20</v>
      </c>
      <c r="B42" s="44" t="s">
        <v>39</v>
      </c>
      <c r="C42" s="45">
        <v>45764</v>
      </c>
      <c r="D42" s="44" t="s">
        <v>2732</v>
      </c>
      <c r="E42" s="46" t="s">
        <v>2776</v>
      </c>
      <c r="F42" s="46" t="s">
        <v>2750</v>
      </c>
      <c r="G42" s="52">
        <v>34</v>
      </c>
    </row>
    <row r="43" spans="1:7" x14ac:dyDescent="0.25">
      <c r="A43" s="48" t="s">
        <v>20</v>
      </c>
      <c r="B43" s="48" t="s">
        <v>36</v>
      </c>
      <c r="C43" s="54">
        <v>45799</v>
      </c>
      <c r="D43" s="48" t="s">
        <v>2732</v>
      </c>
      <c r="E43" s="21" t="s">
        <v>2779</v>
      </c>
      <c r="F43" s="21" t="s">
        <v>2756</v>
      </c>
      <c r="G43" s="35">
        <v>360000</v>
      </c>
    </row>
    <row r="44" spans="1:7" x14ac:dyDescent="0.25">
      <c r="A44" s="44" t="s">
        <v>20</v>
      </c>
      <c r="B44" s="44" t="s">
        <v>39</v>
      </c>
      <c r="C44" s="45">
        <v>45851</v>
      </c>
      <c r="D44" s="44" t="s">
        <v>2732</v>
      </c>
      <c r="E44" s="46" t="s">
        <v>2780</v>
      </c>
      <c r="F44" s="46" t="s">
        <v>2739</v>
      </c>
      <c r="G44" s="52">
        <v>25000</v>
      </c>
    </row>
    <row r="45" spans="1:7" x14ac:dyDescent="0.25">
      <c r="A45" s="48" t="s">
        <v>20</v>
      </c>
      <c r="B45" s="48" t="s">
        <v>2742</v>
      </c>
      <c r="C45" s="49">
        <v>45810</v>
      </c>
      <c r="D45" s="48" t="s">
        <v>2732</v>
      </c>
      <c r="E45" s="21" t="s">
        <v>2755</v>
      </c>
      <c r="F45" s="21" t="s">
        <v>2756</v>
      </c>
      <c r="G45" s="35">
        <v>2718</v>
      </c>
    </row>
    <row r="46" spans="1:7" x14ac:dyDescent="0.25">
      <c r="A46" s="44" t="s">
        <v>20</v>
      </c>
      <c r="B46" s="44" t="s">
        <v>2742</v>
      </c>
      <c r="C46" s="45">
        <v>45810</v>
      </c>
      <c r="D46" s="44" t="s">
        <v>2732</v>
      </c>
      <c r="E46" s="46" t="s">
        <v>2757</v>
      </c>
      <c r="F46" s="46" t="s">
        <v>2756</v>
      </c>
      <c r="G46" s="52">
        <v>2400</v>
      </c>
    </row>
    <row r="47" spans="1:7" x14ac:dyDescent="0.25">
      <c r="A47" s="48" t="s">
        <v>20</v>
      </c>
      <c r="B47" s="48" t="s">
        <v>39</v>
      </c>
      <c r="C47" s="54">
        <v>45859</v>
      </c>
      <c r="D47" s="48" t="s">
        <v>2732</v>
      </c>
      <c r="E47" s="21" t="s">
        <v>2781</v>
      </c>
      <c r="F47" s="21" t="s">
        <v>2739</v>
      </c>
      <c r="G47" s="35">
        <v>25000</v>
      </c>
    </row>
    <row r="48" spans="1:7" x14ac:dyDescent="0.25">
      <c r="A48" s="44" t="s">
        <v>20</v>
      </c>
      <c r="B48" s="44" t="s">
        <v>39</v>
      </c>
      <c r="C48" s="53">
        <v>45823</v>
      </c>
      <c r="D48" s="44" t="s">
        <v>2732</v>
      </c>
      <c r="E48" s="46" t="s">
        <v>2782</v>
      </c>
      <c r="F48" s="46" t="s">
        <v>2739</v>
      </c>
      <c r="G48" s="52">
        <v>25000</v>
      </c>
    </row>
    <row r="49" spans="1:7" x14ac:dyDescent="0.25">
      <c r="A49" s="48" t="s">
        <v>811</v>
      </c>
      <c r="B49" s="48" t="s">
        <v>36</v>
      </c>
      <c r="C49" s="49">
        <v>45832</v>
      </c>
      <c r="D49" s="48" t="s">
        <v>2732</v>
      </c>
      <c r="E49" s="21" t="s">
        <v>2783</v>
      </c>
      <c r="F49" s="21" t="s">
        <v>2734</v>
      </c>
      <c r="G49" s="35">
        <v>24000</v>
      </c>
    </row>
    <row r="50" spans="1:7" x14ac:dyDescent="0.25">
      <c r="A50" s="44" t="s">
        <v>811</v>
      </c>
      <c r="B50" s="44" t="s">
        <v>36</v>
      </c>
      <c r="C50" s="45">
        <v>45832</v>
      </c>
      <c r="D50" s="44" t="s">
        <v>2732</v>
      </c>
      <c r="E50" s="46" t="s">
        <v>2784</v>
      </c>
      <c r="F50" s="46" t="s">
        <v>2734</v>
      </c>
      <c r="G50" s="52">
        <v>24000</v>
      </c>
    </row>
    <row r="51" spans="1:7" x14ac:dyDescent="0.25">
      <c r="A51" s="48" t="s">
        <v>811</v>
      </c>
      <c r="B51" s="48" t="s">
        <v>36</v>
      </c>
      <c r="C51" s="49">
        <v>45832</v>
      </c>
      <c r="D51" s="48" t="s">
        <v>2732</v>
      </c>
      <c r="E51" s="21" t="s">
        <v>2785</v>
      </c>
      <c r="F51" s="21" t="s">
        <v>2734</v>
      </c>
      <c r="G51" s="35">
        <v>12000</v>
      </c>
    </row>
    <row r="52" spans="1:7" x14ac:dyDescent="0.25">
      <c r="A52" s="44" t="s">
        <v>20</v>
      </c>
      <c r="B52" s="44" t="s">
        <v>39</v>
      </c>
      <c r="C52" s="45">
        <v>45837</v>
      </c>
      <c r="D52" s="44" t="s">
        <v>2732</v>
      </c>
      <c r="E52" s="55" t="s">
        <v>2786</v>
      </c>
      <c r="F52" s="55" t="s">
        <v>2739</v>
      </c>
      <c r="G52" s="52">
        <v>30000</v>
      </c>
    </row>
    <row r="53" spans="1:7" x14ac:dyDescent="0.25">
      <c r="A53" s="48" t="s">
        <v>20</v>
      </c>
      <c r="B53" s="48" t="s">
        <v>39</v>
      </c>
      <c r="C53" s="49">
        <v>45837</v>
      </c>
      <c r="D53" s="48" t="s">
        <v>2732</v>
      </c>
      <c r="E53" s="56" t="s">
        <v>2787</v>
      </c>
      <c r="F53" s="56" t="s">
        <v>2739</v>
      </c>
      <c r="G53" s="35">
        <v>30000</v>
      </c>
    </row>
    <row r="54" spans="1:7" x14ac:dyDescent="0.25">
      <c r="A54" s="44" t="s">
        <v>20</v>
      </c>
      <c r="B54" s="44" t="s">
        <v>39</v>
      </c>
      <c r="C54" s="45">
        <v>45839</v>
      </c>
      <c r="D54" s="44" t="s">
        <v>2732</v>
      </c>
      <c r="E54" s="55" t="s">
        <v>2788</v>
      </c>
      <c r="F54" s="55" t="s">
        <v>2739</v>
      </c>
      <c r="G54" s="52">
        <v>15000</v>
      </c>
    </row>
    <row r="55" spans="1:7" x14ac:dyDescent="0.25">
      <c r="A55" s="48" t="s">
        <v>20</v>
      </c>
      <c r="B55" s="48" t="s">
        <v>39</v>
      </c>
      <c r="C55" s="49">
        <v>45895</v>
      </c>
      <c r="D55" s="48" t="s">
        <v>2732</v>
      </c>
      <c r="E55" s="56" t="s">
        <v>2789</v>
      </c>
      <c r="F55" s="56" t="s">
        <v>2739</v>
      </c>
      <c r="G55" s="35">
        <v>25000</v>
      </c>
    </row>
    <row r="56" spans="1:7" x14ac:dyDescent="0.25">
      <c r="A56" s="44" t="s">
        <v>20</v>
      </c>
      <c r="B56" s="44" t="s">
        <v>39</v>
      </c>
      <c r="C56" s="45">
        <v>45896</v>
      </c>
      <c r="D56" s="44" t="s">
        <v>2732</v>
      </c>
      <c r="E56" s="55" t="s">
        <v>2790</v>
      </c>
      <c r="F56" s="55" t="s">
        <v>2739</v>
      </c>
      <c r="G56" s="52">
        <v>25000</v>
      </c>
    </row>
    <row r="57" spans="1:7" x14ac:dyDescent="0.25">
      <c r="A57" s="48" t="s">
        <v>20</v>
      </c>
      <c r="B57" s="48" t="s">
        <v>39</v>
      </c>
      <c r="C57" s="49">
        <v>45920</v>
      </c>
      <c r="D57" s="48" t="s">
        <v>2732</v>
      </c>
      <c r="E57" s="56" t="s">
        <v>2791</v>
      </c>
      <c r="F57" s="56" t="s">
        <v>2739</v>
      </c>
      <c r="G57" s="35">
        <v>28000</v>
      </c>
    </row>
    <row r="58" spans="1:7" x14ac:dyDescent="0.25">
      <c r="A58" s="44" t="s">
        <v>20</v>
      </c>
      <c r="B58" s="44" t="s">
        <v>39</v>
      </c>
      <c r="C58" s="45">
        <v>45920</v>
      </c>
      <c r="D58" s="44" t="s">
        <v>2732</v>
      </c>
      <c r="E58" s="55" t="s">
        <v>2792</v>
      </c>
      <c r="F58" s="55" t="s">
        <v>2739</v>
      </c>
      <c r="G58" s="52">
        <v>22400</v>
      </c>
    </row>
    <row r="59" spans="1:7" x14ac:dyDescent="0.25">
      <c r="A59" s="48" t="s">
        <v>20</v>
      </c>
      <c r="B59" s="48" t="s">
        <v>39</v>
      </c>
      <c r="C59" s="49">
        <v>45923</v>
      </c>
      <c r="D59" s="48" t="s">
        <v>2732</v>
      </c>
      <c r="E59" s="56" t="s">
        <v>2793</v>
      </c>
      <c r="F59" s="56" t="s">
        <v>2739</v>
      </c>
      <c r="G59" s="35">
        <v>22400</v>
      </c>
    </row>
    <row r="60" spans="1:7" x14ac:dyDescent="0.25">
      <c r="A60" s="44" t="s">
        <v>20</v>
      </c>
      <c r="B60" s="44" t="s">
        <v>39</v>
      </c>
      <c r="C60" s="45">
        <v>45923</v>
      </c>
      <c r="D60" s="44" t="s">
        <v>2732</v>
      </c>
      <c r="E60" s="55" t="s">
        <v>2794</v>
      </c>
      <c r="F60" s="55" t="s">
        <v>2739</v>
      </c>
      <c r="G60" s="52">
        <v>28000</v>
      </c>
    </row>
    <row r="61" spans="1:7" x14ac:dyDescent="0.25">
      <c r="A61" s="48" t="s">
        <v>20</v>
      </c>
      <c r="B61" s="48" t="s">
        <v>39</v>
      </c>
      <c r="C61" s="49">
        <v>45923</v>
      </c>
      <c r="D61" s="48" t="s">
        <v>2732</v>
      </c>
      <c r="E61" s="56" t="s">
        <v>2795</v>
      </c>
      <c r="F61" s="56" t="s">
        <v>2739</v>
      </c>
      <c r="G61" s="35">
        <v>25000</v>
      </c>
    </row>
    <row r="62" spans="1:7" x14ac:dyDescent="0.25">
      <c r="A62" s="44" t="s">
        <v>20</v>
      </c>
      <c r="B62" s="44" t="s">
        <v>39</v>
      </c>
      <c r="C62" s="45">
        <v>45923</v>
      </c>
      <c r="D62" s="44" t="s">
        <v>2732</v>
      </c>
      <c r="E62" s="55" t="s">
        <v>2796</v>
      </c>
      <c r="F62" s="55" t="s">
        <v>2739</v>
      </c>
      <c r="G62" s="52">
        <v>25000</v>
      </c>
    </row>
    <row r="63" spans="1:7" x14ac:dyDescent="0.25">
      <c r="A63" s="48" t="s">
        <v>20</v>
      </c>
      <c r="B63" s="48" t="s">
        <v>176</v>
      </c>
      <c r="C63" s="49">
        <v>45935</v>
      </c>
      <c r="D63" s="48" t="s">
        <v>2732</v>
      </c>
      <c r="E63" s="56" t="s">
        <v>2797</v>
      </c>
      <c r="F63" s="56" t="s">
        <v>2739</v>
      </c>
      <c r="G63" s="35">
        <v>20000</v>
      </c>
    </row>
    <row r="64" spans="1:7" x14ac:dyDescent="0.25">
      <c r="A64" s="44" t="s">
        <v>20</v>
      </c>
      <c r="B64" s="44" t="s">
        <v>176</v>
      </c>
      <c r="C64" s="45">
        <v>45935</v>
      </c>
      <c r="D64" s="44" t="s">
        <v>2732</v>
      </c>
      <c r="E64" s="55" t="s">
        <v>2797</v>
      </c>
      <c r="F64" s="55" t="s">
        <v>2739</v>
      </c>
      <c r="G64" s="52">
        <v>7000</v>
      </c>
    </row>
    <row r="65" spans="1:7" x14ac:dyDescent="0.25">
      <c r="A65" s="57" t="s">
        <v>20</v>
      </c>
      <c r="B65" s="57" t="s">
        <v>39</v>
      </c>
      <c r="C65" s="58">
        <v>45943</v>
      </c>
      <c r="D65" s="57" t="s">
        <v>2732</v>
      </c>
      <c r="E65" s="59" t="s">
        <v>2798</v>
      </c>
      <c r="F65" s="59" t="s">
        <v>2739</v>
      </c>
      <c r="G65" s="60">
        <v>14000</v>
      </c>
    </row>
    <row r="66" spans="1:7" x14ac:dyDescent="0.25">
      <c r="A66" s="57" t="s">
        <v>861</v>
      </c>
      <c r="B66" s="57" t="s">
        <v>45</v>
      </c>
      <c r="C66" s="58">
        <v>45703</v>
      </c>
      <c r="D66" s="57" t="s">
        <v>2732</v>
      </c>
      <c r="E66" s="59" t="s">
        <v>2877</v>
      </c>
      <c r="F66" s="59" t="s">
        <v>2734</v>
      </c>
      <c r="G66" s="72">
        <v>40000</v>
      </c>
    </row>
    <row r="67" spans="1:7" x14ac:dyDescent="0.25">
      <c r="A67" s="48" t="s">
        <v>861</v>
      </c>
      <c r="B67" s="48" t="s">
        <v>45</v>
      </c>
      <c r="C67" s="49">
        <v>45683</v>
      </c>
      <c r="D67" s="48" t="s">
        <v>2732</v>
      </c>
      <c r="E67" s="56" t="s">
        <v>2878</v>
      </c>
      <c r="F67" s="56" t="s">
        <v>2734</v>
      </c>
      <c r="G67" s="71">
        <v>20000</v>
      </c>
    </row>
    <row r="68" spans="1:7" x14ac:dyDescent="0.25">
      <c r="A68" s="57" t="s">
        <v>861</v>
      </c>
      <c r="B68" s="57" t="s">
        <v>45</v>
      </c>
      <c r="C68" s="58">
        <v>45683</v>
      </c>
      <c r="D68" s="57" t="s">
        <v>2732</v>
      </c>
      <c r="E68" s="59" t="s">
        <v>2879</v>
      </c>
      <c r="F68" s="59" t="s">
        <v>2734</v>
      </c>
      <c r="G68" s="72">
        <v>20000</v>
      </c>
    </row>
  </sheetData>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D20"/>
  <sheetViews>
    <sheetView showGridLines="0" workbookViewId="0">
      <selection activeCell="C24" sqref="C24"/>
    </sheetView>
  </sheetViews>
  <sheetFormatPr defaultRowHeight="15" x14ac:dyDescent="0.25"/>
  <cols>
    <col min="2" max="2" width="27" style="9" customWidth="1"/>
    <col min="3" max="3" width="92.28515625" style="9" customWidth="1"/>
    <col min="4" max="4" width="38.28515625" customWidth="1"/>
  </cols>
  <sheetData>
    <row r="1" spans="2:4" x14ac:dyDescent="0.25">
      <c r="B1" s="19"/>
    </row>
    <row r="3" spans="2:4" x14ac:dyDescent="0.25">
      <c r="B3" t="s">
        <v>1681</v>
      </c>
    </row>
    <row r="4" spans="2:4" x14ac:dyDescent="0.25">
      <c r="B4"/>
    </row>
    <row r="5" spans="2:4" x14ac:dyDescent="0.25">
      <c r="B5" t="s">
        <v>1682</v>
      </c>
    </row>
    <row r="7" spans="2:4" ht="15.75" thickBot="1" x14ac:dyDescent="0.3">
      <c r="B7" s="16" t="s">
        <v>1668</v>
      </c>
      <c r="C7" s="16" t="s">
        <v>1669</v>
      </c>
      <c r="D7" s="16" t="s">
        <v>772</v>
      </c>
    </row>
    <row r="8" spans="2:4" ht="15.75" thickTop="1" x14ac:dyDescent="0.25"/>
    <row r="9" spans="2:4" ht="60" x14ac:dyDescent="0.25">
      <c r="B9" s="17" t="s">
        <v>1666</v>
      </c>
      <c r="C9" s="18" t="s">
        <v>1670</v>
      </c>
      <c r="D9" s="18" t="s">
        <v>2300</v>
      </c>
    </row>
    <row r="10" spans="2:4" ht="105" x14ac:dyDescent="0.25">
      <c r="B10" s="17" t="s">
        <v>537</v>
      </c>
      <c r="C10" s="18" t="s">
        <v>1671</v>
      </c>
      <c r="D10" s="18" t="s">
        <v>2301</v>
      </c>
    </row>
    <row r="11" spans="2:4" ht="60" x14ac:dyDescent="0.25">
      <c r="B11" s="17" t="s">
        <v>539</v>
      </c>
      <c r="C11" s="18" t="s">
        <v>1672</v>
      </c>
      <c r="D11" s="18" t="s">
        <v>2300</v>
      </c>
    </row>
    <row r="12" spans="2:4" ht="45" x14ac:dyDescent="0.25">
      <c r="B12" s="17" t="s">
        <v>1667</v>
      </c>
      <c r="C12" s="18" t="s">
        <v>1677</v>
      </c>
      <c r="D12" s="18" t="s">
        <v>2293</v>
      </c>
    </row>
    <row r="13" spans="2:4" ht="45" x14ac:dyDescent="0.25">
      <c r="B13" s="17" t="s">
        <v>1595</v>
      </c>
      <c r="C13" s="18" t="s">
        <v>1678</v>
      </c>
      <c r="D13" s="18" t="s">
        <v>2294</v>
      </c>
    </row>
    <row r="14" spans="2:4" ht="45" x14ac:dyDescent="0.25">
      <c r="B14" s="17" t="s">
        <v>541</v>
      </c>
      <c r="C14" s="18" t="s">
        <v>1673</v>
      </c>
      <c r="D14" s="18" t="s">
        <v>1593</v>
      </c>
    </row>
    <row r="15" spans="2:4" ht="75" x14ac:dyDescent="0.25">
      <c r="B15" s="17" t="s">
        <v>1587</v>
      </c>
      <c r="C15" s="18" t="s">
        <v>1674</v>
      </c>
      <c r="D15" s="18" t="s">
        <v>2302</v>
      </c>
    </row>
    <row r="16" spans="2:4" ht="75" x14ac:dyDescent="0.25">
      <c r="B16" s="17" t="s">
        <v>540</v>
      </c>
      <c r="C16" s="18" t="s">
        <v>1675</v>
      </c>
      <c r="D16" s="18" t="s">
        <v>2303</v>
      </c>
    </row>
    <row r="17" spans="2:4" ht="60" x14ac:dyDescent="0.25">
      <c r="B17" s="17" t="s">
        <v>1582</v>
      </c>
      <c r="C17" s="18" t="s">
        <v>1690</v>
      </c>
      <c r="D17" s="18" t="s">
        <v>2295</v>
      </c>
    </row>
    <row r="18" spans="2:4" ht="60" x14ac:dyDescent="0.25">
      <c r="B18" s="17" t="s">
        <v>1611</v>
      </c>
      <c r="C18" s="18" t="s">
        <v>1693</v>
      </c>
      <c r="D18" s="18" t="s">
        <v>2296</v>
      </c>
    </row>
    <row r="19" spans="2:4" ht="30" x14ac:dyDescent="0.25">
      <c r="B19" s="17" t="s">
        <v>1114</v>
      </c>
      <c r="C19" s="18" t="s">
        <v>1676</v>
      </c>
      <c r="D19" s="18" t="s">
        <v>1593</v>
      </c>
    </row>
    <row r="20" spans="2:4" ht="30" x14ac:dyDescent="0.25">
      <c r="B20" s="17" t="s">
        <v>3409</v>
      </c>
      <c r="C20" s="18" t="s">
        <v>3438</v>
      </c>
      <c r="D20" s="18" t="s">
        <v>3437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H57"/>
  <sheetViews>
    <sheetView showGridLines="0" zoomScaleNormal="100" workbookViewId="0">
      <pane ySplit="4" topLeftCell="A5" activePane="bottomLeft" state="frozen"/>
      <selection pane="bottomLeft" activeCell="G10" sqref="G10"/>
    </sheetView>
  </sheetViews>
  <sheetFormatPr defaultRowHeight="15" x14ac:dyDescent="0.25"/>
  <cols>
    <col min="1" max="1" width="6.28515625" customWidth="1"/>
    <col min="2" max="2" width="21.7109375" customWidth="1"/>
    <col min="3" max="3" width="53.7109375" customWidth="1"/>
    <col min="4" max="4" width="23.28515625" customWidth="1"/>
    <col min="5" max="5" width="17.7109375" customWidth="1"/>
    <col min="6" max="6" width="18" customWidth="1"/>
    <col min="7" max="7" width="16.140625" bestFit="1" customWidth="1"/>
    <col min="8" max="8" width="25.140625" bestFit="1" customWidth="1"/>
  </cols>
  <sheetData>
    <row r="1" spans="2:8" ht="26.45" customHeight="1" x14ac:dyDescent="0.25"/>
    <row r="2" spans="2:8" ht="20.45" customHeight="1" x14ac:dyDescent="0.25"/>
    <row r="3" spans="2:8" ht="19.899999999999999" customHeight="1" x14ac:dyDescent="0.25"/>
    <row r="4" spans="2:8" s="5" customFormat="1" ht="18" customHeight="1" x14ac:dyDescent="0.25">
      <c r="B4" s="3" t="s">
        <v>771</v>
      </c>
      <c r="C4" s="3" t="s">
        <v>535</v>
      </c>
      <c r="D4" s="3" t="s">
        <v>772</v>
      </c>
      <c r="E4" t="s">
        <v>1599</v>
      </c>
      <c r="F4" t="s">
        <v>1632</v>
      </c>
      <c r="G4"/>
      <c r="H4"/>
    </row>
    <row r="5" spans="2:8" s="5" customFormat="1" ht="18" customHeight="1" x14ac:dyDescent="0.25">
      <c r="B5" t="s">
        <v>783</v>
      </c>
      <c r="C5" t="s">
        <v>1587</v>
      </c>
      <c r="D5" t="s">
        <v>1689</v>
      </c>
      <c r="E5" s="14">
        <v>41.864999999999995</v>
      </c>
      <c r="F5" s="14">
        <v>21705288.27769731</v>
      </c>
      <c r="G5"/>
      <c r="H5"/>
    </row>
    <row r="6" spans="2:8" s="5" customFormat="1" ht="18" customHeight="1" x14ac:dyDescent="0.25">
      <c r="B6"/>
      <c r="C6" t="s">
        <v>537</v>
      </c>
      <c r="D6" t="s">
        <v>1688</v>
      </c>
      <c r="E6" s="14">
        <v>-3.8209999999999997</v>
      </c>
      <c r="F6" s="14">
        <v>-14373755.248981372</v>
      </c>
      <c r="G6"/>
      <c r="H6"/>
    </row>
    <row r="7" spans="2:8" s="5" customFormat="1" ht="18" customHeight="1" x14ac:dyDescent="0.25">
      <c r="B7"/>
      <c r="C7" t="s">
        <v>1595</v>
      </c>
      <c r="D7" t="s">
        <v>1687</v>
      </c>
      <c r="E7" s="14">
        <v>6.338000000000001</v>
      </c>
      <c r="F7" s="14">
        <v>13644597.750841999</v>
      </c>
      <c r="G7"/>
      <c r="H7"/>
    </row>
    <row r="8" spans="2:8" s="5" customFormat="1" ht="18" customHeight="1" x14ac:dyDescent="0.25">
      <c r="B8" t="s">
        <v>1921</v>
      </c>
      <c r="C8"/>
      <c r="D8"/>
      <c r="E8" s="14">
        <v>44.381999999999998</v>
      </c>
      <c r="F8" s="14">
        <v>20976130.779557936</v>
      </c>
      <c r="G8"/>
      <c r="H8"/>
    </row>
    <row r="9" spans="2:8" s="5" customFormat="1" ht="18" customHeight="1" x14ac:dyDescent="0.25">
      <c r="B9" t="s">
        <v>784</v>
      </c>
      <c r="C9" t="s">
        <v>1611</v>
      </c>
      <c r="D9" t="s">
        <v>786</v>
      </c>
      <c r="E9" s="14">
        <v>-8.125</v>
      </c>
      <c r="F9" s="14">
        <v>-9398709.7652500011</v>
      </c>
      <c r="G9"/>
      <c r="H9"/>
    </row>
    <row r="10" spans="2:8" s="5" customFormat="1" ht="18" customHeight="1" x14ac:dyDescent="0.25">
      <c r="B10"/>
      <c r="C10"/>
      <c r="D10" t="s">
        <v>1680</v>
      </c>
      <c r="E10" s="14">
        <v>-55.79</v>
      </c>
      <c r="F10" s="14">
        <v>-83900201.015259966</v>
      </c>
      <c r="G10"/>
      <c r="H10"/>
    </row>
    <row r="11" spans="2:8" s="5" customFormat="1" ht="18" customHeight="1" x14ac:dyDescent="0.25">
      <c r="B11"/>
      <c r="C11" t="s">
        <v>2728</v>
      </c>
      <c r="D11" t="s">
        <v>785</v>
      </c>
      <c r="E11" s="14">
        <v>-14.54</v>
      </c>
      <c r="F11" s="14">
        <v>-31041698.426860001</v>
      </c>
      <c r="G11"/>
      <c r="H11"/>
    </row>
    <row r="12" spans="2:8" s="5" customFormat="1" ht="18" customHeight="1" x14ac:dyDescent="0.25">
      <c r="B12"/>
      <c r="C12"/>
      <c r="D12" t="s">
        <v>1586</v>
      </c>
      <c r="E12" s="14">
        <v>-31.78</v>
      </c>
      <c r="F12" s="14">
        <v>-49006815.129330002</v>
      </c>
      <c r="G12"/>
      <c r="H12"/>
    </row>
    <row r="13" spans="2:8" s="5" customFormat="1" ht="18" customHeight="1" x14ac:dyDescent="0.25">
      <c r="B13"/>
      <c r="C13"/>
      <c r="D13" t="s">
        <v>786</v>
      </c>
      <c r="E13" s="14">
        <v>-270.98499999999996</v>
      </c>
      <c r="F13" s="14">
        <v>-334441151.7405901</v>
      </c>
      <c r="G13"/>
      <c r="H13"/>
    </row>
    <row r="14" spans="2:8" s="5" customFormat="1" ht="18" customHeight="1" x14ac:dyDescent="0.25">
      <c r="B14"/>
      <c r="C14" t="s">
        <v>2891</v>
      </c>
      <c r="D14" t="s">
        <v>788</v>
      </c>
      <c r="E14" s="14">
        <v>0</v>
      </c>
      <c r="F14" s="14">
        <v>22672357.07</v>
      </c>
      <c r="G14"/>
      <c r="H14"/>
    </row>
    <row r="15" spans="2:8" s="5" customFormat="1" ht="18" customHeight="1" x14ac:dyDescent="0.25">
      <c r="B15"/>
      <c r="C15" t="s">
        <v>2729</v>
      </c>
      <c r="D15" t="s">
        <v>1593</v>
      </c>
      <c r="E15" s="14">
        <v>34.82</v>
      </c>
      <c r="F15" s="14">
        <v>78434110.479630008</v>
      </c>
      <c r="G15"/>
      <c r="H15"/>
    </row>
    <row r="16" spans="2:8" s="5" customFormat="1" x14ac:dyDescent="0.25">
      <c r="B16"/>
      <c r="C16" t="s">
        <v>540</v>
      </c>
      <c r="D16" t="s">
        <v>785</v>
      </c>
      <c r="E16" s="14">
        <v>-52.16</v>
      </c>
      <c r="F16" s="14">
        <v>-510005646.13109517</v>
      </c>
      <c r="G16"/>
      <c r="H16"/>
    </row>
    <row r="17" spans="2:8" s="5" customFormat="1" ht="18" customHeight="1" x14ac:dyDescent="0.25">
      <c r="B17"/>
      <c r="C17" t="s">
        <v>2881</v>
      </c>
      <c r="D17" t="s">
        <v>788</v>
      </c>
      <c r="E17" s="14">
        <v>0</v>
      </c>
      <c r="F17" s="14">
        <v>867647428.08071804</v>
      </c>
      <c r="G17"/>
      <c r="H17"/>
    </row>
    <row r="18" spans="2:8" s="5" customFormat="1" ht="18" customHeight="1" x14ac:dyDescent="0.25">
      <c r="B18"/>
      <c r="C18" t="s">
        <v>539</v>
      </c>
      <c r="D18" t="s">
        <v>786</v>
      </c>
      <c r="E18" s="14">
        <v>0</v>
      </c>
      <c r="F18" s="14">
        <v>-2192986</v>
      </c>
      <c r="G18"/>
      <c r="H18"/>
    </row>
    <row r="19" spans="2:8" s="5" customFormat="1" ht="18" customHeight="1" x14ac:dyDescent="0.25">
      <c r="B19"/>
      <c r="C19"/>
      <c r="D19" t="s">
        <v>1680</v>
      </c>
      <c r="E19" s="14">
        <v>-43.634999999999991</v>
      </c>
      <c r="F19" s="14">
        <v>-607506126.57483244</v>
      </c>
      <c r="G19"/>
      <c r="H19"/>
    </row>
    <row r="20" spans="2:8" s="5" customFormat="1" ht="18" customHeight="1" x14ac:dyDescent="0.25">
      <c r="B20"/>
      <c r="C20"/>
      <c r="D20" t="s">
        <v>1593</v>
      </c>
      <c r="E20" s="14">
        <v>14.469999999999999</v>
      </c>
      <c r="F20" s="14">
        <v>502468724</v>
      </c>
      <c r="G20"/>
      <c r="H20"/>
    </row>
    <row r="21" spans="2:8" s="5" customFormat="1" ht="18" customHeight="1" x14ac:dyDescent="0.25">
      <c r="B21"/>
      <c r="C21" t="s">
        <v>3012</v>
      </c>
      <c r="D21" t="s">
        <v>1586</v>
      </c>
      <c r="E21" s="14">
        <v>-61.775000000000006</v>
      </c>
      <c r="F21" s="14">
        <v>-61356761</v>
      </c>
      <c r="G21"/>
      <c r="H21"/>
    </row>
    <row r="22" spans="2:8" s="5" customFormat="1" ht="18" customHeight="1" x14ac:dyDescent="0.25">
      <c r="B22"/>
      <c r="C22"/>
      <c r="D22" t="s">
        <v>1593</v>
      </c>
      <c r="E22" s="14">
        <v>61.775000000000006</v>
      </c>
      <c r="F22" s="14">
        <v>61356205.700000003</v>
      </c>
      <c r="G22"/>
      <c r="H22"/>
    </row>
    <row r="23" spans="2:8" s="5" customFormat="1" ht="18" customHeight="1" x14ac:dyDescent="0.25">
      <c r="B23"/>
      <c r="C23" t="s">
        <v>538</v>
      </c>
      <c r="D23" t="s">
        <v>1680</v>
      </c>
      <c r="E23" s="14">
        <v>-23.447999999999997</v>
      </c>
      <c r="F23" s="14">
        <v>-135743902.21909681</v>
      </c>
      <c r="G23"/>
      <c r="H23"/>
    </row>
    <row r="24" spans="2:8" s="5" customFormat="1" ht="18" customHeight="1" x14ac:dyDescent="0.25">
      <c r="B24"/>
      <c r="C24" t="s">
        <v>3409</v>
      </c>
      <c r="D24" t="s">
        <v>1593</v>
      </c>
      <c r="E24" s="14">
        <v>0.32500000000000001</v>
      </c>
      <c r="F24" s="14">
        <v>575708.46603999997</v>
      </c>
      <c r="G24"/>
      <c r="H24"/>
    </row>
    <row r="25" spans="2:8" s="5" customFormat="1" ht="18" customHeight="1" x14ac:dyDescent="0.25">
      <c r="B25"/>
      <c r="C25" t="s">
        <v>2726</v>
      </c>
      <c r="D25" t="s">
        <v>1593</v>
      </c>
      <c r="E25" s="14">
        <v>8.7549999999999972</v>
      </c>
      <c r="F25" s="14">
        <v>14321543.808940001</v>
      </c>
      <c r="G25"/>
      <c r="H25"/>
    </row>
    <row r="26" spans="2:8" s="5" customFormat="1" ht="18" customHeight="1" x14ac:dyDescent="0.25">
      <c r="B26"/>
      <c r="C26" t="s">
        <v>536</v>
      </c>
      <c r="D26" t="s">
        <v>785</v>
      </c>
      <c r="E26" s="14">
        <v>-165.90900000000019</v>
      </c>
      <c r="F26" s="14">
        <v>-231444894.70912024</v>
      </c>
      <c r="G26"/>
    </row>
    <row r="27" spans="2:8" s="5" customFormat="1" ht="18" customHeight="1" x14ac:dyDescent="0.25">
      <c r="B27"/>
      <c r="C27"/>
      <c r="D27" t="s">
        <v>786</v>
      </c>
      <c r="E27" s="14">
        <v>-34.574999999999996</v>
      </c>
      <c r="F27" s="14">
        <v>-73820197.469390005</v>
      </c>
      <c r="G27"/>
    </row>
    <row r="28" spans="2:8" s="5" customFormat="1" ht="18" customHeight="1" x14ac:dyDescent="0.25">
      <c r="B28"/>
      <c r="C28" t="s">
        <v>1692</v>
      </c>
      <c r="D28" t="s">
        <v>788</v>
      </c>
      <c r="E28" s="14">
        <v>0</v>
      </c>
      <c r="F28" s="14">
        <v>306435495.62300003</v>
      </c>
      <c r="G28"/>
    </row>
    <row r="29" spans="2:8" s="5" customFormat="1" ht="18" customHeight="1" x14ac:dyDescent="0.25">
      <c r="B29" t="s">
        <v>1679</v>
      </c>
      <c r="C29"/>
      <c r="D29"/>
      <c r="E29" s="14">
        <v>-642.57700000000011</v>
      </c>
      <c r="F29" s="14">
        <v>-275947516.95249677</v>
      </c>
      <c r="G29"/>
    </row>
    <row r="30" spans="2:8" s="5" customFormat="1" ht="18" customHeight="1" x14ac:dyDescent="0.25">
      <c r="B30" t="s">
        <v>1115</v>
      </c>
      <c r="C30"/>
      <c r="D30"/>
      <c r="E30" s="14">
        <v>-598.19500000000016</v>
      </c>
      <c r="F30" s="14">
        <v>-254971386.17293882</v>
      </c>
      <c r="G30"/>
    </row>
    <row r="31" spans="2:8" s="5" customFormat="1" ht="18" customHeight="1" x14ac:dyDescent="0.25">
      <c r="B31"/>
      <c r="C31"/>
      <c r="D31"/>
      <c r="E31"/>
      <c r="F31"/>
      <c r="G31"/>
    </row>
    <row r="32" spans="2:8" s="5" customFormat="1" ht="18" customHeight="1" x14ac:dyDescent="0.25">
      <c r="B32"/>
      <c r="C32"/>
      <c r="D32"/>
      <c r="E32"/>
      <c r="F32"/>
      <c r="G32"/>
    </row>
    <row r="33" spans="2:7" s="5" customFormat="1" ht="18" customHeight="1" x14ac:dyDescent="0.25">
      <c r="B33"/>
      <c r="C33"/>
      <c r="D33"/>
      <c r="E33"/>
      <c r="F33"/>
      <c r="G33"/>
    </row>
    <row r="34" spans="2:7" s="5" customFormat="1" ht="18" customHeight="1" x14ac:dyDescent="0.25">
      <c r="B34"/>
      <c r="C34"/>
      <c r="D34"/>
      <c r="E34"/>
      <c r="F34"/>
      <c r="G34"/>
    </row>
    <row r="35" spans="2:7" s="5" customFormat="1" ht="18" customHeight="1" x14ac:dyDescent="0.25">
      <c r="B35"/>
      <c r="C35"/>
      <c r="D35"/>
      <c r="E35"/>
      <c r="F35"/>
      <c r="G35"/>
    </row>
    <row r="36" spans="2:7" s="5" customFormat="1" ht="18" customHeight="1" x14ac:dyDescent="0.25">
      <c r="B36"/>
      <c r="C36"/>
      <c r="D36"/>
      <c r="E36"/>
      <c r="F36"/>
      <c r="G36"/>
    </row>
    <row r="37" spans="2:7" s="5" customFormat="1" ht="18" customHeight="1" x14ac:dyDescent="0.25">
      <c r="B37"/>
      <c r="C37"/>
      <c r="D37"/>
      <c r="E37"/>
      <c r="F37"/>
      <c r="G37"/>
    </row>
    <row r="38" spans="2:7" s="5" customFormat="1" ht="18" customHeight="1" x14ac:dyDescent="0.25">
      <c r="B38"/>
      <c r="C38"/>
      <c r="D38"/>
      <c r="E38"/>
      <c r="F38"/>
      <c r="G38"/>
    </row>
    <row r="39" spans="2:7" s="5" customFormat="1" ht="18" customHeight="1" x14ac:dyDescent="0.25">
      <c r="B39"/>
      <c r="C39"/>
      <c r="D39"/>
      <c r="E39"/>
      <c r="F39"/>
    </row>
    <row r="40" spans="2:7" s="5" customFormat="1" ht="18" customHeight="1" x14ac:dyDescent="0.25">
      <c r="B40"/>
      <c r="C40"/>
      <c r="D40"/>
      <c r="E40"/>
      <c r="F40"/>
    </row>
    <row r="41" spans="2:7" s="5" customFormat="1" ht="18" customHeight="1" x14ac:dyDescent="0.25">
      <c r="B41"/>
      <c r="C41"/>
      <c r="D41"/>
      <c r="E41"/>
      <c r="F41"/>
    </row>
    <row r="42" spans="2:7" s="5" customFormat="1" ht="18" customHeight="1" x14ac:dyDescent="0.25">
      <c r="B42"/>
      <c r="C42"/>
      <c r="D42"/>
      <c r="E42"/>
      <c r="F42"/>
    </row>
    <row r="43" spans="2:7" s="5" customFormat="1" ht="18" customHeight="1" x14ac:dyDescent="0.25">
      <c r="B43"/>
      <c r="C43"/>
      <c r="D43"/>
      <c r="E43"/>
      <c r="F43"/>
    </row>
    <row r="44" spans="2:7" s="5" customFormat="1" ht="18" customHeight="1" x14ac:dyDescent="0.25">
      <c r="B44"/>
      <c r="C44"/>
      <c r="D44"/>
      <c r="E44"/>
      <c r="F44"/>
    </row>
    <row r="45" spans="2:7" s="5" customFormat="1" ht="18" customHeight="1" x14ac:dyDescent="0.25">
      <c r="B45"/>
      <c r="C45"/>
      <c r="D45"/>
      <c r="E45"/>
      <c r="F45"/>
    </row>
    <row r="46" spans="2:7" s="5" customFormat="1" ht="18" customHeight="1" x14ac:dyDescent="0.25">
      <c r="B46"/>
      <c r="C46"/>
      <c r="D46"/>
      <c r="E46"/>
      <c r="F46"/>
    </row>
    <row r="47" spans="2:7" s="5" customFormat="1" ht="18" customHeight="1" x14ac:dyDescent="0.25">
      <c r="B47"/>
      <c r="C47"/>
      <c r="D47"/>
      <c r="E47"/>
      <c r="F47"/>
    </row>
    <row r="48" spans="2:7" s="5" customFormat="1" ht="18" customHeight="1" x14ac:dyDescent="0.25">
      <c r="B48"/>
      <c r="C48"/>
      <c r="D48"/>
      <c r="E48"/>
      <c r="F48"/>
    </row>
    <row r="49" spans="2:6" s="5" customFormat="1" ht="18" customHeight="1" x14ac:dyDescent="0.25">
      <c r="B49"/>
      <c r="C49"/>
      <c r="D49"/>
      <c r="E49"/>
      <c r="F49"/>
    </row>
    <row r="50" spans="2:6" s="5" customFormat="1" ht="18" customHeight="1" x14ac:dyDescent="0.25">
      <c r="B50"/>
      <c r="C50"/>
      <c r="D50"/>
      <c r="E50"/>
      <c r="F50"/>
    </row>
    <row r="51" spans="2:6" s="5" customFormat="1" ht="18" customHeight="1" x14ac:dyDescent="0.25">
      <c r="B51"/>
      <c r="C51"/>
      <c r="D51"/>
      <c r="E51"/>
      <c r="F51"/>
    </row>
    <row r="52" spans="2:6" s="5" customFormat="1" ht="18" customHeight="1" x14ac:dyDescent="0.25">
      <c r="B52"/>
      <c r="C52"/>
      <c r="D52"/>
      <c r="E52"/>
      <c r="F52"/>
    </row>
    <row r="53" spans="2:6" s="5" customFormat="1" ht="18" customHeight="1" x14ac:dyDescent="0.25">
      <c r="B53"/>
      <c r="C53"/>
      <c r="D53"/>
      <c r="E53"/>
      <c r="F53"/>
    </row>
    <row r="54" spans="2:6" s="5" customFormat="1" ht="18" customHeight="1" x14ac:dyDescent="0.25"/>
    <row r="55" spans="2:6" s="5" customFormat="1" ht="18" customHeight="1" x14ac:dyDescent="0.25"/>
    <row r="56" spans="2:6" s="5" customFormat="1" ht="18" customHeight="1" x14ac:dyDescent="0.25"/>
    <row r="57" spans="2:6" s="5" customFormat="1" ht="18" customHeight="1" x14ac:dyDescent="0.25"/>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H60"/>
  <sheetViews>
    <sheetView showGridLines="0" zoomScaleNormal="100" workbookViewId="0">
      <pane ySplit="4" topLeftCell="A5" activePane="bottomLeft" state="frozen"/>
      <selection pane="bottomLeft" activeCell="H9" sqref="H9"/>
    </sheetView>
  </sheetViews>
  <sheetFormatPr defaultRowHeight="15" x14ac:dyDescent="0.25"/>
  <cols>
    <col min="1" max="1" width="7.85546875" customWidth="1"/>
    <col min="2" max="2" width="21.7109375" customWidth="1"/>
    <col min="3" max="3" width="46" bestFit="1" customWidth="1"/>
    <col min="4" max="4" width="23.28515625" customWidth="1"/>
    <col min="5" max="5" width="24.28515625" customWidth="1"/>
    <col min="6" max="6" width="10.5703125" customWidth="1"/>
    <col min="7" max="7" width="16.85546875" bestFit="1" customWidth="1"/>
    <col min="8" max="8" width="25.140625" bestFit="1" customWidth="1"/>
  </cols>
  <sheetData>
    <row r="1" spans="2:8" ht="26.45" customHeight="1" x14ac:dyDescent="0.25"/>
    <row r="2" spans="2:8" ht="28.9" customHeight="1" x14ac:dyDescent="0.25"/>
    <row r="4" spans="2:8" s="5" customFormat="1" ht="18" customHeight="1" x14ac:dyDescent="0.25">
      <c r="B4" s="3" t="s">
        <v>771</v>
      </c>
      <c r="C4" s="3" t="s">
        <v>535</v>
      </c>
      <c r="D4" s="3" t="s">
        <v>772</v>
      </c>
      <c r="E4" s="3" t="s">
        <v>773</v>
      </c>
      <c r="F4" t="s">
        <v>1599</v>
      </c>
      <c r="G4" t="s">
        <v>1632</v>
      </c>
      <c r="H4"/>
    </row>
    <row r="5" spans="2:8" s="5" customFormat="1" ht="18" customHeight="1" x14ac:dyDescent="0.25">
      <c r="B5" t="s">
        <v>783</v>
      </c>
      <c r="C5" t="s">
        <v>1587</v>
      </c>
      <c r="D5" t="s">
        <v>1689</v>
      </c>
      <c r="E5" t="s">
        <v>788</v>
      </c>
      <c r="F5" s="14">
        <v>41.864999999999995</v>
      </c>
      <c r="G5" s="14">
        <v>21705288.27769731</v>
      </c>
      <c r="H5"/>
    </row>
    <row r="6" spans="2:8" s="5" customFormat="1" ht="18" customHeight="1" x14ac:dyDescent="0.25">
      <c r="B6"/>
      <c r="C6" t="s">
        <v>3353</v>
      </c>
      <c r="D6"/>
      <c r="E6"/>
      <c r="F6" s="14">
        <v>41.864999999999995</v>
      </c>
      <c r="G6" s="14">
        <v>21705288.27769731</v>
      </c>
      <c r="H6"/>
    </row>
    <row r="7" spans="2:8" s="5" customFormat="1" ht="18" customHeight="1" x14ac:dyDescent="0.25">
      <c r="B7"/>
      <c r="C7" t="s">
        <v>537</v>
      </c>
      <c r="D7" t="s">
        <v>1688</v>
      </c>
      <c r="E7" t="s">
        <v>788</v>
      </c>
      <c r="F7" s="14">
        <v>-3.8209999999999997</v>
      </c>
      <c r="G7" s="14">
        <v>-14373755.248981372</v>
      </c>
      <c r="H7"/>
    </row>
    <row r="8" spans="2:8" s="5" customFormat="1" ht="18" customHeight="1" x14ac:dyDescent="0.25">
      <c r="B8"/>
      <c r="C8" t="s">
        <v>3354</v>
      </c>
      <c r="D8"/>
      <c r="E8"/>
      <c r="F8" s="14">
        <v>-3.8209999999999997</v>
      </c>
      <c r="G8" s="14">
        <v>-14373755.248981372</v>
      </c>
      <c r="H8"/>
    </row>
    <row r="9" spans="2:8" s="5" customFormat="1" ht="18" customHeight="1" x14ac:dyDescent="0.25">
      <c r="B9"/>
      <c r="C9" t="s">
        <v>1595</v>
      </c>
      <c r="D9" t="s">
        <v>1687</v>
      </c>
      <c r="E9" t="s">
        <v>788</v>
      </c>
      <c r="F9" s="14">
        <v>6.338000000000001</v>
      </c>
      <c r="G9" s="14">
        <v>13644597.750841999</v>
      </c>
      <c r="H9"/>
    </row>
    <row r="10" spans="2:8" s="5" customFormat="1" ht="18" customHeight="1" x14ac:dyDescent="0.25">
      <c r="B10"/>
      <c r="C10" t="s">
        <v>3355</v>
      </c>
      <c r="D10"/>
      <c r="E10"/>
      <c r="F10" s="14">
        <v>6.338000000000001</v>
      </c>
      <c r="G10" s="14">
        <v>13644597.750841999</v>
      </c>
      <c r="H10"/>
    </row>
    <row r="11" spans="2:8" s="5" customFormat="1" ht="18" customHeight="1" x14ac:dyDescent="0.25">
      <c r="B11" t="s">
        <v>1921</v>
      </c>
      <c r="C11"/>
      <c r="D11"/>
      <c r="E11"/>
      <c r="F11" s="14">
        <v>44.381999999999998</v>
      </c>
      <c r="G11" s="14">
        <v>20976130.779557936</v>
      </c>
      <c r="H11"/>
    </row>
    <row r="12" spans="2:8" s="5" customFormat="1" ht="18" customHeight="1" x14ac:dyDescent="0.25">
      <c r="B12" t="s">
        <v>784</v>
      </c>
      <c r="C12" t="s">
        <v>1611</v>
      </c>
      <c r="D12" t="s">
        <v>786</v>
      </c>
      <c r="E12" t="s">
        <v>1597</v>
      </c>
      <c r="F12" s="14">
        <v>-8.125</v>
      </c>
      <c r="G12" s="14">
        <v>-9398709.7652500011</v>
      </c>
      <c r="H12"/>
    </row>
    <row r="13" spans="2:8" s="5" customFormat="1" ht="18" customHeight="1" x14ac:dyDescent="0.25">
      <c r="B13"/>
      <c r="C13"/>
      <c r="D13" t="s">
        <v>1680</v>
      </c>
      <c r="E13" t="s">
        <v>788</v>
      </c>
      <c r="F13" s="14">
        <v>-55.79</v>
      </c>
      <c r="G13" s="14">
        <v>-83900201.015259966</v>
      </c>
      <c r="H13"/>
    </row>
    <row r="14" spans="2:8" s="5" customFormat="1" ht="18" customHeight="1" x14ac:dyDescent="0.25">
      <c r="B14"/>
      <c r="C14" t="s">
        <v>2208</v>
      </c>
      <c r="D14"/>
      <c r="E14"/>
      <c r="F14" s="14">
        <v>-63.914999999999999</v>
      </c>
      <c r="G14" s="14">
        <v>-93298910.780509964</v>
      </c>
      <c r="H14"/>
    </row>
    <row r="15" spans="2:8" s="5" customFormat="1" ht="18" customHeight="1" x14ac:dyDescent="0.25">
      <c r="B15"/>
      <c r="C15" t="s">
        <v>540</v>
      </c>
      <c r="D15" t="s">
        <v>785</v>
      </c>
      <c r="E15" t="s">
        <v>788</v>
      </c>
      <c r="F15" s="14">
        <v>-52.16</v>
      </c>
      <c r="G15" s="14">
        <v>-510005646.13109517</v>
      </c>
      <c r="H15"/>
    </row>
    <row r="16" spans="2:8" s="5" customFormat="1" x14ac:dyDescent="0.25">
      <c r="B16"/>
      <c r="C16" t="s">
        <v>1683</v>
      </c>
      <c r="D16"/>
      <c r="E16"/>
      <c r="F16" s="14">
        <v>-52.16</v>
      </c>
      <c r="G16" s="14">
        <v>-510005646.13109517</v>
      </c>
      <c r="H16"/>
    </row>
    <row r="17" spans="2:8" s="5" customFormat="1" ht="18" customHeight="1" x14ac:dyDescent="0.25">
      <c r="B17"/>
      <c r="C17" t="s">
        <v>539</v>
      </c>
      <c r="D17" t="s">
        <v>786</v>
      </c>
      <c r="E17" t="s">
        <v>1596</v>
      </c>
      <c r="F17" s="14">
        <v>0</v>
      </c>
      <c r="G17" s="14">
        <v>-2192986</v>
      </c>
      <c r="H17"/>
    </row>
    <row r="18" spans="2:8" s="5" customFormat="1" ht="18" customHeight="1" x14ac:dyDescent="0.25">
      <c r="B18"/>
      <c r="C18"/>
      <c r="D18" t="s">
        <v>1680</v>
      </c>
      <c r="E18" t="s">
        <v>788</v>
      </c>
      <c r="F18" s="14">
        <v>-43.634999999999991</v>
      </c>
      <c r="G18" s="14">
        <v>-607506126.57483244</v>
      </c>
      <c r="H18"/>
    </row>
    <row r="19" spans="2:8" s="5" customFormat="1" ht="18" customHeight="1" x14ac:dyDescent="0.25">
      <c r="B19"/>
      <c r="C19"/>
      <c r="D19" t="s">
        <v>1593</v>
      </c>
      <c r="E19" t="s">
        <v>788</v>
      </c>
      <c r="F19" s="14">
        <v>14.469999999999999</v>
      </c>
      <c r="G19" s="14">
        <v>502468724</v>
      </c>
      <c r="H19"/>
    </row>
    <row r="20" spans="2:8" s="5" customFormat="1" ht="18" customHeight="1" x14ac:dyDescent="0.25">
      <c r="B20"/>
      <c r="C20" t="s">
        <v>1684</v>
      </c>
      <c r="D20"/>
      <c r="E20"/>
      <c r="F20" s="14">
        <v>-29.164999999999992</v>
      </c>
      <c r="G20" s="14">
        <v>-107230388.57483244</v>
      </c>
      <c r="H20"/>
    </row>
    <row r="21" spans="2:8" s="5" customFormat="1" ht="18" customHeight="1" x14ac:dyDescent="0.25">
      <c r="B21"/>
      <c r="C21" t="s">
        <v>538</v>
      </c>
      <c r="D21" t="s">
        <v>1680</v>
      </c>
      <c r="E21" t="s">
        <v>788</v>
      </c>
      <c r="F21" s="14">
        <v>-23.447999999999997</v>
      </c>
      <c r="G21" s="14">
        <v>-135743902.21909681</v>
      </c>
      <c r="H21"/>
    </row>
    <row r="22" spans="2:8" s="5" customFormat="1" ht="18" customHeight="1" x14ac:dyDescent="0.25">
      <c r="B22"/>
      <c r="C22" t="s">
        <v>1685</v>
      </c>
      <c r="D22"/>
      <c r="E22"/>
      <c r="F22" s="14">
        <v>-23.447999999999997</v>
      </c>
      <c r="G22" s="14">
        <v>-135743902.21909681</v>
      </c>
      <c r="H22"/>
    </row>
    <row r="23" spans="2:8" s="5" customFormat="1" ht="18" customHeight="1" x14ac:dyDescent="0.25">
      <c r="B23"/>
      <c r="C23" t="s">
        <v>536</v>
      </c>
      <c r="D23" t="s">
        <v>785</v>
      </c>
      <c r="E23" t="s">
        <v>788</v>
      </c>
      <c r="F23" s="14">
        <v>-165.90900000000019</v>
      </c>
      <c r="G23" s="14">
        <v>-231444894.70912024</v>
      </c>
      <c r="H23"/>
    </row>
    <row r="24" spans="2:8" s="5" customFormat="1" ht="18" customHeight="1" x14ac:dyDescent="0.25">
      <c r="B24"/>
      <c r="C24"/>
      <c r="D24" t="s">
        <v>786</v>
      </c>
      <c r="E24" t="s">
        <v>2299</v>
      </c>
      <c r="F24" s="14">
        <v>-34.574999999999996</v>
      </c>
      <c r="G24" s="14">
        <v>-73820197.469390005</v>
      </c>
      <c r="H24"/>
    </row>
    <row r="25" spans="2:8" s="5" customFormat="1" ht="18" customHeight="1" x14ac:dyDescent="0.25">
      <c r="B25"/>
      <c r="C25" t="s">
        <v>1686</v>
      </c>
      <c r="D25"/>
      <c r="E25"/>
      <c r="F25" s="14">
        <v>-200.48400000000018</v>
      </c>
      <c r="G25" s="14">
        <v>-305265092.17851025</v>
      </c>
      <c r="H25"/>
    </row>
    <row r="26" spans="2:8" s="5" customFormat="1" x14ac:dyDescent="0.25">
      <c r="B26"/>
      <c r="C26" t="s">
        <v>1692</v>
      </c>
      <c r="D26" t="s">
        <v>788</v>
      </c>
      <c r="E26" t="s">
        <v>788</v>
      </c>
      <c r="F26" s="14">
        <v>0</v>
      </c>
      <c r="G26" s="14">
        <v>306435495.62300003</v>
      </c>
    </row>
    <row r="27" spans="2:8" s="5" customFormat="1" x14ac:dyDescent="0.25">
      <c r="B27"/>
      <c r="C27" t="s">
        <v>1920</v>
      </c>
      <c r="D27"/>
      <c r="E27"/>
      <c r="F27" s="14">
        <v>0</v>
      </c>
      <c r="G27" s="14">
        <v>306435495.62300003</v>
      </c>
    </row>
    <row r="28" spans="2:8" s="5" customFormat="1" ht="18" customHeight="1" x14ac:dyDescent="0.25">
      <c r="B28"/>
      <c r="C28" t="s">
        <v>2726</v>
      </c>
      <c r="D28" t="s">
        <v>1593</v>
      </c>
      <c r="E28" t="s">
        <v>788</v>
      </c>
      <c r="F28" s="14">
        <v>8.7549999999999972</v>
      </c>
      <c r="G28" s="14">
        <v>14321543.808940001</v>
      </c>
    </row>
    <row r="29" spans="2:8" s="5" customFormat="1" ht="18" customHeight="1" x14ac:dyDescent="0.25">
      <c r="B29"/>
      <c r="C29" t="s">
        <v>2727</v>
      </c>
      <c r="D29"/>
      <c r="E29"/>
      <c r="F29" s="14">
        <v>8.7549999999999972</v>
      </c>
      <c r="G29" s="14">
        <v>14321543.808940001</v>
      </c>
    </row>
    <row r="30" spans="2:8" s="5" customFormat="1" ht="18" customHeight="1" x14ac:dyDescent="0.25">
      <c r="B30"/>
      <c r="C30" t="s">
        <v>2728</v>
      </c>
      <c r="D30" t="s">
        <v>785</v>
      </c>
      <c r="E30" t="s">
        <v>788</v>
      </c>
      <c r="F30" s="14">
        <v>-14.54</v>
      </c>
      <c r="G30" s="14">
        <v>-31041698.426860001</v>
      </c>
    </row>
    <row r="31" spans="2:8" s="5" customFormat="1" ht="18" customHeight="1" x14ac:dyDescent="0.25">
      <c r="B31"/>
      <c r="C31"/>
      <c r="D31" t="s">
        <v>1586</v>
      </c>
      <c r="E31" t="s">
        <v>788</v>
      </c>
      <c r="F31" s="14">
        <v>-31.78</v>
      </c>
      <c r="G31" s="14">
        <v>-49006815.129330002</v>
      </c>
    </row>
    <row r="32" spans="2:8" s="5" customFormat="1" ht="18" customHeight="1" x14ac:dyDescent="0.25">
      <c r="B32"/>
      <c r="C32"/>
      <c r="D32" t="s">
        <v>786</v>
      </c>
      <c r="E32" t="s">
        <v>788</v>
      </c>
      <c r="F32" s="14">
        <v>-2.1</v>
      </c>
      <c r="G32" s="14">
        <v>-4796505</v>
      </c>
    </row>
    <row r="33" spans="2:7" s="5" customFormat="1" ht="18" customHeight="1" x14ac:dyDescent="0.25">
      <c r="B33"/>
      <c r="C33"/>
      <c r="D33"/>
      <c r="E33" t="s">
        <v>1597</v>
      </c>
      <c r="F33" s="14">
        <v>-254.24</v>
      </c>
      <c r="G33" s="14">
        <v>-303705767.13887</v>
      </c>
    </row>
    <row r="34" spans="2:7" s="5" customFormat="1" ht="18" customHeight="1" x14ac:dyDescent="0.25">
      <c r="B34"/>
      <c r="C34"/>
      <c r="D34"/>
      <c r="E34" t="s">
        <v>1598</v>
      </c>
      <c r="F34" s="14">
        <v>-14.645000000000003</v>
      </c>
      <c r="G34" s="14">
        <v>-25938879.601720002</v>
      </c>
    </row>
    <row r="35" spans="2:7" s="5" customFormat="1" ht="18" customHeight="1" x14ac:dyDescent="0.25">
      <c r="B35"/>
      <c r="C35" t="s">
        <v>2730</v>
      </c>
      <c r="D35"/>
      <c r="E35"/>
      <c r="F35" s="14">
        <v>-317.30500000000001</v>
      </c>
      <c r="G35" s="14">
        <v>-414489665.29677999</v>
      </c>
    </row>
    <row r="36" spans="2:7" s="5" customFormat="1" ht="18" customHeight="1" x14ac:dyDescent="0.25">
      <c r="B36"/>
      <c r="C36" t="s">
        <v>2729</v>
      </c>
      <c r="D36" t="s">
        <v>1593</v>
      </c>
      <c r="E36" t="s">
        <v>788</v>
      </c>
      <c r="F36" s="14">
        <v>34.82</v>
      </c>
      <c r="G36" s="14">
        <v>78434110.479630008</v>
      </c>
    </row>
    <row r="37" spans="2:7" s="5" customFormat="1" ht="18" customHeight="1" x14ac:dyDescent="0.25">
      <c r="B37"/>
      <c r="C37" t="s">
        <v>2731</v>
      </c>
      <c r="D37"/>
      <c r="E37"/>
      <c r="F37" s="14">
        <v>34.82</v>
      </c>
      <c r="G37" s="14">
        <v>78434110.479630008</v>
      </c>
    </row>
    <row r="38" spans="2:7" s="5" customFormat="1" ht="18" customHeight="1" x14ac:dyDescent="0.25">
      <c r="B38"/>
      <c r="C38" t="s">
        <v>2881</v>
      </c>
      <c r="D38" t="s">
        <v>788</v>
      </c>
      <c r="E38" t="s">
        <v>788</v>
      </c>
      <c r="F38" s="14">
        <v>0</v>
      </c>
      <c r="G38" s="14">
        <v>867647428.08071804</v>
      </c>
    </row>
    <row r="39" spans="2:7" s="5" customFormat="1" ht="18" customHeight="1" x14ac:dyDescent="0.25">
      <c r="B39"/>
      <c r="C39" t="s">
        <v>2883</v>
      </c>
      <c r="D39"/>
      <c r="E39"/>
      <c r="F39" s="14">
        <v>0</v>
      </c>
      <c r="G39" s="14">
        <v>867647428.08071804</v>
      </c>
    </row>
    <row r="40" spans="2:7" s="5" customFormat="1" ht="18" customHeight="1" x14ac:dyDescent="0.25">
      <c r="B40"/>
      <c r="C40" t="s">
        <v>2891</v>
      </c>
      <c r="D40" t="s">
        <v>788</v>
      </c>
      <c r="E40" t="s">
        <v>788</v>
      </c>
      <c r="F40" s="14">
        <v>0</v>
      </c>
      <c r="G40" s="14">
        <v>22672357.07</v>
      </c>
    </row>
    <row r="41" spans="2:7" s="5" customFormat="1" ht="18" customHeight="1" x14ac:dyDescent="0.25">
      <c r="B41"/>
      <c r="C41" t="s">
        <v>2892</v>
      </c>
      <c r="D41"/>
      <c r="E41"/>
      <c r="F41" s="14">
        <v>0</v>
      </c>
      <c r="G41" s="14">
        <v>22672357.07</v>
      </c>
    </row>
    <row r="42" spans="2:7" s="5" customFormat="1" ht="18" customHeight="1" x14ac:dyDescent="0.25">
      <c r="B42"/>
      <c r="C42" t="s">
        <v>3012</v>
      </c>
      <c r="D42" t="s">
        <v>1586</v>
      </c>
      <c r="E42" t="s">
        <v>788</v>
      </c>
      <c r="F42" s="14">
        <v>-61.775000000000006</v>
      </c>
      <c r="G42" s="14">
        <v>-61356761</v>
      </c>
    </row>
    <row r="43" spans="2:7" s="5" customFormat="1" ht="18" customHeight="1" x14ac:dyDescent="0.25">
      <c r="B43"/>
      <c r="C43"/>
      <c r="D43" t="s">
        <v>1593</v>
      </c>
      <c r="E43" t="s">
        <v>788</v>
      </c>
      <c r="F43" s="14">
        <v>61.775000000000006</v>
      </c>
      <c r="G43" s="14">
        <v>61356205.700000003</v>
      </c>
    </row>
    <row r="44" spans="2:7" s="5" customFormat="1" ht="18" customHeight="1" x14ac:dyDescent="0.25">
      <c r="B44"/>
      <c r="C44" t="s">
        <v>3143</v>
      </c>
      <c r="D44"/>
      <c r="E44"/>
      <c r="F44" s="14">
        <v>0</v>
      </c>
      <c r="G44" s="14">
        <v>-555.29999999701977</v>
      </c>
    </row>
    <row r="45" spans="2:7" s="5" customFormat="1" ht="18" customHeight="1" x14ac:dyDescent="0.25">
      <c r="B45"/>
      <c r="C45" t="s">
        <v>3409</v>
      </c>
      <c r="D45" t="s">
        <v>1593</v>
      </c>
      <c r="E45" t="s">
        <v>788</v>
      </c>
      <c r="F45" s="14">
        <v>0.32500000000000001</v>
      </c>
      <c r="G45" s="14">
        <v>575708.46603999997</v>
      </c>
    </row>
    <row r="46" spans="2:7" s="5" customFormat="1" ht="18" customHeight="1" x14ac:dyDescent="0.25">
      <c r="B46"/>
      <c r="C46" t="s">
        <v>3435</v>
      </c>
      <c r="D46"/>
      <c r="E46"/>
      <c r="F46" s="14">
        <v>0.32500000000000001</v>
      </c>
      <c r="G46" s="14">
        <v>575708.46603999997</v>
      </c>
    </row>
    <row r="47" spans="2:7" s="5" customFormat="1" ht="18" customHeight="1" x14ac:dyDescent="0.25">
      <c r="B47" t="s">
        <v>1679</v>
      </c>
      <c r="C47"/>
      <c r="D47"/>
      <c r="E47"/>
      <c r="F47" s="14">
        <v>-642.57700000000011</v>
      </c>
      <c r="G47" s="14">
        <v>-275947516.95249641</v>
      </c>
    </row>
    <row r="48" spans="2:7" s="5" customFormat="1" ht="18" customHeight="1" x14ac:dyDescent="0.25">
      <c r="B48" t="s">
        <v>1115</v>
      </c>
      <c r="C48"/>
      <c r="D48"/>
      <c r="E48"/>
      <c r="F48" s="14">
        <v>-598.19500000000005</v>
      </c>
      <c r="G48" s="14">
        <v>-254971386.17293873</v>
      </c>
    </row>
    <row r="49" spans="2:7" s="5" customFormat="1" ht="18" customHeight="1" x14ac:dyDescent="0.25">
      <c r="B49"/>
      <c r="C49"/>
      <c r="D49"/>
      <c r="E49"/>
      <c r="F49"/>
      <c r="G49"/>
    </row>
    <row r="50" spans="2:7" s="5" customFormat="1" ht="18" customHeight="1" x14ac:dyDescent="0.25">
      <c r="B50"/>
      <c r="C50"/>
      <c r="D50"/>
      <c r="E50"/>
      <c r="F50"/>
    </row>
    <row r="51" spans="2:7" s="5" customFormat="1" ht="18" customHeight="1" x14ac:dyDescent="0.25">
      <c r="B51"/>
      <c r="C51"/>
      <c r="D51"/>
      <c r="E51"/>
      <c r="F51"/>
    </row>
    <row r="52" spans="2:7" s="5" customFormat="1" ht="18" customHeight="1" x14ac:dyDescent="0.25">
      <c r="B52"/>
      <c r="C52"/>
      <c r="D52"/>
      <c r="E52"/>
      <c r="F52"/>
    </row>
    <row r="53" spans="2:7" s="5" customFormat="1" ht="18" customHeight="1" x14ac:dyDescent="0.25">
      <c r="B53"/>
      <c r="C53"/>
      <c r="D53"/>
      <c r="E53"/>
      <c r="F53"/>
    </row>
    <row r="54" spans="2:7" s="5" customFormat="1" ht="18" customHeight="1" x14ac:dyDescent="0.25">
      <c r="B54"/>
      <c r="C54"/>
      <c r="D54"/>
      <c r="E54"/>
      <c r="F54"/>
    </row>
    <row r="55" spans="2:7" s="5" customFormat="1" ht="18" customHeight="1" x14ac:dyDescent="0.25">
      <c r="B55"/>
      <c r="C55"/>
      <c r="D55"/>
      <c r="E55"/>
      <c r="F55"/>
    </row>
    <row r="56" spans="2:7" s="5" customFormat="1" ht="18" customHeight="1" x14ac:dyDescent="0.25">
      <c r="B56"/>
      <c r="C56"/>
      <c r="D56"/>
      <c r="E56"/>
      <c r="F56"/>
    </row>
    <row r="57" spans="2:7" s="5" customFormat="1" ht="18" customHeight="1" x14ac:dyDescent="0.25"/>
    <row r="58" spans="2:7" s="5" customFormat="1" ht="18" customHeight="1" x14ac:dyDescent="0.25"/>
    <row r="59" spans="2:7" s="5" customFormat="1" ht="18" customHeight="1" x14ac:dyDescent="0.25"/>
    <row r="60" spans="2:7" s="5" customFormat="1" ht="18" customHeight="1" x14ac:dyDescent="0.25"/>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B1:I554"/>
  <sheetViews>
    <sheetView showGridLines="0" tabSelected="1" zoomScale="90" zoomScaleNormal="90" workbookViewId="0">
      <pane xSplit="9" ySplit="3" topLeftCell="J4" activePane="bottomRight" state="frozen"/>
      <selection pane="topRight" activeCell="J1" sqref="J1"/>
      <selection pane="bottomLeft" activeCell="A4" sqref="A4"/>
      <selection pane="bottomRight" activeCell="C12" sqref="C12"/>
    </sheetView>
  </sheetViews>
  <sheetFormatPr defaultRowHeight="15" x14ac:dyDescent="0.25"/>
  <cols>
    <col min="1" max="1" width="3.5703125" customWidth="1"/>
    <col min="2" max="2" width="14.28515625" style="8" customWidth="1"/>
    <col min="3" max="3" width="77.7109375" style="9" customWidth="1"/>
    <col min="4" max="4" width="15.140625" style="8" customWidth="1"/>
    <col min="5" max="5" width="24.140625" style="8" bestFit="1" customWidth="1"/>
    <col min="6" max="6" width="15.7109375" style="8" customWidth="1"/>
    <col min="7" max="7" width="9.7109375" style="8" customWidth="1"/>
    <col min="8" max="8" width="11.42578125" bestFit="1" customWidth="1"/>
    <col min="9" max="9" width="16.7109375" bestFit="1" customWidth="1"/>
  </cols>
  <sheetData>
    <row r="1" spans="2:9" ht="32.450000000000003" customHeight="1" x14ac:dyDescent="0.25"/>
    <row r="2" spans="2:9" ht="53.25" customHeight="1" x14ac:dyDescent="0.25"/>
    <row r="3" spans="2:9" ht="30" x14ac:dyDescent="0.25">
      <c r="B3" s="10" t="s">
        <v>1600</v>
      </c>
      <c r="C3" s="10" t="s">
        <v>769</v>
      </c>
      <c r="D3" s="10" t="s">
        <v>772</v>
      </c>
      <c r="E3" s="10" t="s">
        <v>773</v>
      </c>
      <c r="F3" s="7" t="s">
        <v>1123</v>
      </c>
      <c r="G3" s="10" t="s">
        <v>745</v>
      </c>
      <c r="H3" s="9" t="s">
        <v>1116</v>
      </c>
      <c r="I3" s="9" t="s">
        <v>1117</v>
      </c>
    </row>
    <row r="4" spans="2:9" ht="45" x14ac:dyDescent="0.25">
      <c r="B4" s="9" t="s">
        <v>1560</v>
      </c>
      <c r="C4" s="9" t="s">
        <v>1639</v>
      </c>
      <c r="D4" s="9" t="s">
        <v>1680</v>
      </c>
      <c r="E4" s="9" t="s">
        <v>788</v>
      </c>
      <c r="F4" s="9" t="s">
        <v>1561</v>
      </c>
      <c r="G4" s="9" t="s">
        <v>750</v>
      </c>
      <c r="H4" s="11">
        <v>-195</v>
      </c>
      <c r="I4" s="12">
        <v>-356127974.70899999</v>
      </c>
    </row>
    <row r="5" spans="2:9" ht="30" x14ac:dyDescent="0.25">
      <c r="B5" s="9"/>
      <c r="D5" s="9"/>
      <c r="E5" s="9"/>
      <c r="F5" s="9" t="s">
        <v>1566</v>
      </c>
      <c r="G5" s="9" t="s">
        <v>750</v>
      </c>
      <c r="H5" s="11">
        <v>195</v>
      </c>
      <c r="I5" s="12">
        <v>331500000</v>
      </c>
    </row>
    <row r="6" spans="2:9" x14ac:dyDescent="0.25">
      <c r="B6" s="9"/>
      <c r="D6" s="9"/>
      <c r="E6" s="9"/>
      <c r="F6" s="9"/>
      <c r="G6" s="9"/>
      <c r="H6" s="11"/>
      <c r="I6" s="12"/>
    </row>
    <row r="7" spans="2:9" ht="75" x14ac:dyDescent="0.25">
      <c r="B7" s="9"/>
      <c r="C7" s="9" t="s">
        <v>2561</v>
      </c>
      <c r="D7" s="9" t="s">
        <v>785</v>
      </c>
      <c r="E7" s="9" t="s">
        <v>788</v>
      </c>
      <c r="F7" s="9" t="s">
        <v>1561</v>
      </c>
      <c r="G7" s="9" t="s">
        <v>750</v>
      </c>
      <c r="H7" s="11">
        <v>-12</v>
      </c>
      <c r="I7" s="12">
        <v>-21915567.674399998</v>
      </c>
    </row>
    <row r="8" spans="2:9" ht="30" x14ac:dyDescent="0.25">
      <c r="B8" s="9"/>
      <c r="D8" s="9"/>
      <c r="E8" s="9"/>
      <c r="F8" s="9" t="s">
        <v>1566</v>
      </c>
      <c r="G8" s="9" t="s">
        <v>750</v>
      </c>
      <c r="H8" s="11">
        <v>12</v>
      </c>
      <c r="I8" s="12">
        <v>29040000</v>
      </c>
    </row>
    <row r="9" spans="2:9" x14ac:dyDescent="0.25">
      <c r="B9" s="9"/>
      <c r="D9" s="9"/>
      <c r="E9" s="9"/>
      <c r="F9" s="9"/>
      <c r="G9" s="9"/>
      <c r="H9" s="11"/>
      <c r="I9" s="12"/>
    </row>
    <row r="10" spans="2:9" ht="30" x14ac:dyDescent="0.25">
      <c r="B10" s="9" t="s">
        <v>3374</v>
      </c>
      <c r="D10" s="9"/>
      <c r="E10" s="9"/>
      <c r="F10" s="9"/>
      <c r="G10" s="9"/>
      <c r="H10" s="11">
        <v>0</v>
      </c>
      <c r="I10" s="12">
        <v>-17503542.383399993</v>
      </c>
    </row>
    <row r="11" spans="2:9" x14ac:dyDescent="0.25">
      <c r="B11" s="9"/>
      <c r="D11" s="9"/>
      <c r="E11" s="9"/>
      <c r="F11" s="9"/>
      <c r="G11" s="9"/>
      <c r="H11" s="11"/>
      <c r="I11" s="12"/>
    </row>
    <row r="12" spans="2:9" x14ac:dyDescent="0.25">
      <c r="B12" s="9" t="s">
        <v>1601</v>
      </c>
      <c r="C12" s="9" t="s">
        <v>1623</v>
      </c>
      <c r="D12" s="9" t="s">
        <v>1688</v>
      </c>
      <c r="E12" s="9" t="s">
        <v>788</v>
      </c>
      <c r="F12" s="9" t="s">
        <v>746</v>
      </c>
      <c r="G12" s="9" t="s">
        <v>748</v>
      </c>
      <c r="H12" s="11">
        <v>-0.84499999999999997</v>
      </c>
      <c r="I12" s="12">
        <v>-3585227.4956946499</v>
      </c>
    </row>
    <row r="13" spans="2:9" x14ac:dyDescent="0.25">
      <c r="B13" s="9"/>
      <c r="D13" s="9"/>
      <c r="E13" s="9"/>
      <c r="F13" s="9"/>
      <c r="G13" s="9"/>
      <c r="H13" s="11"/>
      <c r="I13" s="12"/>
    </row>
    <row r="14" spans="2:9" x14ac:dyDescent="0.25">
      <c r="B14" s="9"/>
      <c r="C14" s="9" t="s">
        <v>1622</v>
      </c>
      <c r="D14" s="9" t="s">
        <v>1688</v>
      </c>
      <c r="E14" s="9" t="s">
        <v>788</v>
      </c>
      <c r="F14" s="9" t="s">
        <v>746</v>
      </c>
      <c r="G14" s="9" t="s">
        <v>748</v>
      </c>
      <c r="H14" s="11">
        <v>-0.81599999999999995</v>
      </c>
      <c r="I14" s="12">
        <v>-3462184.1851915196</v>
      </c>
    </row>
    <row r="15" spans="2:9" x14ac:dyDescent="0.25">
      <c r="B15" s="9"/>
      <c r="D15" s="9"/>
      <c r="E15" s="9"/>
      <c r="F15" s="9"/>
      <c r="G15" s="9"/>
      <c r="H15" s="11"/>
      <c r="I15" s="12"/>
    </row>
    <row r="16" spans="2:9" ht="45" x14ac:dyDescent="0.25">
      <c r="B16" s="9"/>
      <c r="C16" s="9" t="s">
        <v>1624</v>
      </c>
      <c r="D16" s="9" t="s">
        <v>1687</v>
      </c>
      <c r="E16" s="9" t="s">
        <v>788</v>
      </c>
      <c r="F16" s="9" t="s">
        <v>746</v>
      </c>
      <c r="G16" s="9" t="s">
        <v>748</v>
      </c>
      <c r="H16" s="11">
        <v>0.1</v>
      </c>
      <c r="I16" s="12">
        <v>432552.27759700001</v>
      </c>
    </row>
    <row r="17" spans="2:9" x14ac:dyDescent="0.25">
      <c r="B17" s="9"/>
      <c r="D17" s="9"/>
      <c r="E17" s="9"/>
      <c r="F17" s="9"/>
      <c r="G17" s="9"/>
      <c r="H17" s="11"/>
      <c r="I17" s="12"/>
    </row>
    <row r="18" spans="2:9" ht="75" x14ac:dyDescent="0.25">
      <c r="B18" s="9"/>
      <c r="C18" s="9" t="s">
        <v>1626</v>
      </c>
      <c r="D18" s="9" t="s">
        <v>1689</v>
      </c>
      <c r="E18" s="9" t="s">
        <v>788</v>
      </c>
      <c r="F18" s="9" t="s">
        <v>749</v>
      </c>
      <c r="G18" s="9" t="s">
        <v>748</v>
      </c>
      <c r="H18" s="11">
        <v>0.01</v>
      </c>
      <c r="I18" s="12">
        <v>4557.4884263000004</v>
      </c>
    </row>
    <row r="19" spans="2:9" x14ac:dyDescent="0.25">
      <c r="B19" s="9"/>
      <c r="D19" s="9"/>
      <c r="E19" s="9"/>
      <c r="F19" s="9"/>
      <c r="G19" s="9"/>
      <c r="H19" s="11"/>
      <c r="I19" s="12"/>
    </row>
    <row r="20" spans="2:9" ht="30" x14ac:dyDescent="0.25">
      <c r="B20" s="9"/>
      <c r="C20" s="9" t="s">
        <v>1627</v>
      </c>
      <c r="D20" s="9" t="s">
        <v>1689</v>
      </c>
      <c r="E20" s="9" t="s">
        <v>788</v>
      </c>
      <c r="F20" s="9" t="s">
        <v>749</v>
      </c>
      <c r="G20" s="9" t="s">
        <v>748</v>
      </c>
      <c r="H20" s="11">
        <v>-0.33</v>
      </c>
      <c r="I20" s="12">
        <v>-162632.88446460001</v>
      </c>
    </row>
    <row r="21" spans="2:9" x14ac:dyDescent="0.25">
      <c r="B21" s="9"/>
      <c r="D21" s="9"/>
      <c r="E21" s="9"/>
      <c r="F21" s="9"/>
      <c r="G21" s="9"/>
      <c r="H21" s="11"/>
      <c r="I21" s="12"/>
    </row>
    <row r="22" spans="2:9" x14ac:dyDescent="0.25">
      <c r="B22" s="9"/>
      <c r="C22" s="9" t="s">
        <v>1916</v>
      </c>
      <c r="D22" s="9" t="s">
        <v>1688</v>
      </c>
      <c r="E22" s="9" t="s">
        <v>788</v>
      </c>
      <c r="F22" s="9" t="s">
        <v>746</v>
      </c>
      <c r="G22" s="9" t="s">
        <v>748</v>
      </c>
      <c r="H22" s="11">
        <v>-1.33</v>
      </c>
      <c r="I22" s="12">
        <v>-4511128.2155400999</v>
      </c>
    </row>
    <row r="23" spans="2:9" x14ac:dyDescent="0.25">
      <c r="B23" s="9"/>
      <c r="D23" s="9"/>
      <c r="E23" s="9"/>
      <c r="F23" s="9"/>
      <c r="G23" s="9"/>
      <c r="H23" s="11"/>
      <c r="I23" s="12"/>
    </row>
    <row r="24" spans="2:9" x14ac:dyDescent="0.25">
      <c r="B24" s="9"/>
      <c r="C24" s="9" t="s">
        <v>1917</v>
      </c>
      <c r="D24" s="9" t="s">
        <v>1688</v>
      </c>
      <c r="E24" s="9" t="s">
        <v>788</v>
      </c>
      <c r="F24" s="9" t="s">
        <v>746</v>
      </c>
      <c r="G24" s="9" t="s">
        <v>748</v>
      </c>
      <c r="H24" s="11">
        <v>-0.83</v>
      </c>
      <c r="I24" s="12">
        <v>-2815215.3525550999</v>
      </c>
    </row>
    <row r="25" spans="2:9" x14ac:dyDescent="0.25">
      <c r="B25" s="9"/>
      <c r="D25" s="9"/>
      <c r="E25" s="9"/>
      <c r="F25" s="9"/>
      <c r="G25" s="9"/>
      <c r="H25" s="11"/>
      <c r="I25" s="12"/>
    </row>
    <row r="26" spans="2:9" ht="90" x14ac:dyDescent="0.25">
      <c r="B26" s="9"/>
      <c r="C26" s="9" t="s">
        <v>2725</v>
      </c>
      <c r="D26" s="9" t="s">
        <v>1680</v>
      </c>
      <c r="E26" s="9" t="s">
        <v>788</v>
      </c>
      <c r="F26" s="9" t="s">
        <v>746</v>
      </c>
      <c r="G26" s="9" t="s">
        <v>748</v>
      </c>
      <c r="H26" s="11">
        <v>-30.508000000000003</v>
      </c>
      <c r="I26" s="12">
        <v>-131485305.40129274</v>
      </c>
    </row>
    <row r="27" spans="2:9" x14ac:dyDescent="0.25">
      <c r="B27" s="9"/>
      <c r="D27" s="9"/>
      <c r="E27" s="9"/>
      <c r="F27" s="9" t="s">
        <v>1578</v>
      </c>
      <c r="G27" s="9" t="s">
        <v>748</v>
      </c>
      <c r="H27" s="11">
        <v>30.28</v>
      </c>
      <c r="I27" s="12">
        <v>49053600</v>
      </c>
    </row>
    <row r="28" spans="2:9" x14ac:dyDescent="0.25">
      <c r="B28" s="9"/>
      <c r="D28" s="9"/>
      <c r="E28" s="9"/>
      <c r="F28" s="9"/>
      <c r="G28" s="9"/>
      <c r="H28" s="11"/>
      <c r="I28" s="12"/>
    </row>
    <row r="29" spans="2:9" ht="105" x14ac:dyDescent="0.25">
      <c r="B29" s="9"/>
      <c r="C29" s="9" t="s">
        <v>3384</v>
      </c>
      <c r="D29" s="9" t="s">
        <v>1689</v>
      </c>
      <c r="E29" s="9" t="s">
        <v>788</v>
      </c>
      <c r="F29" s="9" t="s">
        <v>746</v>
      </c>
      <c r="G29" s="9" t="s">
        <v>748</v>
      </c>
      <c r="H29" s="11">
        <v>-22.530999999999999</v>
      </c>
      <c r="I29" s="12">
        <v>-90679992.439380065</v>
      </c>
    </row>
    <row r="30" spans="2:9" ht="30" x14ac:dyDescent="0.25">
      <c r="B30" s="9"/>
      <c r="D30" s="9"/>
      <c r="E30" s="9"/>
      <c r="F30" s="9" t="s">
        <v>3225</v>
      </c>
      <c r="G30" s="9" t="s">
        <v>748</v>
      </c>
      <c r="H30" s="11">
        <v>40.619999999999997</v>
      </c>
      <c r="I30" s="12">
        <v>92747000</v>
      </c>
    </row>
    <row r="31" spans="2:9" x14ac:dyDescent="0.25">
      <c r="B31" s="9"/>
      <c r="D31" s="9"/>
      <c r="E31" s="9"/>
      <c r="F31" s="9"/>
      <c r="G31" s="9"/>
      <c r="H31" s="11"/>
      <c r="I31" s="12"/>
    </row>
    <row r="32" spans="2:9" x14ac:dyDescent="0.25">
      <c r="B32" s="9" t="s">
        <v>3375</v>
      </c>
      <c r="D32" s="9"/>
      <c r="E32" s="9"/>
      <c r="F32" s="9"/>
      <c r="G32" s="9"/>
      <c r="H32" s="11">
        <v>13.819999999999993</v>
      </c>
      <c r="I32" s="12">
        <v>-94463976.208095491</v>
      </c>
    </row>
    <row r="33" spans="2:9" x14ac:dyDescent="0.25">
      <c r="B33" s="9"/>
      <c r="D33" s="9"/>
      <c r="E33" s="9"/>
      <c r="F33" s="9"/>
      <c r="G33" s="9"/>
      <c r="H33" s="11"/>
      <c r="I33" s="12"/>
    </row>
    <row r="34" spans="2:9" ht="30" x14ac:dyDescent="0.25">
      <c r="B34" s="9" t="s">
        <v>1608</v>
      </c>
      <c r="C34" s="9" t="s">
        <v>787</v>
      </c>
      <c r="D34" s="9" t="s">
        <v>1680</v>
      </c>
      <c r="E34" s="9" t="s">
        <v>788</v>
      </c>
      <c r="F34" s="9" t="s">
        <v>1579</v>
      </c>
      <c r="G34" s="9" t="s">
        <v>748</v>
      </c>
      <c r="H34" s="11">
        <v>12.025</v>
      </c>
      <c r="I34" s="12">
        <v>2233566.79</v>
      </c>
    </row>
    <row r="35" spans="2:9" ht="30" x14ac:dyDescent="0.25">
      <c r="B35" s="9"/>
      <c r="D35" s="9"/>
      <c r="E35" s="9"/>
      <c r="F35" s="9" t="s">
        <v>1129</v>
      </c>
      <c r="G35" s="9" t="s">
        <v>757</v>
      </c>
      <c r="H35" s="11">
        <v>-12.025</v>
      </c>
      <c r="I35" s="12">
        <v>-15284869.380820001</v>
      </c>
    </row>
    <row r="36" spans="2:9" x14ac:dyDescent="0.25">
      <c r="B36" s="9"/>
      <c r="D36" s="9"/>
      <c r="E36" s="9"/>
      <c r="F36" s="9"/>
      <c r="G36" s="9"/>
      <c r="H36" s="11"/>
      <c r="I36" s="12"/>
    </row>
    <row r="37" spans="2:9" ht="75" x14ac:dyDescent="0.25">
      <c r="B37" s="9"/>
      <c r="C37" s="9" t="s">
        <v>1617</v>
      </c>
      <c r="D37" s="9" t="s">
        <v>1586</v>
      </c>
      <c r="E37" s="9" t="s">
        <v>788</v>
      </c>
      <c r="F37" s="9" t="s">
        <v>1129</v>
      </c>
      <c r="G37" s="9" t="s">
        <v>757</v>
      </c>
      <c r="H37" s="11">
        <v>-1.7250000000000001</v>
      </c>
      <c r="I37" s="12">
        <v>-1708340.35296</v>
      </c>
    </row>
    <row r="38" spans="2:9" x14ac:dyDescent="0.25">
      <c r="B38" s="9"/>
      <c r="D38" s="9"/>
      <c r="E38" s="9"/>
      <c r="F38" s="9"/>
      <c r="G38" s="9"/>
      <c r="H38" s="11"/>
      <c r="I38" s="12"/>
    </row>
    <row r="39" spans="2:9" ht="30" x14ac:dyDescent="0.25">
      <c r="B39" s="9"/>
      <c r="D39" s="9" t="s">
        <v>1680</v>
      </c>
      <c r="E39" s="9" t="s">
        <v>788</v>
      </c>
      <c r="F39" s="9" t="s">
        <v>1579</v>
      </c>
      <c r="G39" s="9" t="s">
        <v>748</v>
      </c>
      <c r="H39" s="11">
        <v>11.98</v>
      </c>
      <c r="I39" s="12">
        <v>2225208.3280000002</v>
      </c>
    </row>
    <row r="40" spans="2:9" ht="30" x14ac:dyDescent="0.25">
      <c r="B40" s="9"/>
      <c r="D40" s="9"/>
      <c r="E40" s="9"/>
      <c r="F40" s="9" t="s">
        <v>1129</v>
      </c>
      <c r="G40" s="9" t="s">
        <v>757</v>
      </c>
      <c r="H40" s="11">
        <v>-16.425000000000001</v>
      </c>
      <c r="I40" s="12">
        <v>-16266371.18688</v>
      </c>
    </row>
    <row r="41" spans="2:9" x14ac:dyDescent="0.25">
      <c r="B41" s="9"/>
      <c r="D41" s="9"/>
      <c r="E41" s="9"/>
      <c r="F41" s="9"/>
      <c r="G41" s="9"/>
      <c r="H41" s="11"/>
      <c r="I41" s="12"/>
    </row>
    <row r="42" spans="2:9" ht="60" x14ac:dyDescent="0.25">
      <c r="B42" s="9"/>
      <c r="C42" s="9" t="s">
        <v>1616</v>
      </c>
      <c r="D42" s="9" t="s">
        <v>786</v>
      </c>
      <c r="E42" s="9" t="s">
        <v>1597</v>
      </c>
      <c r="F42" s="9" t="s">
        <v>1129</v>
      </c>
      <c r="G42" s="9" t="s">
        <v>757</v>
      </c>
      <c r="H42" s="11">
        <v>-1.4</v>
      </c>
      <c r="I42" s="12">
        <v>-1386479.1270400002</v>
      </c>
    </row>
    <row r="43" spans="2:9" x14ac:dyDescent="0.25">
      <c r="B43" s="9"/>
      <c r="D43" s="9"/>
      <c r="E43" s="9"/>
      <c r="F43" s="9"/>
      <c r="G43" s="9"/>
      <c r="H43" s="11"/>
      <c r="I43" s="12"/>
    </row>
    <row r="44" spans="2:9" ht="30" x14ac:dyDescent="0.25">
      <c r="B44" s="9"/>
      <c r="D44" s="9" t="s">
        <v>1680</v>
      </c>
      <c r="E44" s="9" t="s">
        <v>788</v>
      </c>
      <c r="F44" s="9" t="s">
        <v>1129</v>
      </c>
      <c r="G44" s="9" t="s">
        <v>757</v>
      </c>
      <c r="H44" s="11">
        <v>-4.4749999999999996</v>
      </c>
      <c r="I44" s="12">
        <v>-4431781.4953600001</v>
      </c>
    </row>
    <row r="45" spans="2:9" x14ac:dyDescent="0.25">
      <c r="B45" s="9"/>
      <c r="D45" s="9"/>
      <c r="E45" s="9"/>
      <c r="F45" s="9"/>
      <c r="G45" s="9"/>
      <c r="H45" s="11"/>
      <c r="I45" s="12"/>
    </row>
    <row r="46" spans="2:9" ht="60" x14ac:dyDescent="0.25">
      <c r="B46" s="9"/>
      <c r="C46" s="9" t="s">
        <v>1613</v>
      </c>
      <c r="D46" s="9" t="s">
        <v>1586</v>
      </c>
      <c r="E46" s="9" t="s">
        <v>788</v>
      </c>
      <c r="F46" s="9" t="s">
        <v>1129</v>
      </c>
      <c r="G46" s="9" t="s">
        <v>757</v>
      </c>
      <c r="H46" s="11">
        <v>-1.45</v>
      </c>
      <c r="I46" s="12">
        <v>-1435996.23872</v>
      </c>
    </row>
    <row r="47" spans="2:9" x14ac:dyDescent="0.25">
      <c r="B47" s="9"/>
      <c r="D47" s="9"/>
      <c r="E47" s="9"/>
      <c r="F47" s="9"/>
      <c r="G47" s="9"/>
      <c r="H47" s="11"/>
      <c r="I47" s="12"/>
    </row>
    <row r="48" spans="2:9" ht="30" x14ac:dyDescent="0.25">
      <c r="B48" s="9"/>
      <c r="D48" s="9" t="s">
        <v>786</v>
      </c>
      <c r="E48" s="9" t="s">
        <v>1597</v>
      </c>
      <c r="F48" s="9" t="s">
        <v>1129</v>
      </c>
      <c r="G48" s="9" t="s">
        <v>757</v>
      </c>
      <c r="H48" s="11">
        <v>-0.92500000000000004</v>
      </c>
      <c r="I48" s="12">
        <v>-916066.56608000002</v>
      </c>
    </row>
    <row r="49" spans="2:9" x14ac:dyDescent="0.25">
      <c r="B49" s="9"/>
      <c r="D49" s="9"/>
      <c r="E49" s="9"/>
      <c r="F49" s="9"/>
      <c r="G49" s="9"/>
      <c r="H49" s="11"/>
      <c r="I49" s="12"/>
    </row>
    <row r="50" spans="2:9" ht="30" x14ac:dyDescent="0.25">
      <c r="B50" s="9"/>
      <c r="D50" s="9" t="s">
        <v>1680</v>
      </c>
      <c r="E50" s="9" t="s">
        <v>788</v>
      </c>
      <c r="F50" s="9" t="s">
        <v>1129</v>
      </c>
      <c r="G50" s="9" t="s">
        <v>757</v>
      </c>
      <c r="H50" s="11">
        <v>-3.6749999999999998</v>
      </c>
      <c r="I50" s="12">
        <v>-3639507.7084800005</v>
      </c>
    </row>
    <row r="51" spans="2:9" x14ac:dyDescent="0.25">
      <c r="B51" s="9"/>
      <c r="D51" s="9"/>
      <c r="E51" s="9"/>
      <c r="F51" s="9"/>
      <c r="G51" s="9"/>
      <c r="H51" s="11"/>
      <c r="I51" s="12"/>
    </row>
    <row r="52" spans="2:9" ht="45" x14ac:dyDescent="0.25">
      <c r="B52" s="9"/>
      <c r="C52" s="9" t="s">
        <v>1615</v>
      </c>
      <c r="D52" s="9" t="s">
        <v>1680</v>
      </c>
      <c r="E52" s="9" t="s">
        <v>788</v>
      </c>
      <c r="F52" s="9" t="s">
        <v>1129</v>
      </c>
      <c r="G52" s="9" t="s">
        <v>757</v>
      </c>
      <c r="H52" s="11">
        <v>-1.9749999999999999</v>
      </c>
      <c r="I52" s="12">
        <v>-1955925.91136</v>
      </c>
    </row>
    <row r="53" spans="2:9" x14ac:dyDescent="0.25">
      <c r="B53" s="9"/>
      <c r="D53" s="9"/>
      <c r="E53" s="9"/>
      <c r="F53" s="9"/>
      <c r="G53" s="9"/>
      <c r="H53" s="11"/>
      <c r="I53" s="12"/>
    </row>
    <row r="54" spans="2:9" ht="30" x14ac:dyDescent="0.25">
      <c r="B54" s="9"/>
      <c r="D54" s="9" t="s">
        <v>1593</v>
      </c>
      <c r="E54" s="9" t="s">
        <v>788</v>
      </c>
      <c r="F54" s="9" t="s">
        <v>1129</v>
      </c>
      <c r="G54" s="9" t="s">
        <v>757</v>
      </c>
      <c r="H54" s="11">
        <v>1.125</v>
      </c>
      <c r="I54" s="12">
        <v>1114135.0128000001</v>
      </c>
    </row>
    <row r="55" spans="2:9" x14ac:dyDescent="0.25">
      <c r="B55" s="9"/>
      <c r="D55" s="9"/>
      <c r="E55" s="9"/>
      <c r="F55" s="9"/>
      <c r="G55" s="9"/>
      <c r="H55" s="11"/>
      <c r="I55" s="12"/>
    </row>
    <row r="56" spans="2:9" ht="30" x14ac:dyDescent="0.25">
      <c r="B56" s="9"/>
      <c r="C56" s="9" t="s">
        <v>1651</v>
      </c>
      <c r="D56" s="9" t="s">
        <v>785</v>
      </c>
      <c r="E56" s="9" t="s">
        <v>788</v>
      </c>
      <c r="F56" s="9" t="s">
        <v>1129</v>
      </c>
      <c r="G56" s="9" t="s">
        <v>757</v>
      </c>
      <c r="H56" s="11">
        <v>-41.35</v>
      </c>
      <c r="I56" s="12">
        <v>-51834796.847429998</v>
      </c>
    </row>
    <row r="57" spans="2:9" ht="30" x14ac:dyDescent="0.25">
      <c r="B57" s="9"/>
      <c r="D57" s="9"/>
      <c r="E57" s="9"/>
      <c r="F57" s="9" t="s">
        <v>1128</v>
      </c>
      <c r="G57" s="9" t="s">
        <v>757</v>
      </c>
      <c r="H57" s="11">
        <v>-57.974999999999959</v>
      </c>
      <c r="I57" s="12">
        <v>-74148426.825929955</v>
      </c>
    </row>
    <row r="58" spans="2:9" x14ac:dyDescent="0.25">
      <c r="B58" s="9"/>
      <c r="D58" s="9"/>
      <c r="E58" s="9"/>
      <c r="F58" s="9"/>
      <c r="G58" s="9"/>
      <c r="H58" s="11"/>
      <c r="I58" s="12"/>
    </row>
    <row r="59" spans="2:9" ht="30" x14ac:dyDescent="0.25">
      <c r="B59" s="9"/>
      <c r="D59" s="9" t="s">
        <v>786</v>
      </c>
      <c r="E59" s="9" t="s">
        <v>2299</v>
      </c>
      <c r="F59" s="9" t="s">
        <v>1129</v>
      </c>
      <c r="G59" s="9" t="s">
        <v>757</v>
      </c>
      <c r="H59" s="11">
        <v>-0.375</v>
      </c>
      <c r="I59" s="12">
        <v>-433786.60454999999</v>
      </c>
    </row>
    <row r="60" spans="2:9" ht="30" x14ac:dyDescent="0.25">
      <c r="B60" s="9"/>
      <c r="D60" s="9"/>
      <c r="E60" s="9"/>
      <c r="F60" s="9" t="s">
        <v>1128</v>
      </c>
      <c r="G60" s="9" t="s">
        <v>757</v>
      </c>
      <c r="H60" s="11">
        <v>-3.5999999999999992</v>
      </c>
      <c r="I60" s="12">
        <v>-3642299.9822400007</v>
      </c>
    </row>
    <row r="61" spans="2:9" x14ac:dyDescent="0.25">
      <c r="B61" s="9"/>
      <c r="D61" s="9"/>
      <c r="E61" s="9"/>
      <c r="F61" s="9"/>
      <c r="G61" s="9"/>
      <c r="H61" s="11"/>
      <c r="I61" s="12"/>
    </row>
    <row r="62" spans="2:9" ht="30" x14ac:dyDescent="0.25">
      <c r="B62" s="9"/>
      <c r="C62" s="9" t="s">
        <v>1652</v>
      </c>
      <c r="D62" s="9" t="s">
        <v>1593</v>
      </c>
      <c r="E62" s="9" t="s">
        <v>788</v>
      </c>
      <c r="F62" s="9" t="s">
        <v>1129</v>
      </c>
      <c r="G62" s="9" t="s">
        <v>757</v>
      </c>
      <c r="H62" s="11">
        <v>2.6749999999999989</v>
      </c>
      <c r="I62" s="12">
        <v>3329389.7703499999</v>
      </c>
    </row>
    <row r="63" spans="2:9" ht="30" x14ac:dyDescent="0.25">
      <c r="B63" s="9"/>
      <c r="D63" s="9"/>
      <c r="E63" s="9"/>
      <c r="F63" s="9" t="s">
        <v>1128</v>
      </c>
      <c r="G63" s="9" t="s">
        <v>757</v>
      </c>
      <c r="H63" s="11">
        <v>1.6249999999999991</v>
      </c>
      <c r="I63" s="12">
        <v>1959502.7767399999</v>
      </c>
    </row>
    <row r="64" spans="2:9" x14ac:dyDescent="0.25">
      <c r="B64" s="9"/>
      <c r="D64" s="9"/>
      <c r="E64" s="9"/>
      <c r="F64" s="9"/>
      <c r="G64" s="9"/>
      <c r="H64" s="11"/>
      <c r="I64" s="12"/>
    </row>
    <row r="65" spans="2:9" ht="45" x14ac:dyDescent="0.25">
      <c r="B65" s="9"/>
      <c r="C65" s="9" t="s">
        <v>1653</v>
      </c>
      <c r="D65" s="9" t="s">
        <v>785</v>
      </c>
      <c r="E65" s="9" t="s">
        <v>788</v>
      </c>
      <c r="F65" s="9" t="s">
        <v>1128</v>
      </c>
      <c r="G65" s="9" t="s">
        <v>757</v>
      </c>
      <c r="H65" s="11">
        <v>-35</v>
      </c>
      <c r="I65" s="12">
        <v>-44488185.308000006</v>
      </c>
    </row>
    <row r="66" spans="2:9" x14ac:dyDescent="0.25">
      <c r="B66" s="9"/>
      <c r="D66" s="9"/>
      <c r="E66" s="9"/>
      <c r="F66" s="9"/>
      <c r="G66" s="9"/>
      <c r="H66" s="11"/>
      <c r="I66" s="12"/>
    </row>
    <row r="67" spans="2:9" ht="30" x14ac:dyDescent="0.25">
      <c r="B67" s="9"/>
      <c r="C67" s="9" t="s">
        <v>1654</v>
      </c>
      <c r="D67" s="9" t="s">
        <v>1680</v>
      </c>
      <c r="E67" s="9" t="s">
        <v>788</v>
      </c>
      <c r="F67" s="9" t="s">
        <v>1129</v>
      </c>
      <c r="G67" s="9" t="s">
        <v>757</v>
      </c>
      <c r="H67" s="11">
        <v>-0.17499999999999999</v>
      </c>
      <c r="I67" s="12">
        <v>-219112.68001000001</v>
      </c>
    </row>
    <row r="68" spans="2:9" x14ac:dyDescent="0.25">
      <c r="B68" s="9"/>
      <c r="D68" s="9"/>
      <c r="E68" s="9"/>
      <c r="F68" s="9"/>
      <c r="G68" s="9"/>
      <c r="H68" s="11"/>
      <c r="I68" s="12"/>
    </row>
    <row r="69" spans="2:9" ht="30" x14ac:dyDescent="0.25">
      <c r="B69" s="9"/>
      <c r="D69" s="9" t="s">
        <v>1593</v>
      </c>
      <c r="E69" s="9" t="s">
        <v>788</v>
      </c>
      <c r="F69" s="9" t="s">
        <v>1129</v>
      </c>
      <c r="G69" s="9" t="s">
        <v>757</v>
      </c>
      <c r="H69" s="11">
        <v>0.67500000000000004</v>
      </c>
      <c r="I69" s="12">
        <v>845148.90861000004</v>
      </c>
    </row>
    <row r="70" spans="2:9" x14ac:dyDescent="0.25">
      <c r="B70" s="9"/>
      <c r="D70" s="9"/>
      <c r="E70" s="9"/>
      <c r="F70" s="9"/>
      <c r="G70" s="9"/>
      <c r="H70" s="11"/>
      <c r="I70" s="12"/>
    </row>
    <row r="71" spans="2:9" ht="30" x14ac:dyDescent="0.25">
      <c r="B71" s="9"/>
      <c r="C71" s="9" t="s">
        <v>1655</v>
      </c>
      <c r="D71" s="9" t="s">
        <v>1586</v>
      </c>
      <c r="E71" s="9" t="s">
        <v>788</v>
      </c>
      <c r="F71" s="9" t="s">
        <v>1129</v>
      </c>
      <c r="G71" s="9" t="s">
        <v>757</v>
      </c>
      <c r="H71" s="11">
        <v>-0.125</v>
      </c>
      <c r="I71" s="12">
        <v>-156509.05715000001</v>
      </c>
    </row>
    <row r="72" spans="2:9" x14ac:dyDescent="0.25">
      <c r="B72" s="9"/>
      <c r="D72" s="9"/>
      <c r="E72" s="9"/>
      <c r="F72" s="9"/>
      <c r="G72" s="9"/>
      <c r="H72" s="11"/>
      <c r="I72" s="12"/>
    </row>
    <row r="73" spans="2:9" ht="30" x14ac:dyDescent="0.25">
      <c r="B73" s="9"/>
      <c r="D73" s="9" t="s">
        <v>1680</v>
      </c>
      <c r="E73" s="9" t="s">
        <v>788</v>
      </c>
      <c r="F73" s="9" t="s">
        <v>1129</v>
      </c>
      <c r="G73" s="9" t="s">
        <v>757</v>
      </c>
      <c r="H73" s="11">
        <v>-0.15</v>
      </c>
      <c r="I73" s="12">
        <v>-187810.86858000001</v>
      </c>
    </row>
    <row r="74" spans="2:9" x14ac:dyDescent="0.25">
      <c r="B74" s="9"/>
      <c r="D74" s="9"/>
      <c r="E74" s="9"/>
      <c r="F74" s="9"/>
      <c r="G74" s="9"/>
      <c r="H74" s="11"/>
      <c r="I74" s="12"/>
    </row>
    <row r="75" spans="2:9" ht="60" x14ac:dyDescent="0.25">
      <c r="B75" s="9"/>
      <c r="C75" s="9" t="s">
        <v>1657</v>
      </c>
      <c r="D75" s="9" t="s">
        <v>1586</v>
      </c>
      <c r="E75" s="9" t="s">
        <v>788</v>
      </c>
      <c r="F75" s="9" t="s">
        <v>1129</v>
      </c>
      <c r="G75" s="9" t="s">
        <v>757</v>
      </c>
      <c r="H75" s="11">
        <v>-1.6</v>
      </c>
      <c r="I75" s="12">
        <v>-2027249.36384</v>
      </c>
    </row>
    <row r="76" spans="2:9" x14ac:dyDescent="0.25">
      <c r="B76" s="9"/>
      <c r="D76" s="9"/>
      <c r="E76" s="9"/>
      <c r="F76" s="9"/>
      <c r="G76" s="9"/>
      <c r="H76" s="11"/>
      <c r="I76" s="12"/>
    </row>
    <row r="77" spans="2:9" ht="30" x14ac:dyDescent="0.25">
      <c r="B77" s="9"/>
      <c r="D77" s="9" t="s">
        <v>786</v>
      </c>
      <c r="E77" s="9" t="s">
        <v>1597</v>
      </c>
      <c r="F77" s="9" t="s">
        <v>1129</v>
      </c>
      <c r="G77" s="9" t="s">
        <v>757</v>
      </c>
      <c r="H77" s="11">
        <v>-0.4</v>
      </c>
      <c r="I77" s="12">
        <v>-506812.34096</v>
      </c>
    </row>
    <row r="78" spans="2:9" x14ac:dyDescent="0.25">
      <c r="B78" s="9"/>
      <c r="D78" s="9"/>
      <c r="E78" s="9"/>
      <c r="F78" s="9"/>
      <c r="G78" s="9"/>
      <c r="H78" s="11"/>
      <c r="I78" s="12"/>
    </row>
    <row r="79" spans="2:9" ht="30" x14ac:dyDescent="0.25">
      <c r="B79" s="9"/>
      <c r="D79" s="9" t="s">
        <v>1680</v>
      </c>
      <c r="E79" s="9" t="s">
        <v>788</v>
      </c>
      <c r="F79" s="9" t="s">
        <v>1129</v>
      </c>
      <c r="G79" s="9" t="s">
        <v>757</v>
      </c>
      <c r="H79" s="11">
        <v>-3.375</v>
      </c>
      <c r="I79" s="12">
        <v>-4276229.1268499997</v>
      </c>
    </row>
    <row r="80" spans="2:9" x14ac:dyDescent="0.25">
      <c r="B80" s="9"/>
      <c r="D80" s="9"/>
      <c r="E80" s="9"/>
      <c r="F80" s="9"/>
      <c r="G80" s="9"/>
      <c r="H80" s="11"/>
      <c r="I80" s="12"/>
    </row>
    <row r="81" spans="2:9" ht="45" x14ac:dyDescent="0.25">
      <c r="B81" s="9"/>
      <c r="C81" s="9" t="s">
        <v>1656</v>
      </c>
      <c r="D81" s="9" t="s">
        <v>1586</v>
      </c>
      <c r="E81" s="9" t="s">
        <v>788</v>
      </c>
      <c r="F81" s="9" t="s">
        <v>1129</v>
      </c>
      <c r="G81" s="9" t="s">
        <v>757</v>
      </c>
      <c r="H81" s="11">
        <v>-10.375</v>
      </c>
      <c r="I81" s="12">
        <v>-10274800.673599999</v>
      </c>
    </row>
    <row r="82" spans="2:9" x14ac:dyDescent="0.25">
      <c r="B82" s="9"/>
      <c r="D82" s="9"/>
      <c r="E82" s="9"/>
      <c r="F82" s="9"/>
      <c r="G82" s="9"/>
      <c r="H82" s="11"/>
      <c r="I82" s="12"/>
    </row>
    <row r="83" spans="2:9" ht="30" x14ac:dyDescent="0.25">
      <c r="B83" s="9"/>
      <c r="D83" s="9" t="s">
        <v>1680</v>
      </c>
      <c r="E83" s="9" t="s">
        <v>788</v>
      </c>
      <c r="F83" s="9" t="s">
        <v>1129</v>
      </c>
      <c r="G83" s="9" t="s">
        <v>757</v>
      </c>
      <c r="H83" s="11">
        <v>-3.45</v>
      </c>
      <c r="I83" s="12">
        <v>-3416680.7059200006</v>
      </c>
    </row>
    <row r="84" spans="2:9" x14ac:dyDescent="0.25">
      <c r="B84" s="9"/>
      <c r="D84" s="9"/>
      <c r="E84" s="9"/>
      <c r="F84" s="9"/>
      <c r="G84" s="9"/>
      <c r="H84" s="11"/>
      <c r="I84" s="12"/>
    </row>
    <row r="85" spans="2:9" ht="45" x14ac:dyDescent="0.25">
      <c r="B85" s="9"/>
      <c r="C85" s="9" t="s">
        <v>1664</v>
      </c>
      <c r="D85" s="9" t="s">
        <v>1586</v>
      </c>
      <c r="E85" s="9" t="s">
        <v>788</v>
      </c>
      <c r="F85" s="9" t="s">
        <v>1129</v>
      </c>
      <c r="G85" s="9" t="s">
        <v>757</v>
      </c>
      <c r="H85" s="11">
        <v>-1.575</v>
      </c>
      <c r="I85" s="12">
        <v>-1995573.59253</v>
      </c>
    </row>
    <row r="86" spans="2:9" x14ac:dyDescent="0.25">
      <c r="B86" s="9"/>
      <c r="D86" s="9"/>
      <c r="E86" s="9"/>
      <c r="F86" s="9"/>
      <c r="G86" s="9"/>
      <c r="H86" s="11"/>
      <c r="I86" s="12"/>
    </row>
    <row r="87" spans="2:9" ht="30" x14ac:dyDescent="0.25">
      <c r="B87" s="9"/>
      <c r="D87" s="9" t="s">
        <v>1680</v>
      </c>
      <c r="E87" s="9" t="s">
        <v>788</v>
      </c>
      <c r="F87" s="9" t="s">
        <v>1129</v>
      </c>
      <c r="G87" s="9" t="s">
        <v>757</v>
      </c>
      <c r="H87" s="11">
        <v>-3.2249999999999996</v>
      </c>
      <c r="I87" s="12">
        <v>-4086174.4989900002</v>
      </c>
    </row>
    <row r="88" spans="2:9" x14ac:dyDescent="0.25">
      <c r="B88" s="9"/>
      <c r="D88" s="9"/>
      <c r="E88" s="9"/>
      <c r="F88" s="9"/>
      <c r="G88" s="9"/>
      <c r="H88" s="11"/>
      <c r="I88" s="12"/>
    </row>
    <row r="89" spans="2:9" ht="60" x14ac:dyDescent="0.25">
      <c r="B89" s="9"/>
      <c r="C89" s="9" t="s">
        <v>2280</v>
      </c>
      <c r="D89" s="9" t="s">
        <v>1586</v>
      </c>
      <c r="E89" s="9" t="s">
        <v>788</v>
      </c>
      <c r="F89" s="9" t="s">
        <v>1129</v>
      </c>
      <c r="G89" s="9" t="s">
        <v>757</v>
      </c>
      <c r="H89" s="11">
        <v>-1.85</v>
      </c>
      <c r="I89" s="12">
        <v>-2140013.9157799999</v>
      </c>
    </row>
    <row r="90" spans="2:9" x14ac:dyDescent="0.25">
      <c r="B90" s="9"/>
      <c r="D90" s="9"/>
      <c r="E90" s="9"/>
      <c r="F90" s="9"/>
      <c r="G90" s="9"/>
      <c r="H90" s="11"/>
      <c r="I90" s="12"/>
    </row>
    <row r="91" spans="2:9" ht="30" x14ac:dyDescent="0.25">
      <c r="B91" s="9"/>
      <c r="D91" s="9" t="s">
        <v>786</v>
      </c>
      <c r="E91" s="9" t="s">
        <v>1597</v>
      </c>
      <c r="F91" s="9" t="s">
        <v>1129</v>
      </c>
      <c r="G91" s="9" t="s">
        <v>757</v>
      </c>
      <c r="H91" s="11">
        <v>-0.875</v>
      </c>
      <c r="I91" s="12">
        <v>-1012168.74395</v>
      </c>
    </row>
    <row r="92" spans="2:9" x14ac:dyDescent="0.25">
      <c r="B92" s="9"/>
      <c r="D92" s="9"/>
      <c r="E92" s="9"/>
      <c r="F92" s="9"/>
      <c r="G92" s="9"/>
      <c r="H92" s="11"/>
      <c r="I92" s="12"/>
    </row>
    <row r="93" spans="2:9" ht="30" x14ac:dyDescent="0.25">
      <c r="B93" s="9"/>
      <c r="D93" s="9" t="s">
        <v>1680</v>
      </c>
      <c r="E93" s="9" t="s">
        <v>788</v>
      </c>
      <c r="F93" s="9" t="s">
        <v>1129</v>
      </c>
      <c r="G93" s="9" t="s">
        <v>757</v>
      </c>
      <c r="H93" s="11">
        <v>-4.75</v>
      </c>
      <c r="I93" s="12">
        <v>-5494630.3243000004</v>
      </c>
    </row>
    <row r="94" spans="2:9" x14ac:dyDescent="0.25">
      <c r="B94" s="9"/>
      <c r="D94" s="9"/>
      <c r="E94" s="9"/>
      <c r="F94" s="9"/>
      <c r="G94" s="9"/>
      <c r="H94" s="11"/>
      <c r="I94" s="12"/>
    </row>
    <row r="95" spans="2:9" ht="60" x14ac:dyDescent="0.25">
      <c r="B95" s="9"/>
      <c r="C95" s="9" t="s">
        <v>2281</v>
      </c>
      <c r="D95" s="9" t="s">
        <v>786</v>
      </c>
      <c r="E95" s="9" t="s">
        <v>1597</v>
      </c>
      <c r="F95" s="9" t="s">
        <v>1129</v>
      </c>
      <c r="G95" s="9" t="s">
        <v>757</v>
      </c>
      <c r="H95" s="11">
        <v>-235.57499999999999</v>
      </c>
      <c r="I95" s="12">
        <v>-272504744.97830999</v>
      </c>
    </row>
    <row r="96" spans="2:9" x14ac:dyDescent="0.25">
      <c r="B96" s="9"/>
      <c r="D96" s="9"/>
      <c r="E96" s="9"/>
      <c r="F96" s="9"/>
      <c r="G96" s="9"/>
      <c r="H96" s="11"/>
      <c r="I96" s="12"/>
    </row>
    <row r="97" spans="2:9" ht="45" x14ac:dyDescent="0.25">
      <c r="B97" s="9"/>
      <c r="C97" s="9" t="s">
        <v>2286</v>
      </c>
      <c r="D97" s="9" t="s">
        <v>1680</v>
      </c>
      <c r="E97" s="9" t="s">
        <v>788</v>
      </c>
      <c r="F97" s="9" t="s">
        <v>1129</v>
      </c>
      <c r="G97" s="9" t="s">
        <v>757</v>
      </c>
      <c r="H97" s="11">
        <v>-2.375</v>
      </c>
      <c r="I97" s="12">
        <v>-2747315.1621500002</v>
      </c>
    </row>
    <row r="98" spans="2:9" x14ac:dyDescent="0.25">
      <c r="B98" s="9"/>
      <c r="D98" s="9"/>
      <c r="E98" s="9"/>
      <c r="F98" s="9"/>
      <c r="G98" s="9"/>
      <c r="H98" s="11"/>
      <c r="I98" s="12"/>
    </row>
    <row r="99" spans="2:9" ht="45" x14ac:dyDescent="0.25">
      <c r="B99" s="9"/>
      <c r="C99" s="9" t="s">
        <v>2533</v>
      </c>
      <c r="D99" s="9" t="s">
        <v>786</v>
      </c>
      <c r="E99" s="9" t="s">
        <v>1597</v>
      </c>
      <c r="F99" s="9" t="s">
        <v>1129</v>
      </c>
      <c r="G99" s="9" t="s">
        <v>757</v>
      </c>
      <c r="H99" s="11">
        <v>-3.25</v>
      </c>
      <c r="I99" s="12">
        <v>-3759483.9061000003</v>
      </c>
    </row>
    <row r="100" spans="2:9" x14ac:dyDescent="0.25">
      <c r="B100" s="9"/>
      <c r="D100" s="9"/>
      <c r="E100" s="9"/>
      <c r="F100" s="9"/>
      <c r="G100" s="9"/>
      <c r="H100" s="11"/>
      <c r="I100" s="12"/>
    </row>
    <row r="101" spans="2:9" ht="30" x14ac:dyDescent="0.25">
      <c r="B101" s="9"/>
      <c r="D101" s="9" t="s">
        <v>1680</v>
      </c>
      <c r="E101" s="9" t="s">
        <v>788</v>
      </c>
      <c r="F101" s="9" t="s">
        <v>1129</v>
      </c>
      <c r="G101" s="9" t="s">
        <v>757</v>
      </c>
      <c r="H101" s="11">
        <v>-2.0249999999999995</v>
      </c>
      <c r="I101" s="12">
        <v>-2342447.66457</v>
      </c>
    </row>
    <row r="102" spans="2:9" x14ac:dyDescent="0.25">
      <c r="B102" s="9"/>
      <c r="D102" s="9"/>
      <c r="E102" s="9"/>
      <c r="F102" s="9"/>
      <c r="G102" s="9"/>
      <c r="H102" s="11"/>
      <c r="I102" s="12"/>
    </row>
    <row r="103" spans="2:9" ht="75" x14ac:dyDescent="0.25">
      <c r="B103" s="9"/>
      <c r="C103" s="9" t="s">
        <v>2548</v>
      </c>
      <c r="D103" s="9" t="s">
        <v>786</v>
      </c>
      <c r="E103" s="9" t="s">
        <v>1598</v>
      </c>
      <c r="F103" s="9" t="s">
        <v>1129</v>
      </c>
      <c r="G103" s="9" t="s">
        <v>757</v>
      </c>
      <c r="H103" s="11">
        <v>-4.0750000000000002</v>
      </c>
      <c r="I103" s="12">
        <v>-5240681.7076699995</v>
      </c>
    </row>
    <row r="104" spans="2:9" x14ac:dyDescent="0.25">
      <c r="B104" s="9"/>
      <c r="D104" s="9"/>
      <c r="E104" s="9"/>
      <c r="F104" s="9"/>
      <c r="G104" s="9"/>
      <c r="H104" s="11"/>
      <c r="I104" s="12"/>
    </row>
    <row r="105" spans="2:9" ht="75" x14ac:dyDescent="0.25">
      <c r="B105" s="9"/>
      <c r="C105" s="9" t="s">
        <v>2549</v>
      </c>
      <c r="D105" s="9" t="s">
        <v>786</v>
      </c>
      <c r="E105" s="9" t="s">
        <v>1598</v>
      </c>
      <c r="F105" s="9" t="s">
        <v>1129</v>
      </c>
      <c r="G105" s="9" t="s">
        <v>757</v>
      </c>
      <c r="H105" s="11">
        <v>-0.22499999999999998</v>
      </c>
      <c r="I105" s="12">
        <v>-338369.84837999998</v>
      </c>
    </row>
    <row r="106" spans="2:9" x14ac:dyDescent="0.25">
      <c r="B106" s="9"/>
      <c r="D106" s="9"/>
      <c r="E106" s="9"/>
      <c r="F106" s="9"/>
      <c r="G106" s="9"/>
      <c r="H106" s="11"/>
      <c r="I106" s="12"/>
    </row>
    <row r="107" spans="2:9" ht="60" x14ac:dyDescent="0.25">
      <c r="B107" s="9"/>
      <c r="C107" s="9" t="s">
        <v>2547</v>
      </c>
      <c r="D107" s="9" t="s">
        <v>786</v>
      </c>
      <c r="E107" s="9" t="s">
        <v>1598</v>
      </c>
      <c r="F107" s="9" t="s">
        <v>1129</v>
      </c>
      <c r="G107" s="9" t="s">
        <v>757</v>
      </c>
      <c r="H107" s="11">
        <v>-0.22500000000000001</v>
      </c>
      <c r="I107" s="12">
        <v>-338369.84837999998</v>
      </c>
    </row>
    <row r="108" spans="2:9" x14ac:dyDescent="0.25">
      <c r="B108" s="9"/>
      <c r="D108" s="9"/>
      <c r="E108" s="9"/>
      <c r="F108" s="9"/>
      <c r="G108" s="9"/>
      <c r="H108" s="11"/>
      <c r="I108" s="12"/>
    </row>
    <row r="109" spans="2:9" ht="60" x14ac:dyDescent="0.25">
      <c r="B109" s="9"/>
      <c r="C109" s="9" t="s">
        <v>2722</v>
      </c>
      <c r="D109" s="9" t="s">
        <v>1680</v>
      </c>
      <c r="E109" s="9" t="s">
        <v>788</v>
      </c>
      <c r="F109" s="9" t="s">
        <v>1129</v>
      </c>
      <c r="G109" s="9" t="s">
        <v>757</v>
      </c>
      <c r="H109" s="11">
        <v>-0.75</v>
      </c>
      <c r="I109" s="12">
        <v>-972979.30209999904</v>
      </c>
    </row>
    <row r="110" spans="2:9" ht="30" x14ac:dyDescent="0.25">
      <c r="B110" s="9"/>
      <c r="D110" s="9"/>
      <c r="E110" s="9"/>
      <c r="F110" s="9" t="s">
        <v>2720</v>
      </c>
      <c r="G110" s="9" t="s">
        <v>757</v>
      </c>
      <c r="H110" s="11">
        <v>0.52500000000000002</v>
      </c>
      <c r="I110" s="12">
        <v>252000</v>
      </c>
    </row>
    <row r="111" spans="2:9" x14ac:dyDescent="0.25">
      <c r="B111" s="9"/>
      <c r="D111" s="9"/>
      <c r="E111" s="9"/>
      <c r="F111" s="9"/>
      <c r="G111" s="9"/>
      <c r="H111" s="11"/>
      <c r="I111" s="12"/>
    </row>
    <row r="112" spans="2:9" ht="45" x14ac:dyDescent="0.25">
      <c r="B112" s="9"/>
      <c r="C112" s="9" t="s">
        <v>2721</v>
      </c>
      <c r="D112" s="9" t="s">
        <v>1680</v>
      </c>
      <c r="E112" s="9" t="s">
        <v>788</v>
      </c>
      <c r="F112" s="9" t="s">
        <v>1129</v>
      </c>
      <c r="G112" s="9" t="s">
        <v>757</v>
      </c>
      <c r="H112" s="11">
        <v>-8.5</v>
      </c>
      <c r="I112" s="12">
        <v>-11027098.7322</v>
      </c>
    </row>
    <row r="113" spans="2:9" ht="30" x14ac:dyDescent="0.25">
      <c r="B113" s="9"/>
      <c r="D113" s="9"/>
      <c r="E113" s="9"/>
      <c r="F113" s="9" t="s">
        <v>2720</v>
      </c>
      <c r="G113" s="9" t="s">
        <v>757</v>
      </c>
      <c r="H113" s="11">
        <v>8.5</v>
      </c>
      <c r="I113" s="12">
        <v>4080000</v>
      </c>
    </row>
    <row r="114" spans="2:9" x14ac:dyDescent="0.25">
      <c r="B114" s="9"/>
      <c r="D114" s="9"/>
      <c r="E114" s="9"/>
      <c r="F114" s="9"/>
      <c r="G114" s="9"/>
      <c r="H114" s="11"/>
      <c r="I114" s="12"/>
    </row>
    <row r="115" spans="2:9" ht="45" x14ac:dyDescent="0.25">
      <c r="B115" s="9"/>
      <c r="C115" s="9" t="s">
        <v>2949</v>
      </c>
      <c r="D115" s="9" t="s">
        <v>1586</v>
      </c>
      <c r="E115" s="9" t="s">
        <v>788</v>
      </c>
      <c r="F115" s="9" t="s">
        <v>1129</v>
      </c>
      <c r="G115" s="9" t="s">
        <v>757</v>
      </c>
      <c r="H115" s="11">
        <v>-7.4999999999999997E-2</v>
      </c>
      <c r="I115" s="12">
        <v>-97299</v>
      </c>
    </row>
    <row r="116" spans="2:9" x14ac:dyDescent="0.25">
      <c r="B116" s="9"/>
      <c r="D116" s="9"/>
      <c r="E116" s="9"/>
      <c r="F116" s="9"/>
      <c r="G116" s="9"/>
      <c r="H116" s="11"/>
      <c r="I116" s="12"/>
    </row>
    <row r="117" spans="2:9" ht="30" x14ac:dyDescent="0.25">
      <c r="B117" s="9"/>
      <c r="D117" s="9" t="s">
        <v>1593</v>
      </c>
      <c r="E117" s="9" t="s">
        <v>788</v>
      </c>
      <c r="F117" s="9" t="s">
        <v>1128</v>
      </c>
      <c r="G117" s="9" t="s">
        <v>757</v>
      </c>
      <c r="H117" s="11">
        <v>7.4999999999999997E-2</v>
      </c>
      <c r="I117" s="12">
        <v>97299</v>
      </c>
    </row>
    <row r="118" spans="2:9" x14ac:dyDescent="0.25">
      <c r="B118" s="9"/>
      <c r="D118" s="9"/>
      <c r="E118" s="9"/>
      <c r="F118" s="9"/>
      <c r="G118" s="9"/>
      <c r="H118" s="11"/>
      <c r="I118" s="12"/>
    </row>
    <row r="119" spans="2:9" ht="90" x14ac:dyDescent="0.25">
      <c r="B119" s="9"/>
      <c r="C119" s="9" t="s">
        <v>3008</v>
      </c>
      <c r="D119" s="9" t="s">
        <v>1680</v>
      </c>
      <c r="E119" s="9" t="s">
        <v>788</v>
      </c>
      <c r="F119" s="9" t="s">
        <v>1128</v>
      </c>
      <c r="G119" s="9" t="s">
        <v>757</v>
      </c>
      <c r="H119" s="11">
        <v>-1.2499999999999998</v>
      </c>
      <c r="I119" s="12">
        <v>-1621650</v>
      </c>
    </row>
    <row r="120" spans="2:9" x14ac:dyDescent="0.25">
      <c r="B120" s="9"/>
      <c r="D120" s="9"/>
      <c r="E120" s="9"/>
      <c r="F120" s="9"/>
      <c r="G120" s="9"/>
      <c r="H120" s="11"/>
      <c r="I120" s="12"/>
    </row>
    <row r="121" spans="2:9" x14ac:dyDescent="0.25">
      <c r="B121" s="9" t="s">
        <v>2893</v>
      </c>
      <c r="D121" s="9"/>
      <c r="E121" s="9"/>
      <c r="F121" s="9"/>
      <c r="G121" s="9"/>
      <c r="H121" s="11">
        <v>-433.4199999999999</v>
      </c>
      <c r="I121" s="12">
        <v>-542220788.99167001</v>
      </c>
    </row>
    <row r="122" spans="2:9" x14ac:dyDescent="0.25">
      <c r="B122" s="9"/>
      <c r="D122" s="9"/>
      <c r="E122" s="9"/>
      <c r="F122" s="9"/>
      <c r="G122" s="9"/>
      <c r="H122" s="11"/>
      <c r="I122" s="12"/>
    </row>
    <row r="123" spans="2:9" ht="90" x14ac:dyDescent="0.25">
      <c r="B123" s="9" t="s">
        <v>1603</v>
      </c>
      <c r="C123" s="9" t="s">
        <v>1594</v>
      </c>
      <c r="D123" s="9" t="s">
        <v>1593</v>
      </c>
      <c r="E123" s="9" t="s">
        <v>788</v>
      </c>
      <c r="F123" s="9" t="s">
        <v>1580</v>
      </c>
      <c r="G123" s="9" t="s">
        <v>750</v>
      </c>
      <c r="H123" s="11">
        <v>137.5</v>
      </c>
      <c r="I123" s="12">
        <v>479289525</v>
      </c>
    </row>
    <row r="124" spans="2:9" ht="30" x14ac:dyDescent="0.25">
      <c r="B124" s="9"/>
      <c r="D124" s="9"/>
      <c r="E124" s="9"/>
      <c r="F124" s="9" t="s">
        <v>751</v>
      </c>
      <c r="G124" s="9" t="s">
        <v>748</v>
      </c>
      <c r="H124" s="11">
        <v>-138.78</v>
      </c>
      <c r="I124" s="12">
        <v>0</v>
      </c>
    </row>
    <row r="125" spans="2:9" x14ac:dyDescent="0.25">
      <c r="B125" s="9"/>
      <c r="D125" s="9"/>
      <c r="E125" s="9"/>
      <c r="F125" s="9"/>
      <c r="G125" s="9"/>
      <c r="H125" s="11"/>
      <c r="I125" s="12"/>
    </row>
    <row r="126" spans="2:9" ht="45" x14ac:dyDescent="0.25">
      <c r="B126" s="9"/>
      <c r="C126" s="9" t="s">
        <v>3004</v>
      </c>
      <c r="D126" s="9" t="s">
        <v>1687</v>
      </c>
      <c r="E126" s="9" t="s">
        <v>788</v>
      </c>
      <c r="F126" s="9" t="s">
        <v>3013</v>
      </c>
      <c r="G126" s="9" t="s">
        <v>748</v>
      </c>
      <c r="H126" s="11">
        <v>4.45</v>
      </c>
      <c r="I126" s="12">
        <v>14425743</v>
      </c>
    </row>
    <row r="127" spans="2:9" x14ac:dyDescent="0.25">
      <c r="B127" s="9"/>
      <c r="D127" s="9"/>
      <c r="E127" s="9"/>
      <c r="F127" s="9"/>
      <c r="G127" s="9"/>
      <c r="H127" s="11"/>
      <c r="I127" s="12"/>
    </row>
    <row r="128" spans="2:9" ht="105" x14ac:dyDescent="0.25">
      <c r="B128" s="9"/>
      <c r="C128" s="9" t="s">
        <v>3006</v>
      </c>
      <c r="D128" s="9" t="s">
        <v>1689</v>
      </c>
      <c r="E128" s="9" t="s">
        <v>788</v>
      </c>
      <c r="F128" s="9" t="s">
        <v>3013</v>
      </c>
      <c r="G128" s="9" t="s">
        <v>748</v>
      </c>
      <c r="H128" s="11">
        <v>-1.3260000000000001</v>
      </c>
      <c r="I128" s="12">
        <v>-4298547.24</v>
      </c>
    </row>
    <row r="129" spans="2:9" x14ac:dyDescent="0.25">
      <c r="B129" s="9"/>
      <c r="D129" s="9"/>
      <c r="E129" s="9"/>
      <c r="F129" s="9"/>
      <c r="G129" s="9"/>
      <c r="H129" s="11"/>
      <c r="I129" s="12"/>
    </row>
    <row r="130" spans="2:9" ht="30" x14ac:dyDescent="0.25">
      <c r="B130" s="9" t="s">
        <v>3376</v>
      </c>
      <c r="D130" s="9"/>
      <c r="E130" s="9"/>
      <c r="F130" s="9"/>
      <c r="G130" s="9"/>
      <c r="H130" s="11">
        <v>1.843999999999999</v>
      </c>
      <c r="I130" s="12">
        <v>489416720.75999999</v>
      </c>
    </row>
    <row r="131" spans="2:9" x14ac:dyDescent="0.25">
      <c r="B131" s="9"/>
      <c r="D131" s="9"/>
      <c r="E131" s="9"/>
      <c r="F131" s="9"/>
      <c r="G131" s="9"/>
      <c r="H131" s="11"/>
      <c r="I131" s="12"/>
    </row>
    <row r="132" spans="2:9" ht="45" x14ac:dyDescent="0.25">
      <c r="B132" s="9" t="s">
        <v>1124</v>
      </c>
      <c r="C132" s="9" t="s">
        <v>1641</v>
      </c>
      <c r="D132" s="9" t="s">
        <v>1680</v>
      </c>
      <c r="E132" s="9" t="s">
        <v>788</v>
      </c>
      <c r="F132" s="9" t="s">
        <v>1124</v>
      </c>
      <c r="G132" s="9" t="s">
        <v>776</v>
      </c>
      <c r="H132" s="11">
        <v>-0.1</v>
      </c>
      <c r="I132" s="12">
        <v>-250091.174</v>
      </c>
    </row>
    <row r="133" spans="2:9" x14ac:dyDescent="0.25">
      <c r="B133" s="9"/>
      <c r="D133" s="9"/>
      <c r="E133" s="9"/>
      <c r="F133" s="9"/>
      <c r="G133" s="9"/>
      <c r="H133" s="11"/>
      <c r="I133" s="12"/>
    </row>
    <row r="134" spans="2:9" ht="45" x14ac:dyDescent="0.25">
      <c r="B134" s="9"/>
      <c r="C134" s="9" t="s">
        <v>1642</v>
      </c>
      <c r="D134" s="9" t="s">
        <v>1680</v>
      </c>
      <c r="E134" s="9" t="s">
        <v>788</v>
      </c>
      <c r="F134" s="9" t="s">
        <v>1124</v>
      </c>
      <c r="G134" s="9" t="s">
        <v>776</v>
      </c>
      <c r="H134" s="11">
        <v>-0.02</v>
      </c>
      <c r="I134" s="12">
        <v>-48291.345670000002</v>
      </c>
    </row>
    <row r="135" spans="2:9" x14ac:dyDescent="0.25">
      <c r="B135" s="9"/>
      <c r="D135" s="9"/>
      <c r="E135" s="9"/>
      <c r="F135" s="9"/>
      <c r="G135" s="9"/>
      <c r="H135" s="11"/>
      <c r="I135" s="12"/>
    </row>
    <row r="136" spans="2:9" x14ac:dyDescent="0.25">
      <c r="B136" s="9"/>
      <c r="C136" s="9" t="s">
        <v>1651</v>
      </c>
      <c r="D136" s="9" t="s">
        <v>785</v>
      </c>
      <c r="E136" s="9" t="s">
        <v>788</v>
      </c>
      <c r="F136" s="9" t="s">
        <v>1124</v>
      </c>
      <c r="G136" s="9" t="s">
        <v>776</v>
      </c>
      <c r="H136" s="11">
        <v>-14.29999999999999</v>
      </c>
      <c r="I136" s="12">
        <v>-31359073.388109993</v>
      </c>
    </row>
    <row r="137" spans="2:9" x14ac:dyDescent="0.25">
      <c r="B137" s="9"/>
      <c r="D137" s="9"/>
      <c r="E137" s="9"/>
      <c r="F137" s="9"/>
      <c r="G137" s="9"/>
      <c r="H137" s="11"/>
      <c r="I137" s="12"/>
    </row>
    <row r="138" spans="2:9" x14ac:dyDescent="0.25">
      <c r="B138" s="9"/>
      <c r="D138" s="9" t="s">
        <v>786</v>
      </c>
      <c r="E138" s="9" t="s">
        <v>2299</v>
      </c>
      <c r="F138" s="9" t="s">
        <v>1124</v>
      </c>
      <c r="G138" s="9" t="s">
        <v>776</v>
      </c>
      <c r="H138" s="11">
        <v>-0.1</v>
      </c>
      <c r="I138" s="12">
        <v>-213553.6826</v>
      </c>
    </row>
    <row r="139" spans="2:9" x14ac:dyDescent="0.25">
      <c r="B139" s="9"/>
      <c r="D139" s="9"/>
      <c r="E139" s="9"/>
      <c r="F139" s="9"/>
      <c r="G139" s="9"/>
      <c r="H139" s="11"/>
      <c r="I139" s="12"/>
    </row>
    <row r="140" spans="2:9" x14ac:dyDescent="0.25">
      <c r="B140" s="9"/>
      <c r="C140" s="9" t="s">
        <v>1652</v>
      </c>
      <c r="D140" s="9" t="s">
        <v>1593</v>
      </c>
      <c r="E140" s="9" t="s">
        <v>788</v>
      </c>
      <c r="F140" s="9" t="s">
        <v>1124</v>
      </c>
      <c r="G140" s="9" t="s">
        <v>776</v>
      </c>
      <c r="H140" s="11">
        <v>1.7000000000000002</v>
      </c>
      <c r="I140" s="12">
        <v>4202055.3195899986</v>
      </c>
    </row>
    <row r="141" spans="2:9" x14ac:dyDescent="0.25">
      <c r="B141" s="9"/>
      <c r="D141" s="9"/>
      <c r="E141" s="9"/>
      <c r="F141" s="9"/>
      <c r="G141" s="9"/>
      <c r="H141" s="11"/>
      <c r="I141" s="12"/>
    </row>
    <row r="142" spans="2:9" ht="60" x14ac:dyDescent="0.25">
      <c r="B142" s="9"/>
      <c r="C142" s="9" t="s">
        <v>1927</v>
      </c>
      <c r="D142" s="9" t="s">
        <v>1586</v>
      </c>
      <c r="E142" s="9" t="s">
        <v>788</v>
      </c>
      <c r="F142" s="9" t="s">
        <v>1581</v>
      </c>
      <c r="G142" s="9" t="s">
        <v>776</v>
      </c>
      <c r="H142" s="11">
        <v>0.57999999999999996</v>
      </c>
      <c r="I142" s="12">
        <v>0</v>
      </c>
    </row>
    <row r="143" spans="2:9" x14ac:dyDescent="0.25">
      <c r="B143" s="9"/>
      <c r="D143" s="9"/>
      <c r="E143" s="9"/>
      <c r="F143" s="9" t="s">
        <v>1124</v>
      </c>
      <c r="G143" s="9" t="s">
        <v>776</v>
      </c>
      <c r="H143" s="11">
        <v>-0.62</v>
      </c>
      <c r="I143" s="12">
        <v>-1525571.1595899998</v>
      </c>
    </row>
    <row r="144" spans="2:9" x14ac:dyDescent="0.25">
      <c r="B144" s="9"/>
      <c r="D144" s="9"/>
      <c r="E144" s="9"/>
      <c r="F144" s="9"/>
      <c r="G144" s="9"/>
      <c r="H144" s="11"/>
      <c r="I144" s="12"/>
    </row>
    <row r="145" spans="2:9" ht="30" x14ac:dyDescent="0.25">
      <c r="B145" s="9"/>
      <c r="D145" s="9" t="s">
        <v>1680</v>
      </c>
      <c r="E145" s="9" t="s">
        <v>788</v>
      </c>
      <c r="F145" s="9" t="s">
        <v>1124</v>
      </c>
      <c r="G145" s="9" t="s">
        <v>776</v>
      </c>
      <c r="H145" s="11">
        <v>-0.12</v>
      </c>
      <c r="I145" s="12">
        <v>-295271.83733999997</v>
      </c>
    </row>
    <row r="146" spans="2:9" x14ac:dyDescent="0.25">
      <c r="B146" s="9"/>
      <c r="D146" s="9"/>
      <c r="E146" s="9"/>
      <c r="F146" s="9"/>
      <c r="G146" s="9"/>
      <c r="H146" s="11"/>
      <c r="I146" s="12"/>
    </row>
    <row r="147" spans="2:9" ht="60" x14ac:dyDescent="0.25">
      <c r="B147" s="9"/>
      <c r="C147" s="9" t="s">
        <v>1929</v>
      </c>
      <c r="D147" s="9" t="s">
        <v>1680</v>
      </c>
      <c r="E147" s="9" t="s">
        <v>788</v>
      </c>
      <c r="F147" s="9" t="s">
        <v>1124</v>
      </c>
      <c r="G147" s="9" t="s">
        <v>776</v>
      </c>
      <c r="H147" s="11">
        <v>-1.58</v>
      </c>
      <c r="I147" s="12">
        <v>-3951440.5492000002</v>
      </c>
    </row>
    <row r="148" spans="2:9" x14ac:dyDescent="0.25">
      <c r="B148" s="9"/>
      <c r="D148" s="9"/>
      <c r="E148" s="9"/>
      <c r="F148" s="9"/>
      <c r="G148" s="9"/>
      <c r="H148" s="11"/>
      <c r="I148" s="12"/>
    </row>
    <row r="149" spans="2:9" ht="30" x14ac:dyDescent="0.25">
      <c r="B149" s="9"/>
      <c r="C149" s="9" t="s">
        <v>2283</v>
      </c>
      <c r="D149" s="9" t="s">
        <v>1593</v>
      </c>
      <c r="E149" s="9" t="s">
        <v>788</v>
      </c>
      <c r="F149" s="9" t="s">
        <v>1124</v>
      </c>
      <c r="G149" s="9" t="s">
        <v>776</v>
      </c>
      <c r="H149" s="11">
        <v>3.06</v>
      </c>
      <c r="I149" s="12">
        <v>6284596.6472400008</v>
      </c>
    </row>
    <row r="150" spans="2:9" x14ac:dyDescent="0.25">
      <c r="B150" s="9"/>
      <c r="D150" s="9"/>
      <c r="E150" s="9"/>
      <c r="F150" s="9"/>
      <c r="G150" s="9"/>
      <c r="H150" s="11"/>
      <c r="I150" s="12"/>
    </row>
    <row r="151" spans="2:9" ht="30" x14ac:dyDescent="0.25">
      <c r="B151" s="9"/>
      <c r="C151" s="9" t="s">
        <v>2282</v>
      </c>
      <c r="D151" s="9" t="s">
        <v>1593</v>
      </c>
      <c r="E151" s="9" t="s">
        <v>788</v>
      </c>
      <c r="F151" s="9" t="s">
        <v>1124</v>
      </c>
      <c r="G151" s="9" t="s">
        <v>776</v>
      </c>
      <c r="H151" s="11">
        <v>1.9</v>
      </c>
      <c r="I151" s="12">
        <v>3902200.5326000005</v>
      </c>
    </row>
    <row r="152" spans="2:9" x14ac:dyDescent="0.25">
      <c r="B152" s="9"/>
      <c r="D152" s="9"/>
      <c r="E152" s="9"/>
      <c r="F152" s="9"/>
      <c r="G152" s="9"/>
      <c r="H152" s="11"/>
      <c r="I152" s="12"/>
    </row>
    <row r="153" spans="2:9" ht="30" x14ac:dyDescent="0.25">
      <c r="B153" s="9"/>
      <c r="C153" s="9" t="s">
        <v>2284</v>
      </c>
      <c r="D153" s="9" t="s">
        <v>1593</v>
      </c>
      <c r="E153" s="9" t="s">
        <v>788</v>
      </c>
      <c r="F153" s="9" t="s">
        <v>1124</v>
      </c>
      <c r="G153" s="9" t="s">
        <v>776</v>
      </c>
      <c r="H153" s="11">
        <v>3.16</v>
      </c>
      <c r="I153" s="12">
        <v>6489975.6226400007</v>
      </c>
    </row>
    <row r="154" spans="2:9" x14ac:dyDescent="0.25">
      <c r="B154" s="9"/>
      <c r="D154" s="9"/>
      <c r="E154" s="9"/>
      <c r="F154" s="9"/>
      <c r="G154" s="9"/>
      <c r="H154" s="11"/>
      <c r="I154" s="12"/>
    </row>
    <row r="155" spans="2:9" ht="60" x14ac:dyDescent="0.25">
      <c r="B155" s="9"/>
      <c r="C155" s="9" t="s">
        <v>2290</v>
      </c>
      <c r="D155" s="9" t="s">
        <v>1680</v>
      </c>
      <c r="E155" s="9" t="s">
        <v>788</v>
      </c>
      <c r="F155" s="9" t="s">
        <v>1581</v>
      </c>
      <c r="G155" s="9" t="s">
        <v>776</v>
      </c>
      <c r="H155" s="11">
        <v>4.6399999999999997</v>
      </c>
      <c r="I155" s="12">
        <v>1392000</v>
      </c>
    </row>
    <row r="156" spans="2:9" x14ac:dyDescent="0.25">
      <c r="B156" s="9"/>
      <c r="D156" s="9"/>
      <c r="E156" s="9"/>
      <c r="F156" s="9" t="s">
        <v>1124</v>
      </c>
      <c r="G156" s="9" t="s">
        <v>776</v>
      </c>
      <c r="H156" s="11">
        <v>-4.6399999999999997</v>
      </c>
      <c r="I156" s="12">
        <v>-9529584.4585600011</v>
      </c>
    </row>
    <row r="157" spans="2:9" x14ac:dyDescent="0.25">
      <c r="B157" s="9"/>
      <c r="D157" s="9"/>
      <c r="E157" s="9"/>
      <c r="F157" s="9"/>
      <c r="G157" s="9"/>
      <c r="H157" s="11"/>
      <c r="I157" s="12"/>
    </row>
    <row r="158" spans="2:9" ht="30" x14ac:dyDescent="0.25">
      <c r="B158" s="9"/>
      <c r="C158" s="9" t="s">
        <v>2540</v>
      </c>
      <c r="D158" s="9" t="s">
        <v>786</v>
      </c>
      <c r="E158" s="9" t="s">
        <v>1598</v>
      </c>
      <c r="F158" s="9" t="s">
        <v>1124</v>
      </c>
      <c r="G158" s="9" t="s">
        <v>776</v>
      </c>
      <c r="H158" s="11">
        <v>-0.04</v>
      </c>
      <c r="I158" s="12">
        <v>-106802.21107999999</v>
      </c>
    </row>
    <row r="159" spans="2:9" x14ac:dyDescent="0.25">
      <c r="B159" s="9"/>
      <c r="D159" s="9"/>
      <c r="E159" s="9"/>
      <c r="F159" s="9"/>
      <c r="G159" s="9"/>
      <c r="H159" s="11"/>
      <c r="I159" s="12"/>
    </row>
    <row r="160" spans="2:9" ht="30" x14ac:dyDescent="0.25">
      <c r="B160" s="9"/>
      <c r="C160" s="9" t="s">
        <v>2541</v>
      </c>
      <c r="D160" s="9" t="s">
        <v>786</v>
      </c>
      <c r="E160" s="9" t="s">
        <v>1598</v>
      </c>
      <c r="F160" s="9" t="s">
        <v>1124</v>
      </c>
      <c r="G160" s="9" t="s">
        <v>776</v>
      </c>
      <c r="H160" s="11">
        <v>-1.08</v>
      </c>
      <c r="I160" s="12">
        <v>-2883659.6991599998</v>
      </c>
    </row>
    <row r="161" spans="2:9" x14ac:dyDescent="0.25">
      <c r="B161" s="9"/>
      <c r="D161" s="9"/>
      <c r="E161" s="9"/>
      <c r="F161" s="9"/>
      <c r="G161" s="9"/>
      <c r="H161" s="11"/>
      <c r="I161" s="12"/>
    </row>
    <row r="162" spans="2:9" ht="30" x14ac:dyDescent="0.25">
      <c r="B162" s="9"/>
      <c r="C162" s="9" t="s">
        <v>2542</v>
      </c>
      <c r="D162" s="9" t="s">
        <v>786</v>
      </c>
      <c r="E162" s="9" t="s">
        <v>1598</v>
      </c>
      <c r="F162" s="9" t="s">
        <v>1124</v>
      </c>
      <c r="G162" s="9" t="s">
        <v>776</v>
      </c>
      <c r="H162" s="11">
        <v>-1.24</v>
      </c>
      <c r="I162" s="12">
        <v>-3310868.5434799995</v>
      </c>
    </row>
    <row r="163" spans="2:9" x14ac:dyDescent="0.25">
      <c r="B163" s="9"/>
      <c r="D163" s="9"/>
      <c r="E163" s="9"/>
      <c r="F163" s="9"/>
      <c r="G163" s="9"/>
      <c r="H163" s="11"/>
      <c r="I163" s="12"/>
    </row>
    <row r="164" spans="2:9" ht="30" x14ac:dyDescent="0.25">
      <c r="B164" s="9"/>
      <c r="C164" s="9" t="s">
        <v>2544</v>
      </c>
      <c r="D164" s="9" t="s">
        <v>786</v>
      </c>
      <c r="E164" s="9" t="s">
        <v>1598</v>
      </c>
      <c r="F164" s="9" t="s">
        <v>1124</v>
      </c>
      <c r="G164" s="9" t="s">
        <v>776</v>
      </c>
      <c r="H164" s="11">
        <v>-0.66</v>
      </c>
      <c r="I164" s="12">
        <v>-1762236.4828199998</v>
      </c>
    </row>
    <row r="165" spans="2:9" x14ac:dyDescent="0.25">
      <c r="B165" s="9"/>
      <c r="D165" s="9"/>
      <c r="E165" s="9"/>
      <c r="F165" s="9"/>
      <c r="G165" s="9"/>
      <c r="H165" s="11"/>
      <c r="I165" s="12"/>
    </row>
    <row r="166" spans="2:9" ht="30" x14ac:dyDescent="0.25">
      <c r="B166" s="9"/>
      <c r="C166" s="9" t="s">
        <v>2543</v>
      </c>
      <c r="D166" s="9" t="s">
        <v>786</v>
      </c>
      <c r="E166" s="9" t="s">
        <v>1598</v>
      </c>
      <c r="F166" s="9" t="s">
        <v>1124</v>
      </c>
      <c r="G166" s="9" t="s">
        <v>776</v>
      </c>
      <c r="H166" s="11">
        <v>-0.56000000000000005</v>
      </c>
      <c r="I166" s="12">
        <v>-1495230.9551199998</v>
      </c>
    </row>
    <row r="167" spans="2:9" x14ac:dyDescent="0.25">
      <c r="B167" s="9"/>
      <c r="D167" s="9"/>
      <c r="E167" s="9"/>
      <c r="F167" s="9"/>
      <c r="G167" s="9"/>
      <c r="H167" s="11"/>
      <c r="I167" s="12"/>
    </row>
    <row r="168" spans="2:9" ht="30" x14ac:dyDescent="0.25">
      <c r="B168" s="9"/>
      <c r="C168" s="9" t="s">
        <v>2539</v>
      </c>
      <c r="D168" s="9" t="s">
        <v>1593</v>
      </c>
      <c r="E168" s="9" t="s">
        <v>788</v>
      </c>
      <c r="F168" s="9" t="s">
        <v>1124</v>
      </c>
      <c r="G168" s="9" t="s">
        <v>776</v>
      </c>
      <c r="H168" s="11">
        <v>3.94</v>
      </c>
      <c r="I168" s="12">
        <v>10520017.791379999</v>
      </c>
    </row>
    <row r="169" spans="2:9" x14ac:dyDescent="0.25">
      <c r="B169" s="9"/>
      <c r="D169" s="9"/>
      <c r="E169" s="9"/>
      <c r="F169" s="9"/>
      <c r="G169" s="9"/>
      <c r="H169" s="11"/>
      <c r="I169" s="12"/>
    </row>
    <row r="170" spans="2:9" ht="30" x14ac:dyDescent="0.25">
      <c r="B170" s="9"/>
      <c r="C170" s="9" t="s">
        <v>2534</v>
      </c>
      <c r="D170" s="9" t="s">
        <v>1593</v>
      </c>
      <c r="E170" s="9" t="s">
        <v>788</v>
      </c>
      <c r="F170" s="9" t="s">
        <v>1124</v>
      </c>
      <c r="G170" s="9" t="s">
        <v>776</v>
      </c>
      <c r="H170" s="11">
        <v>0.3</v>
      </c>
      <c r="I170" s="12">
        <v>801016.58309999993</v>
      </c>
    </row>
    <row r="171" spans="2:9" x14ac:dyDescent="0.25">
      <c r="B171" s="9"/>
      <c r="D171" s="9"/>
      <c r="E171" s="9"/>
      <c r="F171" s="9"/>
      <c r="G171" s="9"/>
      <c r="H171" s="11"/>
      <c r="I171" s="12"/>
    </row>
    <row r="172" spans="2:9" ht="30" x14ac:dyDescent="0.25">
      <c r="B172" s="9"/>
      <c r="C172" s="9" t="s">
        <v>2536</v>
      </c>
      <c r="D172" s="9" t="s">
        <v>1593</v>
      </c>
      <c r="E172" s="9" t="s">
        <v>788</v>
      </c>
      <c r="F172" s="9" t="s">
        <v>1124</v>
      </c>
      <c r="G172" s="9" t="s">
        <v>776</v>
      </c>
      <c r="H172" s="11">
        <v>0.1</v>
      </c>
      <c r="I172" s="12">
        <v>267005.52769999998</v>
      </c>
    </row>
    <row r="173" spans="2:9" x14ac:dyDescent="0.25">
      <c r="B173" s="9"/>
      <c r="D173" s="9"/>
      <c r="E173" s="9"/>
      <c r="F173" s="9"/>
      <c r="G173" s="9"/>
      <c r="H173" s="11"/>
      <c r="I173" s="12"/>
    </row>
    <row r="174" spans="2:9" ht="30" x14ac:dyDescent="0.25">
      <c r="B174" s="9"/>
      <c r="C174" s="9" t="s">
        <v>2535</v>
      </c>
      <c r="D174" s="9" t="s">
        <v>1593</v>
      </c>
      <c r="E174" s="9" t="s">
        <v>788</v>
      </c>
      <c r="F174" s="9" t="s">
        <v>1124</v>
      </c>
      <c r="G174" s="9" t="s">
        <v>776</v>
      </c>
      <c r="H174" s="11">
        <v>0.82</v>
      </c>
      <c r="I174" s="12">
        <v>2189445.3271399997</v>
      </c>
    </row>
    <row r="175" spans="2:9" x14ac:dyDescent="0.25">
      <c r="B175" s="9"/>
      <c r="D175" s="9"/>
      <c r="E175" s="9"/>
      <c r="F175" s="9"/>
      <c r="G175" s="9"/>
      <c r="H175" s="11"/>
      <c r="I175" s="12"/>
    </row>
    <row r="176" spans="2:9" ht="30" x14ac:dyDescent="0.25">
      <c r="B176" s="9"/>
      <c r="C176" s="9" t="s">
        <v>2537</v>
      </c>
      <c r="D176" s="9" t="s">
        <v>1593</v>
      </c>
      <c r="E176" s="9" t="s">
        <v>788</v>
      </c>
      <c r="F176" s="9" t="s">
        <v>1124</v>
      </c>
      <c r="G176" s="9" t="s">
        <v>776</v>
      </c>
      <c r="H176" s="11">
        <v>4.1399999999999997</v>
      </c>
      <c r="I176" s="12">
        <v>11054028.84678</v>
      </c>
    </row>
    <row r="177" spans="2:9" x14ac:dyDescent="0.25">
      <c r="B177" s="9"/>
      <c r="D177" s="9"/>
      <c r="E177" s="9"/>
      <c r="F177" s="9"/>
      <c r="G177" s="9"/>
      <c r="H177" s="11"/>
      <c r="I177" s="12"/>
    </row>
    <row r="178" spans="2:9" ht="30" x14ac:dyDescent="0.25">
      <c r="B178" s="9"/>
      <c r="C178" s="9" t="s">
        <v>2538</v>
      </c>
      <c r="D178" s="9" t="s">
        <v>1593</v>
      </c>
      <c r="E178" s="9" t="s">
        <v>788</v>
      </c>
      <c r="F178" s="9" t="s">
        <v>1124</v>
      </c>
      <c r="G178" s="9" t="s">
        <v>776</v>
      </c>
      <c r="H178" s="11">
        <v>3.08</v>
      </c>
      <c r="I178" s="12">
        <v>8223770.2531599998</v>
      </c>
    </row>
    <row r="179" spans="2:9" x14ac:dyDescent="0.25">
      <c r="B179" s="9"/>
      <c r="D179" s="9"/>
      <c r="E179" s="9"/>
      <c r="F179" s="9"/>
      <c r="G179" s="9"/>
      <c r="H179" s="11"/>
      <c r="I179" s="12"/>
    </row>
    <row r="180" spans="2:9" ht="30" x14ac:dyDescent="0.25">
      <c r="B180" s="9"/>
      <c r="C180" s="9" t="s">
        <v>2550</v>
      </c>
      <c r="D180" s="9" t="s">
        <v>785</v>
      </c>
      <c r="E180" s="9" t="s">
        <v>788</v>
      </c>
      <c r="F180" s="9" t="s">
        <v>1124</v>
      </c>
      <c r="G180" s="9" t="s">
        <v>776</v>
      </c>
      <c r="H180" s="11">
        <v>-2.14</v>
      </c>
      <c r="I180" s="12">
        <v>-5713918.2927799998</v>
      </c>
    </row>
    <row r="181" spans="2:9" x14ac:dyDescent="0.25">
      <c r="B181" s="9"/>
      <c r="D181" s="9"/>
      <c r="E181" s="9"/>
      <c r="F181" s="9"/>
      <c r="G181" s="9"/>
      <c r="H181" s="11"/>
      <c r="I181" s="12"/>
    </row>
    <row r="182" spans="2:9" ht="75" x14ac:dyDescent="0.25">
      <c r="B182" s="9"/>
      <c r="C182" s="9" t="s">
        <v>2552</v>
      </c>
      <c r="D182" s="9" t="s">
        <v>785</v>
      </c>
      <c r="E182" s="9" t="s">
        <v>788</v>
      </c>
      <c r="F182" s="9" t="s">
        <v>1581</v>
      </c>
      <c r="G182" s="9" t="s">
        <v>776</v>
      </c>
      <c r="H182" s="11">
        <v>29.36</v>
      </c>
      <c r="I182" s="12">
        <v>8808000</v>
      </c>
    </row>
    <row r="183" spans="2:9" x14ac:dyDescent="0.25">
      <c r="B183" s="9"/>
      <c r="D183" s="9"/>
      <c r="E183" s="9"/>
      <c r="F183" s="9" t="s">
        <v>1124</v>
      </c>
      <c r="G183" s="9" t="s">
        <v>776</v>
      </c>
      <c r="H183" s="11">
        <v>-29.36</v>
      </c>
      <c r="I183" s="12">
        <v>-60299267.177440003</v>
      </c>
    </row>
    <row r="184" spans="2:9" x14ac:dyDescent="0.25">
      <c r="B184" s="9"/>
      <c r="D184" s="9"/>
      <c r="E184" s="9"/>
      <c r="F184" s="9"/>
      <c r="G184" s="9"/>
      <c r="H184" s="11"/>
      <c r="I184" s="12"/>
    </row>
    <row r="185" spans="2:9" ht="45" x14ac:dyDescent="0.25">
      <c r="B185" s="9"/>
      <c r="C185" s="9" t="s">
        <v>2712</v>
      </c>
      <c r="D185" s="9" t="s">
        <v>1680</v>
      </c>
      <c r="E185" s="9" t="s">
        <v>788</v>
      </c>
      <c r="F185" s="9" t="s">
        <v>1124</v>
      </c>
      <c r="G185" s="9" t="s">
        <v>776</v>
      </c>
      <c r="H185" s="11">
        <v>-0.14000000000000001</v>
      </c>
      <c r="I185" s="12">
        <v>-319765.61077999999</v>
      </c>
    </row>
    <row r="186" spans="2:9" x14ac:dyDescent="0.25">
      <c r="B186" s="9"/>
      <c r="D186" s="9"/>
      <c r="E186" s="9"/>
      <c r="F186" s="9"/>
      <c r="G186" s="9"/>
      <c r="H186" s="11"/>
      <c r="I186" s="12"/>
    </row>
    <row r="187" spans="2:9" ht="60" x14ac:dyDescent="0.25">
      <c r="B187" s="9"/>
      <c r="C187" s="9" t="s">
        <v>2717</v>
      </c>
      <c r="D187" s="9" t="s">
        <v>1680</v>
      </c>
      <c r="E187" s="9" t="s">
        <v>788</v>
      </c>
      <c r="F187" s="9" t="s">
        <v>1581</v>
      </c>
      <c r="G187" s="9" t="s">
        <v>750</v>
      </c>
      <c r="H187" s="11">
        <v>0.08</v>
      </c>
      <c r="I187" s="12">
        <v>60000</v>
      </c>
    </row>
    <row r="188" spans="2:9" x14ac:dyDescent="0.25">
      <c r="B188" s="9"/>
      <c r="D188" s="9"/>
      <c r="E188" s="9"/>
      <c r="F188" s="9" t="s">
        <v>1124</v>
      </c>
      <c r="G188" s="9" t="s">
        <v>776</v>
      </c>
      <c r="H188" s="11">
        <v>-1.36</v>
      </c>
      <c r="I188" s="12">
        <v>-3106294.5047200001</v>
      </c>
    </row>
    <row r="189" spans="2:9" x14ac:dyDescent="0.25">
      <c r="B189" s="9"/>
      <c r="D189" s="9"/>
      <c r="E189" s="9"/>
      <c r="F189" s="9"/>
      <c r="G189" s="9"/>
      <c r="H189" s="11"/>
      <c r="I189" s="12"/>
    </row>
    <row r="190" spans="2:9" ht="60" x14ac:dyDescent="0.25">
      <c r="B190" s="9"/>
      <c r="C190" s="9" t="s">
        <v>2716</v>
      </c>
      <c r="D190" s="9" t="s">
        <v>1680</v>
      </c>
      <c r="E190" s="9" t="s">
        <v>788</v>
      </c>
      <c r="F190" s="9" t="s">
        <v>1581</v>
      </c>
      <c r="G190" s="9" t="s">
        <v>750</v>
      </c>
      <c r="H190" s="11">
        <v>0.16</v>
      </c>
      <c r="I190" s="12">
        <v>200000</v>
      </c>
    </row>
    <row r="191" spans="2:9" x14ac:dyDescent="0.25">
      <c r="B191" s="9"/>
      <c r="D191" s="9"/>
      <c r="E191" s="9"/>
      <c r="F191" s="9" t="s">
        <v>1124</v>
      </c>
      <c r="G191" s="9" t="s">
        <v>776</v>
      </c>
      <c r="H191" s="11">
        <v>-0.64</v>
      </c>
      <c r="I191" s="12">
        <v>-1461785.64928</v>
      </c>
    </row>
    <row r="192" spans="2:9" x14ac:dyDescent="0.25">
      <c r="B192" s="9"/>
      <c r="D192" s="9"/>
      <c r="E192" s="9"/>
      <c r="F192" s="9"/>
      <c r="G192" s="9"/>
      <c r="H192" s="11"/>
      <c r="I192" s="12"/>
    </row>
    <row r="193" spans="2:9" ht="90" x14ac:dyDescent="0.25">
      <c r="B193" s="9"/>
      <c r="C193" s="9" t="s">
        <v>2907</v>
      </c>
      <c r="D193" s="9" t="s">
        <v>1680</v>
      </c>
      <c r="E193" s="9" t="s">
        <v>788</v>
      </c>
      <c r="F193" s="9" t="s">
        <v>1581</v>
      </c>
      <c r="G193" s="9" t="s">
        <v>776</v>
      </c>
      <c r="H193" s="11">
        <v>0.6</v>
      </c>
      <c r="I193" s="12">
        <v>300000</v>
      </c>
    </row>
    <row r="194" spans="2:9" x14ac:dyDescent="0.25">
      <c r="B194" s="9"/>
      <c r="D194" s="9"/>
      <c r="E194" s="9"/>
      <c r="F194" s="9"/>
      <c r="G194" s="9" t="s">
        <v>750</v>
      </c>
      <c r="H194" s="11">
        <v>0.46</v>
      </c>
      <c r="I194" s="12">
        <v>550000</v>
      </c>
    </row>
    <row r="195" spans="2:9" x14ac:dyDescent="0.25">
      <c r="B195" s="9"/>
      <c r="D195" s="9"/>
      <c r="E195" s="9"/>
      <c r="F195" s="9" t="s">
        <v>1124</v>
      </c>
      <c r="G195" s="9" t="s">
        <v>776</v>
      </c>
      <c r="H195" s="11">
        <v>-6.419999999999999</v>
      </c>
      <c r="I195" s="12">
        <v>-14663601</v>
      </c>
    </row>
    <row r="196" spans="2:9" x14ac:dyDescent="0.25">
      <c r="B196" s="9"/>
      <c r="D196" s="9"/>
      <c r="E196" s="9"/>
      <c r="F196" s="9"/>
      <c r="G196" s="9"/>
      <c r="H196" s="11"/>
      <c r="I196" s="12"/>
    </row>
    <row r="197" spans="2:9" ht="30" x14ac:dyDescent="0.25">
      <c r="B197" s="9"/>
      <c r="C197" s="9" t="s">
        <v>2944</v>
      </c>
      <c r="D197" s="9" t="s">
        <v>1586</v>
      </c>
      <c r="E197" s="9" t="s">
        <v>788</v>
      </c>
      <c r="F197" s="9" t="s">
        <v>1124</v>
      </c>
      <c r="G197" s="9" t="s">
        <v>776</v>
      </c>
      <c r="H197" s="11">
        <v>-0.82</v>
      </c>
      <c r="I197" s="12">
        <v>-1872921</v>
      </c>
    </row>
    <row r="198" spans="2:9" x14ac:dyDescent="0.25">
      <c r="B198" s="9"/>
      <c r="D198" s="9"/>
      <c r="E198" s="9"/>
      <c r="F198" s="9"/>
      <c r="G198" s="9"/>
      <c r="H198" s="11"/>
      <c r="I198" s="12"/>
    </row>
    <row r="199" spans="2:9" ht="30" x14ac:dyDescent="0.25">
      <c r="B199" s="9"/>
      <c r="C199" s="9" t="s">
        <v>2946</v>
      </c>
      <c r="D199" s="9" t="s">
        <v>1586</v>
      </c>
      <c r="E199" s="9" t="s">
        <v>788</v>
      </c>
      <c r="F199" s="9" t="s">
        <v>1124</v>
      </c>
      <c r="G199" s="9" t="s">
        <v>776</v>
      </c>
      <c r="H199" s="11">
        <v>-0.18</v>
      </c>
      <c r="I199" s="12">
        <v>-411129</v>
      </c>
    </row>
    <row r="200" spans="2:9" x14ac:dyDescent="0.25">
      <c r="B200" s="9"/>
      <c r="D200" s="9"/>
      <c r="E200" s="9"/>
      <c r="F200" s="9"/>
      <c r="G200" s="9"/>
      <c r="H200" s="11"/>
      <c r="I200" s="12"/>
    </row>
    <row r="201" spans="2:9" ht="30" x14ac:dyDescent="0.25">
      <c r="B201" s="9"/>
      <c r="C201" s="9" t="s">
        <v>2951</v>
      </c>
      <c r="D201" s="9" t="s">
        <v>1586</v>
      </c>
      <c r="E201" s="9" t="s">
        <v>788</v>
      </c>
      <c r="F201" s="9" t="s">
        <v>1124</v>
      </c>
      <c r="G201" s="9" t="s">
        <v>776</v>
      </c>
      <c r="H201" s="11">
        <v>-0.68</v>
      </c>
      <c r="I201" s="12">
        <v>-1553154</v>
      </c>
    </row>
    <row r="202" spans="2:9" x14ac:dyDescent="0.25">
      <c r="B202" s="9"/>
      <c r="D202" s="9"/>
      <c r="E202" s="9"/>
      <c r="F202" s="9"/>
      <c r="G202" s="9"/>
      <c r="H202" s="11"/>
      <c r="I202" s="12"/>
    </row>
    <row r="203" spans="2:9" ht="30" x14ac:dyDescent="0.25">
      <c r="B203" s="9"/>
      <c r="C203" s="9" t="s">
        <v>2953</v>
      </c>
      <c r="D203" s="9" t="s">
        <v>1586</v>
      </c>
      <c r="E203" s="9" t="s">
        <v>788</v>
      </c>
      <c r="F203" s="9" t="s">
        <v>1124</v>
      </c>
      <c r="G203" s="9" t="s">
        <v>776</v>
      </c>
      <c r="H203" s="11">
        <v>-1.24</v>
      </c>
      <c r="I203" s="12">
        <v>-2832222</v>
      </c>
    </row>
    <row r="204" spans="2:9" x14ac:dyDescent="0.25">
      <c r="B204" s="9"/>
      <c r="D204" s="9"/>
      <c r="E204" s="9"/>
      <c r="F204" s="9"/>
      <c r="G204" s="9"/>
      <c r="H204" s="11"/>
      <c r="I204" s="12"/>
    </row>
    <row r="205" spans="2:9" ht="45" x14ac:dyDescent="0.25">
      <c r="B205" s="9"/>
      <c r="C205" s="9" t="s">
        <v>2955</v>
      </c>
      <c r="D205" s="9" t="s">
        <v>786</v>
      </c>
      <c r="E205" s="9" t="s">
        <v>788</v>
      </c>
      <c r="F205" s="9" t="s">
        <v>1124</v>
      </c>
      <c r="G205" s="9" t="s">
        <v>776</v>
      </c>
      <c r="H205" s="11">
        <v>-0.89999999999999991</v>
      </c>
      <c r="I205" s="12">
        <v>-2055645</v>
      </c>
    </row>
    <row r="206" spans="2:9" x14ac:dyDescent="0.25">
      <c r="B206" s="9"/>
      <c r="D206" s="9"/>
      <c r="E206" s="9"/>
      <c r="F206" s="9"/>
      <c r="G206" s="9"/>
      <c r="H206" s="11"/>
      <c r="I206" s="12"/>
    </row>
    <row r="207" spans="2:9" ht="30" x14ac:dyDescent="0.25">
      <c r="B207" s="9"/>
      <c r="C207" s="9" t="s">
        <v>2958</v>
      </c>
      <c r="D207" s="9" t="s">
        <v>786</v>
      </c>
      <c r="E207" s="9" t="s">
        <v>788</v>
      </c>
      <c r="F207" s="9" t="s">
        <v>1124</v>
      </c>
      <c r="G207" s="9" t="s">
        <v>776</v>
      </c>
      <c r="H207" s="11">
        <v>-0.3</v>
      </c>
      <c r="I207" s="12">
        <v>-685215</v>
      </c>
    </row>
    <row r="208" spans="2:9" x14ac:dyDescent="0.25">
      <c r="B208" s="9"/>
      <c r="D208" s="9"/>
      <c r="E208" s="9"/>
      <c r="F208" s="9"/>
      <c r="G208" s="9"/>
      <c r="H208" s="11"/>
      <c r="I208" s="12"/>
    </row>
    <row r="209" spans="2:9" ht="30" x14ac:dyDescent="0.25">
      <c r="B209" s="9"/>
      <c r="C209" s="9" t="s">
        <v>2960</v>
      </c>
      <c r="D209" s="9" t="s">
        <v>786</v>
      </c>
      <c r="E209" s="9" t="s">
        <v>788</v>
      </c>
      <c r="F209" s="9" t="s">
        <v>1124</v>
      </c>
      <c r="G209" s="9" t="s">
        <v>776</v>
      </c>
      <c r="H209" s="11">
        <v>-0.9</v>
      </c>
      <c r="I209" s="12">
        <v>-2055645</v>
      </c>
    </row>
    <row r="210" spans="2:9" x14ac:dyDescent="0.25">
      <c r="B210" s="9"/>
      <c r="D210" s="9"/>
      <c r="E210" s="9"/>
      <c r="F210" s="9"/>
      <c r="G210" s="9"/>
      <c r="H210" s="11"/>
      <c r="I210" s="12"/>
    </row>
    <row r="211" spans="2:9" ht="30" x14ac:dyDescent="0.25">
      <c r="B211" s="9"/>
      <c r="C211" s="9" t="s">
        <v>2962</v>
      </c>
      <c r="D211" s="9" t="s">
        <v>1593</v>
      </c>
      <c r="E211" s="9" t="s">
        <v>788</v>
      </c>
      <c r="F211" s="9" t="s">
        <v>1124</v>
      </c>
      <c r="G211" s="9" t="s">
        <v>776</v>
      </c>
      <c r="H211" s="11">
        <v>0.04</v>
      </c>
      <c r="I211" s="12">
        <v>91362</v>
      </c>
    </row>
    <row r="212" spans="2:9" x14ac:dyDescent="0.25">
      <c r="B212" s="9"/>
      <c r="D212" s="9"/>
      <c r="E212" s="9"/>
      <c r="F212" s="9"/>
      <c r="G212" s="9"/>
      <c r="H212" s="11"/>
      <c r="I212" s="12"/>
    </row>
    <row r="213" spans="2:9" ht="30" x14ac:dyDescent="0.25">
      <c r="B213" s="9"/>
      <c r="C213" s="9" t="s">
        <v>2983</v>
      </c>
      <c r="D213" s="9" t="s">
        <v>1586</v>
      </c>
      <c r="E213" s="9" t="s">
        <v>788</v>
      </c>
      <c r="F213" s="9" t="s">
        <v>1124</v>
      </c>
      <c r="G213" s="9" t="s">
        <v>776</v>
      </c>
      <c r="H213" s="11">
        <v>-0.1</v>
      </c>
      <c r="I213" s="12">
        <v>-228405</v>
      </c>
    </row>
    <row r="214" spans="2:9" x14ac:dyDescent="0.25">
      <c r="B214" s="9"/>
      <c r="D214" s="9"/>
      <c r="E214" s="9"/>
      <c r="F214" s="9"/>
      <c r="G214" s="9"/>
      <c r="H214" s="11"/>
      <c r="I214" s="12"/>
    </row>
    <row r="215" spans="2:9" ht="45" x14ac:dyDescent="0.25">
      <c r="B215" s="9"/>
      <c r="C215" s="9" t="s">
        <v>2985</v>
      </c>
      <c r="D215" s="9" t="s">
        <v>785</v>
      </c>
      <c r="E215" s="9" t="s">
        <v>788</v>
      </c>
      <c r="F215" s="9" t="s">
        <v>1124</v>
      </c>
      <c r="G215" s="9" t="s">
        <v>776</v>
      </c>
      <c r="H215" s="11">
        <v>-1.1000000000000001</v>
      </c>
      <c r="I215" s="12">
        <v>-2512455</v>
      </c>
    </row>
    <row r="216" spans="2:9" x14ac:dyDescent="0.25">
      <c r="B216" s="9"/>
      <c r="D216" s="9"/>
      <c r="E216" s="9"/>
      <c r="F216" s="9"/>
      <c r="G216" s="9"/>
      <c r="H216" s="11"/>
      <c r="I216" s="12"/>
    </row>
    <row r="217" spans="2:9" ht="45" x14ac:dyDescent="0.25">
      <c r="B217" s="9"/>
      <c r="C217" s="9" t="s">
        <v>2987</v>
      </c>
      <c r="D217" s="9" t="s">
        <v>786</v>
      </c>
      <c r="E217" s="9" t="s">
        <v>1597</v>
      </c>
      <c r="F217" s="9" t="s">
        <v>1124</v>
      </c>
      <c r="G217" s="9" t="s">
        <v>776</v>
      </c>
      <c r="H217" s="11">
        <v>-0.64</v>
      </c>
      <c r="I217" s="12">
        <v>-1461792</v>
      </c>
    </row>
    <row r="218" spans="2:9" x14ac:dyDescent="0.25">
      <c r="B218" s="9"/>
      <c r="D218" s="9"/>
      <c r="E218" s="9"/>
      <c r="F218" s="9"/>
      <c r="G218" s="9"/>
      <c r="H218" s="11"/>
      <c r="I218" s="12"/>
    </row>
    <row r="219" spans="2:9" ht="30" x14ac:dyDescent="0.25">
      <c r="B219" s="9"/>
      <c r="C219" s="9" t="s">
        <v>2989</v>
      </c>
      <c r="D219" s="9" t="s">
        <v>1586</v>
      </c>
      <c r="E219" s="9" t="s">
        <v>788</v>
      </c>
      <c r="F219" s="9" t="s">
        <v>1124</v>
      </c>
      <c r="G219" s="9" t="s">
        <v>776</v>
      </c>
      <c r="H219" s="11">
        <v>-0.1</v>
      </c>
      <c r="I219" s="12">
        <v>-228405</v>
      </c>
    </row>
    <row r="220" spans="2:9" x14ac:dyDescent="0.25">
      <c r="B220" s="9"/>
      <c r="D220" s="9"/>
      <c r="E220" s="9"/>
      <c r="F220" s="9"/>
      <c r="G220" s="9"/>
      <c r="H220" s="11"/>
      <c r="I220" s="12"/>
    </row>
    <row r="221" spans="2:9" ht="45" x14ac:dyDescent="0.25">
      <c r="B221" s="9"/>
      <c r="C221" s="9" t="s">
        <v>2991</v>
      </c>
      <c r="D221" s="9" t="s">
        <v>786</v>
      </c>
      <c r="E221" s="9" t="s">
        <v>1596</v>
      </c>
      <c r="F221" s="9" t="s">
        <v>1581</v>
      </c>
      <c r="G221" s="9" t="s">
        <v>776</v>
      </c>
      <c r="H221" s="11">
        <v>1.1599999999999999</v>
      </c>
      <c r="I221" s="12">
        <v>580000</v>
      </c>
    </row>
    <row r="222" spans="2:9" x14ac:dyDescent="0.25">
      <c r="B222" s="9"/>
      <c r="D222" s="9"/>
      <c r="E222" s="9"/>
      <c r="F222" s="9" t="s">
        <v>1124</v>
      </c>
      <c r="G222" s="9" t="s">
        <v>776</v>
      </c>
      <c r="H222" s="11">
        <v>-1.1599999999999999</v>
      </c>
      <c r="I222" s="12">
        <v>-2649498</v>
      </c>
    </row>
    <row r="223" spans="2:9" x14ac:dyDescent="0.25">
      <c r="B223" s="9"/>
      <c r="D223" s="9"/>
      <c r="E223" s="9"/>
      <c r="F223" s="9"/>
      <c r="G223" s="9"/>
      <c r="H223" s="11"/>
      <c r="I223" s="12"/>
    </row>
    <row r="224" spans="2:9" ht="45" x14ac:dyDescent="0.25">
      <c r="B224" s="9"/>
      <c r="C224" s="9" t="s">
        <v>3346</v>
      </c>
      <c r="D224" s="9" t="s">
        <v>1680</v>
      </c>
      <c r="E224" s="9" t="s">
        <v>788</v>
      </c>
      <c r="F224" s="9" t="s">
        <v>1124</v>
      </c>
      <c r="G224" s="9" t="s">
        <v>776</v>
      </c>
      <c r="H224" s="11">
        <v>-0.36</v>
      </c>
      <c r="I224" s="12">
        <v>-768793.25735999993</v>
      </c>
    </row>
    <row r="225" spans="2:9" x14ac:dyDescent="0.25">
      <c r="B225" s="9"/>
      <c r="D225" s="9"/>
      <c r="E225" s="9"/>
      <c r="F225" s="9"/>
      <c r="G225" s="9"/>
      <c r="H225" s="11"/>
      <c r="I225" s="12"/>
    </row>
    <row r="226" spans="2:9" ht="45" x14ac:dyDescent="0.25">
      <c r="B226" s="9"/>
      <c r="C226" s="9" t="s">
        <v>3347</v>
      </c>
      <c r="D226" s="9" t="s">
        <v>1680</v>
      </c>
      <c r="E226" s="9" t="s">
        <v>788</v>
      </c>
      <c r="F226" s="9" t="s">
        <v>1124</v>
      </c>
      <c r="G226" s="9" t="s">
        <v>776</v>
      </c>
      <c r="H226" s="11">
        <v>-0.22</v>
      </c>
      <c r="I226" s="12">
        <v>-469818.10171999998</v>
      </c>
    </row>
    <row r="227" spans="2:9" x14ac:dyDescent="0.25">
      <c r="B227" s="9"/>
      <c r="D227" s="9"/>
      <c r="E227" s="9"/>
      <c r="F227" s="9"/>
      <c r="G227" s="9"/>
      <c r="H227" s="11"/>
      <c r="I227" s="12"/>
    </row>
    <row r="228" spans="2:9" ht="45" x14ac:dyDescent="0.25">
      <c r="B228" s="9"/>
      <c r="C228" s="9" t="s">
        <v>3348</v>
      </c>
      <c r="D228" s="9" t="s">
        <v>1680</v>
      </c>
      <c r="E228" s="9" t="s">
        <v>788</v>
      </c>
      <c r="F228" s="9" t="s">
        <v>1124</v>
      </c>
      <c r="G228" s="9" t="s">
        <v>776</v>
      </c>
      <c r="H228" s="11">
        <v>-0.18</v>
      </c>
      <c r="I228" s="12">
        <v>-384396.62867999997</v>
      </c>
    </row>
    <row r="229" spans="2:9" x14ac:dyDescent="0.25">
      <c r="B229" s="9"/>
      <c r="D229" s="9"/>
      <c r="E229" s="9"/>
      <c r="F229" s="9"/>
      <c r="G229" s="9"/>
      <c r="H229" s="11"/>
      <c r="I229" s="12"/>
    </row>
    <row r="230" spans="2:9" ht="45" x14ac:dyDescent="0.25">
      <c r="B230" s="9"/>
      <c r="C230" s="9" t="s">
        <v>3349</v>
      </c>
      <c r="D230" s="9" t="s">
        <v>1680</v>
      </c>
      <c r="E230" s="9" t="s">
        <v>788</v>
      </c>
      <c r="F230" s="9" t="s">
        <v>1124</v>
      </c>
      <c r="G230" s="9" t="s">
        <v>776</v>
      </c>
      <c r="H230" s="11">
        <v>-0.34</v>
      </c>
      <c r="I230" s="12">
        <v>-726082.52084000001</v>
      </c>
    </row>
    <row r="231" spans="2:9" x14ac:dyDescent="0.25">
      <c r="B231" s="9"/>
      <c r="D231" s="9"/>
      <c r="E231" s="9"/>
      <c r="F231" s="9"/>
      <c r="G231" s="9"/>
      <c r="H231" s="11"/>
      <c r="I231" s="12"/>
    </row>
    <row r="232" spans="2:9" ht="45" x14ac:dyDescent="0.25">
      <c r="B232" s="9"/>
      <c r="C232" s="9" t="s">
        <v>3351</v>
      </c>
      <c r="D232" s="9" t="s">
        <v>1680</v>
      </c>
      <c r="E232" s="9" t="s">
        <v>788</v>
      </c>
      <c r="F232" s="9" t="s">
        <v>1124</v>
      </c>
      <c r="G232" s="9" t="s">
        <v>776</v>
      </c>
      <c r="H232" s="11">
        <v>-0.12</v>
      </c>
      <c r="I232" s="12">
        <v>-256264.41911999998</v>
      </c>
    </row>
    <row r="233" spans="2:9" x14ac:dyDescent="0.25">
      <c r="B233" s="9"/>
      <c r="D233" s="9"/>
      <c r="E233" s="9"/>
      <c r="F233" s="9"/>
      <c r="G233" s="9"/>
      <c r="H233" s="11"/>
      <c r="I233" s="12"/>
    </row>
    <row r="234" spans="2:9" ht="45" x14ac:dyDescent="0.25">
      <c r="B234" s="9"/>
      <c r="C234" s="9" t="s">
        <v>3358</v>
      </c>
      <c r="D234" s="9" t="s">
        <v>1593</v>
      </c>
      <c r="E234" s="9" t="s">
        <v>788</v>
      </c>
      <c r="F234" s="9" t="s">
        <v>1124</v>
      </c>
      <c r="G234" s="9" t="s">
        <v>776</v>
      </c>
      <c r="H234" s="11">
        <v>2.1800000000000002</v>
      </c>
      <c r="I234" s="12">
        <v>4655441.5788000003</v>
      </c>
    </row>
    <row r="235" spans="2:9" x14ac:dyDescent="0.25">
      <c r="B235" s="9"/>
      <c r="D235" s="9"/>
      <c r="E235" s="9"/>
      <c r="F235" s="9"/>
      <c r="G235" s="9"/>
      <c r="H235" s="11"/>
      <c r="I235" s="12"/>
    </row>
    <row r="236" spans="2:9" ht="45" x14ac:dyDescent="0.25">
      <c r="B236" s="9"/>
      <c r="C236" s="9" t="s">
        <v>3359</v>
      </c>
      <c r="D236" s="9" t="s">
        <v>1593</v>
      </c>
      <c r="E236" s="9" t="s">
        <v>788</v>
      </c>
      <c r="F236" s="9" t="s">
        <v>1124</v>
      </c>
      <c r="G236" s="9" t="s">
        <v>776</v>
      </c>
      <c r="H236" s="11">
        <v>1.98</v>
      </c>
      <c r="I236" s="12">
        <v>4228336.8468000004</v>
      </c>
    </row>
    <row r="237" spans="2:9" x14ac:dyDescent="0.25">
      <c r="B237" s="9"/>
      <c r="D237" s="9"/>
      <c r="E237" s="9"/>
      <c r="F237" s="9"/>
      <c r="G237" s="9"/>
      <c r="H237" s="11"/>
      <c r="I237" s="12"/>
    </row>
    <row r="238" spans="2:9" ht="45" x14ac:dyDescent="0.25">
      <c r="B238" s="9"/>
      <c r="C238" s="9" t="s">
        <v>3360</v>
      </c>
      <c r="D238" s="9" t="s">
        <v>1593</v>
      </c>
      <c r="E238" s="9" t="s">
        <v>788</v>
      </c>
      <c r="F238" s="9" t="s">
        <v>1124</v>
      </c>
      <c r="G238" s="9" t="s">
        <v>776</v>
      </c>
      <c r="H238" s="11">
        <v>1.66</v>
      </c>
      <c r="I238" s="12">
        <v>3544969.2755999998</v>
      </c>
    </row>
    <row r="239" spans="2:9" x14ac:dyDescent="0.25">
      <c r="B239" s="9"/>
      <c r="D239" s="9"/>
      <c r="E239" s="9"/>
      <c r="F239" s="9"/>
      <c r="G239" s="9"/>
      <c r="H239" s="11"/>
      <c r="I239" s="12"/>
    </row>
    <row r="240" spans="2:9" ht="45" x14ac:dyDescent="0.25">
      <c r="B240" s="9"/>
      <c r="C240" s="9" t="s">
        <v>3361</v>
      </c>
      <c r="D240" s="9" t="s">
        <v>1593</v>
      </c>
      <c r="E240" s="9" t="s">
        <v>788</v>
      </c>
      <c r="F240" s="9" t="s">
        <v>1124</v>
      </c>
      <c r="G240" s="9" t="s">
        <v>776</v>
      </c>
      <c r="H240" s="11">
        <v>1.18</v>
      </c>
      <c r="I240" s="12">
        <v>2519917.9188000001</v>
      </c>
    </row>
    <row r="241" spans="2:9" x14ac:dyDescent="0.25">
      <c r="B241" s="9"/>
      <c r="D241" s="9"/>
      <c r="E241" s="9"/>
      <c r="F241" s="9"/>
      <c r="G241" s="9"/>
      <c r="H241" s="11"/>
      <c r="I241" s="12"/>
    </row>
    <row r="242" spans="2:9" ht="45" x14ac:dyDescent="0.25">
      <c r="B242" s="9"/>
      <c r="C242" s="9" t="s">
        <v>3362</v>
      </c>
      <c r="D242" s="9" t="s">
        <v>786</v>
      </c>
      <c r="E242" s="9" t="s">
        <v>1598</v>
      </c>
      <c r="F242" s="9" t="s">
        <v>1124</v>
      </c>
      <c r="G242" s="9" t="s">
        <v>776</v>
      </c>
      <c r="H242" s="11">
        <v>-0.56000000000000005</v>
      </c>
      <c r="I242" s="12">
        <v>-1195900.62256</v>
      </c>
    </row>
    <row r="243" spans="2:9" x14ac:dyDescent="0.25">
      <c r="B243" s="9"/>
      <c r="D243" s="9"/>
      <c r="E243" s="9"/>
      <c r="F243" s="9"/>
      <c r="G243" s="9"/>
      <c r="H243" s="11"/>
      <c r="I243" s="12"/>
    </row>
    <row r="244" spans="2:9" ht="45" x14ac:dyDescent="0.25">
      <c r="B244" s="9"/>
      <c r="C244" s="9" t="s">
        <v>3363</v>
      </c>
      <c r="D244" s="9" t="s">
        <v>1593</v>
      </c>
      <c r="E244" s="9" t="s">
        <v>788</v>
      </c>
      <c r="F244" s="9" t="s">
        <v>1124</v>
      </c>
      <c r="G244" s="9" t="s">
        <v>776</v>
      </c>
      <c r="H244" s="11">
        <v>0.38</v>
      </c>
      <c r="I244" s="12">
        <v>811503.99387999997</v>
      </c>
    </row>
    <row r="245" spans="2:9" x14ac:dyDescent="0.25">
      <c r="B245" s="9"/>
      <c r="D245" s="9"/>
      <c r="E245" s="9"/>
      <c r="F245" s="9"/>
      <c r="G245" s="9"/>
      <c r="H245" s="11"/>
      <c r="I245" s="12"/>
    </row>
    <row r="246" spans="2:9" ht="45" x14ac:dyDescent="0.25">
      <c r="B246" s="9"/>
      <c r="C246" s="9" t="s">
        <v>3364</v>
      </c>
      <c r="D246" s="9" t="s">
        <v>1593</v>
      </c>
      <c r="E246" s="9" t="s">
        <v>788</v>
      </c>
      <c r="F246" s="9" t="s">
        <v>1124</v>
      </c>
      <c r="G246" s="9" t="s">
        <v>776</v>
      </c>
      <c r="H246" s="11">
        <v>0.36</v>
      </c>
      <c r="I246" s="12">
        <v>768793.25735999993</v>
      </c>
    </row>
    <row r="247" spans="2:9" x14ac:dyDescent="0.25">
      <c r="B247" s="9"/>
      <c r="D247" s="9"/>
      <c r="E247" s="9"/>
      <c r="F247" s="9"/>
      <c r="G247" s="9"/>
      <c r="H247" s="11"/>
      <c r="I247" s="12"/>
    </row>
    <row r="248" spans="2:9" ht="45" x14ac:dyDescent="0.25">
      <c r="B248" s="9"/>
      <c r="C248" s="9" t="s">
        <v>3365</v>
      </c>
      <c r="D248" s="9" t="s">
        <v>1593</v>
      </c>
      <c r="E248" s="9" t="s">
        <v>788</v>
      </c>
      <c r="F248" s="9" t="s">
        <v>1124</v>
      </c>
      <c r="G248" s="9" t="s">
        <v>776</v>
      </c>
      <c r="H248" s="11">
        <v>0.38</v>
      </c>
      <c r="I248" s="12">
        <v>811503.99387999997</v>
      </c>
    </row>
    <row r="249" spans="2:9" x14ac:dyDescent="0.25">
      <c r="B249" s="9"/>
      <c r="D249" s="9"/>
      <c r="E249" s="9"/>
      <c r="F249" s="9"/>
      <c r="G249" s="9"/>
      <c r="H249" s="11"/>
      <c r="I249" s="12"/>
    </row>
    <row r="250" spans="2:9" ht="45" x14ac:dyDescent="0.25">
      <c r="B250" s="9"/>
      <c r="C250" s="9" t="s">
        <v>3366</v>
      </c>
      <c r="D250" s="9" t="s">
        <v>1593</v>
      </c>
      <c r="E250" s="9" t="s">
        <v>788</v>
      </c>
      <c r="F250" s="9" t="s">
        <v>1124</v>
      </c>
      <c r="G250" s="9" t="s">
        <v>776</v>
      </c>
      <c r="H250" s="11">
        <v>0.28000000000000003</v>
      </c>
      <c r="I250" s="12">
        <v>597950.31128000002</v>
      </c>
    </row>
    <row r="251" spans="2:9" x14ac:dyDescent="0.25">
      <c r="B251" s="9"/>
      <c r="D251" s="9"/>
      <c r="E251" s="9"/>
      <c r="F251" s="9"/>
      <c r="G251" s="9"/>
      <c r="H251" s="11"/>
      <c r="I251" s="12"/>
    </row>
    <row r="252" spans="2:9" ht="45" x14ac:dyDescent="0.25">
      <c r="B252" s="9"/>
      <c r="C252" s="9" t="s">
        <v>3367</v>
      </c>
      <c r="D252" s="9" t="s">
        <v>1593</v>
      </c>
      <c r="E252" s="9" t="s">
        <v>788</v>
      </c>
      <c r="F252" s="9" t="s">
        <v>1124</v>
      </c>
      <c r="G252" s="9" t="s">
        <v>776</v>
      </c>
      <c r="H252" s="11">
        <v>0.18</v>
      </c>
      <c r="I252" s="12">
        <v>384396.62867999997</v>
      </c>
    </row>
    <row r="253" spans="2:9" x14ac:dyDescent="0.25">
      <c r="B253" s="9"/>
      <c r="D253" s="9"/>
      <c r="E253" s="9"/>
      <c r="F253" s="9"/>
      <c r="G253" s="9"/>
      <c r="H253" s="11"/>
      <c r="I253" s="12"/>
    </row>
    <row r="254" spans="2:9" ht="45" x14ac:dyDescent="0.25">
      <c r="B254" s="9"/>
      <c r="C254" s="9" t="s">
        <v>3368</v>
      </c>
      <c r="D254" s="9" t="s">
        <v>1593</v>
      </c>
      <c r="E254" s="9" t="s">
        <v>788</v>
      </c>
      <c r="F254" s="9" t="s">
        <v>1124</v>
      </c>
      <c r="G254" s="9" t="s">
        <v>776</v>
      </c>
      <c r="H254" s="11">
        <v>1.52</v>
      </c>
      <c r="I254" s="12">
        <v>3246015.9755199999</v>
      </c>
    </row>
    <row r="255" spans="2:9" x14ac:dyDescent="0.25">
      <c r="B255" s="9"/>
      <c r="D255" s="9"/>
      <c r="E255" s="9"/>
      <c r="F255" s="9"/>
      <c r="G255" s="9"/>
      <c r="H255" s="11"/>
      <c r="I255" s="12"/>
    </row>
    <row r="256" spans="2:9" ht="45" x14ac:dyDescent="0.25">
      <c r="B256" s="9"/>
      <c r="C256" s="9" t="s">
        <v>3369</v>
      </c>
      <c r="D256" s="9" t="s">
        <v>1593</v>
      </c>
      <c r="E256" s="9" t="s">
        <v>788</v>
      </c>
      <c r="F256" s="9" t="s">
        <v>1124</v>
      </c>
      <c r="G256" s="9" t="s">
        <v>776</v>
      </c>
      <c r="H256" s="11">
        <v>2.38</v>
      </c>
      <c r="I256" s="12">
        <v>5082577.6458799997</v>
      </c>
    </row>
    <row r="257" spans="2:9" x14ac:dyDescent="0.25">
      <c r="B257" s="9"/>
      <c r="D257" s="9"/>
      <c r="E257" s="9"/>
      <c r="F257" s="9"/>
      <c r="G257" s="9"/>
      <c r="H257" s="11"/>
      <c r="I257" s="12"/>
    </row>
    <row r="258" spans="2:9" x14ac:dyDescent="0.25">
      <c r="B258" s="9" t="s">
        <v>2894</v>
      </c>
      <c r="D258" s="9"/>
      <c r="E258" s="9"/>
      <c r="F258" s="9"/>
      <c r="G258" s="9"/>
      <c r="H258" s="11">
        <v>-3.2599999999999865</v>
      </c>
      <c r="I258" s="12">
        <v>-72077167.394199997</v>
      </c>
    </row>
    <row r="259" spans="2:9" x14ac:dyDescent="0.25">
      <c r="B259" s="9"/>
      <c r="D259" s="9"/>
      <c r="E259" s="9"/>
      <c r="F259" s="9"/>
      <c r="G259" s="9"/>
      <c r="H259" s="11"/>
      <c r="I259" s="12"/>
    </row>
    <row r="260" spans="2:9" ht="60" x14ac:dyDescent="0.25">
      <c r="B260" s="9" t="s">
        <v>1588</v>
      </c>
      <c r="C260" s="9" t="s">
        <v>3377</v>
      </c>
      <c r="D260" s="9" t="s">
        <v>1680</v>
      </c>
      <c r="E260" s="9" t="s">
        <v>788</v>
      </c>
      <c r="F260" s="9" t="s">
        <v>1592</v>
      </c>
      <c r="G260" s="9" t="s">
        <v>750</v>
      </c>
      <c r="H260" s="11">
        <v>-195.75</v>
      </c>
      <c r="I260" s="12">
        <v>-508282136.58735001</v>
      </c>
    </row>
    <row r="261" spans="2:9" ht="30" x14ac:dyDescent="0.25">
      <c r="B261" s="9"/>
      <c r="D261" s="9"/>
      <c r="E261" s="9"/>
      <c r="F261" s="9" t="s">
        <v>1567</v>
      </c>
      <c r="G261" s="9" t="s">
        <v>750</v>
      </c>
      <c r="H261" s="11">
        <v>195.75</v>
      </c>
      <c r="I261" s="12">
        <v>297540000</v>
      </c>
    </row>
    <row r="262" spans="2:9" x14ac:dyDescent="0.25">
      <c r="B262" s="9"/>
      <c r="D262" s="9"/>
      <c r="E262" s="9"/>
      <c r="F262" s="9"/>
      <c r="G262" s="9"/>
      <c r="H262" s="11"/>
      <c r="I262" s="12"/>
    </row>
    <row r="263" spans="2:9" ht="45" x14ac:dyDescent="0.25">
      <c r="B263" s="9"/>
      <c r="C263" s="9" t="s">
        <v>1631</v>
      </c>
      <c r="D263" s="9" t="s">
        <v>785</v>
      </c>
      <c r="E263" s="9" t="s">
        <v>788</v>
      </c>
      <c r="F263" s="9" t="s">
        <v>1589</v>
      </c>
      <c r="G263" s="9" t="s">
        <v>748</v>
      </c>
      <c r="H263" s="11">
        <v>-1.96</v>
      </c>
      <c r="I263" s="12">
        <v>-4719735.2363671996</v>
      </c>
    </row>
    <row r="264" spans="2:9" x14ac:dyDescent="0.25">
      <c r="B264" s="9"/>
      <c r="D264" s="9"/>
      <c r="E264" s="9"/>
      <c r="F264" s="9"/>
      <c r="G264" s="9"/>
      <c r="H264" s="11"/>
      <c r="I264" s="12"/>
    </row>
    <row r="265" spans="2:9" x14ac:dyDescent="0.25">
      <c r="B265" s="9"/>
      <c r="C265" s="9" t="s">
        <v>1651</v>
      </c>
      <c r="D265" s="9" t="s">
        <v>785</v>
      </c>
      <c r="E265" s="9" t="s">
        <v>788</v>
      </c>
      <c r="F265" s="9" t="s">
        <v>1592</v>
      </c>
      <c r="G265" s="9" t="s">
        <v>750</v>
      </c>
      <c r="H265" s="11">
        <v>-2.4500000000000002</v>
      </c>
      <c r="I265" s="12">
        <v>-5916549.8794099996</v>
      </c>
    </row>
    <row r="266" spans="2:9" x14ac:dyDescent="0.25">
      <c r="B266" s="9"/>
      <c r="D266" s="9"/>
      <c r="E266" s="9"/>
      <c r="F266" s="9"/>
      <c r="G266" s="9"/>
      <c r="H266" s="11"/>
      <c r="I266" s="12"/>
    </row>
    <row r="267" spans="2:9" x14ac:dyDescent="0.25">
      <c r="B267" s="9"/>
      <c r="D267" s="9" t="s">
        <v>786</v>
      </c>
      <c r="E267" s="9" t="s">
        <v>2299</v>
      </c>
      <c r="F267" s="9" t="s">
        <v>1592</v>
      </c>
      <c r="G267" s="9" t="s">
        <v>750</v>
      </c>
      <c r="H267" s="11">
        <v>-30.5</v>
      </c>
      <c r="I267" s="12">
        <v>-69530557.200000018</v>
      </c>
    </row>
    <row r="268" spans="2:9" x14ac:dyDescent="0.25">
      <c r="B268" s="9"/>
      <c r="D268" s="9"/>
      <c r="E268" s="9"/>
      <c r="F268" s="9"/>
      <c r="G268" s="9"/>
      <c r="H268" s="11"/>
      <c r="I268" s="12"/>
    </row>
    <row r="269" spans="2:9" ht="90" x14ac:dyDescent="0.25">
      <c r="B269" s="9"/>
      <c r="C269" s="9" t="s">
        <v>2560</v>
      </c>
      <c r="D269" s="9" t="s">
        <v>785</v>
      </c>
      <c r="E269" s="9" t="s">
        <v>788</v>
      </c>
      <c r="F269" s="9" t="s">
        <v>1592</v>
      </c>
      <c r="G269" s="9" t="s">
        <v>750</v>
      </c>
      <c r="H269" s="11">
        <v>-200.35000000000002</v>
      </c>
      <c r="I269" s="12">
        <v>-520226442.22362995</v>
      </c>
    </row>
    <row r="270" spans="2:9" ht="30" x14ac:dyDescent="0.25">
      <c r="B270" s="9"/>
      <c r="D270" s="9"/>
      <c r="E270" s="9"/>
      <c r="F270" s="9" t="s">
        <v>1567</v>
      </c>
      <c r="G270" s="9" t="s">
        <v>750</v>
      </c>
      <c r="H270" s="11">
        <v>200.35</v>
      </c>
      <c r="I270" s="12">
        <v>249023000</v>
      </c>
    </row>
    <row r="271" spans="2:9" x14ac:dyDescent="0.25">
      <c r="B271" s="9"/>
      <c r="D271" s="9"/>
      <c r="E271" s="9"/>
      <c r="F271" s="9"/>
      <c r="G271" s="9"/>
      <c r="H271" s="11"/>
      <c r="I271" s="12"/>
    </row>
    <row r="272" spans="2:9" ht="30" x14ac:dyDescent="0.25">
      <c r="B272" s="9" t="s">
        <v>3371</v>
      </c>
      <c r="D272" s="9"/>
      <c r="E272" s="9"/>
      <c r="F272" s="9"/>
      <c r="G272" s="9"/>
      <c r="H272" s="11">
        <v>-34.910000000000025</v>
      </c>
      <c r="I272" s="12">
        <v>-562112421.12675714</v>
      </c>
    </row>
    <row r="273" spans="2:9" x14ac:dyDescent="0.25">
      <c r="B273" s="9"/>
      <c r="D273" s="9"/>
      <c r="E273" s="9"/>
      <c r="F273" s="9"/>
      <c r="G273" s="9"/>
      <c r="H273" s="11"/>
      <c r="I273" s="12"/>
    </row>
    <row r="274" spans="2:9" ht="45" x14ac:dyDescent="0.25">
      <c r="B274" s="9" t="s">
        <v>1602</v>
      </c>
      <c r="C274" s="9" t="s">
        <v>1633</v>
      </c>
      <c r="D274" s="9" t="s">
        <v>1680</v>
      </c>
      <c r="E274" s="9" t="s">
        <v>788</v>
      </c>
      <c r="F274" s="9" t="s">
        <v>1575</v>
      </c>
      <c r="G274" s="9" t="s">
        <v>757</v>
      </c>
      <c r="H274" s="11">
        <v>37.825000000000003</v>
      </c>
      <c r="I274" s="12">
        <v>37825000</v>
      </c>
    </row>
    <row r="275" spans="2:9" x14ac:dyDescent="0.25">
      <c r="B275" s="9"/>
      <c r="D275" s="9"/>
      <c r="E275" s="9"/>
      <c r="F275" s="9" t="s">
        <v>1125</v>
      </c>
      <c r="G275" s="9" t="s">
        <v>757</v>
      </c>
      <c r="H275" s="11">
        <v>-37.824999999999996</v>
      </c>
      <c r="I275" s="12">
        <v>-76370767.539519995</v>
      </c>
    </row>
    <row r="276" spans="2:9" x14ac:dyDescent="0.25">
      <c r="B276" s="9"/>
      <c r="D276" s="9"/>
      <c r="E276" s="9"/>
      <c r="F276" s="9"/>
      <c r="G276" s="9"/>
      <c r="H276" s="11"/>
      <c r="I276" s="12"/>
    </row>
    <row r="277" spans="2:9" ht="45" x14ac:dyDescent="0.25">
      <c r="B277" s="9"/>
      <c r="C277" s="9" t="s">
        <v>1634</v>
      </c>
      <c r="D277" s="9" t="s">
        <v>1680</v>
      </c>
      <c r="E277" s="9" t="s">
        <v>788</v>
      </c>
      <c r="F277" s="9" t="s">
        <v>1126</v>
      </c>
      <c r="G277" s="9" t="s">
        <v>776</v>
      </c>
      <c r="H277" s="11">
        <v>-0.52</v>
      </c>
      <c r="I277" s="12">
        <v>-783864.96058000007</v>
      </c>
    </row>
    <row r="278" spans="2:9" x14ac:dyDescent="0.25">
      <c r="B278" s="9"/>
      <c r="D278" s="9"/>
      <c r="E278" s="9"/>
      <c r="F278" s="9"/>
      <c r="G278" s="9"/>
      <c r="H278" s="11"/>
      <c r="I278" s="12"/>
    </row>
    <row r="279" spans="2:9" ht="45" x14ac:dyDescent="0.25">
      <c r="B279" s="9"/>
      <c r="C279" s="9" t="s">
        <v>1635</v>
      </c>
      <c r="D279" s="9" t="s">
        <v>1680</v>
      </c>
      <c r="E279" s="9" t="s">
        <v>788</v>
      </c>
      <c r="F279" s="9" t="s">
        <v>1126</v>
      </c>
      <c r="G279" s="9" t="s">
        <v>776</v>
      </c>
      <c r="H279" s="11">
        <v>-0.06</v>
      </c>
      <c r="I279" s="12">
        <v>-90445.956990000006</v>
      </c>
    </row>
    <row r="280" spans="2:9" x14ac:dyDescent="0.25">
      <c r="B280" s="9"/>
      <c r="D280" s="9"/>
      <c r="E280" s="9"/>
      <c r="F280" s="9"/>
      <c r="G280" s="9"/>
      <c r="H280" s="11"/>
      <c r="I280" s="12"/>
    </row>
    <row r="281" spans="2:9" ht="45" x14ac:dyDescent="0.25">
      <c r="B281" s="9"/>
      <c r="C281" s="9" t="s">
        <v>1636</v>
      </c>
      <c r="D281" s="9" t="s">
        <v>1680</v>
      </c>
      <c r="E281" s="9" t="s">
        <v>788</v>
      </c>
      <c r="F281" s="9" t="s">
        <v>1575</v>
      </c>
      <c r="G281" s="9" t="s">
        <v>757</v>
      </c>
      <c r="H281" s="11">
        <v>0</v>
      </c>
      <c r="I281" s="12">
        <v>0</v>
      </c>
    </row>
    <row r="282" spans="2:9" x14ac:dyDescent="0.25">
      <c r="B282" s="9"/>
      <c r="D282" s="9"/>
      <c r="E282" s="9"/>
      <c r="F282" s="9" t="s">
        <v>1126</v>
      </c>
      <c r="G282" s="9" t="s">
        <v>776</v>
      </c>
      <c r="H282" s="11">
        <v>-0.78</v>
      </c>
      <c r="I282" s="12">
        <v>-1447135.3118400001</v>
      </c>
    </row>
    <row r="283" spans="2:9" x14ac:dyDescent="0.25">
      <c r="B283" s="9"/>
      <c r="D283" s="9"/>
      <c r="E283" s="9"/>
      <c r="F283" s="9"/>
      <c r="G283" s="9"/>
      <c r="H283" s="11"/>
      <c r="I283" s="12"/>
    </row>
    <row r="284" spans="2:9" x14ac:dyDescent="0.25">
      <c r="B284" s="9"/>
      <c r="C284" s="9" t="s">
        <v>1651</v>
      </c>
      <c r="D284" s="9" t="s">
        <v>785</v>
      </c>
      <c r="E284" s="9" t="s">
        <v>788</v>
      </c>
      <c r="F284" s="9" t="s">
        <v>1126</v>
      </c>
      <c r="G284" s="9" t="s">
        <v>776</v>
      </c>
      <c r="H284" s="11">
        <v>-0.96000000000000019</v>
      </c>
      <c r="I284" s="12">
        <v>-1286611.0490300001</v>
      </c>
    </row>
    <row r="285" spans="2:9" x14ac:dyDescent="0.25">
      <c r="B285" s="9"/>
      <c r="D285" s="9"/>
      <c r="E285" s="9"/>
      <c r="F285" s="9" t="s">
        <v>1125</v>
      </c>
      <c r="G285" s="9" t="s">
        <v>757</v>
      </c>
      <c r="H285" s="11">
        <v>-21</v>
      </c>
      <c r="I285" s="12">
        <v>-12519881.975370001</v>
      </c>
    </row>
    <row r="286" spans="2:9" x14ac:dyDescent="0.25">
      <c r="B286" s="9"/>
      <c r="D286" s="9"/>
      <c r="E286" s="9"/>
      <c r="F286" s="9"/>
      <c r="G286" s="9"/>
      <c r="H286" s="11"/>
      <c r="I286" s="12"/>
    </row>
    <row r="287" spans="2:9" x14ac:dyDescent="0.25">
      <c r="B287" s="9"/>
      <c r="C287" s="9" t="s">
        <v>1652</v>
      </c>
      <c r="D287" s="9" t="s">
        <v>1593</v>
      </c>
      <c r="E287" s="9" t="s">
        <v>788</v>
      </c>
      <c r="F287" s="9" t="s">
        <v>1126</v>
      </c>
      <c r="G287" s="9" t="s">
        <v>776</v>
      </c>
      <c r="H287" s="11">
        <v>0.08</v>
      </c>
      <c r="I287" s="12">
        <v>127248.45779999999</v>
      </c>
    </row>
    <row r="288" spans="2:9" x14ac:dyDescent="0.25">
      <c r="B288" s="9"/>
      <c r="D288" s="9"/>
      <c r="E288" s="9"/>
      <c r="F288" s="9" t="s">
        <v>1125</v>
      </c>
      <c r="G288" s="9" t="s">
        <v>757</v>
      </c>
      <c r="H288" s="11">
        <v>0.125</v>
      </c>
      <c r="I288" s="12">
        <v>245037.22641999999</v>
      </c>
    </row>
    <row r="289" spans="2:9" x14ac:dyDescent="0.25">
      <c r="B289" s="9"/>
      <c r="D289" s="9"/>
      <c r="E289" s="9"/>
      <c r="F289" s="9"/>
      <c r="G289" s="9"/>
      <c r="H289" s="11"/>
      <c r="I289" s="12"/>
    </row>
    <row r="290" spans="2:9" ht="45" x14ac:dyDescent="0.25">
      <c r="B290" s="9"/>
      <c r="C290" s="9" t="s">
        <v>1659</v>
      </c>
      <c r="D290" s="9" t="s">
        <v>786</v>
      </c>
      <c r="E290" s="9" t="s">
        <v>1598</v>
      </c>
      <c r="F290" s="9" t="s">
        <v>1125</v>
      </c>
      <c r="G290" s="9" t="s">
        <v>757</v>
      </c>
      <c r="H290" s="11">
        <v>-2.7</v>
      </c>
      <c r="I290" s="12">
        <v>-5451449.3683200004</v>
      </c>
    </row>
    <row r="291" spans="2:9" x14ac:dyDescent="0.25">
      <c r="B291" s="9"/>
      <c r="D291" s="9"/>
      <c r="E291" s="9"/>
      <c r="F291" s="9"/>
      <c r="G291" s="9"/>
      <c r="H291" s="11"/>
      <c r="I291" s="12"/>
    </row>
    <row r="292" spans="2:9" ht="30" x14ac:dyDescent="0.25">
      <c r="B292" s="9"/>
      <c r="D292" s="9" t="s">
        <v>1680</v>
      </c>
      <c r="E292" s="9" t="s">
        <v>788</v>
      </c>
      <c r="F292" s="9" t="s">
        <v>1125</v>
      </c>
      <c r="G292" s="9" t="s">
        <v>757</v>
      </c>
      <c r="H292" s="11">
        <v>-0.05</v>
      </c>
      <c r="I292" s="12">
        <v>-100952.76608</v>
      </c>
    </row>
    <row r="293" spans="2:9" x14ac:dyDescent="0.25">
      <c r="B293" s="9"/>
      <c r="D293" s="9"/>
      <c r="E293" s="9"/>
      <c r="F293" s="9"/>
      <c r="G293" s="9"/>
      <c r="H293" s="11"/>
      <c r="I293" s="12"/>
    </row>
    <row r="294" spans="2:9" ht="45" x14ac:dyDescent="0.25">
      <c r="B294" s="9"/>
      <c r="C294" s="9" t="s">
        <v>1661</v>
      </c>
      <c r="D294" s="9" t="s">
        <v>785</v>
      </c>
      <c r="E294" s="9" t="s">
        <v>788</v>
      </c>
      <c r="F294" s="9" t="s">
        <v>1125</v>
      </c>
      <c r="G294" s="9" t="s">
        <v>757</v>
      </c>
      <c r="H294" s="11">
        <v>-4.3249999999999993</v>
      </c>
      <c r="I294" s="12">
        <v>-8732414.2659200002</v>
      </c>
    </row>
    <row r="295" spans="2:9" x14ac:dyDescent="0.25">
      <c r="B295" s="9"/>
      <c r="D295" s="9"/>
      <c r="E295" s="9"/>
      <c r="F295" s="9"/>
      <c r="G295" s="9"/>
      <c r="H295" s="11"/>
      <c r="I295" s="12"/>
    </row>
    <row r="296" spans="2:9" ht="30" x14ac:dyDescent="0.25">
      <c r="B296" s="9"/>
      <c r="D296" s="9" t="s">
        <v>1680</v>
      </c>
      <c r="E296" s="9" t="s">
        <v>788</v>
      </c>
      <c r="F296" s="9" t="s">
        <v>1125</v>
      </c>
      <c r="G296" s="9" t="s">
        <v>757</v>
      </c>
      <c r="H296" s="11">
        <v>-0.1</v>
      </c>
      <c r="I296" s="12">
        <v>-201905.53216</v>
      </c>
    </row>
    <row r="297" spans="2:9" x14ac:dyDescent="0.25">
      <c r="B297" s="9"/>
      <c r="D297" s="9"/>
      <c r="E297" s="9"/>
      <c r="F297" s="9"/>
      <c r="G297" s="9"/>
      <c r="H297" s="11"/>
      <c r="I297" s="12"/>
    </row>
    <row r="298" spans="2:9" ht="45" x14ac:dyDescent="0.25">
      <c r="B298" s="9"/>
      <c r="C298" s="9" t="s">
        <v>1660</v>
      </c>
      <c r="D298" s="9" t="s">
        <v>785</v>
      </c>
      <c r="E298" s="9" t="s">
        <v>788</v>
      </c>
      <c r="F298" s="9" t="s">
        <v>1125</v>
      </c>
      <c r="G298" s="9" t="s">
        <v>757</v>
      </c>
      <c r="H298" s="11">
        <v>-6.9750000000000005</v>
      </c>
      <c r="I298" s="12">
        <v>-14082910.86816</v>
      </c>
    </row>
    <row r="299" spans="2:9" x14ac:dyDescent="0.25">
      <c r="B299" s="9"/>
      <c r="D299" s="9"/>
      <c r="E299" s="9"/>
      <c r="F299" s="9"/>
      <c r="G299" s="9"/>
      <c r="H299" s="11"/>
      <c r="I299" s="12"/>
    </row>
    <row r="300" spans="2:9" ht="90" x14ac:dyDescent="0.25">
      <c r="B300" s="9"/>
      <c r="C300" s="9" t="s">
        <v>1662</v>
      </c>
      <c r="D300" s="9" t="s">
        <v>1586</v>
      </c>
      <c r="E300" s="9" t="s">
        <v>788</v>
      </c>
      <c r="F300" s="9" t="s">
        <v>1126</v>
      </c>
      <c r="G300" s="9" t="s">
        <v>776</v>
      </c>
      <c r="H300" s="11">
        <v>-1.02</v>
      </c>
      <c r="I300" s="12">
        <v>-1760365.5388500001</v>
      </c>
    </row>
    <row r="301" spans="2:9" x14ac:dyDescent="0.25">
      <c r="B301" s="9"/>
      <c r="D301" s="9"/>
      <c r="E301" s="9"/>
      <c r="F301" s="9"/>
      <c r="G301" s="9"/>
      <c r="H301" s="11"/>
      <c r="I301" s="12"/>
    </row>
    <row r="302" spans="2:9" ht="75" x14ac:dyDescent="0.25">
      <c r="B302" s="9"/>
      <c r="C302" s="9" t="s">
        <v>1924</v>
      </c>
      <c r="D302" s="9" t="s">
        <v>785</v>
      </c>
      <c r="E302" s="9" t="s">
        <v>788</v>
      </c>
      <c r="F302" s="9" t="s">
        <v>1125</v>
      </c>
      <c r="G302" s="9" t="s">
        <v>757</v>
      </c>
      <c r="H302" s="11">
        <v>-4.1500000000000004</v>
      </c>
      <c r="I302" s="12">
        <v>-1962527.47854</v>
      </c>
    </row>
    <row r="303" spans="2:9" x14ac:dyDescent="0.25">
      <c r="B303" s="9"/>
      <c r="D303" s="9"/>
      <c r="E303" s="9"/>
      <c r="F303" s="9"/>
      <c r="G303" s="9"/>
      <c r="H303" s="11"/>
      <c r="I303" s="12"/>
    </row>
    <row r="304" spans="2:9" ht="30" x14ac:dyDescent="0.25">
      <c r="B304" s="9"/>
      <c r="C304" s="9" t="s">
        <v>1926</v>
      </c>
      <c r="D304" s="9" t="s">
        <v>1680</v>
      </c>
      <c r="E304" s="9" t="s">
        <v>788</v>
      </c>
      <c r="F304" s="9" t="s">
        <v>1125</v>
      </c>
      <c r="G304" s="9" t="s">
        <v>757</v>
      </c>
      <c r="H304" s="11">
        <v>-0.1</v>
      </c>
      <c r="I304" s="12">
        <v>-198203.85</v>
      </c>
    </row>
    <row r="305" spans="2:9" x14ac:dyDescent="0.25">
      <c r="B305" s="9"/>
      <c r="D305" s="9"/>
      <c r="E305" s="9"/>
      <c r="F305" s="9"/>
      <c r="G305" s="9"/>
      <c r="H305" s="11"/>
      <c r="I305" s="12"/>
    </row>
    <row r="306" spans="2:9" ht="60" x14ac:dyDescent="0.25">
      <c r="B306" s="9"/>
      <c r="C306" s="9" t="s">
        <v>1928</v>
      </c>
      <c r="D306" s="9" t="s">
        <v>1586</v>
      </c>
      <c r="E306" s="9" t="s">
        <v>788</v>
      </c>
      <c r="F306" s="9" t="s">
        <v>1575</v>
      </c>
      <c r="G306" s="9" t="s">
        <v>757</v>
      </c>
      <c r="H306" s="11">
        <v>1.925</v>
      </c>
      <c r="I306" s="12">
        <v>0</v>
      </c>
    </row>
    <row r="307" spans="2:9" x14ac:dyDescent="0.25">
      <c r="B307" s="9"/>
      <c r="D307" s="9"/>
      <c r="E307" s="9"/>
      <c r="F307" s="9" t="s">
        <v>1125</v>
      </c>
      <c r="G307" s="9" t="s">
        <v>757</v>
      </c>
      <c r="H307" s="11">
        <v>-2</v>
      </c>
      <c r="I307" s="12">
        <v>-4038110.6432000003</v>
      </c>
    </row>
    <row r="308" spans="2:9" x14ac:dyDescent="0.25">
      <c r="B308" s="9"/>
      <c r="D308" s="9"/>
      <c r="E308" s="9"/>
      <c r="F308" s="9"/>
      <c r="G308" s="9"/>
      <c r="H308" s="11"/>
      <c r="I308" s="12"/>
    </row>
    <row r="309" spans="2:9" ht="30" x14ac:dyDescent="0.25">
      <c r="B309" s="9"/>
      <c r="C309" s="9" t="s">
        <v>2287</v>
      </c>
      <c r="D309" s="9" t="s">
        <v>1680</v>
      </c>
      <c r="E309" s="9" t="s">
        <v>788</v>
      </c>
      <c r="F309" s="9" t="s">
        <v>1125</v>
      </c>
      <c r="G309" s="9" t="s">
        <v>757</v>
      </c>
      <c r="H309" s="11">
        <v>-0.8</v>
      </c>
      <c r="I309" s="12">
        <v>-378318.55008000002</v>
      </c>
    </row>
    <row r="310" spans="2:9" x14ac:dyDescent="0.25">
      <c r="B310" s="9"/>
      <c r="D310" s="9"/>
      <c r="E310" s="9"/>
      <c r="F310" s="9"/>
      <c r="G310" s="9"/>
      <c r="H310" s="11"/>
      <c r="I310" s="12"/>
    </row>
    <row r="311" spans="2:9" ht="60" x14ac:dyDescent="0.25">
      <c r="B311" s="9"/>
      <c r="C311" s="9" t="s">
        <v>2546</v>
      </c>
      <c r="D311" s="9" t="s">
        <v>1586</v>
      </c>
      <c r="E311" s="9" t="s">
        <v>788</v>
      </c>
      <c r="F311" s="9" t="s">
        <v>1125</v>
      </c>
      <c r="G311" s="9" t="s">
        <v>757</v>
      </c>
      <c r="H311" s="11">
        <v>-0.22500000000000001</v>
      </c>
      <c r="I311" s="12">
        <v>-509877.16911000002</v>
      </c>
    </row>
    <row r="312" spans="2:9" x14ac:dyDescent="0.25">
      <c r="B312" s="9"/>
      <c r="D312" s="9"/>
      <c r="E312" s="9"/>
      <c r="F312" s="9"/>
      <c r="G312" s="9"/>
      <c r="H312" s="11"/>
      <c r="I312" s="12"/>
    </row>
    <row r="313" spans="2:9" ht="60" x14ac:dyDescent="0.25">
      <c r="B313" s="9"/>
      <c r="C313" s="9" t="s">
        <v>2551</v>
      </c>
      <c r="D313" s="9" t="s">
        <v>785</v>
      </c>
      <c r="E313" s="9" t="s">
        <v>788</v>
      </c>
      <c r="F313" s="9" t="s">
        <v>1575</v>
      </c>
      <c r="G313" s="9" t="s">
        <v>757</v>
      </c>
      <c r="H313" s="11">
        <v>7.05</v>
      </c>
      <c r="I313" s="12">
        <v>7050000</v>
      </c>
    </row>
    <row r="314" spans="2:9" x14ac:dyDescent="0.25">
      <c r="B314" s="9"/>
      <c r="D314" s="9"/>
      <c r="E314" s="9"/>
      <c r="F314" s="9" t="s">
        <v>1125</v>
      </c>
      <c r="G314" s="9" t="s">
        <v>757</v>
      </c>
      <c r="H314" s="11">
        <v>-7.05</v>
      </c>
      <c r="I314" s="12">
        <v>-14234340.017279999</v>
      </c>
    </row>
    <row r="315" spans="2:9" x14ac:dyDescent="0.25">
      <c r="B315" s="9"/>
      <c r="D315" s="9"/>
      <c r="E315" s="9"/>
      <c r="F315" s="9"/>
      <c r="G315" s="9"/>
      <c r="H315" s="11"/>
      <c r="I315" s="12"/>
    </row>
    <row r="316" spans="2:9" ht="75" x14ac:dyDescent="0.25">
      <c r="B316" s="9"/>
      <c r="C316" s="9" t="s">
        <v>2665</v>
      </c>
      <c r="D316" s="9" t="s">
        <v>1680</v>
      </c>
      <c r="E316" s="9" t="s">
        <v>788</v>
      </c>
      <c r="F316" s="9" t="s">
        <v>1125</v>
      </c>
      <c r="G316" s="9" t="s">
        <v>757</v>
      </c>
      <c r="H316" s="11">
        <v>-0.17499999999999999</v>
      </c>
      <c r="I316" s="12">
        <v>-342100.96185999998</v>
      </c>
    </row>
    <row r="317" spans="2:9" x14ac:dyDescent="0.25">
      <c r="B317" s="9"/>
      <c r="D317" s="9"/>
      <c r="E317" s="9"/>
      <c r="F317" s="9" t="s">
        <v>2199</v>
      </c>
      <c r="G317" s="9" t="s">
        <v>750</v>
      </c>
      <c r="H317" s="11">
        <v>0.1</v>
      </c>
      <c r="I317" s="12">
        <v>72000</v>
      </c>
    </row>
    <row r="318" spans="2:9" x14ac:dyDescent="0.25">
      <c r="B318" s="9"/>
      <c r="D318" s="9"/>
      <c r="E318" s="9"/>
      <c r="F318" s="9"/>
      <c r="G318" s="9"/>
      <c r="H318" s="11"/>
      <c r="I318" s="12"/>
    </row>
    <row r="319" spans="2:9" ht="60" x14ac:dyDescent="0.25">
      <c r="B319" s="9"/>
      <c r="C319" s="9" t="s">
        <v>2715</v>
      </c>
      <c r="D319" s="9" t="s">
        <v>1680</v>
      </c>
      <c r="E319" s="9" t="s">
        <v>788</v>
      </c>
      <c r="F319" s="9" t="s">
        <v>1126</v>
      </c>
      <c r="G319" s="9" t="s">
        <v>776</v>
      </c>
      <c r="H319" s="11">
        <v>-0.26</v>
      </c>
      <c r="I319" s="12">
        <v>-403295.79485000001</v>
      </c>
    </row>
    <row r="320" spans="2:9" x14ac:dyDescent="0.25">
      <c r="B320" s="9"/>
      <c r="D320" s="9"/>
      <c r="E320" s="9"/>
      <c r="F320" s="9"/>
      <c r="G320" s="9" t="s">
        <v>750</v>
      </c>
      <c r="H320" s="11">
        <v>0.1</v>
      </c>
      <c r="I320" s="12">
        <v>90000</v>
      </c>
    </row>
    <row r="321" spans="2:9" x14ac:dyDescent="0.25">
      <c r="B321" s="9"/>
      <c r="D321" s="9"/>
      <c r="E321" s="9"/>
      <c r="F321" s="9"/>
      <c r="G321" s="9"/>
      <c r="H321" s="11"/>
      <c r="I321" s="12"/>
    </row>
    <row r="322" spans="2:9" ht="45" x14ac:dyDescent="0.25">
      <c r="B322" s="9"/>
      <c r="C322" s="9" t="s">
        <v>2901</v>
      </c>
      <c r="D322" s="9" t="s">
        <v>786</v>
      </c>
      <c r="E322" s="9" t="s">
        <v>1596</v>
      </c>
      <c r="F322" s="9" t="s">
        <v>1575</v>
      </c>
      <c r="G322" s="9" t="s">
        <v>757</v>
      </c>
      <c r="H322" s="11">
        <v>0.1</v>
      </c>
      <c r="I322" s="12">
        <v>72000</v>
      </c>
    </row>
    <row r="323" spans="2:9" x14ac:dyDescent="0.25">
      <c r="B323" s="9"/>
      <c r="D323" s="9"/>
      <c r="E323" s="9"/>
      <c r="F323" s="9" t="s">
        <v>1125</v>
      </c>
      <c r="G323" s="9" t="s">
        <v>757</v>
      </c>
      <c r="H323" s="11">
        <v>-0.1</v>
      </c>
      <c r="I323" s="12">
        <v>-195488</v>
      </c>
    </row>
    <row r="324" spans="2:9" x14ac:dyDescent="0.25">
      <c r="B324" s="9"/>
      <c r="D324" s="9"/>
      <c r="E324" s="9"/>
      <c r="F324" s="9"/>
      <c r="G324" s="9"/>
      <c r="H324" s="11"/>
      <c r="I324" s="12"/>
    </row>
    <row r="325" spans="2:9" ht="45" x14ac:dyDescent="0.25">
      <c r="B325" s="9"/>
      <c r="C325" s="9" t="s">
        <v>2903</v>
      </c>
      <c r="D325" s="9" t="s">
        <v>1680</v>
      </c>
      <c r="E325" s="9" t="s">
        <v>788</v>
      </c>
      <c r="F325" s="9" t="s">
        <v>1126</v>
      </c>
      <c r="G325" s="9" t="s">
        <v>776</v>
      </c>
      <c r="H325" s="11">
        <v>0</v>
      </c>
      <c r="I325" s="12">
        <v>-7944030</v>
      </c>
    </row>
    <row r="326" spans="2:9" x14ac:dyDescent="0.25">
      <c r="B326" s="9"/>
      <c r="D326" s="9"/>
      <c r="E326" s="9"/>
      <c r="F326" s="9"/>
      <c r="G326" s="9"/>
      <c r="H326" s="11"/>
      <c r="I326" s="12"/>
    </row>
    <row r="327" spans="2:9" ht="45" x14ac:dyDescent="0.25">
      <c r="B327" s="9"/>
      <c r="C327" s="9" t="s">
        <v>3350</v>
      </c>
      <c r="D327" s="9" t="s">
        <v>1680</v>
      </c>
      <c r="E327" s="9" t="s">
        <v>788</v>
      </c>
      <c r="F327" s="9" t="s">
        <v>1126</v>
      </c>
      <c r="G327" s="9" t="s">
        <v>776</v>
      </c>
      <c r="H327" s="11">
        <v>-0.02</v>
      </c>
      <c r="I327" s="12">
        <v>-23264.08728</v>
      </c>
    </row>
    <row r="328" spans="2:9" x14ac:dyDescent="0.25">
      <c r="B328" s="9"/>
      <c r="D328" s="9"/>
      <c r="E328" s="9"/>
      <c r="F328" s="9"/>
      <c r="G328" s="9"/>
      <c r="H328" s="11"/>
      <c r="I328" s="12"/>
    </row>
    <row r="329" spans="2:9" ht="45" x14ac:dyDescent="0.25">
      <c r="B329" s="9"/>
      <c r="C329" s="9" t="s">
        <v>3357</v>
      </c>
      <c r="D329" s="9" t="s">
        <v>786</v>
      </c>
      <c r="E329" s="9" t="s">
        <v>1598</v>
      </c>
      <c r="F329" s="9" t="s">
        <v>1126</v>
      </c>
      <c r="G329" s="9" t="s">
        <v>776</v>
      </c>
      <c r="H329" s="11">
        <v>-1.66</v>
      </c>
      <c r="I329" s="12">
        <v>-1930919.2450699999</v>
      </c>
    </row>
    <row r="330" spans="2:9" x14ac:dyDescent="0.25">
      <c r="B330" s="9"/>
      <c r="D330" s="9"/>
      <c r="E330" s="9"/>
      <c r="F330" s="9"/>
      <c r="G330" s="9"/>
      <c r="H330" s="11"/>
      <c r="I330" s="12"/>
    </row>
    <row r="331" spans="2:9" ht="45" x14ac:dyDescent="0.25">
      <c r="B331" s="9"/>
      <c r="C331" s="9" t="s">
        <v>3370</v>
      </c>
      <c r="D331" s="9" t="s">
        <v>786</v>
      </c>
      <c r="E331" s="9" t="s">
        <v>1598</v>
      </c>
      <c r="F331" s="9" t="s">
        <v>1126</v>
      </c>
      <c r="G331" s="9" t="s">
        <v>776</v>
      </c>
      <c r="H331" s="11">
        <v>-1.62</v>
      </c>
      <c r="I331" s="12">
        <v>-1884391.06968</v>
      </c>
    </row>
    <row r="332" spans="2:9" x14ac:dyDescent="0.25">
      <c r="B332" s="9"/>
      <c r="D332" s="9"/>
      <c r="E332" s="9"/>
      <c r="F332" s="9"/>
      <c r="G332" s="9"/>
      <c r="H332" s="11"/>
      <c r="I332" s="12"/>
    </row>
    <row r="333" spans="2:9" ht="45" x14ac:dyDescent="0.25">
      <c r="B333" s="9"/>
      <c r="C333" s="9" t="s">
        <v>3434</v>
      </c>
      <c r="D333" s="9" t="s">
        <v>1593</v>
      </c>
      <c r="E333" s="9" t="s">
        <v>788</v>
      </c>
      <c r="F333" s="9" t="s">
        <v>1125</v>
      </c>
      <c r="G333" s="9" t="s">
        <v>757</v>
      </c>
      <c r="H333" s="11">
        <v>2.5000000000000001E-2</v>
      </c>
      <c r="I333" s="12">
        <v>48871.565979999999</v>
      </c>
    </row>
    <row r="334" spans="2:9" x14ac:dyDescent="0.25">
      <c r="B334" s="9"/>
      <c r="D334" s="9"/>
      <c r="E334" s="9"/>
      <c r="F334" s="9"/>
      <c r="G334" s="9"/>
      <c r="H334" s="11"/>
      <c r="I334" s="12"/>
    </row>
    <row r="335" spans="2:9" x14ac:dyDescent="0.25">
      <c r="B335" s="9" t="s">
        <v>2895</v>
      </c>
      <c r="D335" s="9"/>
      <c r="E335" s="9"/>
      <c r="F335" s="9"/>
      <c r="G335" s="9"/>
      <c r="H335" s="11">
        <v>-47.144999999999996</v>
      </c>
      <c r="I335" s="12">
        <v>-111343414.74957</v>
      </c>
    </row>
    <row r="336" spans="2:9" x14ac:dyDescent="0.25">
      <c r="B336" s="9"/>
      <c r="D336" s="9"/>
      <c r="E336" s="9"/>
      <c r="F336" s="9"/>
      <c r="G336" s="9"/>
      <c r="H336" s="11"/>
      <c r="I336" s="12"/>
    </row>
    <row r="337" spans="2:9" ht="30" x14ac:dyDescent="0.25">
      <c r="B337" s="9" t="s">
        <v>1604</v>
      </c>
      <c r="C337" s="9" t="s">
        <v>1621</v>
      </c>
      <c r="D337" s="9" t="s">
        <v>1687</v>
      </c>
      <c r="E337" s="9" t="s">
        <v>788</v>
      </c>
      <c r="F337" s="9" t="s">
        <v>758</v>
      </c>
      <c r="G337" s="9" t="s">
        <v>748</v>
      </c>
      <c r="H337" s="11">
        <v>-3.22</v>
      </c>
      <c r="I337" s="12">
        <v>-12198665.710000001</v>
      </c>
    </row>
    <row r="338" spans="2:9" x14ac:dyDescent="0.25">
      <c r="B338" s="9"/>
      <c r="D338" s="9"/>
      <c r="E338" s="9"/>
      <c r="F338" s="9"/>
      <c r="G338" s="9"/>
      <c r="H338" s="11"/>
      <c r="I338" s="12"/>
    </row>
    <row r="339" spans="2:9" ht="45" x14ac:dyDescent="0.25">
      <c r="B339" s="9"/>
      <c r="C339" s="9" t="s">
        <v>1618</v>
      </c>
      <c r="D339" s="9" t="s">
        <v>785</v>
      </c>
      <c r="E339" s="9" t="s">
        <v>788</v>
      </c>
      <c r="F339" s="9" t="s">
        <v>758</v>
      </c>
      <c r="G339" s="9" t="s">
        <v>748</v>
      </c>
      <c r="H339" s="11">
        <v>-9.4E-2</v>
      </c>
      <c r="I339" s="12">
        <v>-356110.11700000003</v>
      </c>
    </row>
    <row r="340" spans="2:9" x14ac:dyDescent="0.25">
      <c r="B340" s="9"/>
      <c r="D340" s="9"/>
      <c r="E340" s="9"/>
      <c r="F340" s="9"/>
      <c r="G340" s="9"/>
      <c r="H340" s="11"/>
      <c r="I340" s="12"/>
    </row>
    <row r="341" spans="2:9" ht="30" x14ac:dyDescent="0.25">
      <c r="B341" s="9"/>
      <c r="D341" s="9" t="s">
        <v>1687</v>
      </c>
      <c r="E341" s="9" t="s">
        <v>788</v>
      </c>
      <c r="F341" s="9" t="s">
        <v>758</v>
      </c>
      <c r="G341" s="9" t="s">
        <v>748</v>
      </c>
      <c r="H341" s="11">
        <v>-0.14599999999999999</v>
      </c>
      <c r="I341" s="12">
        <v>-553107.20299999998</v>
      </c>
    </row>
    <row r="342" spans="2:9" x14ac:dyDescent="0.25">
      <c r="B342" s="9"/>
      <c r="D342" s="9"/>
      <c r="E342" s="9"/>
      <c r="F342" s="9"/>
      <c r="G342" s="9"/>
      <c r="H342" s="11"/>
      <c r="I342" s="12"/>
    </row>
    <row r="343" spans="2:9" ht="45" x14ac:dyDescent="0.25">
      <c r="B343" s="9"/>
      <c r="C343" s="9" t="s">
        <v>1619</v>
      </c>
      <c r="D343" s="9" t="s">
        <v>1680</v>
      </c>
      <c r="E343" s="9" t="s">
        <v>788</v>
      </c>
      <c r="F343" s="9" t="s">
        <v>755</v>
      </c>
      <c r="G343" s="9" t="s">
        <v>750</v>
      </c>
      <c r="H343" s="11">
        <v>-0.45</v>
      </c>
      <c r="I343" s="12">
        <v>-1794507.8684400001</v>
      </c>
    </row>
    <row r="344" spans="2:9" ht="45" x14ac:dyDescent="0.25">
      <c r="B344" s="9"/>
      <c r="D344" s="9"/>
      <c r="E344" s="9"/>
      <c r="F344" s="9" t="s">
        <v>1574</v>
      </c>
      <c r="G344" s="9" t="s">
        <v>750</v>
      </c>
      <c r="H344" s="11">
        <v>0.45</v>
      </c>
      <c r="I344" s="12">
        <v>0</v>
      </c>
    </row>
    <row r="345" spans="2:9" x14ac:dyDescent="0.25">
      <c r="B345" s="9"/>
      <c r="D345" s="9"/>
      <c r="E345" s="9"/>
      <c r="F345" s="9"/>
      <c r="G345" s="9"/>
      <c r="H345" s="11"/>
      <c r="I345" s="12"/>
    </row>
    <row r="346" spans="2:9" ht="45" x14ac:dyDescent="0.25">
      <c r="B346" s="9"/>
      <c r="C346" s="9" t="s">
        <v>1625</v>
      </c>
      <c r="D346" s="9" t="s">
        <v>785</v>
      </c>
      <c r="E346" s="9" t="s">
        <v>788</v>
      </c>
      <c r="F346" s="9" t="s">
        <v>758</v>
      </c>
      <c r="G346" s="9" t="s">
        <v>748</v>
      </c>
      <c r="H346" s="11">
        <v>-0.17</v>
      </c>
      <c r="I346" s="12">
        <v>-655233.97500000009</v>
      </c>
    </row>
    <row r="347" spans="2:9" x14ac:dyDescent="0.25">
      <c r="B347" s="9"/>
      <c r="D347" s="9"/>
      <c r="E347" s="9"/>
      <c r="F347" s="9"/>
      <c r="G347" s="9"/>
      <c r="H347" s="11"/>
      <c r="I347" s="12"/>
    </row>
    <row r="348" spans="2:9" ht="30" x14ac:dyDescent="0.25">
      <c r="B348" s="9"/>
      <c r="D348" s="9" t="s">
        <v>1687</v>
      </c>
      <c r="E348" s="9" t="s">
        <v>788</v>
      </c>
      <c r="F348" s="9" t="s">
        <v>758</v>
      </c>
      <c r="G348" s="9" t="s">
        <v>748</v>
      </c>
      <c r="H348" s="11">
        <v>-0.35</v>
      </c>
      <c r="I348" s="12">
        <v>-1349011.125</v>
      </c>
    </row>
    <row r="349" spans="2:9" x14ac:dyDescent="0.25">
      <c r="B349" s="9"/>
      <c r="D349" s="9"/>
      <c r="E349" s="9"/>
      <c r="F349" s="9"/>
      <c r="G349" s="9"/>
      <c r="H349" s="11"/>
      <c r="I349" s="12"/>
    </row>
    <row r="350" spans="2:9" ht="45" x14ac:dyDescent="0.25">
      <c r="B350" s="9"/>
      <c r="C350" s="9" t="s">
        <v>1628</v>
      </c>
      <c r="D350" s="9" t="s">
        <v>785</v>
      </c>
      <c r="E350" s="9" t="s">
        <v>788</v>
      </c>
      <c r="F350" s="9" t="s">
        <v>758</v>
      </c>
      <c r="G350" s="9" t="s">
        <v>748</v>
      </c>
      <c r="H350" s="11">
        <v>-0.43</v>
      </c>
      <c r="I350" s="12">
        <v>-1657356.5249999999</v>
      </c>
    </row>
    <row r="351" spans="2:9" x14ac:dyDescent="0.25">
      <c r="B351" s="9"/>
      <c r="D351" s="9"/>
      <c r="E351" s="9"/>
      <c r="F351" s="9"/>
      <c r="G351" s="9"/>
      <c r="H351" s="11"/>
      <c r="I351" s="12"/>
    </row>
    <row r="352" spans="2:9" ht="30" x14ac:dyDescent="0.25">
      <c r="B352" s="9"/>
      <c r="D352" s="9" t="s">
        <v>1687</v>
      </c>
      <c r="E352" s="9" t="s">
        <v>788</v>
      </c>
      <c r="F352" s="9" t="s">
        <v>758</v>
      </c>
      <c r="G352" s="9" t="s">
        <v>748</v>
      </c>
      <c r="H352" s="11">
        <v>-0.35</v>
      </c>
      <c r="I352" s="12">
        <v>-1349011.125</v>
      </c>
    </row>
    <row r="353" spans="2:9" x14ac:dyDescent="0.25">
      <c r="B353" s="9"/>
      <c r="D353" s="9"/>
      <c r="E353" s="9"/>
      <c r="F353" s="9"/>
      <c r="G353" s="9"/>
      <c r="H353" s="11"/>
      <c r="I353" s="12"/>
    </row>
    <row r="354" spans="2:9" ht="45" x14ac:dyDescent="0.25">
      <c r="B354" s="9"/>
      <c r="C354" s="9" t="s">
        <v>1640</v>
      </c>
      <c r="D354" s="9" t="s">
        <v>1680</v>
      </c>
      <c r="E354" s="9" t="s">
        <v>788</v>
      </c>
      <c r="F354" s="9" t="s">
        <v>755</v>
      </c>
      <c r="G354" s="9" t="s">
        <v>750</v>
      </c>
      <c r="H354" s="11">
        <v>-1</v>
      </c>
      <c r="I354" s="12">
        <v>-3746797.3684</v>
      </c>
    </row>
    <row r="355" spans="2:9" ht="45" x14ac:dyDescent="0.25">
      <c r="B355" s="9"/>
      <c r="D355" s="9"/>
      <c r="E355" s="9"/>
      <c r="F355" s="9" t="s">
        <v>1574</v>
      </c>
      <c r="G355" s="9" t="s">
        <v>750</v>
      </c>
      <c r="H355" s="11">
        <v>0.2</v>
      </c>
      <c r="I355" s="12">
        <v>144000</v>
      </c>
    </row>
    <row r="356" spans="2:9" x14ac:dyDescent="0.25">
      <c r="B356" s="9"/>
      <c r="D356" s="9"/>
      <c r="E356" s="9"/>
      <c r="F356" s="9"/>
      <c r="G356" s="9"/>
      <c r="H356" s="11"/>
      <c r="I356" s="12"/>
    </row>
    <row r="357" spans="2:9" ht="45" x14ac:dyDescent="0.25">
      <c r="B357" s="9"/>
      <c r="C357" s="9" t="s">
        <v>1643</v>
      </c>
      <c r="D357" s="9" t="s">
        <v>1680</v>
      </c>
      <c r="E357" s="9" t="s">
        <v>788</v>
      </c>
      <c r="F357" s="9" t="s">
        <v>755</v>
      </c>
      <c r="G357" s="9" t="s">
        <v>750</v>
      </c>
      <c r="H357" s="11">
        <v>-0.45</v>
      </c>
      <c r="I357" s="12">
        <v>-1686058.8157800001</v>
      </c>
    </row>
    <row r="358" spans="2:9" ht="45" x14ac:dyDescent="0.25">
      <c r="B358" s="9"/>
      <c r="D358" s="9"/>
      <c r="E358" s="9"/>
      <c r="F358" s="9" t="s">
        <v>1574</v>
      </c>
      <c r="G358" s="9" t="s">
        <v>750</v>
      </c>
      <c r="H358" s="11">
        <v>0.45</v>
      </c>
      <c r="I358" s="12">
        <v>324000</v>
      </c>
    </row>
    <row r="359" spans="2:9" x14ac:dyDescent="0.25">
      <c r="B359" s="9"/>
      <c r="D359" s="9"/>
      <c r="E359" s="9"/>
      <c r="F359" s="9"/>
      <c r="G359" s="9"/>
      <c r="H359" s="11"/>
      <c r="I359" s="12"/>
    </row>
    <row r="360" spans="2:9" ht="45" x14ac:dyDescent="0.25">
      <c r="B360" s="9"/>
      <c r="C360" s="9" t="s">
        <v>1644</v>
      </c>
      <c r="D360" s="9" t="s">
        <v>1687</v>
      </c>
      <c r="E360" s="9" t="s">
        <v>788</v>
      </c>
      <c r="F360" s="9" t="s">
        <v>758</v>
      </c>
      <c r="G360" s="9" t="s">
        <v>748</v>
      </c>
      <c r="H360" s="11">
        <v>3.22</v>
      </c>
      <c r="I360" s="12">
        <v>11461453.15</v>
      </c>
    </row>
    <row r="361" spans="2:9" x14ac:dyDescent="0.25">
      <c r="B361" s="9"/>
      <c r="D361" s="9"/>
      <c r="E361" s="9"/>
      <c r="F361" s="9"/>
      <c r="G361" s="9"/>
      <c r="H361" s="11"/>
      <c r="I361" s="12"/>
    </row>
    <row r="362" spans="2:9" ht="45" x14ac:dyDescent="0.25">
      <c r="B362" s="9"/>
      <c r="C362" s="9" t="s">
        <v>1645</v>
      </c>
      <c r="D362" s="9" t="s">
        <v>1687</v>
      </c>
      <c r="E362" s="9" t="s">
        <v>788</v>
      </c>
      <c r="F362" s="9" t="s">
        <v>758</v>
      </c>
      <c r="G362" s="9" t="s">
        <v>748</v>
      </c>
      <c r="H362" s="11">
        <v>-0.46000000000000008</v>
      </c>
      <c r="I362" s="12">
        <v>-1763298.4500000002</v>
      </c>
    </row>
    <row r="363" spans="2:9" x14ac:dyDescent="0.25">
      <c r="B363" s="9"/>
      <c r="D363" s="9"/>
      <c r="E363" s="9"/>
      <c r="F363" s="9"/>
      <c r="G363" s="9"/>
      <c r="H363" s="11"/>
      <c r="I363" s="12"/>
    </row>
    <row r="364" spans="2:9" ht="30" x14ac:dyDescent="0.25">
      <c r="B364" s="9"/>
      <c r="C364" s="9" t="s">
        <v>1650</v>
      </c>
      <c r="D364" s="9" t="s">
        <v>785</v>
      </c>
      <c r="E364" s="9" t="s">
        <v>788</v>
      </c>
      <c r="F364" s="9" t="s">
        <v>758</v>
      </c>
      <c r="G364" s="9" t="s">
        <v>748</v>
      </c>
      <c r="H364" s="11">
        <v>-0.24</v>
      </c>
      <c r="I364" s="12">
        <v>-854269.79999999993</v>
      </c>
    </row>
    <row r="365" spans="2:9" x14ac:dyDescent="0.25">
      <c r="B365" s="9"/>
      <c r="D365" s="9"/>
      <c r="E365" s="9"/>
      <c r="F365" s="9"/>
      <c r="G365" s="9"/>
      <c r="H365" s="11"/>
      <c r="I365" s="12"/>
    </row>
    <row r="366" spans="2:9" ht="45" x14ac:dyDescent="0.25">
      <c r="B366" s="9"/>
      <c r="C366" s="9" t="s">
        <v>1649</v>
      </c>
      <c r="D366" s="9" t="s">
        <v>785</v>
      </c>
      <c r="E366" s="9" t="s">
        <v>788</v>
      </c>
      <c r="F366" s="9" t="s">
        <v>758</v>
      </c>
      <c r="G366" s="9" t="s">
        <v>748</v>
      </c>
      <c r="H366" s="11">
        <v>-0.94</v>
      </c>
      <c r="I366" s="12">
        <v>-3638235.69</v>
      </c>
    </row>
    <row r="367" spans="2:9" x14ac:dyDescent="0.25">
      <c r="B367" s="9"/>
      <c r="D367" s="9"/>
      <c r="E367" s="9"/>
      <c r="F367" s="9"/>
      <c r="G367" s="9"/>
      <c r="H367" s="11"/>
      <c r="I367" s="12"/>
    </row>
    <row r="368" spans="2:9" ht="30" x14ac:dyDescent="0.25">
      <c r="B368" s="9"/>
      <c r="C368" s="9" t="s">
        <v>1651</v>
      </c>
      <c r="D368" s="9" t="s">
        <v>785</v>
      </c>
      <c r="E368" s="9" t="s">
        <v>788</v>
      </c>
      <c r="F368" s="9" t="s">
        <v>755</v>
      </c>
      <c r="G368" s="9" t="s">
        <v>750</v>
      </c>
      <c r="H368" s="11">
        <v>-0.4</v>
      </c>
      <c r="I368" s="12">
        <v>-1591705.8947400001</v>
      </c>
    </row>
    <row r="369" spans="2:9" x14ac:dyDescent="0.25">
      <c r="B369" s="9"/>
      <c r="D369" s="9"/>
      <c r="E369" s="9"/>
      <c r="F369" s="9"/>
      <c r="G369" s="9"/>
      <c r="H369" s="11"/>
      <c r="I369" s="12"/>
    </row>
    <row r="370" spans="2:9" ht="60" x14ac:dyDescent="0.25">
      <c r="B370" s="9"/>
      <c r="C370" s="9" t="s">
        <v>1918</v>
      </c>
      <c r="D370" s="9" t="s">
        <v>1687</v>
      </c>
      <c r="E370" s="9" t="s">
        <v>788</v>
      </c>
      <c r="F370" s="9" t="s">
        <v>758</v>
      </c>
      <c r="G370" s="9" t="s">
        <v>748</v>
      </c>
      <c r="H370" s="11">
        <v>1.18</v>
      </c>
      <c r="I370" s="12">
        <v>4601169.4499999993</v>
      </c>
    </row>
    <row r="371" spans="2:9" x14ac:dyDescent="0.25">
      <c r="B371" s="9"/>
      <c r="D371" s="9"/>
      <c r="E371" s="9"/>
      <c r="F371" s="9"/>
      <c r="G371" s="9"/>
      <c r="H371" s="11"/>
      <c r="I371" s="12"/>
    </row>
    <row r="372" spans="2:9" ht="45" x14ac:dyDescent="0.25">
      <c r="B372" s="9"/>
      <c r="C372" s="9" t="s">
        <v>1691</v>
      </c>
      <c r="D372" s="9" t="s">
        <v>1687</v>
      </c>
      <c r="E372" s="9" t="s">
        <v>788</v>
      </c>
      <c r="F372" s="9" t="s">
        <v>758</v>
      </c>
      <c r="G372" s="9" t="s">
        <v>748</v>
      </c>
      <c r="H372" s="11">
        <v>-2.06</v>
      </c>
      <c r="I372" s="12">
        <v>-7804115.3300000001</v>
      </c>
    </row>
    <row r="373" spans="2:9" x14ac:dyDescent="0.25">
      <c r="B373" s="9"/>
      <c r="D373" s="9"/>
      <c r="E373" s="9"/>
      <c r="F373" s="9"/>
      <c r="G373" s="9"/>
      <c r="H373" s="11"/>
      <c r="I373" s="12"/>
    </row>
    <row r="374" spans="2:9" ht="60" x14ac:dyDescent="0.25">
      <c r="B374" s="9"/>
      <c r="C374" s="9" t="s">
        <v>1925</v>
      </c>
      <c r="D374" s="9" t="s">
        <v>785</v>
      </c>
      <c r="E374" s="9" t="s">
        <v>788</v>
      </c>
      <c r="F374" s="9" t="s">
        <v>758</v>
      </c>
      <c r="G374" s="9" t="s">
        <v>748</v>
      </c>
      <c r="H374" s="11">
        <v>-2.1</v>
      </c>
      <c r="I374" s="12">
        <v>-7474860.75</v>
      </c>
    </row>
    <row r="375" spans="2:9" x14ac:dyDescent="0.25">
      <c r="B375" s="9"/>
      <c r="D375" s="9"/>
      <c r="E375" s="9"/>
      <c r="F375" s="9"/>
      <c r="G375" s="9"/>
      <c r="H375" s="11"/>
      <c r="I375" s="12"/>
    </row>
    <row r="376" spans="2:9" ht="75" x14ac:dyDescent="0.25">
      <c r="B376" s="9"/>
      <c r="C376" s="9" t="s">
        <v>2554</v>
      </c>
      <c r="D376" s="9" t="s">
        <v>785</v>
      </c>
      <c r="E376" s="9" t="s">
        <v>788</v>
      </c>
      <c r="F376" s="9" t="s">
        <v>755</v>
      </c>
      <c r="G376" s="9" t="s">
        <v>750</v>
      </c>
      <c r="H376" s="11">
        <v>-0.85</v>
      </c>
      <c r="I376" s="12">
        <v>-3184777.7631400004</v>
      </c>
    </row>
    <row r="377" spans="2:9" ht="45" x14ac:dyDescent="0.25">
      <c r="B377" s="9"/>
      <c r="D377" s="9"/>
      <c r="E377" s="9"/>
      <c r="F377" s="9" t="s">
        <v>1574</v>
      </c>
      <c r="G377" s="9" t="s">
        <v>750</v>
      </c>
      <c r="H377" s="11">
        <v>0.85</v>
      </c>
      <c r="I377" s="12">
        <v>170000</v>
      </c>
    </row>
    <row r="378" spans="2:9" x14ac:dyDescent="0.25">
      <c r="B378" s="9"/>
      <c r="D378" s="9"/>
      <c r="E378" s="9"/>
      <c r="F378" s="9"/>
      <c r="G378" s="9"/>
      <c r="H378" s="11"/>
      <c r="I378" s="12"/>
    </row>
    <row r="379" spans="2:9" ht="75" x14ac:dyDescent="0.25">
      <c r="B379" s="9"/>
      <c r="C379" s="9" t="s">
        <v>2558</v>
      </c>
      <c r="D379" s="9" t="s">
        <v>785</v>
      </c>
      <c r="E379" s="9" t="s">
        <v>788</v>
      </c>
      <c r="F379" s="9" t="s">
        <v>755</v>
      </c>
      <c r="G379" s="9" t="s">
        <v>750</v>
      </c>
      <c r="H379" s="11">
        <v>-47.35</v>
      </c>
      <c r="I379" s="12">
        <v>-192503842.34061</v>
      </c>
    </row>
    <row r="380" spans="2:9" ht="30" x14ac:dyDescent="0.25">
      <c r="B380" s="9"/>
      <c r="D380" s="9"/>
      <c r="E380" s="9"/>
      <c r="F380" s="9" t="s">
        <v>1570</v>
      </c>
      <c r="G380" s="9" t="s">
        <v>750</v>
      </c>
      <c r="H380" s="11">
        <v>47.35</v>
      </c>
      <c r="I380" s="12">
        <v>96594000</v>
      </c>
    </row>
    <row r="381" spans="2:9" x14ac:dyDescent="0.25">
      <c r="B381" s="9"/>
      <c r="D381" s="9"/>
      <c r="E381" s="9"/>
      <c r="F381" s="9"/>
      <c r="G381" s="9"/>
      <c r="H381" s="11"/>
      <c r="I381" s="12"/>
    </row>
    <row r="382" spans="2:9" ht="60" x14ac:dyDescent="0.25">
      <c r="B382" s="9"/>
      <c r="C382" s="9" t="s">
        <v>2718</v>
      </c>
      <c r="D382" s="9" t="s">
        <v>1680</v>
      </c>
      <c r="E382" s="9" t="s">
        <v>788</v>
      </c>
      <c r="F382" s="9" t="s">
        <v>755</v>
      </c>
      <c r="G382" s="9" t="s">
        <v>750</v>
      </c>
      <c r="H382" s="11">
        <v>-0.4</v>
      </c>
      <c r="I382" s="12">
        <v>-1513007.9916000001</v>
      </c>
    </row>
    <row r="383" spans="2:9" ht="45" x14ac:dyDescent="0.25">
      <c r="B383" s="9"/>
      <c r="D383" s="9"/>
      <c r="E383" s="9"/>
      <c r="F383" s="9" t="s">
        <v>1574</v>
      </c>
      <c r="G383" s="9" t="s">
        <v>750</v>
      </c>
      <c r="H383" s="11">
        <v>0.4</v>
      </c>
      <c r="I383" s="12">
        <v>480000</v>
      </c>
    </row>
    <row r="384" spans="2:9" x14ac:dyDescent="0.25">
      <c r="B384" s="9"/>
      <c r="D384" s="9"/>
      <c r="E384" s="9"/>
      <c r="F384" s="9"/>
      <c r="G384" s="9"/>
      <c r="H384" s="11"/>
      <c r="I384" s="12"/>
    </row>
    <row r="385" spans="2:9" ht="45" x14ac:dyDescent="0.25">
      <c r="B385" s="9"/>
      <c r="C385" s="9" t="s">
        <v>3356</v>
      </c>
      <c r="D385" s="9" t="s">
        <v>1680</v>
      </c>
      <c r="E385" s="9" t="s">
        <v>788</v>
      </c>
      <c r="F385" s="9" t="s">
        <v>755</v>
      </c>
      <c r="G385" s="9" t="s">
        <v>750</v>
      </c>
      <c r="H385" s="11">
        <v>-0.15</v>
      </c>
      <c r="I385" s="12">
        <v>-567377.99682</v>
      </c>
    </row>
    <row r="386" spans="2:9" x14ac:dyDescent="0.25">
      <c r="B386" s="9"/>
      <c r="D386" s="9"/>
      <c r="E386" s="9"/>
      <c r="F386" s="9"/>
      <c r="G386" s="9"/>
      <c r="H386" s="11"/>
      <c r="I386" s="12"/>
    </row>
    <row r="387" spans="2:9" ht="30" x14ac:dyDescent="0.25">
      <c r="B387" s="9" t="s">
        <v>3372</v>
      </c>
      <c r="D387" s="9"/>
      <c r="E387" s="9"/>
      <c r="F387" s="9"/>
      <c r="G387" s="9"/>
      <c r="H387" s="11">
        <v>-7.51</v>
      </c>
      <c r="I387" s="12">
        <v>-132466729.23953003</v>
      </c>
    </row>
    <row r="388" spans="2:9" x14ac:dyDescent="0.25">
      <c r="B388" s="9"/>
      <c r="D388" s="9"/>
      <c r="E388" s="9"/>
      <c r="F388" s="9"/>
      <c r="G388" s="9"/>
      <c r="H388" s="11"/>
      <c r="I388" s="12"/>
    </row>
    <row r="389" spans="2:9" ht="45" x14ac:dyDescent="0.25">
      <c r="B389" s="9" t="s">
        <v>1605</v>
      </c>
      <c r="C389" s="9" t="s">
        <v>1620</v>
      </c>
      <c r="D389" s="9" t="s">
        <v>1680</v>
      </c>
      <c r="E389" s="9" t="s">
        <v>788</v>
      </c>
      <c r="F389" s="9" t="s">
        <v>756</v>
      </c>
      <c r="G389" s="9" t="s">
        <v>750</v>
      </c>
      <c r="H389" s="11">
        <v>-0.05</v>
      </c>
      <c r="I389" s="12">
        <v>-188251.76316</v>
      </c>
    </row>
    <row r="390" spans="2:9" x14ac:dyDescent="0.25">
      <c r="B390" s="9"/>
      <c r="D390" s="9"/>
      <c r="E390" s="9"/>
      <c r="F390" s="9"/>
      <c r="G390" s="9"/>
      <c r="H390" s="11"/>
      <c r="I390" s="12"/>
    </row>
    <row r="391" spans="2:9" ht="45" x14ac:dyDescent="0.25">
      <c r="B391" s="9"/>
      <c r="C391" s="9" t="s">
        <v>1630</v>
      </c>
      <c r="D391" s="9" t="s">
        <v>1680</v>
      </c>
      <c r="E391" s="9" t="s">
        <v>788</v>
      </c>
      <c r="F391" s="9" t="s">
        <v>1573</v>
      </c>
      <c r="G391" s="9" t="s">
        <v>750</v>
      </c>
      <c r="H391" s="11">
        <v>0.15</v>
      </c>
      <c r="I391" s="12">
        <v>108000</v>
      </c>
    </row>
    <row r="392" spans="2:9" ht="30" x14ac:dyDescent="0.25">
      <c r="B392" s="9"/>
      <c r="D392" s="9"/>
      <c r="E392" s="9"/>
      <c r="F392" s="9" t="s">
        <v>756</v>
      </c>
      <c r="G392" s="9" t="s">
        <v>750</v>
      </c>
      <c r="H392" s="11">
        <v>-0.25</v>
      </c>
      <c r="I392" s="12">
        <v>-886028.42105</v>
      </c>
    </row>
    <row r="393" spans="2:9" x14ac:dyDescent="0.25">
      <c r="B393" s="9"/>
      <c r="D393" s="9"/>
      <c r="E393" s="9"/>
      <c r="F393" s="9"/>
      <c r="G393" s="9"/>
      <c r="H393" s="11"/>
      <c r="I393" s="12"/>
    </row>
    <row r="394" spans="2:9" ht="45" x14ac:dyDescent="0.25">
      <c r="B394" s="9"/>
      <c r="C394" s="9" t="s">
        <v>1629</v>
      </c>
      <c r="D394" s="9" t="s">
        <v>1680</v>
      </c>
      <c r="E394" s="9" t="s">
        <v>788</v>
      </c>
      <c r="F394" s="9" t="s">
        <v>1573</v>
      </c>
      <c r="G394" s="9" t="s">
        <v>750</v>
      </c>
      <c r="H394" s="11">
        <v>0.2</v>
      </c>
      <c r="I394" s="12">
        <v>144000</v>
      </c>
    </row>
    <row r="395" spans="2:9" ht="30" x14ac:dyDescent="0.25">
      <c r="B395" s="9"/>
      <c r="D395" s="9"/>
      <c r="E395" s="9"/>
      <c r="F395" s="9" t="s">
        <v>756</v>
      </c>
      <c r="G395" s="9" t="s">
        <v>750</v>
      </c>
      <c r="H395" s="11">
        <v>-0.2</v>
      </c>
      <c r="I395" s="12">
        <v>-708822.73684000003</v>
      </c>
    </row>
    <row r="396" spans="2:9" x14ac:dyDescent="0.25">
      <c r="B396" s="9"/>
      <c r="D396" s="9"/>
      <c r="E396" s="9"/>
      <c r="F396" s="9"/>
      <c r="G396" s="9"/>
      <c r="H396" s="11"/>
      <c r="I396" s="12"/>
    </row>
    <row r="397" spans="2:9" ht="30" x14ac:dyDescent="0.25">
      <c r="B397" s="9"/>
      <c r="C397" s="9" t="s">
        <v>1651</v>
      </c>
      <c r="D397" s="9" t="s">
        <v>785</v>
      </c>
      <c r="E397" s="9" t="s">
        <v>788</v>
      </c>
      <c r="F397" s="9" t="s">
        <v>756</v>
      </c>
      <c r="G397" s="9" t="s">
        <v>750</v>
      </c>
      <c r="H397" s="11">
        <v>-1.1499999999999999</v>
      </c>
      <c r="I397" s="12">
        <v>-4112550.9999900009</v>
      </c>
    </row>
    <row r="398" spans="2:9" x14ac:dyDescent="0.25">
      <c r="B398" s="9"/>
      <c r="D398" s="9"/>
      <c r="E398" s="9"/>
      <c r="F398" s="9"/>
      <c r="G398" s="9"/>
      <c r="H398" s="11"/>
      <c r="I398" s="12"/>
    </row>
    <row r="399" spans="2:9" ht="75" x14ac:dyDescent="0.25">
      <c r="B399" s="9"/>
      <c r="C399" s="9" t="s">
        <v>2553</v>
      </c>
      <c r="D399" s="9" t="s">
        <v>785</v>
      </c>
      <c r="E399" s="9" t="s">
        <v>788</v>
      </c>
      <c r="F399" s="9" t="s">
        <v>777</v>
      </c>
      <c r="G399" s="9" t="s">
        <v>750</v>
      </c>
      <c r="H399" s="11">
        <v>-0.45</v>
      </c>
      <c r="I399" s="12">
        <v>-797425.57898999995</v>
      </c>
    </row>
    <row r="400" spans="2:9" ht="45" x14ac:dyDescent="0.25">
      <c r="B400" s="9"/>
      <c r="D400" s="9"/>
      <c r="E400" s="9"/>
      <c r="F400" s="9" t="s">
        <v>1572</v>
      </c>
      <c r="G400" s="9" t="s">
        <v>750</v>
      </c>
      <c r="H400" s="11">
        <v>0.3</v>
      </c>
      <c r="I400" s="12">
        <v>60000</v>
      </c>
    </row>
    <row r="401" spans="2:9" x14ac:dyDescent="0.25">
      <c r="B401" s="9"/>
      <c r="D401" s="9"/>
      <c r="E401" s="9"/>
      <c r="F401" s="9"/>
      <c r="G401" s="9"/>
      <c r="H401" s="11"/>
      <c r="I401" s="12"/>
    </row>
    <row r="402" spans="2:9" ht="75" x14ac:dyDescent="0.25">
      <c r="B402" s="9"/>
      <c r="C402" s="9" t="s">
        <v>2555</v>
      </c>
      <c r="D402" s="9" t="s">
        <v>785</v>
      </c>
      <c r="E402" s="9" t="s">
        <v>788</v>
      </c>
      <c r="F402" s="9" t="s">
        <v>1573</v>
      </c>
      <c r="G402" s="9" t="s">
        <v>750</v>
      </c>
      <c r="H402" s="11">
        <v>0.05</v>
      </c>
      <c r="I402" s="12">
        <v>10000</v>
      </c>
    </row>
    <row r="403" spans="2:9" ht="30" x14ac:dyDescent="0.25">
      <c r="B403" s="9"/>
      <c r="D403" s="9"/>
      <c r="E403" s="9"/>
      <c r="F403" s="9" t="s">
        <v>756</v>
      </c>
      <c r="G403" s="9" t="s">
        <v>750</v>
      </c>
      <c r="H403" s="11">
        <v>-0.05</v>
      </c>
      <c r="I403" s="12">
        <v>-177205.68421000001</v>
      </c>
    </row>
    <row r="404" spans="2:9" x14ac:dyDescent="0.25">
      <c r="B404" s="9"/>
      <c r="D404" s="9"/>
      <c r="E404" s="9"/>
      <c r="F404" s="9"/>
      <c r="G404" s="9"/>
      <c r="H404" s="11"/>
      <c r="I404" s="12"/>
    </row>
    <row r="405" spans="2:9" ht="75" x14ac:dyDescent="0.25">
      <c r="B405" s="9"/>
      <c r="C405" s="9" t="s">
        <v>2556</v>
      </c>
      <c r="D405" s="9" t="s">
        <v>785</v>
      </c>
      <c r="E405" s="9" t="s">
        <v>788</v>
      </c>
      <c r="F405" s="9" t="s">
        <v>1573</v>
      </c>
      <c r="G405" s="9" t="s">
        <v>750</v>
      </c>
      <c r="H405" s="11">
        <v>0.9</v>
      </c>
      <c r="I405" s="12">
        <v>180000</v>
      </c>
    </row>
    <row r="406" spans="2:9" ht="30" x14ac:dyDescent="0.25">
      <c r="B406" s="9"/>
      <c r="D406" s="9"/>
      <c r="E406" s="9"/>
      <c r="F406" s="9" t="s">
        <v>756</v>
      </c>
      <c r="G406" s="9" t="s">
        <v>750</v>
      </c>
      <c r="H406" s="11">
        <v>-1.1499999999999999</v>
      </c>
      <c r="I406" s="12">
        <v>-4075730.7368300003</v>
      </c>
    </row>
    <row r="407" spans="2:9" x14ac:dyDescent="0.25">
      <c r="B407" s="9"/>
      <c r="D407" s="9"/>
      <c r="E407" s="9"/>
      <c r="F407" s="9"/>
      <c r="G407" s="9"/>
      <c r="H407" s="11"/>
      <c r="I407" s="12"/>
    </row>
    <row r="408" spans="2:9" ht="75" x14ac:dyDescent="0.25">
      <c r="B408" s="9"/>
      <c r="C408" s="9" t="s">
        <v>2559</v>
      </c>
      <c r="D408" s="9" t="s">
        <v>785</v>
      </c>
      <c r="E408" s="9" t="s">
        <v>788</v>
      </c>
      <c r="F408" s="9" t="s">
        <v>1571</v>
      </c>
      <c r="G408" s="9" t="s">
        <v>750</v>
      </c>
      <c r="H408" s="11">
        <v>8.6999999999999993</v>
      </c>
      <c r="I408" s="12">
        <v>17400000</v>
      </c>
    </row>
    <row r="409" spans="2:9" ht="30" x14ac:dyDescent="0.25">
      <c r="B409" s="9"/>
      <c r="D409" s="9"/>
      <c r="E409" s="9"/>
      <c r="F409" s="9" t="s">
        <v>756</v>
      </c>
      <c r="G409" s="9" t="s">
        <v>750</v>
      </c>
      <c r="H409" s="11">
        <v>-8.6999999999999993</v>
      </c>
      <c r="I409" s="12">
        <v>-33396479.367779996</v>
      </c>
    </row>
    <row r="410" spans="2:9" x14ac:dyDescent="0.25">
      <c r="B410" s="9"/>
      <c r="D410" s="9"/>
      <c r="E410" s="9"/>
      <c r="F410" s="9"/>
      <c r="G410" s="9"/>
      <c r="H410" s="11"/>
      <c r="I410" s="12"/>
    </row>
    <row r="411" spans="2:9" ht="30" x14ac:dyDescent="0.25">
      <c r="B411" s="9" t="s">
        <v>3373</v>
      </c>
      <c r="D411" s="9"/>
      <c r="E411" s="9"/>
      <c r="F411" s="9"/>
      <c r="G411" s="9"/>
      <c r="H411" s="11">
        <v>-1.6999999999999993</v>
      </c>
      <c r="I411" s="12">
        <v>-26440495.288849995</v>
      </c>
    </row>
    <row r="412" spans="2:9" x14ac:dyDescent="0.25">
      <c r="B412" s="9"/>
      <c r="D412" s="9"/>
      <c r="E412" s="9"/>
      <c r="F412" s="9"/>
      <c r="G412" s="9"/>
      <c r="H412" s="11"/>
      <c r="I412" s="12"/>
    </row>
    <row r="413" spans="2:9" ht="120" x14ac:dyDescent="0.25">
      <c r="B413" s="9" t="s">
        <v>1606</v>
      </c>
      <c r="C413" s="9" t="s">
        <v>3378</v>
      </c>
      <c r="D413" s="9" t="s">
        <v>1680</v>
      </c>
      <c r="E413" s="9" t="s">
        <v>788</v>
      </c>
      <c r="F413" s="9" t="s">
        <v>1576</v>
      </c>
      <c r="G413" s="9" t="s">
        <v>748</v>
      </c>
      <c r="H413" s="11">
        <v>6.21</v>
      </c>
      <c r="I413" s="12">
        <v>2842000</v>
      </c>
    </row>
    <row r="414" spans="2:9" x14ac:dyDescent="0.25">
      <c r="B414" s="9"/>
      <c r="D414" s="9"/>
      <c r="E414" s="9"/>
      <c r="F414" s="9" t="s">
        <v>759</v>
      </c>
      <c r="G414" s="9" t="s">
        <v>748</v>
      </c>
      <c r="H414" s="11">
        <v>-6.21</v>
      </c>
      <c r="I414" s="12">
        <v>-5885821.3288823999</v>
      </c>
    </row>
    <row r="415" spans="2:9" x14ac:dyDescent="0.25">
      <c r="B415" s="9"/>
      <c r="D415" s="9"/>
      <c r="E415" s="9"/>
      <c r="F415" s="9"/>
      <c r="G415" s="9"/>
      <c r="H415" s="11"/>
      <c r="I415" s="12"/>
    </row>
    <row r="416" spans="2:9" ht="45" x14ac:dyDescent="0.25">
      <c r="B416" s="9"/>
      <c r="C416" s="9" t="s">
        <v>1646</v>
      </c>
      <c r="D416" s="9" t="s">
        <v>1687</v>
      </c>
      <c r="E416" s="9" t="s">
        <v>788</v>
      </c>
      <c r="F416" s="9" t="s">
        <v>759</v>
      </c>
      <c r="G416" s="9" t="s">
        <v>748</v>
      </c>
      <c r="H416" s="11">
        <v>1.01</v>
      </c>
      <c r="I416" s="12">
        <v>732250</v>
      </c>
    </row>
    <row r="417" spans="2:9" x14ac:dyDescent="0.25">
      <c r="B417" s="9"/>
      <c r="D417" s="9"/>
      <c r="E417" s="9"/>
      <c r="F417" s="9"/>
      <c r="G417" s="9"/>
      <c r="H417" s="11"/>
      <c r="I417" s="12"/>
    </row>
    <row r="418" spans="2:9" ht="75" x14ac:dyDescent="0.25">
      <c r="B418" s="9"/>
      <c r="C418" s="9" t="s">
        <v>2292</v>
      </c>
      <c r="D418" s="9" t="s">
        <v>1689</v>
      </c>
      <c r="E418" s="9" t="s">
        <v>788</v>
      </c>
      <c r="F418" s="9" t="s">
        <v>759</v>
      </c>
      <c r="G418" s="9" t="s">
        <v>748</v>
      </c>
      <c r="H418" s="11">
        <v>-4.3499999999999996</v>
      </c>
      <c r="I418" s="12">
        <v>-4122918.322164</v>
      </c>
    </row>
    <row r="419" spans="2:9" x14ac:dyDescent="0.25">
      <c r="B419" s="9"/>
      <c r="D419" s="9"/>
      <c r="E419" s="9"/>
      <c r="F419" s="9"/>
      <c r="G419" s="9"/>
      <c r="H419" s="11"/>
      <c r="I419" s="12"/>
    </row>
    <row r="420" spans="2:9" ht="90" x14ac:dyDescent="0.25">
      <c r="B420" s="9"/>
      <c r="C420" s="9" t="s">
        <v>2298</v>
      </c>
      <c r="D420" s="9" t="s">
        <v>1680</v>
      </c>
      <c r="E420" s="9" t="s">
        <v>788</v>
      </c>
      <c r="F420" s="9" t="s">
        <v>759</v>
      </c>
      <c r="G420" s="9" t="s">
        <v>748</v>
      </c>
      <c r="H420" s="11">
        <v>-6.6</v>
      </c>
      <c r="I420" s="12">
        <v>-6255462.2819039999</v>
      </c>
    </row>
    <row r="421" spans="2:9" x14ac:dyDescent="0.25">
      <c r="B421" s="9"/>
      <c r="D421" s="9"/>
      <c r="E421" s="9"/>
      <c r="F421" s="9"/>
      <c r="G421" s="9"/>
      <c r="H421" s="11"/>
      <c r="I421" s="12"/>
    </row>
    <row r="422" spans="2:9" ht="135" x14ac:dyDescent="0.25">
      <c r="B422" s="9"/>
      <c r="C422" s="9" t="s">
        <v>3379</v>
      </c>
      <c r="D422" s="9" t="s">
        <v>785</v>
      </c>
      <c r="E422" s="9" t="s">
        <v>788</v>
      </c>
      <c r="F422" s="9" t="s">
        <v>1577</v>
      </c>
      <c r="G422" s="9" t="s">
        <v>750</v>
      </c>
      <c r="H422" s="11">
        <v>0.2</v>
      </c>
      <c r="I422" s="12">
        <v>100000</v>
      </c>
    </row>
    <row r="423" spans="2:9" ht="30" x14ac:dyDescent="0.25">
      <c r="B423" s="9"/>
      <c r="D423" s="9"/>
      <c r="E423" s="9"/>
      <c r="F423" s="9" t="s">
        <v>1576</v>
      </c>
      <c r="G423" s="9" t="s">
        <v>748</v>
      </c>
      <c r="H423" s="11">
        <v>2.4500000000000002</v>
      </c>
      <c r="I423" s="12">
        <v>1000000</v>
      </c>
    </row>
    <row r="424" spans="2:9" x14ac:dyDescent="0.25">
      <c r="B424" s="9"/>
      <c r="D424" s="9"/>
      <c r="E424" s="9"/>
      <c r="F424" s="9" t="s">
        <v>766</v>
      </c>
      <c r="G424" s="9" t="s">
        <v>750</v>
      </c>
      <c r="H424" s="11">
        <v>-0.2</v>
      </c>
      <c r="I424" s="12">
        <v>-212432.42103999999</v>
      </c>
    </row>
    <row r="425" spans="2:9" x14ac:dyDescent="0.25">
      <c r="B425" s="9"/>
      <c r="D425" s="9"/>
      <c r="E425" s="9"/>
      <c r="F425" s="9" t="s">
        <v>759</v>
      </c>
      <c r="G425" s="9" t="s">
        <v>748</v>
      </c>
      <c r="H425" s="11">
        <v>-2.4500000000000002</v>
      </c>
      <c r="I425" s="12">
        <v>-2322103.422828</v>
      </c>
    </row>
    <row r="426" spans="2:9" x14ac:dyDescent="0.25">
      <c r="B426" s="9"/>
      <c r="D426" s="9"/>
      <c r="E426" s="9"/>
      <c r="F426" s="9"/>
      <c r="G426" s="9"/>
      <c r="H426" s="11"/>
      <c r="I426" s="12"/>
    </row>
    <row r="427" spans="2:9" ht="105" x14ac:dyDescent="0.25">
      <c r="B427" s="9"/>
      <c r="C427" s="9" t="s">
        <v>2723</v>
      </c>
      <c r="D427" s="9" t="s">
        <v>1689</v>
      </c>
      <c r="E427" s="9" t="s">
        <v>788</v>
      </c>
      <c r="F427" s="9" t="s">
        <v>759</v>
      </c>
      <c r="G427" s="9" t="s">
        <v>748</v>
      </c>
      <c r="H427" s="11">
        <v>18.64</v>
      </c>
      <c r="I427" s="12">
        <v>17666941.959801599</v>
      </c>
    </row>
    <row r="428" spans="2:9" x14ac:dyDescent="0.25">
      <c r="B428" s="9"/>
      <c r="D428" s="9"/>
      <c r="E428" s="9"/>
      <c r="F428" s="9"/>
      <c r="G428" s="9"/>
      <c r="H428" s="11"/>
      <c r="I428" s="12"/>
    </row>
    <row r="429" spans="2:9" ht="60" x14ac:dyDescent="0.25">
      <c r="B429" s="9"/>
      <c r="C429" s="9" t="s">
        <v>2724</v>
      </c>
      <c r="D429" s="9" t="s">
        <v>1680</v>
      </c>
      <c r="E429" s="9" t="s">
        <v>788</v>
      </c>
      <c r="F429" s="9" t="s">
        <v>1576</v>
      </c>
      <c r="G429" s="9" t="s">
        <v>748</v>
      </c>
      <c r="H429" s="11">
        <v>0.05</v>
      </c>
      <c r="I429" s="12">
        <v>30000</v>
      </c>
    </row>
    <row r="430" spans="2:9" x14ac:dyDescent="0.25">
      <c r="B430" s="9"/>
      <c r="D430" s="9"/>
      <c r="E430" s="9"/>
      <c r="F430" s="9" t="s">
        <v>759</v>
      </c>
      <c r="G430" s="9" t="s">
        <v>748</v>
      </c>
      <c r="H430" s="11">
        <v>-0.25</v>
      </c>
      <c r="I430" s="12">
        <v>-236949.32886000001</v>
      </c>
    </row>
    <row r="431" spans="2:9" x14ac:dyDescent="0.25">
      <c r="B431" s="9"/>
      <c r="D431" s="9"/>
      <c r="E431" s="9"/>
      <c r="F431" s="9"/>
      <c r="G431" s="9"/>
      <c r="H431" s="11"/>
      <c r="I431" s="12"/>
    </row>
    <row r="432" spans="2:9" ht="45" x14ac:dyDescent="0.25">
      <c r="B432" s="9"/>
      <c r="C432" s="9" t="s">
        <v>2920</v>
      </c>
      <c r="D432" s="9" t="s">
        <v>1586</v>
      </c>
      <c r="E432" s="9" t="s">
        <v>788</v>
      </c>
      <c r="F432" s="9" t="s">
        <v>766</v>
      </c>
      <c r="G432" s="9" t="s">
        <v>750</v>
      </c>
      <c r="H432" s="11">
        <v>-61.7</v>
      </c>
      <c r="I432" s="12">
        <v>-61259462</v>
      </c>
    </row>
    <row r="433" spans="2:9" x14ac:dyDescent="0.25">
      <c r="B433" s="9"/>
      <c r="D433" s="9"/>
      <c r="E433" s="9"/>
      <c r="F433" s="9"/>
      <c r="G433" s="9"/>
      <c r="H433" s="11"/>
      <c r="I433" s="12"/>
    </row>
    <row r="434" spans="2:9" x14ac:dyDescent="0.25">
      <c r="B434" s="9"/>
      <c r="D434" s="9" t="s">
        <v>1593</v>
      </c>
      <c r="E434" s="9" t="s">
        <v>788</v>
      </c>
      <c r="F434" s="9" t="s">
        <v>766</v>
      </c>
      <c r="G434" s="9" t="s">
        <v>748</v>
      </c>
      <c r="H434" s="11">
        <v>61.7</v>
      </c>
      <c r="I434" s="12">
        <v>61258906.700000003</v>
      </c>
    </row>
    <row r="435" spans="2:9" x14ac:dyDescent="0.25">
      <c r="B435" s="9"/>
      <c r="D435" s="9"/>
      <c r="E435" s="9"/>
      <c r="F435" s="9"/>
      <c r="G435" s="9"/>
      <c r="H435" s="11"/>
      <c r="I435" s="12"/>
    </row>
    <row r="436" spans="2:9" ht="45" x14ac:dyDescent="0.25">
      <c r="B436" s="9"/>
      <c r="C436" s="9" t="s">
        <v>2977</v>
      </c>
      <c r="D436" s="9" t="s">
        <v>1687</v>
      </c>
      <c r="E436" s="9" t="s">
        <v>788</v>
      </c>
      <c r="F436" s="9" t="s">
        <v>759</v>
      </c>
      <c r="G436" s="9" t="s">
        <v>748</v>
      </c>
      <c r="H436" s="11">
        <v>-0.83</v>
      </c>
      <c r="I436" s="12">
        <v>-786671.51</v>
      </c>
    </row>
    <row r="437" spans="2:9" x14ac:dyDescent="0.25">
      <c r="B437" s="9"/>
      <c r="D437" s="9"/>
      <c r="E437" s="9"/>
      <c r="F437" s="9"/>
      <c r="G437" s="9"/>
      <c r="H437" s="11"/>
      <c r="I437" s="12"/>
    </row>
    <row r="438" spans="2:9" ht="60" x14ac:dyDescent="0.25">
      <c r="B438" s="9"/>
      <c r="C438" s="9" t="s">
        <v>3352</v>
      </c>
      <c r="D438" s="9" t="s">
        <v>1689</v>
      </c>
      <c r="E438" s="9" t="s">
        <v>788</v>
      </c>
      <c r="F438" s="9" t="s">
        <v>759</v>
      </c>
      <c r="G438" s="9" t="s">
        <v>748</v>
      </c>
      <c r="H438" s="11">
        <v>11.132</v>
      </c>
      <c r="I438" s="12">
        <v>10550879.715478079</v>
      </c>
    </row>
    <row r="439" spans="2:9" x14ac:dyDescent="0.25">
      <c r="B439" s="9"/>
      <c r="D439" s="9"/>
      <c r="E439" s="9"/>
      <c r="F439" s="9"/>
      <c r="G439" s="9"/>
      <c r="H439" s="11"/>
      <c r="I439" s="12"/>
    </row>
    <row r="440" spans="2:9" ht="75" x14ac:dyDescent="0.25">
      <c r="B440" s="9"/>
      <c r="C440" s="9" t="s">
        <v>3385</v>
      </c>
      <c r="D440" s="9" t="s">
        <v>1680</v>
      </c>
      <c r="E440" s="9" t="s">
        <v>788</v>
      </c>
      <c r="F440" s="9" t="s">
        <v>1576</v>
      </c>
      <c r="G440" s="9" t="s">
        <v>748</v>
      </c>
      <c r="H440" s="11">
        <v>0.69</v>
      </c>
      <c r="I440" s="12">
        <v>414000</v>
      </c>
    </row>
    <row r="441" spans="2:9" x14ac:dyDescent="0.25">
      <c r="B441" s="9"/>
      <c r="D441" s="9"/>
      <c r="E441" s="9"/>
      <c r="F441" s="9" t="s">
        <v>766</v>
      </c>
      <c r="G441" s="9" t="s">
        <v>748</v>
      </c>
      <c r="H441" s="11">
        <v>-0.15</v>
      </c>
      <c r="I441" s="12">
        <v>-157500</v>
      </c>
    </row>
    <row r="442" spans="2:9" x14ac:dyDescent="0.25">
      <c r="B442" s="9"/>
      <c r="D442" s="9"/>
      <c r="E442" s="9"/>
      <c r="F442" s="9"/>
      <c r="G442" s="9"/>
      <c r="H442" s="11"/>
      <c r="I442" s="12"/>
    </row>
    <row r="443" spans="2:9" x14ac:dyDescent="0.25">
      <c r="B443" s="9" t="s">
        <v>3380</v>
      </c>
      <c r="D443" s="9"/>
      <c r="E443" s="9"/>
      <c r="F443" s="9"/>
      <c r="G443" s="9"/>
      <c r="H443" s="11">
        <v>19.342000000000002</v>
      </c>
      <c r="I443" s="12">
        <v>13355657.75960128</v>
      </c>
    </row>
    <row r="444" spans="2:9" x14ac:dyDescent="0.25">
      <c r="B444" s="9"/>
      <c r="D444" s="9"/>
      <c r="E444" s="9"/>
      <c r="F444" s="9"/>
      <c r="G444" s="9"/>
      <c r="H444" s="11"/>
      <c r="I444" s="12"/>
    </row>
    <row r="445" spans="2:9" ht="75" x14ac:dyDescent="0.25">
      <c r="B445" s="9" t="s">
        <v>1607</v>
      </c>
      <c r="C445" s="9" t="s">
        <v>789</v>
      </c>
      <c r="D445" s="9" t="s">
        <v>785</v>
      </c>
      <c r="E445" s="9" t="s">
        <v>788</v>
      </c>
      <c r="F445" s="9" t="s">
        <v>760</v>
      </c>
      <c r="G445" s="9" t="s">
        <v>750</v>
      </c>
      <c r="H445" s="11">
        <v>-10.25</v>
      </c>
      <c r="I445" s="12">
        <v>-7449722.9500099998</v>
      </c>
    </row>
    <row r="446" spans="2:9" ht="30" x14ac:dyDescent="0.25">
      <c r="B446" s="9"/>
      <c r="D446" s="9"/>
      <c r="E446" s="9"/>
      <c r="F446" s="9" t="s">
        <v>765</v>
      </c>
      <c r="G446" s="9" t="s">
        <v>750</v>
      </c>
      <c r="H446" s="11">
        <v>1.95</v>
      </c>
      <c r="I446" s="12">
        <v>0</v>
      </c>
    </row>
    <row r="447" spans="2:9" x14ac:dyDescent="0.25">
      <c r="B447" s="9"/>
      <c r="D447" s="9"/>
      <c r="E447" s="9"/>
      <c r="F447" s="9"/>
      <c r="G447" s="9"/>
      <c r="H447" s="11"/>
      <c r="I447" s="12"/>
    </row>
    <row r="448" spans="2:9" ht="45" x14ac:dyDescent="0.25">
      <c r="B448" s="9"/>
      <c r="C448" s="9" t="s">
        <v>1614</v>
      </c>
      <c r="D448" s="9" t="s">
        <v>786</v>
      </c>
      <c r="E448" s="9" t="s">
        <v>1597</v>
      </c>
      <c r="F448" s="9" t="s">
        <v>760</v>
      </c>
      <c r="G448" s="9" t="s">
        <v>750</v>
      </c>
      <c r="H448" s="11">
        <v>-5.7</v>
      </c>
      <c r="I448" s="12">
        <v>-9521411.3052000012</v>
      </c>
    </row>
    <row r="449" spans="2:9" x14ac:dyDescent="0.25">
      <c r="B449" s="9"/>
      <c r="D449" s="9"/>
      <c r="E449" s="9"/>
      <c r="F449" s="9"/>
      <c r="G449" s="9"/>
      <c r="H449" s="11"/>
      <c r="I449" s="12"/>
    </row>
    <row r="450" spans="2:9" ht="30" x14ac:dyDescent="0.25">
      <c r="B450" s="9"/>
      <c r="D450" s="9" t="s">
        <v>1680</v>
      </c>
      <c r="E450" s="9" t="s">
        <v>788</v>
      </c>
      <c r="F450" s="9" t="s">
        <v>760</v>
      </c>
      <c r="G450" s="9" t="s">
        <v>750</v>
      </c>
      <c r="H450" s="11">
        <v>-8.1</v>
      </c>
      <c r="I450" s="12">
        <v>-13530426.591600001</v>
      </c>
    </row>
    <row r="451" spans="2:9" x14ac:dyDescent="0.25">
      <c r="B451" s="9"/>
      <c r="D451" s="9"/>
      <c r="E451" s="9"/>
      <c r="F451" s="9"/>
      <c r="G451" s="9"/>
      <c r="H451" s="11"/>
      <c r="I451" s="12"/>
    </row>
    <row r="452" spans="2:9" ht="45" x14ac:dyDescent="0.25">
      <c r="B452" s="9"/>
      <c r="C452" s="9" t="s">
        <v>1612</v>
      </c>
      <c r="D452" s="9" t="s">
        <v>1586</v>
      </c>
      <c r="E452" s="9" t="s">
        <v>788</v>
      </c>
      <c r="F452" s="9" t="s">
        <v>762</v>
      </c>
      <c r="G452" s="9" t="s">
        <v>750</v>
      </c>
      <c r="H452" s="11">
        <v>-3.25</v>
      </c>
      <c r="I452" s="12">
        <v>-5428874.8670000006</v>
      </c>
    </row>
    <row r="453" spans="2:9" x14ac:dyDescent="0.25">
      <c r="B453" s="9"/>
      <c r="D453" s="9"/>
      <c r="E453" s="9"/>
      <c r="F453" s="9"/>
      <c r="G453" s="9"/>
      <c r="H453" s="11"/>
      <c r="I453" s="12"/>
    </row>
    <row r="454" spans="2:9" ht="30" x14ac:dyDescent="0.25">
      <c r="B454" s="9"/>
      <c r="D454" s="9" t="s">
        <v>1680</v>
      </c>
      <c r="E454" s="9" t="s">
        <v>788</v>
      </c>
      <c r="F454" s="9" t="s">
        <v>762</v>
      </c>
      <c r="G454" s="9" t="s">
        <v>750</v>
      </c>
      <c r="H454" s="11">
        <v>-0.4</v>
      </c>
      <c r="I454" s="12">
        <v>-668169.21440000006</v>
      </c>
    </row>
    <row r="455" spans="2:9" x14ac:dyDescent="0.25">
      <c r="B455" s="9"/>
      <c r="D455" s="9"/>
      <c r="E455" s="9"/>
      <c r="F455" s="9"/>
      <c r="G455" s="9"/>
      <c r="H455" s="11"/>
      <c r="I455" s="12"/>
    </row>
    <row r="456" spans="2:9" ht="45" x14ac:dyDescent="0.25">
      <c r="B456" s="9"/>
      <c r="C456" s="9" t="s">
        <v>1610</v>
      </c>
      <c r="D456" s="9" t="s">
        <v>1680</v>
      </c>
      <c r="E456" s="9" t="s">
        <v>788</v>
      </c>
      <c r="F456" s="9" t="s">
        <v>760</v>
      </c>
      <c r="G456" s="9" t="s">
        <v>750</v>
      </c>
      <c r="H456" s="11">
        <v>-0.05</v>
      </c>
      <c r="I456" s="12">
        <v>-83521.151800000007</v>
      </c>
    </row>
    <row r="457" spans="2:9" x14ac:dyDescent="0.25">
      <c r="B457" s="9"/>
      <c r="D457" s="9"/>
      <c r="E457" s="9"/>
      <c r="F457" s="9"/>
      <c r="G457" s="9"/>
      <c r="H457" s="11"/>
      <c r="I457" s="12"/>
    </row>
    <row r="458" spans="2:9" ht="30" x14ac:dyDescent="0.25">
      <c r="B458" s="9"/>
      <c r="C458" s="9" t="s">
        <v>1637</v>
      </c>
      <c r="D458" s="9" t="s">
        <v>1680</v>
      </c>
      <c r="E458" s="9" t="s">
        <v>788</v>
      </c>
      <c r="F458" s="9" t="s">
        <v>760</v>
      </c>
      <c r="G458" s="9" t="s">
        <v>750</v>
      </c>
      <c r="H458" s="11">
        <v>-0.2</v>
      </c>
      <c r="I458" s="12">
        <v>-324051.73436</v>
      </c>
    </row>
    <row r="459" spans="2:9" x14ac:dyDescent="0.25">
      <c r="B459" s="9"/>
      <c r="D459" s="9"/>
      <c r="E459" s="9"/>
      <c r="F459" s="9"/>
      <c r="G459" s="9"/>
      <c r="H459" s="11"/>
      <c r="I459" s="12"/>
    </row>
    <row r="460" spans="2:9" ht="60" x14ac:dyDescent="0.25">
      <c r="B460" s="9"/>
      <c r="C460" s="9" t="s">
        <v>1638</v>
      </c>
      <c r="D460" s="9" t="s">
        <v>1680</v>
      </c>
      <c r="E460" s="9" t="s">
        <v>788</v>
      </c>
      <c r="F460" s="9" t="s">
        <v>764</v>
      </c>
      <c r="G460" s="9" t="s">
        <v>750</v>
      </c>
      <c r="H460" s="11">
        <v>120.6</v>
      </c>
      <c r="I460" s="12">
        <v>185724000</v>
      </c>
    </row>
    <row r="461" spans="2:9" ht="30" x14ac:dyDescent="0.25">
      <c r="B461" s="9"/>
      <c r="D461" s="9"/>
      <c r="E461" s="9"/>
      <c r="F461" s="9" t="s">
        <v>762</v>
      </c>
      <c r="G461" s="9" t="s">
        <v>750</v>
      </c>
      <c r="H461" s="11">
        <v>-120.60000000000001</v>
      </c>
      <c r="I461" s="12">
        <v>-232917641.37972</v>
      </c>
    </row>
    <row r="462" spans="2:9" x14ac:dyDescent="0.25">
      <c r="B462" s="9"/>
      <c r="D462" s="9"/>
      <c r="E462" s="9"/>
      <c r="F462" s="9"/>
      <c r="G462" s="9"/>
      <c r="H462" s="11"/>
      <c r="I462" s="12"/>
    </row>
    <row r="463" spans="2:9" x14ac:dyDescent="0.25">
      <c r="B463" s="9"/>
      <c r="C463" s="9" t="s">
        <v>1651</v>
      </c>
      <c r="D463" s="9" t="s">
        <v>785</v>
      </c>
      <c r="E463" s="9" t="s">
        <v>788</v>
      </c>
      <c r="F463" s="9" t="s">
        <v>760</v>
      </c>
      <c r="G463" s="9" t="s">
        <v>750</v>
      </c>
      <c r="H463" s="11">
        <v>-24.450000000000021</v>
      </c>
      <c r="I463" s="12">
        <v>-41514091.742109999</v>
      </c>
    </row>
    <row r="464" spans="2:9" x14ac:dyDescent="0.25">
      <c r="B464" s="9"/>
      <c r="D464" s="9"/>
      <c r="E464" s="9"/>
      <c r="F464" s="9"/>
      <c r="G464" s="9"/>
      <c r="H464" s="11"/>
      <c r="I464" s="12"/>
    </row>
    <row r="465" spans="2:9" ht="30" x14ac:dyDescent="0.25">
      <c r="B465" s="9"/>
      <c r="C465" s="9" t="s">
        <v>1652</v>
      </c>
      <c r="D465" s="9" t="s">
        <v>1593</v>
      </c>
      <c r="E465" s="9" t="s">
        <v>788</v>
      </c>
      <c r="F465" s="9" t="s">
        <v>762</v>
      </c>
      <c r="G465" s="9" t="s">
        <v>750</v>
      </c>
      <c r="H465" s="11">
        <v>0.8</v>
      </c>
      <c r="I465" s="12">
        <v>1404898.40032</v>
      </c>
    </row>
    <row r="466" spans="2:9" x14ac:dyDescent="0.25">
      <c r="B466" s="9"/>
      <c r="D466" s="9"/>
      <c r="E466" s="9"/>
      <c r="F466" s="9" t="s">
        <v>760</v>
      </c>
      <c r="G466" s="9" t="s">
        <v>750</v>
      </c>
      <c r="H466" s="11">
        <v>1.7500000000000002</v>
      </c>
      <c r="I466" s="12">
        <v>3053411.8577200007</v>
      </c>
    </row>
    <row r="467" spans="2:9" x14ac:dyDescent="0.25">
      <c r="B467" s="9"/>
      <c r="D467" s="9"/>
      <c r="E467" s="9"/>
      <c r="F467" s="9"/>
      <c r="G467" s="9"/>
      <c r="H467" s="11"/>
      <c r="I467" s="12"/>
    </row>
    <row r="468" spans="2:9" ht="45" x14ac:dyDescent="0.25">
      <c r="B468" s="9"/>
      <c r="C468" s="9" t="s">
        <v>1658</v>
      </c>
      <c r="D468" s="9" t="s">
        <v>786</v>
      </c>
      <c r="E468" s="9" t="s">
        <v>1597</v>
      </c>
      <c r="F468" s="9" t="s">
        <v>760</v>
      </c>
      <c r="G468" s="9" t="s">
        <v>750</v>
      </c>
      <c r="H468" s="11">
        <v>-13.6</v>
      </c>
      <c r="I468" s="12">
        <v>-22035517.936480001</v>
      </c>
    </row>
    <row r="469" spans="2:9" x14ac:dyDescent="0.25">
      <c r="B469" s="9"/>
      <c r="D469" s="9"/>
      <c r="E469" s="9"/>
      <c r="F469" s="9"/>
      <c r="G469" s="9"/>
      <c r="H469" s="11"/>
      <c r="I469" s="12"/>
    </row>
    <row r="470" spans="2:9" ht="30" x14ac:dyDescent="0.25">
      <c r="B470" s="9"/>
      <c r="D470" s="9" t="s">
        <v>1680</v>
      </c>
      <c r="E470" s="9" t="s">
        <v>788</v>
      </c>
      <c r="F470" s="9" t="s">
        <v>760</v>
      </c>
      <c r="G470" s="9" t="s">
        <v>750</v>
      </c>
      <c r="H470" s="11">
        <v>-8.1</v>
      </c>
      <c r="I470" s="12">
        <v>-13124095.24158</v>
      </c>
    </row>
    <row r="471" spans="2:9" x14ac:dyDescent="0.25">
      <c r="B471" s="9"/>
      <c r="D471" s="9"/>
      <c r="E471" s="9"/>
      <c r="F471" s="9"/>
      <c r="G471" s="9"/>
      <c r="H471" s="11"/>
      <c r="I471" s="12"/>
    </row>
    <row r="472" spans="2:9" ht="45" x14ac:dyDescent="0.25">
      <c r="B472" s="9"/>
      <c r="C472" s="9" t="s">
        <v>1663</v>
      </c>
      <c r="D472" s="9" t="s">
        <v>1586</v>
      </c>
      <c r="E472" s="9" t="s">
        <v>788</v>
      </c>
      <c r="F472" s="9" t="s">
        <v>760</v>
      </c>
      <c r="G472" s="9" t="s">
        <v>750</v>
      </c>
      <c r="H472" s="11">
        <v>-4.4000000000000004</v>
      </c>
      <c r="I472" s="12">
        <v>-7349861.3584000003</v>
      </c>
    </row>
    <row r="473" spans="2:9" x14ac:dyDescent="0.25">
      <c r="B473" s="9"/>
      <c r="D473" s="9"/>
      <c r="E473" s="9"/>
      <c r="F473" s="9"/>
      <c r="G473" s="9"/>
      <c r="H473" s="11"/>
      <c r="I473" s="12"/>
    </row>
    <row r="474" spans="2:9" ht="30" x14ac:dyDescent="0.25">
      <c r="B474" s="9"/>
      <c r="D474" s="9" t="s">
        <v>1680</v>
      </c>
      <c r="E474" s="9" t="s">
        <v>788</v>
      </c>
      <c r="F474" s="9" t="s">
        <v>760</v>
      </c>
      <c r="G474" s="9" t="s">
        <v>750</v>
      </c>
      <c r="H474" s="11">
        <v>-4.8999999999999995</v>
      </c>
      <c r="I474" s="12">
        <v>-8185072.8764000013</v>
      </c>
    </row>
    <row r="475" spans="2:9" x14ac:dyDescent="0.25">
      <c r="B475" s="9"/>
      <c r="D475" s="9"/>
      <c r="E475" s="9"/>
      <c r="F475" s="9"/>
      <c r="G475" s="9"/>
      <c r="H475" s="11"/>
      <c r="I475" s="12"/>
    </row>
    <row r="476" spans="2:9" ht="45" x14ac:dyDescent="0.25">
      <c r="B476" s="9"/>
      <c r="C476" s="9" t="s">
        <v>1665</v>
      </c>
      <c r="D476" s="9" t="s">
        <v>1586</v>
      </c>
      <c r="E476" s="9" t="s">
        <v>788</v>
      </c>
      <c r="F476" s="9" t="s">
        <v>760</v>
      </c>
      <c r="G476" s="9" t="s">
        <v>750</v>
      </c>
      <c r="H476" s="11">
        <v>-0.95</v>
      </c>
      <c r="I476" s="12">
        <v>-1529435.1986</v>
      </c>
    </row>
    <row r="477" spans="2:9" x14ac:dyDescent="0.25">
      <c r="B477" s="9"/>
      <c r="D477" s="9"/>
      <c r="E477" s="9"/>
      <c r="F477" s="9"/>
      <c r="G477" s="9"/>
      <c r="H477" s="11"/>
      <c r="I477" s="12"/>
    </row>
    <row r="478" spans="2:9" ht="30" x14ac:dyDescent="0.25">
      <c r="B478" s="9"/>
      <c r="D478" s="9" t="s">
        <v>1680</v>
      </c>
      <c r="E478" s="9" t="s">
        <v>788</v>
      </c>
      <c r="F478" s="9" t="s">
        <v>760</v>
      </c>
      <c r="G478" s="9" t="s">
        <v>750</v>
      </c>
      <c r="H478" s="11">
        <v>-2.3000000000000003</v>
      </c>
      <c r="I478" s="12">
        <v>-3702843.1124</v>
      </c>
    </row>
    <row r="479" spans="2:9" x14ac:dyDescent="0.25">
      <c r="B479" s="9"/>
      <c r="D479" s="9"/>
      <c r="E479" s="9"/>
      <c r="F479" s="9"/>
      <c r="G479" s="9"/>
      <c r="H479" s="11"/>
      <c r="I479" s="12"/>
    </row>
    <row r="480" spans="2:9" ht="45" x14ac:dyDescent="0.25">
      <c r="B480" s="9"/>
      <c r="C480" s="9" t="s">
        <v>2209</v>
      </c>
      <c r="D480" s="9" t="s">
        <v>1680</v>
      </c>
      <c r="E480" s="9" t="s">
        <v>788</v>
      </c>
      <c r="F480" s="9" t="s">
        <v>764</v>
      </c>
      <c r="G480" s="9" t="s">
        <v>750</v>
      </c>
      <c r="H480" s="11">
        <v>31.05</v>
      </c>
      <c r="I480" s="12">
        <v>49680000</v>
      </c>
    </row>
    <row r="481" spans="2:9" ht="30" x14ac:dyDescent="0.25">
      <c r="B481" s="9"/>
      <c r="D481" s="9"/>
      <c r="E481" s="9"/>
      <c r="F481" s="9" t="s">
        <v>762</v>
      </c>
      <c r="G481" s="9" t="s">
        <v>750</v>
      </c>
      <c r="H481" s="11">
        <v>-18.5</v>
      </c>
      <c r="I481" s="12">
        <v>-28968712.327</v>
      </c>
    </row>
    <row r="482" spans="2:9" x14ac:dyDescent="0.25">
      <c r="B482" s="9"/>
      <c r="D482" s="9"/>
      <c r="E482" s="9"/>
      <c r="F482" s="9" t="s">
        <v>760</v>
      </c>
      <c r="G482" s="9" t="s">
        <v>750</v>
      </c>
      <c r="H482" s="11">
        <v>-12.55</v>
      </c>
      <c r="I482" s="12">
        <v>-19651748.092100002</v>
      </c>
    </row>
    <row r="483" spans="2:9" x14ac:dyDescent="0.25">
      <c r="B483" s="9"/>
      <c r="D483" s="9"/>
      <c r="E483" s="9"/>
      <c r="F483" s="9"/>
      <c r="G483" s="9"/>
      <c r="H483" s="11"/>
      <c r="I483" s="12"/>
    </row>
    <row r="484" spans="2:9" ht="30" x14ac:dyDescent="0.25">
      <c r="B484" s="9"/>
      <c r="C484" s="9" t="s">
        <v>2285</v>
      </c>
      <c r="D484" s="9" t="s">
        <v>1680</v>
      </c>
      <c r="E484" s="9" t="s">
        <v>788</v>
      </c>
      <c r="F484" s="9" t="s">
        <v>760</v>
      </c>
      <c r="G484" s="9" t="s">
        <v>750</v>
      </c>
      <c r="H484" s="11">
        <v>-12.45</v>
      </c>
      <c r="I484" s="12">
        <v>-6435327.8099999996</v>
      </c>
    </row>
    <row r="485" spans="2:9" x14ac:dyDescent="0.25">
      <c r="B485" s="9"/>
      <c r="D485" s="9"/>
      <c r="E485" s="9"/>
      <c r="F485" s="9"/>
      <c r="G485" s="9"/>
      <c r="H485" s="11"/>
      <c r="I485" s="12"/>
    </row>
    <row r="486" spans="2:9" ht="60" x14ac:dyDescent="0.25">
      <c r="B486" s="9"/>
      <c r="C486" s="9" t="s">
        <v>2288</v>
      </c>
      <c r="D486" s="9" t="s">
        <v>1680</v>
      </c>
      <c r="E486" s="9" t="s">
        <v>788</v>
      </c>
      <c r="F486" s="9" t="s">
        <v>764</v>
      </c>
      <c r="G486" s="9" t="s">
        <v>750</v>
      </c>
      <c r="H486" s="11">
        <v>43.55</v>
      </c>
      <c r="I486" s="12">
        <v>67067000</v>
      </c>
    </row>
    <row r="487" spans="2:9" ht="30" x14ac:dyDescent="0.25">
      <c r="B487" s="9"/>
      <c r="D487" s="9"/>
      <c r="E487" s="9"/>
      <c r="F487" s="9" t="s">
        <v>762</v>
      </c>
      <c r="G487" s="9" t="s">
        <v>750</v>
      </c>
      <c r="H487" s="11">
        <v>-43.55</v>
      </c>
      <c r="I487" s="12">
        <v>-68193914.694100007</v>
      </c>
    </row>
    <row r="488" spans="2:9" x14ac:dyDescent="0.25">
      <c r="B488" s="9"/>
      <c r="D488" s="9"/>
      <c r="E488" s="9"/>
      <c r="F488" s="9"/>
      <c r="G488" s="9"/>
      <c r="H488" s="11"/>
      <c r="I488" s="12"/>
    </row>
    <row r="489" spans="2:9" ht="60" x14ac:dyDescent="0.25">
      <c r="B489" s="9"/>
      <c r="C489" s="9" t="s">
        <v>2289</v>
      </c>
      <c r="D489" s="9" t="s">
        <v>1680</v>
      </c>
      <c r="E489" s="9" t="s">
        <v>788</v>
      </c>
      <c r="F489" s="9" t="s">
        <v>764</v>
      </c>
      <c r="G489" s="9" t="s">
        <v>750</v>
      </c>
      <c r="H489" s="11">
        <v>0.85</v>
      </c>
      <c r="I489" s="12">
        <v>1309000</v>
      </c>
    </row>
    <row r="490" spans="2:9" x14ac:dyDescent="0.25">
      <c r="B490" s="9"/>
      <c r="D490" s="9"/>
      <c r="E490" s="9"/>
      <c r="F490" s="9" t="s">
        <v>760</v>
      </c>
      <c r="G490" s="9" t="s">
        <v>750</v>
      </c>
      <c r="H490" s="11">
        <v>-0.85000000000000009</v>
      </c>
      <c r="I490" s="12">
        <v>-1330994.8906999999</v>
      </c>
    </row>
    <row r="491" spans="2:9" x14ac:dyDescent="0.25">
      <c r="B491" s="9"/>
      <c r="D491" s="9"/>
      <c r="E491" s="9"/>
      <c r="F491" s="9"/>
      <c r="G491" s="9"/>
      <c r="H491" s="11"/>
      <c r="I491" s="12"/>
    </row>
    <row r="492" spans="2:9" ht="60" x14ac:dyDescent="0.25">
      <c r="B492" s="9"/>
      <c r="C492" s="9" t="s">
        <v>2291</v>
      </c>
      <c r="D492" s="9" t="s">
        <v>1680</v>
      </c>
      <c r="E492" s="9" t="s">
        <v>788</v>
      </c>
      <c r="F492" s="9" t="s">
        <v>764</v>
      </c>
      <c r="G492" s="9" t="s">
        <v>750</v>
      </c>
      <c r="H492" s="11">
        <v>138.15</v>
      </c>
      <c r="I492" s="12">
        <v>212751000</v>
      </c>
    </row>
    <row r="493" spans="2:9" x14ac:dyDescent="0.25">
      <c r="B493" s="9"/>
      <c r="D493" s="9"/>
      <c r="E493" s="9"/>
      <c r="F493" s="9" t="s">
        <v>760</v>
      </c>
      <c r="G493" s="9" t="s">
        <v>750</v>
      </c>
      <c r="H493" s="11">
        <v>-138.15</v>
      </c>
      <c r="I493" s="12">
        <v>-216325816.6473</v>
      </c>
    </row>
    <row r="494" spans="2:9" x14ac:dyDescent="0.25">
      <c r="B494" s="9"/>
      <c r="D494" s="9"/>
      <c r="E494" s="9"/>
      <c r="F494" s="9"/>
      <c r="G494" s="9"/>
      <c r="H494" s="11"/>
      <c r="I494" s="12"/>
    </row>
    <row r="495" spans="2:9" ht="105" x14ac:dyDescent="0.25">
      <c r="B495" s="9"/>
      <c r="C495" s="9" t="s">
        <v>2297</v>
      </c>
      <c r="D495" s="9" t="s">
        <v>1680</v>
      </c>
      <c r="E495" s="9" t="s">
        <v>788</v>
      </c>
      <c r="F495" s="9" t="s">
        <v>764</v>
      </c>
      <c r="G495" s="9" t="s">
        <v>750</v>
      </c>
      <c r="H495" s="11">
        <v>-12.55</v>
      </c>
      <c r="I495" s="12">
        <v>-9825874.0460499991</v>
      </c>
    </row>
    <row r="496" spans="2:9" ht="30" x14ac:dyDescent="0.25">
      <c r="B496" s="9"/>
      <c r="D496" s="9"/>
      <c r="E496" s="9"/>
      <c r="F496" s="9" t="s">
        <v>762</v>
      </c>
      <c r="G496" s="9" t="s">
        <v>750</v>
      </c>
      <c r="H496" s="11">
        <v>-124.69999999999999</v>
      </c>
      <c r="I496" s="12">
        <v>-195264779.84740001</v>
      </c>
    </row>
    <row r="497" spans="2:9" x14ac:dyDescent="0.25">
      <c r="B497" s="9"/>
      <c r="D497" s="9"/>
      <c r="E497" s="9"/>
      <c r="F497" s="9" t="s">
        <v>760</v>
      </c>
      <c r="G497" s="9" t="s">
        <v>750</v>
      </c>
      <c r="H497" s="11">
        <v>-55.3</v>
      </c>
      <c r="I497" s="12">
        <v>-86592961.712599993</v>
      </c>
    </row>
    <row r="498" spans="2:9" ht="30" x14ac:dyDescent="0.25">
      <c r="B498" s="9"/>
      <c r="D498" s="9"/>
      <c r="E498" s="9"/>
      <c r="F498" s="9" t="s">
        <v>765</v>
      </c>
      <c r="G498" s="9" t="s">
        <v>750</v>
      </c>
      <c r="H498" s="11">
        <v>192.55</v>
      </c>
      <c r="I498" s="12">
        <v>114534493.7791</v>
      </c>
    </row>
    <row r="499" spans="2:9" x14ac:dyDescent="0.25">
      <c r="B499" s="9"/>
      <c r="D499" s="9"/>
      <c r="E499" s="9"/>
      <c r="F499" s="9"/>
      <c r="G499" s="9"/>
      <c r="H499" s="11"/>
      <c r="I499" s="12"/>
    </row>
    <row r="500" spans="2:9" ht="45" x14ac:dyDescent="0.25">
      <c r="B500" s="9"/>
      <c r="C500" s="9" t="s">
        <v>2714</v>
      </c>
      <c r="D500" s="9" t="s">
        <v>1680</v>
      </c>
      <c r="E500" s="9" t="s">
        <v>788</v>
      </c>
      <c r="F500" s="9" t="s">
        <v>760</v>
      </c>
      <c r="G500" s="9" t="s">
        <v>750</v>
      </c>
      <c r="H500" s="11">
        <v>-3.8499999999999996</v>
      </c>
      <c r="I500" s="12">
        <v>-6761073.5515400004</v>
      </c>
    </row>
    <row r="501" spans="2:9" ht="30" x14ac:dyDescent="0.25">
      <c r="B501" s="9"/>
      <c r="D501" s="9"/>
      <c r="E501" s="9"/>
      <c r="F501" s="9" t="s">
        <v>765</v>
      </c>
      <c r="G501" s="9" t="s">
        <v>750</v>
      </c>
      <c r="H501" s="11">
        <v>1.1499999999999999</v>
      </c>
      <c r="I501" s="12">
        <v>947058.82</v>
      </c>
    </row>
    <row r="502" spans="2:9" x14ac:dyDescent="0.25">
      <c r="B502" s="9"/>
      <c r="D502" s="9"/>
      <c r="E502" s="9"/>
      <c r="F502" s="9"/>
      <c r="G502" s="9"/>
      <c r="H502" s="11"/>
      <c r="I502" s="12"/>
    </row>
    <row r="503" spans="2:9" ht="45" x14ac:dyDescent="0.25">
      <c r="B503" s="9"/>
      <c r="C503" s="9" t="s">
        <v>2713</v>
      </c>
      <c r="D503" s="9" t="s">
        <v>1680</v>
      </c>
      <c r="E503" s="9" t="s">
        <v>788</v>
      </c>
      <c r="F503" s="9" t="s">
        <v>760</v>
      </c>
      <c r="G503" s="9" t="s">
        <v>750</v>
      </c>
      <c r="H503" s="11">
        <v>-1.85</v>
      </c>
      <c r="I503" s="12">
        <v>-3248827.5507399999</v>
      </c>
    </row>
    <row r="504" spans="2:9" ht="30" x14ac:dyDescent="0.25">
      <c r="B504" s="9"/>
      <c r="D504" s="9"/>
      <c r="E504" s="9"/>
      <c r="F504" s="9" t="s">
        <v>765</v>
      </c>
      <c r="G504" s="9" t="s">
        <v>750</v>
      </c>
      <c r="H504" s="11">
        <v>1.4</v>
      </c>
      <c r="I504" s="12">
        <v>1152941.176</v>
      </c>
    </row>
    <row r="505" spans="2:9" x14ac:dyDescent="0.25">
      <c r="B505" s="9"/>
      <c r="D505" s="9"/>
      <c r="E505" s="9"/>
      <c r="F505" s="9"/>
      <c r="G505" s="9"/>
      <c r="H505" s="11"/>
      <c r="I505" s="12"/>
    </row>
    <row r="506" spans="2:9" ht="45" x14ac:dyDescent="0.25">
      <c r="B506" s="9"/>
      <c r="C506" s="9" t="s">
        <v>2719</v>
      </c>
      <c r="D506" s="9" t="s">
        <v>1680</v>
      </c>
      <c r="E506" s="9" t="s">
        <v>788</v>
      </c>
      <c r="F506" s="9" t="s">
        <v>760</v>
      </c>
      <c r="G506" s="9" t="s">
        <v>750</v>
      </c>
      <c r="H506" s="11">
        <v>-0.85</v>
      </c>
      <c r="I506" s="12">
        <v>-1492704.5503400001</v>
      </c>
    </row>
    <row r="507" spans="2:9" ht="30" x14ac:dyDescent="0.25">
      <c r="B507" s="9"/>
      <c r="D507" s="9"/>
      <c r="E507" s="9"/>
      <c r="F507" s="9" t="s">
        <v>765</v>
      </c>
      <c r="G507" s="9" t="s">
        <v>750</v>
      </c>
      <c r="H507" s="11">
        <v>0.85</v>
      </c>
      <c r="I507" s="12">
        <v>700000</v>
      </c>
    </row>
    <row r="508" spans="2:9" x14ac:dyDescent="0.25">
      <c r="B508" s="9"/>
      <c r="D508" s="9"/>
      <c r="E508" s="9"/>
      <c r="F508" s="9"/>
      <c r="G508" s="9"/>
      <c r="H508" s="11"/>
      <c r="I508" s="12"/>
    </row>
    <row r="509" spans="2:9" ht="75" x14ac:dyDescent="0.25">
      <c r="B509" s="9"/>
      <c r="C509" s="9" t="s">
        <v>2905</v>
      </c>
      <c r="D509" s="9" t="s">
        <v>1680</v>
      </c>
      <c r="E509" s="9" t="s">
        <v>788</v>
      </c>
      <c r="F509" s="9" t="s">
        <v>764</v>
      </c>
      <c r="G509" s="9" t="s">
        <v>750</v>
      </c>
      <c r="H509" s="11">
        <v>-21.6</v>
      </c>
      <c r="I509" s="12">
        <v>-18966096</v>
      </c>
    </row>
    <row r="510" spans="2:9" ht="30" x14ac:dyDescent="0.25">
      <c r="B510" s="9"/>
      <c r="D510" s="9"/>
      <c r="E510" s="9"/>
      <c r="F510" s="9" t="s">
        <v>2195</v>
      </c>
      <c r="G510" s="9" t="s">
        <v>750</v>
      </c>
      <c r="H510" s="11">
        <v>21.6</v>
      </c>
      <c r="I510" s="12">
        <v>37932192</v>
      </c>
    </row>
    <row r="511" spans="2:9" x14ac:dyDescent="0.25">
      <c r="B511" s="9"/>
      <c r="D511" s="9"/>
      <c r="E511" s="9"/>
      <c r="F511" s="9"/>
      <c r="G511" s="9"/>
      <c r="H511" s="11"/>
      <c r="I511" s="12"/>
    </row>
    <row r="512" spans="2:9" ht="30" x14ac:dyDescent="0.25">
      <c r="B512" s="9"/>
      <c r="C512" s="9" t="s">
        <v>2980</v>
      </c>
      <c r="D512" s="9" t="s">
        <v>1593</v>
      </c>
      <c r="E512" s="9" t="s">
        <v>788</v>
      </c>
      <c r="F512" s="9" t="s">
        <v>764</v>
      </c>
      <c r="G512" s="9" t="s">
        <v>750</v>
      </c>
      <c r="H512" s="11">
        <v>-2.0499999999999998</v>
      </c>
      <c r="I512" s="12">
        <v>-1800023</v>
      </c>
    </row>
    <row r="513" spans="2:9" ht="30" x14ac:dyDescent="0.25">
      <c r="B513" s="9"/>
      <c r="D513" s="9"/>
      <c r="E513" s="9"/>
      <c r="F513" s="9" t="s">
        <v>762</v>
      </c>
      <c r="G513" s="9" t="s">
        <v>750</v>
      </c>
      <c r="H513" s="11">
        <v>2.0499999999999998</v>
      </c>
      <c r="I513" s="12">
        <v>3600046</v>
      </c>
    </row>
    <row r="514" spans="2:9" x14ac:dyDescent="0.25">
      <c r="B514" s="9"/>
      <c r="D514" s="9"/>
      <c r="E514" s="9"/>
      <c r="F514" s="9"/>
      <c r="G514" s="9"/>
      <c r="H514" s="11"/>
      <c r="I514" s="12"/>
    </row>
    <row r="515" spans="2:9" ht="45" x14ac:dyDescent="0.25">
      <c r="B515" s="9"/>
      <c r="C515" s="9" t="s">
        <v>2993</v>
      </c>
      <c r="D515" s="9" t="s">
        <v>1680</v>
      </c>
      <c r="E515" s="9" t="s">
        <v>788</v>
      </c>
      <c r="F515" s="9" t="s">
        <v>765</v>
      </c>
      <c r="G515" s="9" t="s">
        <v>750</v>
      </c>
      <c r="H515" s="11">
        <v>-0.1</v>
      </c>
      <c r="I515" s="12">
        <v>0</v>
      </c>
    </row>
    <row r="516" spans="2:9" x14ac:dyDescent="0.25">
      <c r="B516" s="9"/>
      <c r="D516" s="9"/>
      <c r="E516" s="9"/>
      <c r="F516" s="9"/>
      <c r="G516" s="9"/>
      <c r="H516" s="11"/>
      <c r="I516" s="12"/>
    </row>
    <row r="517" spans="2:9" ht="75" x14ac:dyDescent="0.25">
      <c r="B517" s="9"/>
      <c r="C517" s="9" t="s">
        <v>3387</v>
      </c>
      <c r="D517" s="9" t="s">
        <v>1680</v>
      </c>
      <c r="E517" s="9" t="s">
        <v>788</v>
      </c>
      <c r="F517" s="9" t="s">
        <v>762</v>
      </c>
      <c r="G517" s="9" t="s">
        <v>750</v>
      </c>
      <c r="H517" s="11">
        <v>-6.35</v>
      </c>
      <c r="I517" s="12">
        <v>-11151381.052540001</v>
      </c>
    </row>
    <row r="518" spans="2:9" x14ac:dyDescent="0.25">
      <c r="B518" s="9"/>
      <c r="D518" s="9"/>
      <c r="E518" s="9"/>
      <c r="F518" s="9" t="s">
        <v>760</v>
      </c>
      <c r="G518" s="9" t="s">
        <v>750</v>
      </c>
      <c r="H518" s="11">
        <v>-4.9000000000000004</v>
      </c>
      <c r="I518" s="12">
        <v>-8605002.7019599993</v>
      </c>
    </row>
    <row r="519" spans="2:9" x14ac:dyDescent="0.25">
      <c r="B519" s="9"/>
      <c r="D519" s="9"/>
      <c r="E519" s="9"/>
      <c r="F519" s="9"/>
      <c r="G519" s="9"/>
      <c r="H519" s="11"/>
      <c r="I519" s="12"/>
    </row>
    <row r="520" spans="2:9" ht="45" x14ac:dyDescent="0.25">
      <c r="B520" s="9"/>
      <c r="C520" s="9" t="s">
        <v>3434</v>
      </c>
      <c r="D520" s="9" t="s">
        <v>1593</v>
      </c>
      <c r="E520" s="9" t="s">
        <v>788</v>
      </c>
      <c r="F520" s="9" t="s">
        <v>760</v>
      </c>
      <c r="G520" s="9" t="s">
        <v>750</v>
      </c>
      <c r="H520" s="11">
        <v>0.3</v>
      </c>
      <c r="I520" s="12">
        <v>526836.90006000001</v>
      </c>
    </row>
    <row r="521" spans="2:9" x14ac:dyDescent="0.25">
      <c r="B521" s="9"/>
      <c r="D521" s="9"/>
      <c r="E521" s="9"/>
      <c r="F521" s="9"/>
      <c r="G521" s="9"/>
      <c r="H521" s="11"/>
      <c r="I521" s="12"/>
    </row>
    <row r="522" spans="2:9" x14ac:dyDescent="0.25">
      <c r="B522" s="9" t="s">
        <v>2896</v>
      </c>
      <c r="D522" s="9"/>
      <c r="E522" s="9"/>
      <c r="F522" s="9"/>
      <c r="G522" s="9"/>
      <c r="H522" s="11">
        <v>-108.8</v>
      </c>
      <c r="I522" s="12">
        <v>-371597096.20123005</v>
      </c>
    </row>
    <row r="523" spans="2:9" x14ac:dyDescent="0.25">
      <c r="B523" s="9"/>
      <c r="D523" s="9"/>
      <c r="E523" s="9"/>
      <c r="F523" s="9"/>
      <c r="G523" s="9"/>
      <c r="H523" s="11"/>
      <c r="I523" s="12"/>
    </row>
    <row r="524" spans="2:9" ht="45" x14ac:dyDescent="0.25">
      <c r="B524" s="9" t="s">
        <v>1609</v>
      </c>
      <c r="C524" s="9" t="s">
        <v>1647</v>
      </c>
      <c r="D524" s="9" t="s">
        <v>1687</v>
      </c>
      <c r="E524" s="9" t="s">
        <v>788</v>
      </c>
      <c r="F524" s="9" t="s">
        <v>782</v>
      </c>
      <c r="G524" s="9" t="s">
        <v>748</v>
      </c>
      <c r="H524" s="11">
        <v>0.104</v>
      </c>
      <c r="I524" s="12">
        <v>358528.76799999998</v>
      </c>
    </row>
    <row r="525" spans="2:9" x14ac:dyDescent="0.25">
      <c r="B525" s="9"/>
      <c r="D525" s="9"/>
      <c r="E525" s="9"/>
      <c r="F525" s="9"/>
      <c r="G525" s="9"/>
      <c r="H525" s="11"/>
      <c r="I525" s="12"/>
    </row>
    <row r="526" spans="2:9" ht="45" x14ac:dyDescent="0.25">
      <c r="B526" s="9"/>
      <c r="C526" s="9" t="s">
        <v>1648</v>
      </c>
      <c r="D526" s="9" t="s">
        <v>1687</v>
      </c>
      <c r="E526" s="9" t="s">
        <v>788</v>
      </c>
      <c r="F526" s="9" t="s">
        <v>782</v>
      </c>
      <c r="G526" s="9" t="s">
        <v>748</v>
      </c>
      <c r="H526" s="11">
        <v>-0.14000000000000001</v>
      </c>
      <c r="I526" s="12">
        <v>-482634.88000000006</v>
      </c>
    </row>
    <row r="527" spans="2:9" x14ac:dyDescent="0.25">
      <c r="B527" s="9"/>
      <c r="D527" s="9"/>
      <c r="E527" s="9"/>
      <c r="F527" s="9"/>
      <c r="G527" s="9"/>
      <c r="H527" s="11"/>
      <c r="I527" s="12"/>
    </row>
    <row r="528" spans="2:9" ht="60" x14ac:dyDescent="0.25">
      <c r="B528" s="9"/>
      <c r="C528" s="9" t="s">
        <v>1919</v>
      </c>
      <c r="D528" s="9" t="s">
        <v>1687</v>
      </c>
      <c r="E528" s="9" t="s">
        <v>788</v>
      </c>
      <c r="F528" s="9" t="s">
        <v>782</v>
      </c>
      <c r="G528" s="9" t="s">
        <v>748</v>
      </c>
      <c r="H528" s="11">
        <v>3.83</v>
      </c>
      <c r="I528" s="12">
        <v>7919416.4382450003</v>
      </c>
    </row>
    <row r="529" spans="2:9" x14ac:dyDescent="0.25">
      <c r="B529" s="9"/>
      <c r="D529" s="9"/>
      <c r="E529" s="9"/>
      <c r="F529" s="9"/>
      <c r="G529" s="9"/>
      <c r="H529" s="11"/>
      <c r="I529" s="12"/>
    </row>
    <row r="530" spans="2:9" ht="30" x14ac:dyDescent="0.25">
      <c r="B530" s="9" t="s">
        <v>3381</v>
      </c>
      <c r="D530" s="9"/>
      <c r="E530" s="9"/>
      <c r="F530" s="9"/>
      <c r="G530" s="9"/>
      <c r="H530" s="11">
        <v>3.794</v>
      </c>
      <c r="I530" s="12">
        <v>7795310.3262450006</v>
      </c>
    </row>
    <row r="531" spans="2:9" x14ac:dyDescent="0.25">
      <c r="B531" s="9"/>
      <c r="D531" s="9"/>
      <c r="E531" s="9"/>
      <c r="F531" s="9"/>
      <c r="G531" s="9"/>
      <c r="H531" s="11"/>
      <c r="I531" s="12"/>
    </row>
    <row r="532" spans="2:9" ht="45" x14ac:dyDescent="0.25">
      <c r="B532" s="9" t="s">
        <v>2210</v>
      </c>
      <c r="C532" s="9" t="s">
        <v>1922</v>
      </c>
      <c r="D532" s="9" t="s">
        <v>788</v>
      </c>
      <c r="E532" s="9" t="s">
        <v>788</v>
      </c>
      <c r="F532" s="9" t="s">
        <v>2211</v>
      </c>
      <c r="G532" s="9">
        <v>0</v>
      </c>
      <c r="H532" s="11">
        <v>0</v>
      </c>
      <c r="I532" s="12">
        <v>286671712</v>
      </c>
    </row>
    <row r="533" spans="2:9" x14ac:dyDescent="0.25">
      <c r="B533" s="9"/>
      <c r="D533" s="9"/>
      <c r="E533" s="9"/>
      <c r="F533" s="9"/>
      <c r="G533" s="9"/>
      <c r="H533" s="11"/>
      <c r="I533" s="12"/>
    </row>
    <row r="534" spans="2:9" ht="45" x14ac:dyDescent="0.25">
      <c r="B534" s="9"/>
      <c r="C534" s="9" t="s">
        <v>1923</v>
      </c>
      <c r="D534" s="9" t="s">
        <v>788</v>
      </c>
      <c r="E534" s="9" t="s">
        <v>788</v>
      </c>
      <c r="F534" s="9" t="s">
        <v>2211</v>
      </c>
      <c r="G534" s="9">
        <v>0</v>
      </c>
      <c r="H534" s="11">
        <v>0</v>
      </c>
      <c r="I534" s="12">
        <v>19763783.623</v>
      </c>
    </row>
    <row r="535" spans="2:9" x14ac:dyDescent="0.25">
      <c r="B535" s="9"/>
      <c r="D535" s="9"/>
      <c r="E535" s="9"/>
      <c r="F535" s="9"/>
      <c r="G535" s="9"/>
      <c r="H535" s="11"/>
      <c r="I535" s="12"/>
    </row>
    <row r="536" spans="2:9" ht="60" x14ac:dyDescent="0.25">
      <c r="B536" s="9"/>
      <c r="C536" s="9" t="s">
        <v>2882</v>
      </c>
      <c r="D536" s="9" t="s">
        <v>788</v>
      </c>
      <c r="E536" s="9" t="s">
        <v>788</v>
      </c>
      <c r="F536" s="9" t="s">
        <v>2890</v>
      </c>
      <c r="G536" s="9">
        <v>0</v>
      </c>
      <c r="H536" s="11">
        <v>0</v>
      </c>
      <c r="I536" s="12">
        <v>22672357.07</v>
      </c>
    </row>
    <row r="537" spans="2:9" x14ac:dyDescent="0.25">
      <c r="B537" s="9"/>
      <c r="D537" s="9"/>
      <c r="E537" s="9"/>
      <c r="F537" s="9"/>
      <c r="G537" s="9"/>
      <c r="H537" s="11"/>
      <c r="I537" s="12"/>
    </row>
    <row r="538" spans="2:9" ht="45" x14ac:dyDescent="0.25">
      <c r="B538" s="9"/>
      <c r="C538" s="9" t="s">
        <v>2898</v>
      </c>
      <c r="D538" s="9" t="s">
        <v>788</v>
      </c>
      <c r="E538" s="9" t="s">
        <v>788</v>
      </c>
      <c r="F538" s="9" t="s">
        <v>2889</v>
      </c>
      <c r="G538" s="9">
        <v>0</v>
      </c>
      <c r="H538" s="11">
        <v>0</v>
      </c>
      <c r="I538" s="12">
        <v>712779541.29991436</v>
      </c>
    </row>
    <row r="539" spans="2:9" x14ac:dyDescent="0.25">
      <c r="B539" s="9"/>
      <c r="D539" s="9"/>
      <c r="E539" s="9"/>
      <c r="F539" s="9"/>
      <c r="G539" s="9"/>
      <c r="H539" s="11"/>
      <c r="I539" s="12"/>
    </row>
    <row r="540" spans="2:9" ht="45" x14ac:dyDescent="0.25">
      <c r="B540" s="9"/>
      <c r="C540" s="9" t="s">
        <v>2899</v>
      </c>
      <c r="D540" s="9" t="s">
        <v>788</v>
      </c>
      <c r="E540" s="9" t="s">
        <v>788</v>
      </c>
      <c r="F540" s="9" t="s">
        <v>2889</v>
      </c>
      <c r="G540" s="9">
        <v>0</v>
      </c>
      <c r="H540" s="11">
        <v>0</v>
      </c>
      <c r="I540" s="12">
        <v>154867886.78080368</v>
      </c>
    </row>
    <row r="541" spans="2:9" x14ac:dyDescent="0.25">
      <c r="B541" s="9"/>
      <c r="D541" s="9"/>
      <c r="E541" s="9"/>
      <c r="F541" s="9"/>
      <c r="G541" s="9"/>
      <c r="H541" s="11"/>
      <c r="I541" s="12"/>
    </row>
    <row r="542" spans="2:9" x14ac:dyDescent="0.25">
      <c r="B542" s="9" t="s">
        <v>3382</v>
      </c>
      <c r="D542" s="9"/>
      <c r="E542" s="9"/>
      <c r="F542" s="9"/>
      <c r="G542" s="9"/>
      <c r="H542" s="11">
        <v>0</v>
      </c>
      <c r="I542" s="12">
        <v>1196755280.7737181</v>
      </c>
    </row>
    <row r="543" spans="2:9" x14ac:dyDescent="0.25">
      <c r="B543" s="9"/>
      <c r="D543" s="9"/>
      <c r="E543" s="9"/>
      <c r="F543" s="9"/>
      <c r="G543" s="9"/>
      <c r="H543" s="11"/>
      <c r="I543" s="12"/>
    </row>
    <row r="544" spans="2:9" ht="90" x14ac:dyDescent="0.25">
      <c r="B544" s="9" t="s">
        <v>2146</v>
      </c>
      <c r="C544" s="9" t="s">
        <v>2545</v>
      </c>
      <c r="D544" s="9" t="s">
        <v>785</v>
      </c>
      <c r="E544" s="9" t="s">
        <v>788</v>
      </c>
      <c r="F544" s="9" t="s">
        <v>2532</v>
      </c>
      <c r="G544" s="9" t="s">
        <v>750</v>
      </c>
      <c r="H544" s="11">
        <v>-0.25</v>
      </c>
      <c r="I544" s="12">
        <v>0</v>
      </c>
    </row>
    <row r="545" spans="2:9" x14ac:dyDescent="0.25">
      <c r="B545" s="9"/>
      <c r="D545" s="9"/>
      <c r="E545" s="9"/>
      <c r="F545" s="9"/>
      <c r="G545" s="9"/>
      <c r="H545" s="11"/>
      <c r="I545" s="12"/>
    </row>
    <row r="546" spans="2:9" ht="30" x14ac:dyDescent="0.25">
      <c r="B546" s="9" t="s">
        <v>3383</v>
      </c>
      <c r="D546" s="9"/>
      <c r="E546" s="9"/>
      <c r="F546" s="9"/>
      <c r="G546" s="9"/>
      <c r="H546" s="11">
        <v>-0.25</v>
      </c>
      <c r="I546" s="12">
        <v>0</v>
      </c>
    </row>
    <row r="547" spans="2:9" x14ac:dyDescent="0.25">
      <c r="B547" s="9"/>
      <c r="D547" s="9"/>
      <c r="E547" s="9"/>
      <c r="F547" s="9"/>
      <c r="G547" s="9"/>
      <c r="H547" s="11"/>
      <c r="I547" s="12"/>
    </row>
    <row r="548" spans="2:9" ht="45" x14ac:dyDescent="0.25">
      <c r="B548" s="9" t="s">
        <v>2179</v>
      </c>
      <c r="C548" s="9" t="s">
        <v>3433</v>
      </c>
      <c r="D548" s="9" t="s">
        <v>1680</v>
      </c>
      <c r="E548" s="9" t="s">
        <v>788</v>
      </c>
      <c r="F548" s="9" t="s">
        <v>2178</v>
      </c>
      <c r="G548" s="9" t="s">
        <v>750</v>
      </c>
      <c r="H548" s="11">
        <v>-15.75</v>
      </c>
      <c r="I548" s="12">
        <v>-53447900.209199995</v>
      </c>
    </row>
    <row r="549" spans="2:9" x14ac:dyDescent="0.25">
      <c r="B549" s="9"/>
      <c r="D549" s="9"/>
      <c r="E549" s="9"/>
      <c r="F549" s="9"/>
      <c r="G549" s="9"/>
      <c r="H549" s="11"/>
      <c r="I549" s="12"/>
    </row>
    <row r="550" spans="2:9" ht="30" x14ac:dyDescent="0.25">
      <c r="B550" s="9"/>
      <c r="D550" s="9" t="s">
        <v>1593</v>
      </c>
      <c r="E550" s="9" t="s">
        <v>788</v>
      </c>
      <c r="F550" s="9" t="s">
        <v>3407</v>
      </c>
      <c r="G550" s="9" t="s">
        <v>750</v>
      </c>
      <c r="H550" s="11">
        <v>15.75</v>
      </c>
      <c r="I550" s="12">
        <v>21379176</v>
      </c>
    </row>
    <row r="551" spans="2:9" x14ac:dyDescent="0.25">
      <c r="B551" s="9"/>
      <c r="D551" s="9"/>
      <c r="E551" s="9"/>
      <c r="F551" s="9"/>
      <c r="G551" s="9"/>
      <c r="H551" s="11"/>
      <c r="I551" s="12"/>
    </row>
    <row r="552" spans="2:9" ht="30" x14ac:dyDescent="0.25">
      <c r="B552" s="9" t="s">
        <v>3436</v>
      </c>
      <c r="D552" s="9"/>
      <c r="E552" s="9"/>
      <c r="F552" s="9"/>
      <c r="G552" s="9"/>
      <c r="H552" s="11">
        <v>0</v>
      </c>
      <c r="I552" s="12">
        <v>-32068724.209199995</v>
      </c>
    </row>
    <row r="553" spans="2:9" x14ac:dyDescent="0.25">
      <c r="B553" s="9"/>
      <c r="D553" s="9"/>
      <c r="E553" s="9"/>
      <c r="F553" s="9"/>
      <c r="G553" s="9"/>
      <c r="H553" s="11"/>
      <c r="I553" s="12"/>
    </row>
    <row r="554" spans="2:9" x14ac:dyDescent="0.25">
      <c r="B554" s="9" t="s">
        <v>1115</v>
      </c>
      <c r="D554" s="9"/>
      <c r="E554" s="9"/>
      <c r="F554" s="9"/>
      <c r="G554" s="9"/>
      <c r="H554" s="11">
        <v>-598.19500000000028</v>
      </c>
      <c r="I554" s="12">
        <v>-254971386.17293894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02B33-4771-4DAD-9B59-18D900224FEE}">
  <dimension ref="D3:F6"/>
  <sheetViews>
    <sheetView workbookViewId="0">
      <selection activeCell="F9" sqref="F9"/>
    </sheetView>
  </sheetViews>
  <sheetFormatPr defaultRowHeight="15" x14ac:dyDescent="0.25"/>
  <cols>
    <col min="6" max="6" width="21.85546875" customWidth="1"/>
  </cols>
  <sheetData>
    <row r="3" spans="4:6" x14ac:dyDescent="0.25">
      <c r="E3" t="s">
        <v>2880</v>
      </c>
      <c r="F3" t="s">
        <v>2897</v>
      </c>
    </row>
    <row r="4" spans="4:6" x14ac:dyDescent="0.25">
      <c r="D4" t="s">
        <v>1607</v>
      </c>
      <c r="E4" s="73">
        <v>-527.70000000000005</v>
      </c>
      <c r="F4" s="74">
        <v>-857498653.68562007</v>
      </c>
    </row>
    <row r="5" spans="4:6" x14ac:dyDescent="0.25">
      <c r="E5">
        <v>515.05000000000007</v>
      </c>
      <c r="F5">
        <v>621939619.73304999</v>
      </c>
    </row>
    <row r="6" spans="4:6" x14ac:dyDescent="0.25">
      <c r="E6" s="14">
        <f>SUM(E4:E5)</f>
        <v>-12.649999999999977</v>
      </c>
      <c r="F6" s="14">
        <f>SUM(F4:F5)</f>
        <v>-235559033.95257008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B1222"/>
  <sheetViews>
    <sheetView topLeftCell="C1196" zoomScale="70" zoomScaleNormal="70" workbookViewId="0">
      <selection activeCell="M1157" sqref="M1157"/>
    </sheetView>
  </sheetViews>
  <sheetFormatPr defaultColWidth="144.140625" defaultRowHeight="15" x14ac:dyDescent="0.25"/>
  <cols>
    <col min="1" max="1" width="11.42578125" bestFit="1" customWidth="1"/>
    <col min="2" max="2" width="9.5703125" bestFit="1" customWidth="1"/>
    <col min="3" max="3" width="43.5703125" bestFit="1" customWidth="1"/>
    <col min="4" max="4" width="21" bestFit="1" customWidth="1"/>
    <col min="5" max="5" width="19.140625" style="1" bestFit="1" customWidth="1"/>
    <col min="6" max="6" width="46" bestFit="1" customWidth="1"/>
    <col min="7" max="7" width="41.42578125" bestFit="1" customWidth="1"/>
    <col min="8" max="8" width="13" bestFit="1" customWidth="1"/>
    <col min="9" max="9" width="11.5703125" bestFit="1" customWidth="1"/>
    <col min="10" max="10" width="10.42578125" bestFit="1" customWidth="1"/>
    <col min="11" max="11" width="18.42578125" bestFit="1" customWidth="1"/>
    <col min="12" max="12" width="53.85546875" customWidth="1"/>
    <col min="13" max="13" width="37.140625" customWidth="1"/>
    <col min="14" max="14" width="24.28515625" bestFit="1" customWidth="1"/>
    <col min="15" max="15" width="23.42578125" bestFit="1" customWidth="1"/>
    <col min="16" max="16" width="22.42578125" bestFit="1" customWidth="1"/>
    <col min="17" max="17" width="24.5703125" bestFit="1" customWidth="1"/>
    <col min="18" max="18" width="14.5703125" bestFit="1" customWidth="1"/>
    <col min="19" max="19" width="21.85546875" style="15" bestFit="1" customWidth="1"/>
    <col min="20" max="20" width="11" bestFit="1" customWidth="1"/>
    <col min="21" max="21" width="19.140625" bestFit="1" customWidth="1"/>
    <col min="22" max="22" width="17.28515625" bestFit="1" customWidth="1"/>
    <col min="23" max="23" width="15.140625" bestFit="1" customWidth="1"/>
    <col min="24" max="24" width="23.140625" bestFit="1" customWidth="1"/>
    <col min="25" max="25" width="18.42578125" style="2" customWidth="1"/>
    <col min="26" max="26" width="16.28515625" bestFit="1" customWidth="1"/>
    <col min="27" max="27" width="18.5703125" bestFit="1" customWidth="1"/>
    <col min="28" max="28" width="16.85546875" bestFit="1" customWidth="1"/>
    <col min="29" max="29" width="7.28515625" bestFit="1" customWidth="1"/>
  </cols>
  <sheetData>
    <row r="1" spans="1:28" x14ac:dyDescent="0.25">
      <c r="A1" t="s">
        <v>743</v>
      </c>
      <c r="B1" t="s">
        <v>0</v>
      </c>
      <c r="C1" s="1" t="s">
        <v>535</v>
      </c>
      <c r="D1" t="s">
        <v>1600</v>
      </c>
      <c r="E1" t="s">
        <v>1</v>
      </c>
      <c r="F1" t="s">
        <v>768</v>
      </c>
      <c r="G1" t="s">
        <v>1123</v>
      </c>
      <c r="H1" t="s">
        <v>744</v>
      </c>
      <c r="I1" s="1" t="s">
        <v>2</v>
      </c>
      <c r="J1" t="s">
        <v>3</v>
      </c>
      <c r="K1" t="s">
        <v>4</v>
      </c>
      <c r="L1" t="s">
        <v>769</v>
      </c>
      <c r="M1" t="s">
        <v>770</v>
      </c>
      <c r="N1" t="s">
        <v>771</v>
      </c>
      <c r="O1" t="s">
        <v>772</v>
      </c>
      <c r="P1" t="s">
        <v>773</v>
      </c>
      <c r="Q1" t="s">
        <v>5</v>
      </c>
      <c r="R1" t="s">
        <v>6</v>
      </c>
      <c r="S1" s="15" t="s">
        <v>774</v>
      </c>
      <c r="T1" s="2" t="s">
        <v>7</v>
      </c>
      <c r="U1" t="s">
        <v>8</v>
      </c>
      <c r="V1" t="s">
        <v>9</v>
      </c>
      <c r="W1" t="s">
        <v>10</v>
      </c>
      <c r="X1" t="s">
        <v>11</v>
      </c>
      <c r="Y1" t="s">
        <v>12</v>
      </c>
      <c r="Z1" t="s">
        <v>13</v>
      </c>
      <c r="AA1" s="2" t="s">
        <v>14</v>
      </c>
      <c r="AB1" t="s">
        <v>745</v>
      </c>
    </row>
    <row r="2" spans="1:28" x14ac:dyDescent="0.25">
      <c r="A2" t="str">
        <f>TEXT(Table2[[#This Row],[dated]],"mmm")</f>
        <v>Jan</v>
      </c>
      <c r="B2" t="s">
        <v>398</v>
      </c>
      <c r="C2" s="1" t="s">
        <v>1587</v>
      </c>
      <c r="D2" t="str">
        <f>VLOOKUP(Table2[[#This Row],[product]],Ref[#All],7,FALSE)</f>
        <v>Cotton</v>
      </c>
      <c r="E2" t="s">
        <v>399</v>
      </c>
      <c r="F2" t="str">
        <f>VLOOKUP(Table2[[#This Row],[product]],Ref[#All],2,FALSE)</f>
        <v>White Cotton Seeds</v>
      </c>
      <c r="G2" t="str">
        <f>VLOOKUP(Table2[[#This Row],[product]],Ref[#All],3,FALSE)</f>
        <v>White Cotton Seeds</v>
      </c>
      <c r="H2" t="str">
        <f>VLOOKUP(Table2[[#This Row],[product]],Ref[#All],4,FALSE)</f>
        <v>Export</v>
      </c>
      <c r="I2" s="1">
        <v>45686</v>
      </c>
      <c r="J2" t="s">
        <v>127</v>
      </c>
      <c r="K2" t="s">
        <v>400</v>
      </c>
      <c r="L2" t="s">
        <v>1626</v>
      </c>
      <c r="M2" t="s">
        <v>1593</v>
      </c>
      <c r="N2" t="s">
        <v>783</v>
      </c>
      <c r="O2" t="s">
        <v>1689</v>
      </c>
      <c r="P2" t="s">
        <v>788</v>
      </c>
      <c r="Q2" t="s">
        <v>55</v>
      </c>
      <c r="R2">
        <v>0.01</v>
      </c>
      <c r="S2" s="15">
        <f>Table2[[#This Row],[movement_quantity]]/VLOOKUP(Table2[[#This Row],[product]],Ref[#All],5,FALSE)</f>
        <v>0.01</v>
      </c>
      <c r="T2">
        <v>455748.84263000003</v>
      </c>
      <c r="U2" t="s">
        <v>401</v>
      </c>
      <c r="V2" t="s">
        <v>18</v>
      </c>
      <c r="W2" t="s">
        <v>402</v>
      </c>
      <c r="X2" t="s">
        <v>403</v>
      </c>
      <c r="Y2" t="s">
        <v>17</v>
      </c>
      <c r="Z2">
        <v>0</v>
      </c>
      <c r="AA2" s="2">
        <v>4557.4884263000004</v>
      </c>
      <c r="AB2" t="str">
        <f>VLOOKUP(Table2[[#This Row],[product]],Ref[#All],6,FALSE)</f>
        <v>TON</v>
      </c>
    </row>
    <row r="3" spans="1:28" x14ac:dyDescent="0.25">
      <c r="A3" t="str">
        <f>TEXT(Table2[[#This Row],[dated]],"mmm")</f>
        <v>Feb</v>
      </c>
      <c r="B3" t="s">
        <v>50</v>
      </c>
      <c r="C3" s="1" t="s">
        <v>1587</v>
      </c>
      <c r="D3" t="str">
        <f>VLOOKUP(Table2[[#This Row],[product]],Ref[#All],7,FALSE)</f>
        <v>Cotton</v>
      </c>
      <c r="E3" t="s">
        <v>399</v>
      </c>
      <c r="F3" t="str">
        <f>VLOOKUP(Table2[[#This Row],[product]],Ref[#All],2,FALSE)</f>
        <v>White Cotton Seeds</v>
      </c>
      <c r="G3" t="str">
        <f>VLOOKUP(Table2[[#This Row],[product]],Ref[#All],3,FALSE)</f>
        <v>White Cotton Seeds</v>
      </c>
      <c r="H3" t="str">
        <f>VLOOKUP(Table2[[#This Row],[product]],Ref[#All],4,FALSE)</f>
        <v>Export</v>
      </c>
      <c r="I3" s="1">
        <v>45691</v>
      </c>
      <c r="J3" t="s">
        <v>53</v>
      </c>
      <c r="K3" t="s">
        <v>421</v>
      </c>
      <c r="L3" t="s">
        <v>1627</v>
      </c>
      <c r="M3" t="s">
        <v>1586</v>
      </c>
      <c r="N3" t="s">
        <v>783</v>
      </c>
      <c r="O3" t="s">
        <v>1689</v>
      </c>
      <c r="P3" t="s">
        <v>788</v>
      </c>
      <c r="Q3" t="s">
        <v>55</v>
      </c>
      <c r="R3">
        <v>-0.33</v>
      </c>
      <c r="S3" s="15">
        <f>Table2[[#This Row],[movement_quantity]]/VLOOKUP(Table2[[#This Row],[product]],Ref[#All],5,FALSE)</f>
        <v>-0.33</v>
      </c>
      <c r="T3">
        <v>492826.92262000003</v>
      </c>
      <c r="U3" t="s">
        <v>17</v>
      </c>
      <c r="V3" t="s">
        <v>18</v>
      </c>
      <c r="W3" t="s">
        <v>422</v>
      </c>
      <c r="X3" t="s">
        <v>17</v>
      </c>
      <c r="Y3" t="s">
        <v>411</v>
      </c>
      <c r="Z3">
        <v>0</v>
      </c>
      <c r="AA3" s="2">
        <v>-162632.88446460001</v>
      </c>
      <c r="AB3" t="str">
        <f>VLOOKUP(Table2[[#This Row],[product]],Ref[#All],6,FALSE)</f>
        <v>TON</v>
      </c>
    </row>
    <row r="4" spans="1:28" x14ac:dyDescent="0.25">
      <c r="A4" t="str">
        <f>TEXT(Table2[[#This Row],[dated]],"mmm")</f>
        <v>Jul</v>
      </c>
      <c r="B4" s="26" t="s">
        <v>2276</v>
      </c>
      <c r="C4" s="1" t="s">
        <v>1587</v>
      </c>
      <c r="D4" t="str">
        <f>VLOOKUP(Table2[[#This Row],[product]],Ref[#All],7,FALSE)</f>
        <v>Sorghum</v>
      </c>
      <c r="E4" s="26" t="s">
        <v>137</v>
      </c>
      <c r="F4" t="str">
        <f>VLOOKUP(Table2[[#This Row],[product]],Ref[#All],2,FALSE)</f>
        <v>Sorghum Raw</v>
      </c>
      <c r="G4" t="str">
        <f>VLOOKUP(Table2[[#This Row],[product]],Ref[#All],3,FALSE)</f>
        <v>Sorghum Raw</v>
      </c>
      <c r="H4" t="str">
        <f>VLOOKUP(Table2[[#This Row],[product]],Ref[#All],4,FALSE)</f>
        <v>Export</v>
      </c>
      <c r="I4" s="29">
        <v>45861</v>
      </c>
      <c r="J4" s="26" t="s">
        <v>53</v>
      </c>
      <c r="K4" s="32" t="s">
        <v>2277</v>
      </c>
      <c r="L4" t="s">
        <v>2292</v>
      </c>
      <c r="M4" t="s">
        <v>1586</v>
      </c>
      <c r="N4" t="s">
        <v>783</v>
      </c>
      <c r="O4" t="s">
        <v>1689</v>
      </c>
      <c r="P4" t="s">
        <v>788</v>
      </c>
      <c r="Q4" t="s">
        <v>55</v>
      </c>
      <c r="R4">
        <v>-4.3499999999999996</v>
      </c>
      <c r="S4" s="15">
        <f>Table2[[#This Row],[movement_quantity]]/VLOOKUP(Table2[[#This Row],[product]],Ref[#All],5,FALSE)</f>
        <v>-4.3499999999999996</v>
      </c>
      <c r="T4" s="32">
        <v>947797.31544000003</v>
      </c>
      <c r="U4" s="32" t="s">
        <v>17</v>
      </c>
      <c r="V4" s="32" t="s">
        <v>18</v>
      </c>
      <c r="W4" s="32" t="s">
        <v>2278</v>
      </c>
      <c r="X4" s="32" t="s">
        <v>17</v>
      </c>
      <c r="Y4" s="32" t="s">
        <v>2279</v>
      </c>
      <c r="Z4" s="32">
        <v>0</v>
      </c>
      <c r="AA4" s="32">
        <v>-4122918.322164</v>
      </c>
      <c r="AB4" t="str">
        <f>VLOOKUP(Table2[[#This Row],[product]],Ref[#All],6,FALSE)</f>
        <v>TON</v>
      </c>
    </row>
    <row r="5" spans="1:28" x14ac:dyDescent="0.25">
      <c r="A5" t="str">
        <f>TEXT(Table2[[#This Row],[dated]],"mmm")</f>
        <v>Sep</v>
      </c>
      <c r="B5" t="s">
        <v>138</v>
      </c>
      <c r="C5" s="1" t="s">
        <v>1587</v>
      </c>
      <c r="D5" t="str">
        <f>VLOOKUP(Table2[[#This Row],[product]],Ref[#All],7,FALSE)</f>
        <v>Sorghum</v>
      </c>
      <c r="E5" s="28" t="s">
        <v>137</v>
      </c>
      <c r="F5" t="str">
        <f>VLOOKUP(Table2[[#This Row],[product]],Ref[#All],2,FALSE)</f>
        <v>Sorghum Raw</v>
      </c>
      <c r="G5" t="str">
        <f>VLOOKUP(Table2[[#This Row],[product]],Ref[#All],3,FALSE)</f>
        <v>Sorghum Raw</v>
      </c>
      <c r="H5" t="str">
        <f>VLOOKUP(Table2[[#This Row],[product]],Ref[#All],4,FALSE)</f>
        <v>Export</v>
      </c>
      <c r="I5" s="1">
        <v>45918</v>
      </c>
      <c r="J5" s="28" t="s">
        <v>127</v>
      </c>
      <c r="K5" s="39" t="s">
        <v>528</v>
      </c>
      <c r="L5" t="s">
        <v>2723</v>
      </c>
      <c r="M5" t="s">
        <v>1593</v>
      </c>
      <c r="N5" t="s">
        <v>783</v>
      </c>
      <c r="O5" t="s">
        <v>1689</v>
      </c>
      <c r="P5" t="s">
        <v>788</v>
      </c>
      <c r="Q5" s="38" t="s">
        <v>55</v>
      </c>
      <c r="R5">
        <v>18.64</v>
      </c>
      <c r="S5" s="15">
        <f>Table2[[#This Row],[movement_quantity]]/VLOOKUP(Table2[[#This Row],[product]],Ref[#All],5,FALSE)</f>
        <v>18.64</v>
      </c>
      <c r="T5">
        <v>947797.31544000003</v>
      </c>
      <c r="U5" t="s">
        <v>163</v>
      </c>
      <c r="V5" t="s">
        <v>18</v>
      </c>
      <c r="W5" t="s">
        <v>2663</v>
      </c>
      <c r="X5" t="s">
        <v>2664</v>
      </c>
      <c r="Y5" s="2" t="s">
        <v>17</v>
      </c>
      <c r="Z5">
        <v>0</v>
      </c>
      <c r="AA5" s="2">
        <v>17666941.959801599</v>
      </c>
      <c r="AB5" t="str">
        <f>VLOOKUP(Table2[[#This Row],[product]],Ref[#All],6,FALSE)</f>
        <v>TON</v>
      </c>
    </row>
    <row r="6" spans="1:28" x14ac:dyDescent="0.25">
      <c r="A6" t="str">
        <f>TEXT(Table2[[#This Row],[dated]],"mmm")</f>
        <v>Jun</v>
      </c>
      <c r="B6" t="s">
        <v>811</v>
      </c>
      <c r="C6" s="1" t="s">
        <v>1611</v>
      </c>
      <c r="D6" t="str">
        <f>VLOOKUP(Table2[[#This Row],[product]],Ref[#All],7,FALSE)</f>
        <v>Sugar</v>
      </c>
      <c r="E6" s="1" t="s">
        <v>761</v>
      </c>
      <c r="F6" t="str">
        <f>VLOOKUP(Table2[[#This Row],[product]],Ref[#All],2,FALSE)</f>
        <v>White Crystal Sugar</v>
      </c>
      <c r="G6" t="str">
        <f>VLOOKUP(Table2[[#This Row],[product]],Ref[#All],3,FALSE)</f>
        <v>White Crystal Sugar</v>
      </c>
      <c r="H6" t="str">
        <f>VLOOKUP(Table2[[#This Row],[product]],Ref[#All],4,FALSE)</f>
        <v>Import</v>
      </c>
      <c r="I6" s="1">
        <v>45823</v>
      </c>
      <c r="J6" t="s">
        <v>53</v>
      </c>
      <c r="K6" t="s">
        <v>1554</v>
      </c>
      <c r="L6" t="s">
        <v>1612</v>
      </c>
      <c r="M6" t="s">
        <v>1586</v>
      </c>
      <c r="N6" t="s">
        <v>784</v>
      </c>
      <c r="O6" t="s">
        <v>1680</v>
      </c>
      <c r="P6" t="s">
        <v>788</v>
      </c>
      <c r="Q6" t="s">
        <v>55</v>
      </c>
      <c r="R6">
        <v>-8</v>
      </c>
      <c r="S6" s="15">
        <f>Table2[[#This Row],[movement_quantity]]/VLOOKUP(Table2[[#This Row],[product]],Ref[#All],5,FALSE)</f>
        <v>-0.4</v>
      </c>
      <c r="T6">
        <v>83521.151800000007</v>
      </c>
      <c r="U6" t="s">
        <v>17</v>
      </c>
      <c r="V6" t="s">
        <v>21</v>
      </c>
      <c r="W6" t="s">
        <v>1555</v>
      </c>
      <c r="X6" t="s">
        <v>17</v>
      </c>
      <c r="Y6" t="s">
        <v>1556</v>
      </c>
      <c r="Z6" s="2">
        <v>0</v>
      </c>
      <c r="AA6" s="2">
        <v>-668169.21440000006</v>
      </c>
      <c r="AB6" t="str">
        <f>VLOOKUP(Table2[[#This Row],[product]],Ref[#All],6,FALSE)</f>
        <v>BAG50</v>
      </c>
    </row>
    <row r="7" spans="1:28" x14ac:dyDescent="0.25">
      <c r="A7" t="str">
        <f>TEXT(Table2[[#This Row],[dated]],"mmm")</f>
        <v>May</v>
      </c>
      <c r="B7" t="s">
        <v>861</v>
      </c>
      <c r="C7" s="1" t="s">
        <v>1611</v>
      </c>
      <c r="D7" t="str">
        <f>VLOOKUP(Table2[[#This Row],[product]],Ref[#All],7,FALSE)</f>
        <v>Rice</v>
      </c>
      <c r="E7" s="1" t="s">
        <v>45</v>
      </c>
      <c r="F7" t="str">
        <f>VLOOKUP(Table2[[#This Row],[product]],Ref[#All],2,FALSE)</f>
        <v>Rice Short Grain Elngm 25Kg</v>
      </c>
      <c r="G7" t="str">
        <f>VLOOKUP(Table2[[#This Row],[product]],Ref[#All],3,FALSE)</f>
        <v>Rice Short Grain</v>
      </c>
      <c r="H7" t="str">
        <f>VLOOKUP(Table2[[#This Row],[product]],Ref[#All],4,FALSE)</f>
        <v>Import</v>
      </c>
      <c r="I7" s="1">
        <v>45782</v>
      </c>
      <c r="J7" t="s">
        <v>53</v>
      </c>
      <c r="K7" t="s">
        <v>864</v>
      </c>
      <c r="L7" t="s">
        <v>1661</v>
      </c>
      <c r="M7" t="s">
        <v>1586</v>
      </c>
      <c r="N7" t="s">
        <v>784</v>
      </c>
      <c r="O7" t="s">
        <v>1680</v>
      </c>
      <c r="P7" t="s">
        <v>788</v>
      </c>
      <c r="Q7" t="s">
        <v>55</v>
      </c>
      <c r="R7">
        <v>-4</v>
      </c>
      <c r="S7" s="15">
        <f>Table2[[#This Row],[movement_quantity]]/VLOOKUP(Table2[[#This Row],[product]],Ref[#All],5,FALSE)</f>
        <v>-0.1</v>
      </c>
      <c r="T7">
        <v>50476.383040000001</v>
      </c>
      <c r="U7" t="s">
        <v>17</v>
      </c>
      <c r="V7" t="s">
        <v>21</v>
      </c>
      <c r="W7" t="s">
        <v>865</v>
      </c>
      <c r="X7" t="s">
        <v>17</v>
      </c>
      <c r="Y7" t="s">
        <v>145</v>
      </c>
      <c r="Z7">
        <v>0</v>
      </c>
      <c r="AA7" s="2">
        <v>-201905.53216</v>
      </c>
      <c r="AB7" t="str">
        <f>VLOOKUP(Table2[[#This Row],[product]],Ref[#All],6,FALSE)</f>
        <v>BAG25</v>
      </c>
    </row>
    <row r="8" spans="1:28" x14ac:dyDescent="0.25">
      <c r="A8" t="str">
        <f>TEXT(Table2[[#This Row],[dated]],"mmm")</f>
        <v>May</v>
      </c>
      <c r="B8" t="s">
        <v>861</v>
      </c>
      <c r="C8" s="1" t="s">
        <v>1611</v>
      </c>
      <c r="D8" t="str">
        <f>VLOOKUP(Table2[[#This Row],[product]],Ref[#All],7,FALSE)</f>
        <v>Rice</v>
      </c>
      <c r="E8" s="1" t="s">
        <v>45</v>
      </c>
      <c r="F8" t="str">
        <f>VLOOKUP(Table2[[#This Row],[product]],Ref[#All],2,FALSE)</f>
        <v>Rice Short Grain Elngm 25Kg</v>
      </c>
      <c r="G8" t="str">
        <f>VLOOKUP(Table2[[#This Row],[product]],Ref[#All],3,FALSE)</f>
        <v>Rice Short Grain</v>
      </c>
      <c r="H8" t="str">
        <f>VLOOKUP(Table2[[#This Row],[product]],Ref[#All],4,FALSE)</f>
        <v>Import</v>
      </c>
      <c r="I8" s="1">
        <v>45782</v>
      </c>
      <c r="J8" t="s">
        <v>53</v>
      </c>
      <c r="K8" t="s">
        <v>874</v>
      </c>
      <c r="L8" t="s">
        <v>1659</v>
      </c>
      <c r="M8" t="s">
        <v>1586</v>
      </c>
      <c r="N8" t="s">
        <v>784</v>
      </c>
      <c r="O8" t="s">
        <v>1680</v>
      </c>
      <c r="P8" t="s">
        <v>788</v>
      </c>
      <c r="Q8" t="s">
        <v>55</v>
      </c>
      <c r="R8">
        <v>-2</v>
      </c>
      <c r="S8" s="15">
        <f>Table2[[#This Row],[movement_quantity]]/VLOOKUP(Table2[[#This Row],[product]],Ref[#All],5,FALSE)</f>
        <v>-0.05</v>
      </c>
      <c r="T8">
        <v>50476.383040000001</v>
      </c>
      <c r="U8" t="s">
        <v>17</v>
      </c>
      <c r="V8" t="s">
        <v>24</v>
      </c>
      <c r="W8" t="s">
        <v>875</v>
      </c>
      <c r="X8" t="s">
        <v>17</v>
      </c>
      <c r="Y8" t="s">
        <v>145</v>
      </c>
      <c r="Z8">
        <v>0</v>
      </c>
      <c r="AA8" s="2">
        <v>-100952.76608</v>
      </c>
      <c r="AB8" t="str">
        <f>VLOOKUP(Table2[[#This Row],[product]],Ref[#All],6,FALSE)</f>
        <v>BAG25</v>
      </c>
    </row>
    <row r="9" spans="1:28" x14ac:dyDescent="0.25">
      <c r="A9" t="str">
        <f>TEXT(Table2[[#This Row],[dated]],"mmm")</f>
        <v>Jun</v>
      </c>
      <c r="B9" t="s">
        <v>20</v>
      </c>
      <c r="C9" s="1" t="s">
        <v>1611</v>
      </c>
      <c r="D9" t="str">
        <f>VLOOKUP(Table2[[#This Row],[product]],Ref[#All],7,FALSE)</f>
        <v>Sugar</v>
      </c>
      <c r="E9" s="1" t="s">
        <v>72</v>
      </c>
      <c r="F9" t="str">
        <f>VLOOKUP(Table2[[#This Row],[product]],Ref[#All],2,FALSE)</f>
        <v>White Sugar</v>
      </c>
      <c r="G9" t="str">
        <f>VLOOKUP(Table2[[#This Row],[product]],Ref[#All],3,FALSE)</f>
        <v>White Sugar</v>
      </c>
      <c r="H9" t="str">
        <f>VLOOKUP(Table2[[#This Row],[product]],Ref[#All],4,FALSE)</f>
        <v>Import</v>
      </c>
      <c r="I9" s="1">
        <v>45823</v>
      </c>
      <c r="J9" t="s">
        <v>53</v>
      </c>
      <c r="K9" t="s">
        <v>1486</v>
      </c>
      <c r="L9" t="s">
        <v>1614</v>
      </c>
      <c r="M9" t="s">
        <v>1586</v>
      </c>
      <c r="N9" t="s">
        <v>784</v>
      </c>
      <c r="O9" t="s">
        <v>1680</v>
      </c>
      <c r="P9" t="s">
        <v>788</v>
      </c>
      <c r="Q9" t="s">
        <v>55</v>
      </c>
      <c r="R9">
        <v>-155</v>
      </c>
      <c r="S9" s="15">
        <f>Table2[[#This Row],[movement_quantity]]/VLOOKUP(Table2[[#This Row],[product]],Ref[#All],5,FALSE)</f>
        <v>-7.75</v>
      </c>
      <c r="T9">
        <v>83521.151800000007</v>
      </c>
      <c r="U9" t="s">
        <v>17</v>
      </c>
      <c r="V9" t="s">
        <v>21</v>
      </c>
      <c r="W9" t="s">
        <v>1487</v>
      </c>
      <c r="X9" t="s">
        <v>17</v>
      </c>
      <c r="Y9" t="s">
        <v>1320</v>
      </c>
      <c r="Z9" s="2">
        <v>0</v>
      </c>
      <c r="AA9" s="2">
        <v>-12945778.529000001</v>
      </c>
      <c r="AB9" t="str">
        <f>VLOOKUP(Table2[[#This Row],[product]],Ref[#All],6,FALSE)</f>
        <v>BAG50</v>
      </c>
    </row>
    <row r="10" spans="1:28" x14ac:dyDescent="0.25">
      <c r="A10" t="str">
        <f>TEXT(Table2[[#This Row],[dated]],"mmm")</f>
        <v>Jun</v>
      </c>
      <c r="B10" t="s">
        <v>20</v>
      </c>
      <c r="C10" s="1" t="s">
        <v>1611</v>
      </c>
      <c r="D10" t="str">
        <f>VLOOKUP(Table2[[#This Row],[product]],Ref[#All],7,FALSE)</f>
        <v>Sugar</v>
      </c>
      <c r="E10" s="1" t="s">
        <v>72</v>
      </c>
      <c r="F10" t="str">
        <f>VLOOKUP(Table2[[#This Row],[product]],Ref[#All],2,FALSE)</f>
        <v>White Sugar</v>
      </c>
      <c r="G10" t="str">
        <f>VLOOKUP(Table2[[#This Row],[product]],Ref[#All],3,FALSE)</f>
        <v>White Sugar</v>
      </c>
      <c r="H10" t="str">
        <f>VLOOKUP(Table2[[#This Row],[product]],Ref[#All],4,FALSE)</f>
        <v>Import</v>
      </c>
      <c r="I10" s="1">
        <v>45823</v>
      </c>
      <c r="J10" t="s">
        <v>53</v>
      </c>
      <c r="K10" t="s">
        <v>1488</v>
      </c>
      <c r="L10" t="s">
        <v>1614</v>
      </c>
      <c r="M10" t="s">
        <v>1586</v>
      </c>
      <c r="N10" t="s">
        <v>784</v>
      </c>
      <c r="O10" t="s">
        <v>1680</v>
      </c>
      <c r="P10" t="s">
        <v>788</v>
      </c>
      <c r="Q10" t="s">
        <v>55</v>
      </c>
      <c r="R10">
        <v>-7</v>
      </c>
      <c r="S10" s="15">
        <f>Table2[[#This Row],[movement_quantity]]/VLOOKUP(Table2[[#This Row],[product]],Ref[#All],5,FALSE)</f>
        <v>-0.35</v>
      </c>
      <c r="T10">
        <v>83521.151800000007</v>
      </c>
      <c r="U10" t="s">
        <v>17</v>
      </c>
      <c r="V10" t="s">
        <v>22</v>
      </c>
      <c r="W10" t="s">
        <v>1489</v>
      </c>
      <c r="X10" t="s">
        <v>17</v>
      </c>
      <c r="Y10" t="s">
        <v>1320</v>
      </c>
      <c r="Z10" s="2">
        <v>0</v>
      </c>
      <c r="AA10" s="2">
        <v>-584648.06260000006</v>
      </c>
      <c r="AB10" t="str">
        <f>VLOOKUP(Table2[[#This Row],[product]],Ref[#All],6,FALSE)</f>
        <v>BAG50</v>
      </c>
    </row>
    <row r="11" spans="1:28" x14ac:dyDescent="0.25">
      <c r="A11" t="str">
        <f>TEXT(Table2[[#This Row],[dated]],"mmm")</f>
        <v>Feb</v>
      </c>
      <c r="B11" t="s">
        <v>20</v>
      </c>
      <c r="C11" s="1" t="s">
        <v>1611</v>
      </c>
      <c r="D11" t="str">
        <f>VLOOKUP(Table2[[#This Row],[product]],Ref[#All],7,FALSE)</f>
        <v>Flour</v>
      </c>
      <c r="E11" t="s">
        <v>36</v>
      </c>
      <c r="F11" t="str">
        <f>VLOOKUP(Table2[[#This Row],[product]],Ref[#All],2,FALSE)</f>
        <v>Flour Import Elngm 25Kg</v>
      </c>
      <c r="G11" t="str">
        <f>VLOOKUP(Table2[[#This Row],[product]],Ref[#All],3,FALSE)</f>
        <v>Flour Al-Nagm (Imported)</v>
      </c>
      <c r="H11" t="str">
        <f>VLOOKUP(Table2[[#This Row],[product]],Ref[#All],4,FALSE)</f>
        <v>Import</v>
      </c>
      <c r="I11" s="1">
        <v>45691</v>
      </c>
      <c r="J11" t="s">
        <v>53</v>
      </c>
      <c r="K11" t="s">
        <v>427</v>
      </c>
      <c r="L11" t="s">
        <v>1664</v>
      </c>
      <c r="M11" t="s">
        <v>1586</v>
      </c>
      <c r="N11" t="s">
        <v>784</v>
      </c>
      <c r="O11" t="s">
        <v>1680</v>
      </c>
      <c r="P11" t="s">
        <v>788</v>
      </c>
      <c r="Q11" t="s">
        <v>55</v>
      </c>
      <c r="R11">
        <v>-85</v>
      </c>
      <c r="S11" s="15">
        <f>Table2[[#This Row],[movement_quantity]]/VLOOKUP(Table2[[#This Row],[product]],Ref[#All],5,FALSE)</f>
        <v>-2.125</v>
      </c>
      <c r="T11">
        <v>31675.77131</v>
      </c>
      <c r="U11" t="s">
        <v>17</v>
      </c>
      <c r="V11" t="s">
        <v>21</v>
      </c>
      <c r="W11" t="s">
        <v>428</v>
      </c>
      <c r="X11" t="s">
        <v>17</v>
      </c>
      <c r="Y11" t="s">
        <v>37</v>
      </c>
      <c r="Z11">
        <v>0</v>
      </c>
      <c r="AA11" s="2">
        <v>-2692440.5613500001</v>
      </c>
      <c r="AB11" t="str">
        <f>VLOOKUP(Table2[[#This Row],[product]],Ref[#All],6,FALSE)</f>
        <v>BAG25</v>
      </c>
    </row>
    <row r="12" spans="1:28" x14ac:dyDescent="0.25">
      <c r="A12" t="str">
        <f>TEXT(Table2[[#This Row],[dated]],"mmm")</f>
        <v>Feb</v>
      </c>
      <c r="B12" t="s">
        <v>20</v>
      </c>
      <c r="C12" s="1" t="s">
        <v>1611</v>
      </c>
      <c r="D12" t="str">
        <f>VLOOKUP(Table2[[#This Row],[product]],Ref[#All],7,FALSE)</f>
        <v>Flour</v>
      </c>
      <c r="E12" t="s">
        <v>36</v>
      </c>
      <c r="F12" t="str">
        <f>VLOOKUP(Table2[[#This Row],[product]],Ref[#All],2,FALSE)</f>
        <v>Flour Import Elngm 25Kg</v>
      </c>
      <c r="G12" t="str">
        <f>VLOOKUP(Table2[[#This Row],[product]],Ref[#All],3,FALSE)</f>
        <v>Flour Al-Nagm (Imported)</v>
      </c>
      <c r="H12" t="str">
        <f>VLOOKUP(Table2[[#This Row],[product]],Ref[#All],4,FALSE)</f>
        <v>Import</v>
      </c>
      <c r="I12" s="1">
        <v>45691</v>
      </c>
      <c r="J12" t="s">
        <v>53</v>
      </c>
      <c r="K12" t="s">
        <v>429</v>
      </c>
      <c r="L12" t="s">
        <v>1664</v>
      </c>
      <c r="M12" t="s">
        <v>1586</v>
      </c>
      <c r="N12" t="s">
        <v>784</v>
      </c>
      <c r="O12" t="s">
        <v>1680</v>
      </c>
      <c r="P12" t="s">
        <v>788</v>
      </c>
      <c r="Q12" t="s">
        <v>55</v>
      </c>
      <c r="R12">
        <v>-7</v>
      </c>
      <c r="S12" s="15">
        <f>Table2[[#This Row],[movement_quantity]]/VLOOKUP(Table2[[#This Row],[product]],Ref[#All],5,FALSE)</f>
        <v>-0.17499999999999999</v>
      </c>
      <c r="T12">
        <v>31675.77131</v>
      </c>
      <c r="U12" t="s">
        <v>17</v>
      </c>
      <c r="V12" t="s">
        <v>22</v>
      </c>
      <c r="W12" t="s">
        <v>430</v>
      </c>
      <c r="X12" t="s">
        <v>17</v>
      </c>
      <c r="Y12" t="s">
        <v>37</v>
      </c>
      <c r="Z12">
        <v>0</v>
      </c>
      <c r="AA12" s="2">
        <v>-221730.39916999999</v>
      </c>
      <c r="AB12" t="str">
        <f>VLOOKUP(Table2[[#This Row],[product]],Ref[#All],6,FALSE)</f>
        <v>BAG25</v>
      </c>
    </row>
    <row r="13" spans="1:28" x14ac:dyDescent="0.25">
      <c r="A13" t="str">
        <f>TEXT(Table2[[#This Row],[dated]],"mmm")</f>
        <v>Feb</v>
      </c>
      <c r="B13" t="s">
        <v>20</v>
      </c>
      <c r="C13" s="1" t="s">
        <v>1611</v>
      </c>
      <c r="D13" t="str">
        <f>VLOOKUP(Table2[[#This Row],[product]],Ref[#All],7,FALSE)</f>
        <v>Flour</v>
      </c>
      <c r="E13" t="s">
        <v>36</v>
      </c>
      <c r="F13" t="str">
        <f>VLOOKUP(Table2[[#This Row],[product]],Ref[#All],2,FALSE)</f>
        <v>Flour Import Elngm 25Kg</v>
      </c>
      <c r="G13" t="str">
        <f>VLOOKUP(Table2[[#This Row],[product]],Ref[#All],3,FALSE)</f>
        <v>Flour Al-Nagm (Imported)</v>
      </c>
      <c r="H13" t="str">
        <f>VLOOKUP(Table2[[#This Row],[product]],Ref[#All],4,FALSE)</f>
        <v>Import</v>
      </c>
      <c r="I13" s="1">
        <v>45691</v>
      </c>
      <c r="J13" t="s">
        <v>53</v>
      </c>
      <c r="K13" t="s">
        <v>431</v>
      </c>
      <c r="L13" t="s">
        <v>1664</v>
      </c>
      <c r="M13" t="s">
        <v>1586</v>
      </c>
      <c r="N13" t="s">
        <v>784</v>
      </c>
      <c r="O13" t="s">
        <v>1680</v>
      </c>
      <c r="P13" t="s">
        <v>788</v>
      </c>
      <c r="Q13" t="s">
        <v>55</v>
      </c>
      <c r="R13">
        <v>-37</v>
      </c>
      <c r="S13" s="15">
        <f>Table2[[#This Row],[movement_quantity]]/VLOOKUP(Table2[[#This Row],[product]],Ref[#All],5,FALSE)</f>
        <v>-0.92500000000000004</v>
      </c>
      <c r="T13">
        <v>31675.77131</v>
      </c>
      <c r="U13" t="s">
        <v>17</v>
      </c>
      <c r="V13" t="s">
        <v>23</v>
      </c>
      <c r="W13" t="s">
        <v>432</v>
      </c>
      <c r="X13" t="s">
        <v>17</v>
      </c>
      <c r="Y13" t="s">
        <v>37</v>
      </c>
      <c r="Z13">
        <v>0</v>
      </c>
      <c r="AA13" s="2">
        <v>-1172003.53847</v>
      </c>
      <c r="AB13" t="str">
        <f>VLOOKUP(Table2[[#This Row],[product]],Ref[#All],6,FALSE)</f>
        <v>BAG25</v>
      </c>
    </row>
    <row r="14" spans="1:28" x14ac:dyDescent="0.25">
      <c r="A14" t="str">
        <f>TEXT(Table2[[#This Row],[dated]],"mmm")</f>
        <v>Jan</v>
      </c>
      <c r="B14" t="s">
        <v>20</v>
      </c>
      <c r="C14" s="1" t="s">
        <v>1611</v>
      </c>
      <c r="D14" t="str">
        <f>VLOOKUP(Table2[[#This Row],[product]],Ref[#All],7,FALSE)</f>
        <v>Sugar</v>
      </c>
      <c r="E14" t="s">
        <v>16</v>
      </c>
      <c r="F14" t="str">
        <f>VLOOKUP(Table2[[#This Row],[product]],Ref[#All],2,FALSE)</f>
        <v>White Sugar</v>
      </c>
      <c r="G14" t="str">
        <f>VLOOKUP(Table2[[#This Row],[product]],Ref[#All],3,FALSE)</f>
        <v>White Sugar</v>
      </c>
      <c r="H14" t="str">
        <f>VLOOKUP(Table2[[#This Row],[product]],Ref[#All],4,FALSE)</f>
        <v>Import</v>
      </c>
      <c r="I14" s="1">
        <v>45677</v>
      </c>
      <c r="J14" t="s">
        <v>53</v>
      </c>
      <c r="K14" t="s">
        <v>255</v>
      </c>
      <c r="L14" t="s">
        <v>1665</v>
      </c>
      <c r="M14" t="s">
        <v>1586</v>
      </c>
      <c r="N14" t="s">
        <v>784</v>
      </c>
      <c r="O14" t="s">
        <v>1680</v>
      </c>
      <c r="P14" t="s">
        <v>788</v>
      </c>
      <c r="Q14" t="s">
        <v>55</v>
      </c>
      <c r="R14">
        <v>-42</v>
      </c>
      <c r="S14" s="15">
        <f>Table2[[#This Row],[movement_quantity]]/VLOOKUP(Table2[[#This Row],[product]],Ref[#All],5,FALSE)</f>
        <v>-2.1</v>
      </c>
      <c r="T14">
        <v>80496.589399999997</v>
      </c>
      <c r="U14" t="s">
        <v>17</v>
      </c>
      <c r="V14" t="s">
        <v>21</v>
      </c>
      <c r="W14" t="s">
        <v>256</v>
      </c>
      <c r="X14" t="s">
        <v>17</v>
      </c>
      <c r="Y14" t="s">
        <v>48</v>
      </c>
      <c r="Z14">
        <v>0</v>
      </c>
      <c r="AA14" s="2">
        <v>-3380856.7547999998</v>
      </c>
      <c r="AB14" t="str">
        <f>VLOOKUP(Table2[[#This Row],[product]],Ref[#All],6,FALSE)</f>
        <v>BAG50</v>
      </c>
    </row>
    <row r="15" spans="1:28" x14ac:dyDescent="0.25">
      <c r="A15" t="str">
        <f>TEXT(Table2[[#This Row],[dated]],"mmm")</f>
        <v>Jan</v>
      </c>
      <c r="B15" t="s">
        <v>20</v>
      </c>
      <c r="C15" s="1" t="s">
        <v>1611</v>
      </c>
      <c r="D15" t="str">
        <f>VLOOKUP(Table2[[#This Row],[product]],Ref[#All],7,FALSE)</f>
        <v>Sugar</v>
      </c>
      <c r="E15" t="s">
        <v>16</v>
      </c>
      <c r="F15" t="str">
        <f>VLOOKUP(Table2[[#This Row],[product]],Ref[#All],2,FALSE)</f>
        <v>White Sugar</v>
      </c>
      <c r="G15" t="str">
        <f>VLOOKUP(Table2[[#This Row],[product]],Ref[#All],3,FALSE)</f>
        <v>White Sugar</v>
      </c>
      <c r="H15" t="str">
        <f>VLOOKUP(Table2[[#This Row],[product]],Ref[#All],4,FALSE)</f>
        <v>Import</v>
      </c>
      <c r="I15" s="1">
        <v>45677</v>
      </c>
      <c r="J15" t="s">
        <v>53</v>
      </c>
      <c r="K15" t="s">
        <v>257</v>
      </c>
      <c r="L15" t="s">
        <v>1665</v>
      </c>
      <c r="M15" t="s">
        <v>1586</v>
      </c>
      <c r="N15" t="s">
        <v>784</v>
      </c>
      <c r="O15" t="s">
        <v>1680</v>
      </c>
      <c r="P15" t="s">
        <v>788</v>
      </c>
      <c r="Q15" t="s">
        <v>55</v>
      </c>
      <c r="R15">
        <v>-4</v>
      </c>
      <c r="S15" s="15">
        <f>Table2[[#This Row],[movement_quantity]]/VLOOKUP(Table2[[#This Row],[product]],Ref[#All],5,FALSE)</f>
        <v>-0.2</v>
      </c>
      <c r="T15">
        <v>80496.589399999997</v>
      </c>
      <c r="U15" t="s">
        <v>17</v>
      </c>
      <c r="V15" t="s">
        <v>22</v>
      </c>
      <c r="W15" t="s">
        <v>258</v>
      </c>
      <c r="X15" t="s">
        <v>17</v>
      </c>
      <c r="Y15" t="s">
        <v>48</v>
      </c>
      <c r="Z15">
        <v>0</v>
      </c>
      <c r="AA15" s="2">
        <v>-321986.35759999999</v>
      </c>
      <c r="AB15" t="str">
        <f>VLOOKUP(Table2[[#This Row],[product]],Ref[#All],6,FALSE)</f>
        <v>BAG50</v>
      </c>
    </row>
    <row r="16" spans="1:28" x14ac:dyDescent="0.25">
      <c r="A16" t="str">
        <f>TEXT(Table2[[#This Row],[dated]],"mmm")</f>
        <v>Jun</v>
      </c>
      <c r="B16" t="s">
        <v>20</v>
      </c>
      <c r="C16" s="1" t="s">
        <v>1611</v>
      </c>
      <c r="D16" t="str">
        <f>VLOOKUP(Table2[[#This Row],[product]],Ref[#All],7,FALSE)</f>
        <v>Sugar</v>
      </c>
      <c r="E16" s="1" t="s">
        <v>16</v>
      </c>
      <c r="F16" t="str">
        <f>VLOOKUP(Table2[[#This Row],[product]],Ref[#All],2,FALSE)</f>
        <v>White Sugar</v>
      </c>
      <c r="G16" t="str">
        <f>VLOOKUP(Table2[[#This Row],[product]],Ref[#All],3,FALSE)</f>
        <v>White Sugar</v>
      </c>
      <c r="H16" t="str">
        <f>VLOOKUP(Table2[[#This Row],[product]],Ref[#All],4,FALSE)</f>
        <v>Import</v>
      </c>
      <c r="I16" s="1">
        <v>45823</v>
      </c>
      <c r="J16" t="s">
        <v>53</v>
      </c>
      <c r="K16" t="s">
        <v>1492</v>
      </c>
      <c r="L16" t="s">
        <v>1663</v>
      </c>
      <c r="M16" t="s">
        <v>1586</v>
      </c>
      <c r="N16" t="s">
        <v>784</v>
      </c>
      <c r="O16" t="s">
        <v>1680</v>
      </c>
      <c r="P16" t="s">
        <v>788</v>
      </c>
      <c r="Q16" t="s">
        <v>55</v>
      </c>
      <c r="R16">
        <v>-86</v>
      </c>
      <c r="S16" s="15">
        <f>Table2[[#This Row],[movement_quantity]]/VLOOKUP(Table2[[#This Row],[product]],Ref[#All],5,FALSE)</f>
        <v>-4.3</v>
      </c>
      <c r="T16">
        <v>83521.151800000007</v>
      </c>
      <c r="U16" t="s">
        <v>17</v>
      </c>
      <c r="V16" t="s">
        <v>21</v>
      </c>
      <c r="W16" t="s">
        <v>1493</v>
      </c>
      <c r="X16" t="s">
        <v>17</v>
      </c>
      <c r="Y16" t="s">
        <v>669</v>
      </c>
      <c r="Z16" s="2">
        <v>0</v>
      </c>
      <c r="AA16" s="2">
        <v>-7182819.054800001</v>
      </c>
      <c r="AB16" t="str">
        <f>VLOOKUP(Table2[[#This Row],[product]],Ref[#All],6,FALSE)</f>
        <v>BAG50</v>
      </c>
    </row>
    <row r="17" spans="1:28" x14ac:dyDescent="0.25">
      <c r="A17" t="str">
        <f>TEXT(Table2[[#This Row],[dated]],"mmm")</f>
        <v>Jun</v>
      </c>
      <c r="B17" t="s">
        <v>20</v>
      </c>
      <c r="C17" s="1" t="s">
        <v>1611</v>
      </c>
      <c r="D17" t="str">
        <f>VLOOKUP(Table2[[#This Row],[product]],Ref[#All],7,FALSE)</f>
        <v>Sugar</v>
      </c>
      <c r="E17" s="1" t="s">
        <v>16</v>
      </c>
      <c r="F17" t="str">
        <f>VLOOKUP(Table2[[#This Row],[product]],Ref[#All],2,FALSE)</f>
        <v>White Sugar</v>
      </c>
      <c r="G17" t="str">
        <f>VLOOKUP(Table2[[#This Row],[product]],Ref[#All],3,FALSE)</f>
        <v>White Sugar</v>
      </c>
      <c r="H17" t="str">
        <f>VLOOKUP(Table2[[#This Row],[product]],Ref[#All],4,FALSE)</f>
        <v>Import</v>
      </c>
      <c r="I17" s="1">
        <v>45823</v>
      </c>
      <c r="J17" t="s">
        <v>53</v>
      </c>
      <c r="K17" t="s">
        <v>1494</v>
      </c>
      <c r="L17" t="s">
        <v>1663</v>
      </c>
      <c r="M17" t="s">
        <v>1586</v>
      </c>
      <c r="N17" t="s">
        <v>784</v>
      </c>
      <c r="O17" t="s">
        <v>1680</v>
      </c>
      <c r="P17" t="s">
        <v>788</v>
      </c>
      <c r="Q17" t="s">
        <v>55</v>
      </c>
      <c r="R17">
        <v>-1</v>
      </c>
      <c r="S17" s="15">
        <f>Table2[[#This Row],[movement_quantity]]/VLOOKUP(Table2[[#This Row],[product]],Ref[#All],5,FALSE)</f>
        <v>-0.05</v>
      </c>
      <c r="T17">
        <v>83521.151800000007</v>
      </c>
      <c r="U17" t="s">
        <v>17</v>
      </c>
      <c r="V17" t="s">
        <v>22</v>
      </c>
      <c r="W17" t="s">
        <v>1495</v>
      </c>
      <c r="X17" t="s">
        <v>17</v>
      </c>
      <c r="Y17" t="s">
        <v>669</v>
      </c>
      <c r="Z17" s="2">
        <v>0</v>
      </c>
      <c r="AA17" s="2">
        <v>-83521.151800000007</v>
      </c>
      <c r="AB17" t="str">
        <f>VLOOKUP(Table2[[#This Row],[product]],Ref[#All],6,FALSE)</f>
        <v>BAG50</v>
      </c>
    </row>
    <row r="18" spans="1:28" x14ac:dyDescent="0.25">
      <c r="A18" t="str">
        <f>TEXT(Table2[[#This Row],[dated]],"mmm")</f>
        <v>Jun</v>
      </c>
      <c r="B18" t="s">
        <v>20</v>
      </c>
      <c r="C18" s="1" t="s">
        <v>1611</v>
      </c>
      <c r="D18" t="str">
        <f>VLOOKUP(Table2[[#This Row],[product]],Ref[#All],7,FALSE)</f>
        <v>Sugar</v>
      </c>
      <c r="E18" s="1" t="s">
        <v>16</v>
      </c>
      <c r="F18" t="str">
        <f>VLOOKUP(Table2[[#This Row],[product]],Ref[#All],2,FALSE)</f>
        <v>White Sugar</v>
      </c>
      <c r="G18" t="str">
        <f>VLOOKUP(Table2[[#This Row],[product]],Ref[#All],3,FALSE)</f>
        <v>White Sugar</v>
      </c>
      <c r="H18" t="str">
        <f>VLOOKUP(Table2[[#This Row],[product]],Ref[#All],4,FALSE)</f>
        <v>Import</v>
      </c>
      <c r="I18" s="1">
        <v>45823</v>
      </c>
      <c r="J18" t="s">
        <v>53</v>
      </c>
      <c r="K18" t="s">
        <v>1496</v>
      </c>
      <c r="L18" t="s">
        <v>1663</v>
      </c>
      <c r="M18" t="s">
        <v>1586</v>
      </c>
      <c r="N18" t="s">
        <v>784</v>
      </c>
      <c r="O18" t="s">
        <v>1680</v>
      </c>
      <c r="P18" t="s">
        <v>788</v>
      </c>
      <c r="Q18" t="s">
        <v>55</v>
      </c>
      <c r="R18">
        <v>-11</v>
      </c>
      <c r="S18" s="15">
        <f>Table2[[#This Row],[movement_quantity]]/VLOOKUP(Table2[[#This Row],[product]],Ref[#All],5,FALSE)</f>
        <v>-0.55000000000000004</v>
      </c>
      <c r="T18">
        <v>83521.151800000007</v>
      </c>
      <c r="U18" t="s">
        <v>17</v>
      </c>
      <c r="V18" t="s">
        <v>23</v>
      </c>
      <c r="W18" t="s">
        <v>1497</v>
      </c>
      <c r="X18" t="s">
        <v>17</v>
      </c>
      <c r="Y18" t="s">
        <v>669</v>
      </c>
      <c r="Z18" s="2">
        <v>0</v>
      </c>
      <c r="AA18" s="2">
        <v>-918732.66980000003</v>
      </c>
      <c r="AB18" t="str">
        <f>VLOOKUP(Table2[[#This Row],[product]],Ref[#All],6,FALSE)</f>
        <v>BAG50</v>
      </c>
    </row>
    <row r="19" spans="1:28" x14ac:dyDescent="0.25">
      <c r="A19" t="str">
        <f>TEXT(Table2[[#This Row],[dated]],"mmm")</f>
        <v>Jun</v>
      </c>
      <c r="B19" t="s">
        <v>20</v>
      </c>
      <c r="C19" s="1" t="s">
        <v>1611</v>
      </c>
      <c r="D19" t="str">
        <f>VLOOKUP(Table2[[#This Row],[product]],Ref[#All],7,FALSE)</f>
        <v>Flour</v>
      </c>
      <c r="E19" s="1" t="s">
        <v>664</v>
      </c>
      <c r="F19" t="str">
        <f>VLOOKUP(Table2[[#This Row],[product]],Ref[#All],2,FALSE)</f>
        <v>Flour Damaged (AF) - Ton</v>
      </c>
      <c r="G19" t="str">
        <f>VLOOKUP(Table2[[#This Row],[product]],Ref[#All],3,FALSE)</f>
        <v>Flour - Damaged (AF)</v>
      </c>
      <c r="H19" t="str">
        <f>VLOOKUP(Table2[[#This Row],[product]],Ref[#All],4,FALSE)</f>
        <v>Import</v>
      </c>
      <c r="I19" s="1">
        <v>45823</v>
      </c>
      <c r="J19" t="s">
        <v>127</v>
      </c>
      <c r="K19" t="s">
        <v>1438</v>
      </c>
      <c r="L19" t="s">
        <v>1617</v>
      </c>
      <c r="M19" t="s">
        <v>1593</v>
      </c>
      <c r="N19" t="s">
        <v>784</v>
      </c>
      <c r="O19" t="s">
        <v>1680</v>
      </c>
      <c r="P19" t="s">
        <v>788</v>
      </c>
      <c r="Q19" t="s">
        <v>55</v>
      </c>
      <c r="R19">
        <v>11.98</v>
      </c>
      <c r="S19" s="15">
        <f>Table2[[#This Row],[movement_quantity]]/VLOOKUP(Table2[[#This Row],[product]],Ref[#All],5,FALSE)</f>
        <v>11.98</v>
      </c>
      <c r="T19">
        <v>185743.6</v>
      </c>
      <c r="U19" t="s">
        <v>1439</v>
      </c>
      <c r="V19" t="s">
        <v>18</v>
      </c>
      <c r="W19" t="s">
        <v>1440</v>
      </c>
      <c r="X19" t="s">
        <v>1441</v>
      </c>
      <c r="Y19" t="s">
        <v>17</v>
      </c>
      <c r="Z19" s="2">
        <v>0</v>
      </c>
      <c r="AA19" s="2">
        <v>2225208.3280000002</v>
      </c>
      <c r="AB19" t="str">
        <f>VLOOKUP(Table2[[#This Row],[product]],Ref[#All],6,FALSE)</f>
        <v>TON</v>
      </c>
    </row>
    <row r="20" spans="1:28" x14ac:dyDescent="0.25">
      <c r="A20" t="str">
        <f>TEXT(Table2[[#This Row],[dated]],"mmm")</f>
        <v>Jun</v>
      </c>
      <c r="B20" t="s">
        <v>20</v>
      </c>
      <c r="C20" s="1" t="s">
        <v>1611</v>
      </c>
      <c r="D20" t="str">
        <f>VLOOKUP(Table2[[#This Row],[product]],Ref[#All],7,FALSE)</f>
        <v>Flour</v>
      </c>
      <c r="E20" s="1" t="s">
        <v>36</v>
      </c>
      <c r="F20" t="str">
        <f>VLOOKUP(Table2[[#This Row],[product]],Ref[#All],2,FALSE)</f>
        <v>Flour Import Elngm 25Kg</v>
      </c>
      <c r="G20" t="str">
        <f>VLOOKUP(Table2[[#This Row],[product]],Ref[#All],3,FALSE)</f>
        <v>Flour Al-Nagm (Imported)</v>
      </c>
      <c r="H20" t="str">
        <f>VLOOKUP(Table2[[#This Row],[product]],Ref[#All],4,FALSE)</f>
        <v>Import</v>
      </c>
      <c r="I20" s="1">
        <v>45823</v>
      </c>
      <c r="J20" t="s">
        <v>53</v>
      </c>
      <c r="K20" t="s">
        <v>1444</v>
      </c>
      <c r="L20" t="s">
        <v>1617</v>
      </c>
      <c r="M20" t="s">
        <v>1586</v>
      </c>
      <c r="N20" t="s">
        <v>784</v>
      </c>
      <c r="O20" t="s">
        <v>1680</v>
      </c>
      <c r="P20" t="s">
        <v>788</v>
      </c>
      <c r="Q20" t="s">
        <v>55</v>
      </c>
      <c r="R20">
        <v>-128</v>
      </c>
      <c r="S20" s="15">
        <f>Table2[[#This Row],[movement_quantity]]/VLOOKUP(Table2[[#This Row],[product]],Ref[#All],5,FALSE)</f>
        <v>-3.2</v>
      </c>
      <c r="T20">
        <v>24758.555840000001</v>
      </c>
      <c r="U20" t="s">
        <v>17</v>
      </c>
      <c r="V20" t="s">
        <v>21</v>
      </c>
      <c r="W20" t="s">
        <v>1445</v>
      </c>
      <c r="X20" t="s">
        <v>17</v>
      </c>
      <c r="Y20" t="s">
        <v>1289</v>
      </c>
      <c r="Z20" s="2">
        <v>0</v>
      </c>
      <c r="AA20" s="2">
        <v>-3169095.1475200001</v>
      </c>
      <c r="AB20" t="str">
        <f>VLOOKUP(Table2[[#This Row],[product]],Ref[#All],6,FALSE)</f>
        <v>BAG25</v>
      </c>
    </row>
    <row r="21" spans="1:28" x14ac:dyDescent="0.25">
      <c r="A21" t="str">
        <f>TEXT(Table2[[#This Row],[dated]],"mmm")</f>
        <v>Jun</v>
      </c>
      <c r="B21" t="s">
        <v>20</v>
      </c>
      <c r="C21" s="1" t="s">
        <v>1611</v>
      </c>
      <c r="D21" t="str">
        <f>VLOOKUP(Table2[[#This Row],[product]],Ref[#All],7,FALSE)</f>
        <v>Flour</v>
      </c>
      <c r="E21" s="1" t="s">
        <v>36</v>
      </c>
      <c r="F21" t="str">
        <f>VLOOKUP(Table2[[#This Row],[product]],Ref[#All],2,FALSE)</f>
        <v>Flour Import Elngm 25Kg</v>
      </c>
      <c r="G21" t="str">
        <f>VLOOKUP(Table2[[#This Row],[product]],Ref[#All],3,FALSE)</f>
        <v>Flour Al-Nagm (Imported)</v>
      </c>
      <c r="H21" t="str">
        <f>VLOOKUP(Table2[[#This Row],[product]],Ref[#All],4,FALSE)</f>
        <v>Import</v>
      </c>
      <c r="I21" s="1">
        <v>45823</v>
      </c>
      <c r="J21" t="s">
        <v>53</v>
      </c>
      <c r="K21" t="s">
        <v>1446</v>
      </c>
      <c r="L21" t="s">
        <v>1617</v>
      </c>
      <c r="M21" t="s">
        <v>1586</v>
      </c>
      <c r="N21" t="s">
        <v>784</v>
      </c>
      <c r="O21" t="s">
        <v>1680</v>
      </c>
      <c r="P21" t="s">
        <v>788</v>
      </c>
      <c r="Q21" t="s">
        <v>55</v>
      </c>
      <c r="R21">
        <v>-8</v>
      </c>
      <c r="S21" s="15">
        <f>Table2[[#This Row],[movement_quantity]]/VLOOKUP(Table2[[#This Row],[product]],Ref[#All],5,FALSE)</f>
        <v>-0.2</v>
      </c>
      <c r="T21">
        <v>24758.555840000001</v>
      </c>
      <c r="U21" t="s">
        <v>17</v>
      </c>
      <c r="V21" t="s">
        <v>22</v>
      </c>
      <c r="W21" t="s">
        <v>1447</v>
      </c>
      <c r="X21" t="s">
        <v>17</v>
      </c>
      <c r="Y21" t="s">
        <v>1289</v>
      </c>
      <c r="Z21" s="2">
        <v>0</v>
      </c>
      <c r="AA21" s="2">
        <v>-198068.44672000001</v>
      </c>
      <c r="AB21" t="str">
        <f>VLOOKUP(Table2[[#This Row],[product]],Ref[#All],6,FALSE)</f>
        <v>BAG25</v>
      </c>
    </row>
    <row r="22" spans="1:28" x14ac:dyDescent="0.25">
      <c r="A22" t="str">
        <f>TEXT(Table2[[#This Row],[dated]],"mmm")</f>
        <v>Jun</v>
      </c>
      <c r="B22" t="s">
        <v>20</v>
      </c>
      <c r="C22" s="1" t="s">
        <v>1611</v>
      </c>
      <c r="D22" t="str">
        <f>VLOOKUP(Table2[[#This Row],[product]],Ref[#All],7,FALSE)</f>
        <v>Flour</v>
      </c>
      <c r="E22" s="1" t="s">
        <v>36</v>
      </c>
      <c r="F22" t="str">
        <f>VLOOKUP(Table2[[#This Row],[product]],Ref[#All],2,FALSE)</f>
        <v>Flour Import Elngm 25Kg</v>
      </c>
      <c r="G22" t="str">
        <f>VLOOKUP(Table2[[#This Row],[product]],Ref[#All],3,FALSE)</f>
        <v>Flour Al-Nagm (Imported)</v>
      </c>
      <c r="H22" t="str">
        <f>VLOOKUP(Table2[[#This Row],[product]],Ref[#All],4,FALSE)</f>
        <v>Import</v>
      </c>
      <c r="I22" s="1">
        <v>45823</v>
      </c>
      <c r="J22" t="s">
        <v>53</v>
      </c>
      <c r="K22" t="s">
        <v>1448</v>
      </c>
      <c r="L22" t="s">
        <v>1617</v>
      </c>
      <c r="M22" t="s">
        <v>1586</v>
      </c>
      <c r="N22" t="s">
        <v>784</v>
      </c>
      <c r="O22" t="s">
        <v>1680</v>
      </c>
      <c r="P22" t="s">
        <v>788</v>
      </c>
      <c r="Q22" t="s">
        <v>55</v>
      </c>
      <c r="R22">
        <v>-42</v>
      </c>
      <c r="S22" s="15">
        <f>Table2[[#This Row],[movement_quantity]]/VLOOKUP(Table2[[#This Row],[product]],Ref[#All],5,FALSE)</f>
        <v>-1.05</v>
      </c>
      <c r="T22">
        <v>24758.555840000001</v>
      </c>
      <c r="U22" t="s">
        <v>17</v>
      </c>
      <c r="V22" t="s">
        <v>23</v>
      </c>
      <c r="W22" t="s">
        <v>1449</v>
      </c>
      <c r="X22" t="s">
        <v>17</v>
      </c>
      <c r="Y22" t="s">
        <v>1289</v>
      </c>
      <c r="Z22" s="2">
        <v>0</v>
      </c>
      <c r="AA22" s="2">
        <v>-1039859.34528</v>
      </c>
      <c r="AB22" t="str">
        <f>VLOOKUP(Table2[[#This Row],[product]],Ref[#All],6,FALSE)</f>
        <v>BAG25</v>
      </c>
    </row>
    <row r="23" spans="1:28" x14ac:dyDescent="0.25">
      <c r="A23" t="str">
        <f>TEXT(Table2[[#This Row],[dated]],"mmm")</f>
        <v>Jun</v>
      </c>
      <c r="B23" t="s">
        <v>20</v>
      </c>
      <c r="C23" s="1" t="s">
        <v>1611</v>
      </c>
      <c r="D23" t="str">
        <f>VLOOKUP(Table2[[#This Row],[product]],Ref[#All],7,FALSE)</f>
        <v>Flour</v>
      </c>
      <c r="E23" s="1" t="s">
        <v>36</v>
      </c>
      <c r="F23" t="str">
        <f>VLOOKUP(Table2[[#This Row],[product]],Ref[#All],2,FALSE)</f>
        <v>Flour Import Elngm 25Kg</v>
      </c>
      <c r="G23" t="str">
        <f>VLOOKUP(Table2[[#This Row],[product]],Ref[#All],3,FALSE)</f>
        <v>Flour Al-Nagm (Imported)</v>
      </c>
      <c r="H23" t="str">
        <f>VLOOKUP(Table2[[#This Row],[product]],Ref[#All],4,FALSE)</f>
        <v>Import</v>
      </c>
      <c r="I23" s="1">
        <v>45823</v>
      </c>
      <c r="J23" t="s">
        <v>53</v>
      </c>
      <c r="K23" t="s">
        <v>1450</v>
      </c>
      <c r="L23" t="s">
        <v>1617</v>
      </c>
      <c r="M23" t="s">
        <v>1586</v>
      </c>
      <c r="N23" t="s">
        <v>784</v>
      </c>
      <c r="O23" t="s">
        <v>1680</v>
      </c>
      <c r="P23" t="s">
        <v>788</v>
      </c>
      <c r="Q23" t="s">
        <v>55</v>
      </c>
      <c r="R23">
        <v>-479</v>
      </c>
      <c r="S23" s="15">
        <f>Table2[[#This Row],[movement_quantity]]/VLOOKUP(Table2[[#This Row],[product]],Ref[#All],5,FALSE)</f>
        <v>-11.975</v>
      </c>
      <c r="T23">
        <v>24758.555840000001</v>
      </c>
      <c r="U23" t="s">
        <v>17</v>
      </c>
      <c r="V23" t="s">
        <v>24</v>
      </c>
      <c r="W23" t="s">
        <v>1451</v>
      </c>
      <c r="X23" t="s">
        <v>17</v>
      </c>
      <c r="Y23" t="s">
        <v>1289</v>
      </c>
      <c r="Z23" s="2">
        <v>0</v>
      </c>
      <c r="AA23" s="2">
        <v>-11859348.24736</v>
      </c>
      <c r="AB23" t="str">
        <f>VLOOKUP(Table2[[#This Row],[product]],Ref[#All],6,FALSE)</f>
        <v>BAG25</v>
      </c>
    </row>
    <row r="24" spans="1:28" x14ac:dyDescent="0.25">
      <c r="A24" t="str">
        <f>TEXT(Table2[[#This Row],[dated]],"mmm")</f>
        <v>Feb</v>
      </c>
      <c r="B24" t="s">
        <v>20</v>
      </c>
      <c r="C24" s="1" t="s">
        <v>1611</v>
      </c>
      <c r="D24" t="str">
        <f>VLOOKUP(Table2[[#This Row],[product]],Ref[#All],7,FALSE)</f>
        <v>Flour</v>
      </c>
      <c r="E24" t="s">
        <v>36</v>
      </c>
      <c r="F24" t="str">
        <f>VLOOKUP(Table2[[#This Row],[product]],Ref[#All],2,FALSE)</f>
        <v>Flour Import Elngm 25Kg</v>
      </c>
      <c r="G24" t="str">
        <f>VLOOKUP(Table2[[#This Row],[product]],Ref[#All],3,FALSE)</f>
        <v>Flour Al-Nagm (Imported)</v>
      </c>
      <c r="H24" t="str">
        <f>VLOOKUP(Table2[[#This Row],[product]],Ref[#All],4,FALSE)</f>
        <v>Import</v>
      </c>
      <c r="I24" s="1">
        <v>45691</v>
      </c>
      <c r="J24" t="s">
        <v>53</v>
      </c>
      <c r="K24" t="s">
        <v>435</v>
      </c>
      <c r="L24" t="s">
        <v>1657</v>
      </c>
      <c r="M24" t="s">
        <v>1586</v>
      </c>
      <c r="N24" t="s">
        <v>784</v>
      </c>
      <c r="O24" t="s">
        <v>1680</v>
      </c>
      <c r="P24" t="s">
        <v>788</v>
      </c>
      <c r="Q24" t="s">
        <v>55</v>
      </c>
      <c r="R24">
        <v>-89</v>
      </c>
      <c r="S24" s="15">
        <f>Table2[[#This Row],[movement_quantity]]/VLOOKUP(Table2[[#This Row],[product]],Ref[#All],5,FALSE)</f>
        <v>-2.2250000000000001</v>
      </c>
      <c r="T24">
        <v>31675.77131</v>
      </c>
      <c r="U24" t="s">
        <v>17</v>
      </c>
      <c r="V24" t="s">
        <v>25</v>
      </c>
      <c r="W24" t="s">
        <v>436</v>
      </c>
      <c r="X24" t="s">
        <v>17</v>
      </c>
      <c r="Y24" t="s">
        <v>37</v>
      </c>
      <c r="Z24">
        <v>0</v>
      </c>
      <c r="AA24" s="2">
        <v>-2819143.64659</v>
      </c>
      <c r="AB24" t="str">
        <f>VLOOKUP(Table2[[#This Row],[product]],Ref[#All],6,FALSE)</f>
        <v>BAG25</v>
      </c>
    </row>
    <row r="25" spans="1:28" x14ac:dyDescent="0.25">
      <c r="A25" t="str">
        <f>TEXT(Table2[[#This Row],[dated]],"mmm")</f>
        <v>Feb</v>
      </c>
      <c r="B25" t="s">
        <v>20</v>
      </c>
      <c r="C25" s="1" t="s">
        <v>1611</v>
      </c>
      <c r="D25" t="str">
        <f>VLOOKUP(Table2[[#This Row],[product]],Ref[#All],7,FALSE)</f>
        <v>Flour</v>
      </c>
      <c r="E25" t="s">
        <v>36</v>
      </c>
      <c r="F25" t="str">
        <f>VLOOKUP(Table2[[#This Row],[product]],Ref[#All],2,FALSE)</f>
        <v>Flour Import Elngm 25Kg</v>
      </c>
      <c r="G25" t="str">
        <f>VLOOKUP(Table2[[#This Row],[product]],Ref[#All],3,FALSE)</f>
        <v>Flour Al-Nagm (Imported)</v>
      </c>
      <c r="H25" t="str">
        <f>VLOOKUP(Table2[[#This Row],[product]],Ref[#All],4,FALSE)</f>
        <v>Import</v>
      </c>
      <c r="I25" s="1">
        <v>45691</v>
      </c>
      <c r="J25" t="s">
        <v>53</v>
      </c>
      <c r="K25" t="s">
        <v>437</v>
      </c>
      <c r="L25" t="s">
        <v>1657</v>
      </c>
      <c r="M25" t="s">
        <v>1586</v>
      </c>
      <c r="N25" t="s">
        <v>784</v>
      </c>
      <c r="O25" t="s">
        <v>1680</v>
      </c>
      <c r="P25" t="s">
        <v>788</v>
      </c>
      <c r="Q25" t="s">
        <v>55</v>
      </c>
      <c r="R25">
        <v>-8</v>
      </c>
      <c r="S25" s="15">
        <f>Table2[[#This Row],[movement_quantity]]/VLOOKUP(Table2[[#This Row],[product]],Ref[#All],5,FALSE)</f>
        <v>-0.2</v>
      </c>
      <c r="T25">
        <v>31675.77131</v>
      </c>
      <c r="U25" t="s">
        <v>17</v>
      </c>
      <c r="V25" t="s">
        <v>26</v>
      </c>
      <c r="W25" t="s">
        <v>438</v>
      </c>
      <c r="X25" t="s">
        <v>17</v>
      </c>
      <c r="Y25" t="s">
        <v>37</v>
      </c>
      <c r="Z25">
        <v>0</v>
      </c>
      <c r="AA25" s="2">
        <v>-253406.17048</v>
      </c>
      <c r="AB25" t="str">
        <f>VLOOKUP(Table2[[#This Row],[product]],Ref[#All],6,FALSE)</f>
        <v>BAG25</v>
      </c>
    </row>
    <row r="26" spans="1:28" x14ac:dyDescent="0.25">
      <c r="A26" t="str">
        <f>TEXT(Table2[[#This Row],[dated]],"mmm")</f>
        <v>Feb</v>
      </c>
      <c r="B26" t="s">
        <v>20</v>
      </c>
      <c r="C26" s="1" t="s">
        <v>1611</v>
      </c>
      <c r="D26" t="str">
        <f>VLOOKUP(Table2[[#This Row],[product]],Ref[#All],7,FALSE)</f>
        <v>Flour</v>
      </c>
      <c r="E26" t="s">
        <v>36</v>
      </c>
      <c r="F26" t="str">
        <f>VLOOKUP(Table2[[#This Row],[product]],Ref[#All],2,FALSE)</f>
        <v>Flour Import Elngm 25Kg</v>
      </c>
      <c r="G26" t="str">
        <f>VLOOKUP(Table2[[#This Row],[product]],Ref[#All],3,FALSE)</f>
        <v>Flour Al-Nagm (Imported)</v>
      </c>
      <c r="H26" t="str">
        <f>VLOOKUP(Table2[[#This Row],[product]],Ref[#All],4,FALSE)</f>
        <v>Import</v>
      </c>
      <c r="I26" s="1">
        <v>45691</v>
      </c>
      <c r="J26" t="s">
        <v>53</v>
      </c>
      <c r="K26" t="s">
        <v>439</v>
      </c>
      <c r="L26" t="s">
        <v>1657</v>
      </c>
      <c r="M26" t="s">
        <v>1586</v>
      </c>
      <c r="N26" t="s">
        <v>784</v>
      </c>
      <c r="O26" t="s">
        <v>1680</v>
      </c>
      <c r="P26" t="s">
        <v>788</v>
      </c>
      <c r="Q26" t="s">
        <v>55</v>
      </c>
      <c r="R26">
        <v>-38</v>
      </c>
      <c r="S26" s="15">
        <f>Table2[[#This Row],[movement_quantity]]/VLOOKUP(Table2[[#This Row],[product]],Ref[#All],5,FALSE)</f>
        <v>-0.95</v>
      </c>
      <c r="T26">
        <v>31675.77131</v>
      </c>
      <c r="U26" t="s">
        <v>17</v>
      </c>
      <c r="V26" t="s">
        <v>27</v>
      </c>
      <c r="W26" t="s">
        <v>440</v>
      </c>
      <c r="X26" t="s">
        <v>17</v>
      </c>
      <c r="Y26" t="s">
        <v>37</v>
      </c>
      <c r="Z26">
        <v>0</v>
      </c>
      <c r="AA26" s="2">
        <v>-1203679.30978</v>
      </c>
      <c r="AB26" t="str">
        <f>VLOOKUP(Table2[[#This Row],[product]],Ref[#All],6,FALSE)</f>
        <v>BAG25</v>
      </c>
    </row>
    <row r="27" spans="1:28" x14ac:dyDescent="0.25">
      <c r="A27" t="str">
        <f>TEXT(Table2[[#This Row],[dated]],"mmm")</f>
        <v>Jun</v>
      </c>
      <c r="B27" t="s">
        <v>20</v>
      </c>
      <c r="C27" s="1" t="s">
        <v>1611</v>
      </c>
      <c r="D27" t="str">
        <f>VLOOKUP(Table2[[#This Row],[product]],Ref[#All],7,FALSE)</f>
        <v>Flour</v>
      </c>
      <c r="E27" s="1" t="s">
        <v>36</v>
      </c>
      <c r="F27" t="str">
        <f>VLOOKUP(Table2[[#This Row],[product]],Ref[#All],2,FALSE)</f>
        <v>Flour Import Elngm 25Kg</v>
      </c>
      <c r="G27" t="str">
        <f>VLOOKUP(Table2[[#This Row],[product]],Ref[#All],3,FALSE)</f>
        <v>Flour Al-Nagm (Imported)</v>
      </c>
      <c r="H27" t="str">
        <f>VLOOKUP(Table2[[#This Row],[product]],Ref[#All],4,FALSE)</f>
        <v>Import</v>
      </c>
      <c r="I27" s="1">
        <v>45823</v>
      </c>
      <c r="J27" t="s">
        <v>53</v>
      </c>
      <c r="K27" t="s">
        <v>1454</v>
      </c>
      <c r="L27" t="s">
        <v>1613</v>
      </c>
      <c r="M27" t="s">
        <v>1586</v>
      </c>
      <c r="N27" t="s">
        <v>784</v>
      </c>
      <c r="O27" t="s">
        <v>1680</v>
      </c>
      <c r="P27" t="s">
        <v>788</v>
      </c>
      <c r="Q27" t="s">
        <v>55</v>
      </c>
      <c r="R27">
        <v>-107</v>
      </c>
      <c r="S27" s="15">
        <f>Table2[[#This Row],[movement_quantity]]/VLOOKUP(Table2[[#This Row],[product]],Ref[#All],5,FALSE)</f>
        <v>-2.6749999999999998</v>
      </c>
      <c r="T27">
        <v>24758.555840000001</v>
      </c>
      <c r="U27" t="s">
        <v>17</v>
      </c>
      <c r="V27" t="s">
        <v>1358</v>
      </c>
      <c r="W27" t="s">
        <v>1474</v>
      </c>
      <c r="X27" t="s">
        <v>17</v>
      </c>
      <c r="Y27" t="s">
        <v>1289</v>
      </c>
      <c r="Z27" s="2">
        <v>0</v>
      </c>
      <c r="AA27" s="2">
        <v>-2649165.4748800001</v>
      </c>
      <c r="AB27" t="str">
        <f>VLOOKUP(Table2[[#This Row],[product]],Ref[#All],6,FALSE)</f>
        <v>BAG25</v>
      </c>
    </row>
    <row r="28" spans="1:28" x14ac:dyDescent="0.25">
      <c r="A28" t="str">
        <f>TEXT(Table2[[#This Row],[dated]],"mmm")</f>
        <v>Jun</v>
      </c>
      <c r="B28" t="s">
        <v>20</v>
      </c>
      <c r="C28" s="1" t="s">
        <v>1611</v>
      </c>
      <c r="D28" t="str">
        <f>VLOOKUP(Table2[[#This Row],[product]],Ref[#All],7,FALSE)</f>
        <v>Flour</v>
      </c>
      <c r="E28" s="1" t="s">
        <v>36</v>
      </c>
      <c r="F28" t="str">
        <f>VLOOKUP(Table2[[#This Row],[product]],Ref[#All],2,FALSE)</f>
        <v>Flour Import Elngm 25Kg</v>
      </c>
      <c r="G28" t="str">
        <f>VLOOKUP(Table2[[#This Row],[product]],Ref[#All],3,FALSE)</f>
        <v>Flour Al-Nagm (Imported)</v>
      </c>
      <c r="H28" t="str">
        <f>VLOOKUP(Table2[[#This Row],[product]],Ref[#All],4,FALSE)</f>
        <v>Import</v>
      </c>
      <c r="I28" s="1">
        <v>45823</v>
      </c>
      <c r="J28" t="s">
        <v>53</v>
      </c>
      <c r="K28" t="s">
        <v>1475</v>
      </c>
      <c r="L28" t="s">
        <v>1613</v>
      </c>
      <c r="M28" t="s">
        <v>1586</v>
      </c>
      <c r="N28" t="s">
        <v>784</v>
      </c>
      <c r="O28" t="s">
        <v>1680</v>
      </c>
      <c r="P28" t="s">
        <v>788</v>
      </c>
      <c r="Q28" t="s">
        <v>55</v>
      </c>
      <c r="R28">
        <v>-38</v>
      </c>
      <c r="S28" s="15">
        <f>Table2[[#This Row],[movement_quantity]]/VLOOKUP(Table2[[#This Row],[product]],Ref[#All],5,FALSE)</f>
        <v>-0.95</v>
      </c>
      <c r="T28">
        <v>24758.555840000001</v>
      </c>
      <c r="U28" t="s">
        <v>17</v>
      </c>
      <c r="V28" t="s">
        <v>1361</v>
      </c>
      <c r="W28" t="s">
        <v>1476</v>
      </c>
      <c r="X28" t="s">
        <v>17</v>
      </c>
      <c r="Y28" t="s">
        <v>1289</v>
      </c>
      <c r="Z28" s="2">
        <v>0</v>
      </c>
      <c r="AA28" s="2">
        <v>-940825.12192000006</v>
      </c>
      <c r="AB28" t="str">
        <f>VLOOKUP(Table2[[#This Row],[product]],Ref[#All],6,FALSE)</f>
        <v>BAG25</v>
      </c>
    </row>
    <row r="29" spans="1:28" x14ac:dyDescent="0.25">
      <c r="A29" t="str">
        <f>TEXT(Table2[[#This Row],[dated]],"mmm")</f>
        <v>Jun</v>
      </c>
      <c r="B29" t="s">
        <v>20</v>
      </c>
      <c r="C29" s="1" t="s">
        <v>1611</v>
      </c>
      <c r="D29" t="str">
        <f>VLOOKUP(Table2[[#This Row],[product]],Ref[#All],7,FALSE)</f>
        <v>Flour</v>
      </c>
      <c r="E29" s="1" t="s">
        <v>36</v>
      </c>
      <c r="F29" t="str">
        <f>VLOOKUP(Table2[[#This Row],[product]],Ref[#All],2,FALSE)</f>
        <v>Flour Import Elngm 25Kg</v>
      </c>
      <c r="G29" t="str">
        <f>VLOOKUP(Table2[[#This Row],[product]],Ref[#All],3,FALSE)</f>
        <v>Flour Al-Nagm (Imported)</v>
      </c>
      <c r="H29" t="str">
        <f>VLOOKUP(Table2[[#This Row],[product]],Ref[#All],4,FALSE)</f>
        <v>Import</v>
      </c>
      <c r="I29" s="1">
        <v>45823</v>
      </c>
      <c r="J29" t="s">
        <v>53</v>
      </c>
      <c r="K29" t="s">
        <v>1477</v>
      </c>
      <c r="L29" t="s">
        <v>1613</v>
      </c>
      <c r="M29" t="s">
        <v>1586</v>
      </c>
      <c r="N29" t="s">
        <v>784</v>
      </c>
      <c r="O29" t="s">
        <v>1680</v>
      </c>
      <c r="P29" t="s">
        <v>788</v>
      </c>
      <c r="Q29" t="s">
        <v>55</v>
      </c>
      <c r="R29">
        <v>-2</v>
      </c>
      <c r="S29" s="15">
        <f>Table2[[#This Row],[movement_quantity]]/VLOOKUP(Table2[[#This Row],[product]],Ref[#All],5,FALSE)</f>
        <v>-0.05</v>
      </c>
      <c r="T29">
        <v>24758.555840000001</v>
      </c>
      <c r="U29" t="s">
        <v>17</v>
      </c>
      <c r="V29" t="s">
        <v>1364</v>
      </c>
      <c r="W29" t="s">
        <v>1478</v>
      </c>
      <c r="X29" t="s">
        <v>17</v>
      </c>
      <c r="Y29" t="s">
        <v>1289</v>
      </c>
      <c r="Z29" s="2">
        <v>0</v>
      </c>
      <c r="AA29" s="2">
        <v>-49517.111680000002</v>
      </c>
      <c r="AB29" t="str">
        <f>VLOOKUP(Table2[[#This Row],[product]],Ref[#All],6,FALSE)</f>
        <v>BAG25</v>
      </c>
    </row>
    <row r="30" spans="1:28" x14ac:dyDescent="0.25">
      <c r="A30" t="str">
        <f>TEXT(Table2[[#This Row],[dated]],"mmm")</f>
        <v>Jun</v>
      </c>
      <c r="B30" t="s">
        <v>20</v>
      </c>
      <c r="C30" s="1" t="s">
        <v>1611</v>
      </c>
      <c r="D30" t="str">
        <f>VLOOKUP(Table2[[#This Row],[product]],Ref[#All],7,FALSE)</f>
        <v>Flour</v>
      </c>
      <c r="E30" s="1" t="s">
        <v>36</v>
      </c>
      <c r="F30" t="str">
        <f>VLOOKUP(Table2[[#This Row],[product]],Ref[#All],2,FALSE)</f>
        <v>Flour Import Elngm 25Kg</v>
      </c>
      <c r="G30" t="str">
        <f>VLOOKUP(Table2[[#This Row],[product]],Ref[#All],3,FALSE)</f>
        <v>Flour Al-Nagm (Imported)</v>
      </c>
      <c r="H30" t="str">
        <f>VLOOKUP(Table2[[#This Row],[product]],Ref[#All],4,FALSE)</f>
        <v>Import</v>
      </c>
      <c r="I30" s="1">
        <v>45823</v>
      </c>
      <c r="J30" t="s">
        <v>53</v>
      </c>
      <c r="K30" t="s">
        <v>1454</v>
      </c>
      <c r="L30" t="s">
        <v>1656</v>
      </c>
      <c r="M30" t="s">
        <v>1586</v>
      </c>
      <c r="N30" t="s">
        <v>784</v>
      </c>
      <c r="O30" t="s">
        <v>1680</v>
      </c>
      <c r="P30" t="s">
        <v>788</v>
      </c>
      <c r="Q30" t="s">
        <v>55</v>
      </c>
      <c r="R30">
        <v>-111</v>
      </c>
      <c r="S30" s="15">
        <f>Table2[[#This Row],[movement_quantity]]/VLOOKUP(Table2[[#This Row],[product]],Ref[#All],5,FALSE)</f>
        <v>-2.7749999999999999</v>
      </c>
      <c r="T30">
        <v>24758.555840000001</v>
      </c>
      <c r="U30" t="s">
        <v>17</v>
      </c>
      <c r="V30" t="s">
        <v>26</v>
      </c>
      <c r="W30" t="s">
        <v>1455</v>
      </c>
      <c r="X30" t="s">
        <v>17</v>
      </c>
      <c r="Y30" t="s">
        <v>1289</v>
      </c>
      <c r="Z30" s="2">
        <v>0</v>
      </c>
      <c r="AA30" s="2">
        <v>-2748199.6982400003</v>
      </c>
      <c r="AB30" t="str">
        <f>VLOOKUP(Table2[[#This Row],[product]],Ref[#All],6,FALSE)</f>
        <v>BAG25</v>
      </c>
    </row>
    <row r="31" spans="1:28" x14ac:dyDescent="0.25">
      <c r="A31" t="str">
        <f>TEXT(Table2[[#This Row],[dated]],"mmm")</f>
        <v>Jun</v>
      </c>
      <c r="B31" t="s">
        <v>20</v>
      </c>
      <c r="C31" s="1" t="s">
        <v>1611</v>
      </c>
      <c r="D31" t="str">
        <f>VLOOKUP(Table2[[#This Row],[product]],Ref[#All],7,FALSE)</f>
        <v>Flour</v>
      </c>
      <c r="E31" s="1" t="s">
        <v>36</v>
      </c>
      <c r="F31" t="str">
        <f>VLOOKUP(Table2[[#This Row],[product]],Ref[#All],2,FALSE)</f>
        <v>Flour Import Elngm 25Kg</v>
      </c>
      <c r="G31" t="str">
        <f>VLOOKUP(Table2[[#This Row],[product]],Ref[#All],3,FALSE)</f>
        <v>Flour Al-Nagm (Imported)</v>
      </c>
      <c r="H31" t="str">
        <f>VLOOKUP(Table2[[#This Row],[product]],Ref[#All],4,FALSE)</f>
        <v>Import</v>
      </c>
      <c r="I31" s="1">
        <v>45823</v>
      </c>
      <c r="J31" t="s">
        <v>53</v>
      </c>
      <c r="K31" t="s">
        <v>1456</v>
      </c>
      <c r="L31" t="s">
        <v>1656</v>
      </c>
      <c r="M31" t="s">
        <v>1586</v>
      </c>
      <c r="N31" t="s">
        <v>784</v>
      </c>
      <c r="O31" t="s">
        <v>1680</v>
      </c>
      <c r="P31" t="s">
        <v>788</v>
      </c>
      <c r="Q31" t="s">
        <v>55</v>
      </c>
      <c r="R31">
        <v>-27</v>
      </c>
      <c r="S31" s="15">
        <f>Table2[[#This Row],[movement_quantity]]/VLOOKUP(Table2[[#This Row],[product]],Ref[#All],5,FALSE)</f>
        <v>-0.67500000000000004</v>
      </c>
      <c r="T31">
        <v>24758.555840000001</v>
      </c>
      <c r="U31" t="s">
        <v>17</v>
      </c>
      <c r="V31" t="s">
        <v>27</v>
      </c>
      <c r="W31" t="s">
        <v>1457</v>
      </c>
      <c r="X31" t="s">
        <v>17</v>
      </c>
      <c r="Y31" t="s">
        <v>1289</v>
      </c>
      <c r="Z31" s="2">
        <v>0</v>
      </c>
      <c r="AA31" s="2">
        <v>-668481.00768000004</v>
      </c>
      <c r="AB31" t="str">
        <f>VLOOKUP(Table2[[#This Row],[product]],Ref[#All],6,FALSE)</f>
        <v>BAG25</v>
      </c>
    </row>
    <row r="32" spans="1:28" x14ac:dyDescent="0.25">
      <c r="A32" t="str">
        <f>TEXT(Table2[[#This Row],[dated]],"mmm")</f>
        <v>Jun</v>
      </c>
      <c r="B32" t="s">
        <v>20</v>
      </c>
      <c r="C32" s="1" t="s">
        <v>1611</v>
      </c>
      <c r="D32" t="str">
        <f>VLOOKUP(Table2[[#This Row],[product]],Ref[#All],7,FALSE)</f>
        <v>Flour</v>
      </c>
      <c r="E32" s="1" t="s">
        <v>36</v>
      </c>
      <c r="F32" t="str">
        <f>VLOOKUP(Table2[[#This Row],[product]],Ref[#All],2,FALSE)</f>
        <v>Flour Import Elngm 25Kg</v>
      </c>
      <c r="G32" t="str">
        <f>VLOOKUP(Table2[[#This Row],[product]],Ref[#All],3,FALSE)</f>
        <v>Flour Al-Nagm (Imported)</v>
      </c>
      <c r="H32" t="str">
        <f>VLOOKUP(Table2[[#This Row],[product]],Ref[#All],4,FALSE)</f>
        <v>Import</v>
      </c>
      <c r="I32" s="1">
        <v>45823</v>
      </c>
      <c r="J32" t="s">
        <v>53</v>
      </c>
      <c r="K32" t="s">
        <v>1462</v>
      </c>
      <c r="L32" t="s">
        <v>1616</v>
      </c>
      <c r="M32" t="s">
        <v>1586</v>
      </c>
      <c r="N32" t="s">
        <v>784</v>
      </c>
      <c r="O32" t="s">
        <v>1680</v>
      </c>
      <c r="P32" t="s">
        <v>788</v>
      </c>
      <c r="Q32" t="s">
        <v>55</v>
      </c>
      <c r="R32">
        <v>-127</v>
      </c>
      <c r="S32" s="15">
        <f>Table2[[#This Row],[movement_quantity]]/VLOOKUP(Table2[[#This Row],[product]],Ref[#All],5,FALSE)</f>
        <v>-3.1749999999999998</v>
      </c>
      <c r="T32">
        <v>24758.555840000001</v>
      </c>
      <c r="U32" t="s">
        <v>17</v>
      </c>
      <c r="V32" t="s">
        <v>31</v>
      </c>
      <c r="W32" t="s">
        <v>1463</v>
      </c>
      <c r="X32" t="s">
        <v>17</v>
      </c>
      <c r="Y32" t="s">
        <v>1289</v>
      </c>
      <c r="Z32" s="2">
        <v>0</v>
      </c>
      <c r="AA32" s="2">
        <v>-3144336.5916800001</v>
      </c>
      <c r="AB32" t="str">
        <f>VLOOKUP(Table2[[#This Row],[product]],Ref[#All],6,FALSE)</f>
        <v>BAG25</v>
      </c>
    </row>
    <row r="33" spans="1:28" x14ac:dyDescent="0.25">
      <c r="A33" t="str">
        <f>TEXT(Table2[[#This Row],[dated]],"mmm")</f>
        <v>Jun</v>
      </c>
      <c r="B33" t="s">
        <v>20</v>
      </c>
      <c r="C33" s="1" t="s">
        <v>1611</v>
      </c>
      <c r="D33" t="str">
        <f>VLOOKUP(Table2[[#This Row],[product]],Ref[#All],7,FALSE)</f>
        <v>Flour</v>
      </c>
      <c r="E33" s="1" t="s">
        <v>36</v>
      </c>
      <c r="F33" t="str">
        <f>VLOOKUP(Table2[[#This Row],[product]],Ref[#All],2,FALSE)</f>
        <v>Flour Import Elngm 25Kg</v>
      </c>
      <c r="G33" t="str">
        <f>VLOOKUP(Table2[[#This Row],[product]],Ref[#All],3,FALSE)</f>
        <v>Flour Al-Nagm (Imported)</v>
      </c>
      <c r="H33" t="str">
        <f>VLOOKUP(Table2[[#This Row],[product]],Ref[#All],4,FALSE)</f>
        <v>Import</v>
      </c>
      <c r="I33" s="1">
        <v>45823</v>
      </c>
      <c r="J33" t="s">
        <v>53</v>
      </c>
      <c r="K33" t="s">
        <v>1464</v>
      </c>
      <c r="L33" t="s">
        <v>1616</v>
      </c>
      <c r="M33" t="s">
        <v>1586</v>
      </c>
      <c r="N33" t="s">
        <v>784</v>
      </c>
      <c r="O33" t="s">
        <v>1680</v>
      </c>
      <c r="P33" t="s">
        <v>788</v>
      </c>
      <c r="Q33" t="s">
        <v>55</v>
      </c>
      <c r="R33">
        <v>-1</v>
      </c>
      <c r="S33" s="15">
        <f>Table2[[#This Row],[movement_quantity]]/VLOOKUP(Table2[[#This Row],[product]],Ref[#All],5,FALSE)</f>
        <v>-2.5000000000000001E-2</v>
      </c>
      <c r="T33">
        <v>24758.555840000001</v>
      </c>
      <c r="U33" t="s">
        <v>17</v>
      </c>
      <c r="V33" t="s">
        <v>32</v>
      </c>
      <c r="W33" t="s">
        <v>1465</v>
      </c>
      <c r="X33" t="s">
        <v>17</v>
      </c>
      <c r="Y33" t="s">
        <v>1289</v>
      </c>
      <c r="Z33" s="2">
        <v>0</v>
      </c>
      <c r="AA33" s="2">
        <v>-24758.555840000001</v>
      </c>
      <c r="AB33" t="str">
        <f>VLOOKUP(Table2[[#This Row],[product]],Ref[#All],6,FALSE)</f>
        <v>BAG25</v>
      </c>
    </row>
    <row r="34" spans="1:28" x14ac:dyDescent="0.25">
      <c r="A34" t="str">
        <f>TEXT(Table2[[#This Row],[dated]],"mmm")</f>
        <v>Jun</v>
      </c>
      <c r="B34" t="s">
        <v>20</v>
      </c>
      <c r="C34" s="1" t="s">
        <v>1611</v>
      </c>
      <c r="D34" t="str">
        <f>VLOOKUP(Table2[[#This Row],[product]],Ref[#All],7,FALSE)</f>
        <v>Flour</v>
      </c>
      <c r="E34" s="1" t="s">
        <v>36</v>
      </c>
      <c r="F34" t="str">
        <f>VLOOKUP(Table2[[#This Row],[product]],Ref[#All],2,FALSE)</f>
        <v>Flour Import Elngm 25Kg</v>
      </c>
      <c r="G34" t="str">
        <f>VLOOKUP(Table2[[#This Row],[product]],Ref[#All],3,FALSE)</f>
        <v>Flour Al-Nagm (Imported)</v>
      </c>
      <c r="H34" t="str">
        <f>VLOOKUP(Table2[[#This Row],[product]],Ref[#All],4,FALSE)</f>
        <v>Import</v>
      </c>
      <c r="I34" s="1">
        <v>45823</v>
      </c>
      <c r="J34" t="s">
        <v>53</v>
      </c>
      <c r="K34" t="s">
        <v>1466</v>
      </c>
      <c r="L34" t="s">
        <v>1616</v>
      </c>
      <c r="M34" t="s">
        <v>1586</v>
      </c>
      <c r="N34" t="s">
        <v>784</v>
      </c>
      <c r="O34" t="s">
        <v>1680</v>
      </c>
      <c r="P34" t="s">
        <v>788</v>
      </c>
      <c r="Q34" t="s">
        <v>55</v>
      </c>
      <c r="R34">
        <v>-51</v>
      </c>
      <c r="S34" s="15">
        <f>Table2[[#This Row],[movement_quantity]]/VLOOKUP(Table2[[#This Row],[product]],Ref[#All],5,FALSE)</f>
        <v>-1.2749999999999999</v>
      </c>
      <c r="T34">
        <v>24758.555840000001</v>
      </c>
      <c r="U34" t="s">
        <v>17</v>
      </c>
      <c r="V34" t="s">
        <v>44</v>
      </c>
      <c r="W34" t="s">
        <v>1467</v>
      </c>
      <c r="X34" t="s">
        <v>17</v>
      </c>
      <c r="Y34" t="s">
        <v>1289</v>
      </c>
      <c r="Z34" s="2">
        <v>0</v>
      </c>
      <c r="AA34" s="2">
        <v>-1262686.3478399999</v>
      </c>
      <c r="AB34" t="str">
        <f>VLOOKUP(Table2[[#This Row],[product]],Ref[#All],6,FALSE)</f>
        <v>BAG25</v>
      </c>
    </row>
    <row r="35" spans="1:28" x14ac:dyDescent="0.25">
      <c r="A35" t="str">
        <f>TEXT(Table2[[#This Row],[dated]],"mmm")</f>
        <v>Jun</v>
      </c>
      <c r="B35" t="s">
        <v>20</v>
      </c>
      <c r="C35" s="1" t="s">
        <v>1611</v>
      </c>
      <c r="D35" t="str">
        <f>VLOOKUP(Table2[[#This Row],[product]],Ref[#All],7,FALSE)</f>
        <v>Flour</v>
      </c>
      <c r="E35" s="1" t="s">
        <v>36</v>
      </c>
      <c r="F35" t="str">
        <f>VLOOKUP(Table2[[#This Row],[product]],Ref[#All],2,FALSE)</f>
        <v>Flour Import Elngm 25Kg</v>
      </c>
      <c r="G35" t="str">
        <f>VLOOKUP(Table2[[#This Row],[product]],Ref[#All],3,FALSE)</f>
        <v>Flour Al-Nagm (Imported)</v>
      </c>
      <c r="H35" t="str">
        <f>VLOOKUP(Table2[[#This Row],[product]],Ref[#All],4,FALSE)</f>
        <v>Import</v>
      </c>
      <c r="I35" s="1">
        <v>45823</v>
      </c>
      <c r="J35" t="s">
        <v>53</v>
      </c>
      <c r="K35" t="s">
        <v>1462</v>
      </c>
      <c r="L35" t="s">
        <v>1615</v>
      </c>
      <c r="M35" t="s">
        <v>1586</v>
      </c>
      <c r="N35" t="s">
        <v>784</v>
      </c>
      <c r="O35" t="s">
        <v>1680</v>
      </c>
      <c r="P35" t="s">
        <v>788</v>
      </c>
      <c r="Q35" t="s">
        <v>55</v>
      </c>
      <c r="R35">
        <v>-56</v>
      </c>
      <c r="S35" s="15">
        <f>Table2[[#This Row],[movement_quantity]]/VLOOKUP(Table2[[#This Row],[product]],Ref[#All],5,FALSE)</f>
        <v>-1.4</v>
      </c>
      <c r="T35">
        <v>24758.555840000001</v>
      </c>
      <c r="U35" t="s">
        <v>17</v>
      </c>
      <c r="V35" t="s">
        <v>34</v>
      </c>
      <c r="W35" t="s">
        <v>1470</v>
      </c>
      <c r="X35" t="s">
        <v>17</v>
      </c>
      <c r="Y35" t="s">
        <v>1289</v>
      </c>
      <c r="Z35" s="2">
        <v>0</v>
      </c>
      <c r="AA35" s="2">
        <v>-1386479.1270400002</v>
      </c>
      <c r="AB35" t="str">
        <f>VLOOKUP(Table2[[#This Row],[product]],Ref[#All],6,FALSE)</f>
        <v>BAG25</v>
      </c>
    </row>
    <row r="36" spans="1:28" x14ac:dyDescent="0.25">
      <c r="A36" t="str">
        <f>TEXT(Table2[[#This Row],[dated]],"mmm")</f>
        <v>Jun</v>
      </c>
      <c r="B36" t="s">
        <v>20</v>
      </c>
      <c r="C36" s="1" t="s">
        <v>1611</v>
      </c>
      <c r="D36" t="str">
        <f>VLOOKUP(Table2[[#This Row],[product]],Ref[#All],7,FALSE)</f>
        <v>Flour</v>
      </c>
      <c r="E36" s="1" t="s">
        <v>36</v>
      </c>
      <c r="F36" t="str">
        <f>VLOOKUP(Table2[[#This Row],[product]],Ref[#All],2,FALSE)</f>
        <v>Flour Import Elngm 25Kg</v>
      </c>
      <c r="G36" t="str">
        <f>VLOOKUP(Table2[[#This Row],[product]],Ref[#All],3,FALSE)</f>
        <v>Flour Al-Nagm (Imported)</v>
      </c>
      <c r="H36" t="str">
        <f>VLOOKUP(Table2[[#This Row],[product]],Ref[#All],4,FALSE)</f>
        <v>Import</v>
      </c>
      <c r="I36" s="1">
        <v>45823</v>
      </c>
      <c r="J36" t="s">
        <v>53</v>
      </c>
      <c r="K36" t="s">
        <v>1464</v>
      </c>
      <c r="L36" t="s">
        <v>1615</v>
      </c>
      <c r="M36" t="s">
        <v>1586</v>
      </c>
      <c r="N36" t="s">
        <v>784</v>
      </c>
      <c r="O36" t="s">
        <v>1680</v>
      </c>
      <c r="P36" t="s">
        <v>788</v>
      </c>
      <c r="Q36" t="s">
        <v>55</v>
      </c>
      <c r="R36">
        <v>-8</v>
      </c>
      <c r="S36" s="15">
        <f>Table2[[#This Row],[movement_quantity]]/VLOOKUP(Table2[[#This Row],[product]],Ref[#All],5,FALSE)</f>
        <v>-0.2</v>
      </c>
      <c r="T36">
        <v>24758.555840000001</v>
      </c>
      <c r="U36" t="s">
        <v>17</v>
      </c>
      <c r="V36" t="s">
        <v>1282</v>
      </c>
      <c r="W36" t="s">
        <v>1471</v>
      </c>
      <c r="X36" t="s">
        <v>17</v>
      </c>
      <c r="Y36" t="s">
        <v>1289</v>
      </c>
      <c r="Z36" s="2">
        <v>0</v>
      </c>
      <c r="AA36" s="2">
        <v>-198068.44672000001</v>
      </c>
      <c r="AB36" t="str">
        <f>VLOOKUP(Table2[[#This Row],[product]],Ref[#All],6,FALSE)</f>
        <v>BAG25</v>
      </c>
    </row>
    <row r="37" spans="1:28" x14ac:dyDescent="0.25">
      <c r="A37" t="str">
        <f>TEXT(Table2[[#This Row],[dated]],"mmm")</f>
        <v>Jun</v>
      </c>
      <c r="B37" t="s">
        <v>20</v>
      </c>
      <c r="C37" s="1" t="s">
        <v>1611</v>
      </c>
      <c r="D37" t="str">
        <f>VLOOKUP(Table2[[#This Row],[product]],Ref[#All],7,FALSE)</f>
        <v>Flour</v>
      </c>
      <c r="E37" s="1" t="s">
        <v>36</v>
      </c>
      <c r="F37" t="str">
        <f>VLOOKUP(Table2[[#This Row],[product]],Ref[#All],2,FALSE)</f>
        <v>Flour Import Elngm 25Kg</v>
      </c>
      <c r="G37" t="str">
        <f>VLOOKUP(Table2[[#This Row],[product]],Ref[#All],3,FALSE)</f>
        <v>Flour Al-Nagm (Imported)</v>
      </c>
      <c r="H37" t="str">
        <f>VLOOKUP(Table2[[#This Row],[product]],Ref[#All],4,FALSE)</f>
        <v>Import</v>
      </c>
      <c r="I37" s="1">
        <v>45823</v>
      </c>
      <c r="J37" t="s">
        <v>53</v>
      </c>
      <c r="K37" t="s">
        <v>1466</v>
      </c>
      <c r="L37" t="s">
        <v>1615</v>
      </c>
      <c r="M37" t="s">
        <v>1586</v>
      </c>
      <c r="N37" t="s">
        <v>784</v>
      </c>
      <c r="O37" t="s">
        <v>1680</v>
      </c>
      <c r="P37" t="s">
        <v>788</v>
      </c>
      <c r="Q37" t="s">
        <v>55</v>
      </c>
      <c r="R37">
        <v>-15</v>
      </c>
      <c r="S37" s="15">
        <f>Table2[[#This Row],[movement_quantity]]/VLOOKUP(Table2[[#This Row],[product]],Ref[#All],5,FALSE)</f>
        <v>-0.375</v>
      </c>
      <c r="T37">
        <v>24758.555840000001</v>
      </c>
      <c r="U37" t="s">
        <v>17</v>
      </c>
      <c r="V37" t="s">
        <v>1352</v>
      </c>
      <c r="W37" t="s">
        <v>1472</v>
      </c>
      <c r="X37" t="s">
        <v>17</v>
      </c>
      <c r="Y37" t="s">
        <v>1289</v>
      </c>
      <c r="Z37" s="2">
        <v>0</v>
      </c>
      <c r="AA37" s="2">
        <v>-371378.33760000003</v>
      </c>
      <c r="AB37" t="str">
        <f>VLOOKUP(Table2[[#This Row],[product]],Ref[#All],6,FALSE)</f>
        <v>BAG25</v>
      </c>
    </row>
    <row r="38" spans="1:28" x14ac:dyDescent="0.25">
      <c r="A38" t="str">
        <f>TEXT(Table2[[#This Row],[dated]],"mmm")</f>
        <v>Mar</v>
      </c>
      <c r="B38" t="s">
        <v>20</v>
      </c>
      <c r="C38" s="1" t="s">
        <v>1611</v>
      </c>
      <c r="D38" t="str">
        <f>VLOOKUP(Table2[[#This Row],[product]],Ref[#All],7,FALSE)</f>
        <v>Sugar</v>
      </c>
      <c r="E38" t="s">
        <v>16</v>
      </c>
      <c r="F38" t="str">
        <f>VLOOKUP(Table2[[#This Row],[product]],Ref[#All],2,FALSE)</f>
        <v>White Sugar</v>
      </c>
      <c r="G38" t="str">
        <f>VLOOKUP(Table2[[#This Row],[product]],Ref[#All],3,FALSE)</f>
        <v>White Sugar</v>
      </c>
      <c r="H38" t="str">
        <f>VLOOKUP(Table2[[#This Row],[product]],Ref[#All],4,FALSE)</f>
        <v>Import</v>
      </c>
      <c r="I38" s="1">
        <v>45735</v>
      </c>
      <c r="J38" t="s">
        <v>53</v>
      </c>
      <c r="K38" t="s">
        <v>670</v>
      </c>
      <c r="L38" t="s">
        <v>1658</v>
      </c>
      <c r="M38" t="s">
        <v>1586</v>
      </c>
      <c r="N38" t="s">
        <v>784</v>
      </c>
      <c r="O38" t="s">
        <v>1680</v>
      </c>
      <c r="P38" t="s">
        <v>788</v>
      </c>
      <c r="Q38" t="s">
        <v>55</v>
      </c>
      <c r="R38">
        <v>-152</v>
      </c>
      <c r="S38" s="15">
        <f>Table2[[#This Row],[movement_quantity]]/VLOOKUP(Table2[[#This Row],[product]],Ref[#All],5,FALSE)</f>
        <v>-7.6</v>
      </c>
      <c r="T38">
        <v>81012.933590000001</v>
      </c>
      <c r="U38" t="s">
        <v>17</v>
      </c>
      <c r="V38" t="s">
        <v>21</v>
      </c>
      <c r="W38" t="s">
        <v>671</v>
      </c>
      <c r="X38" t="s">
        <v>17</v>
      </c>
      <c r="Y38" t="s">
        <v>669</v>
      </c>
      <c r="Z38">
        <v>0</v>
      </c>
      <c r="AA38" s="2">
        <v>-12313965.905680001</v>
      </c>
      <c r="AB38" t="str">
        <f>VLOOKUP(Table2[[#This Row],[product]],Ref[#All],6,FALSE)</f>
        <v>BAG50</v>
      </c>
    </row>
    <row r="39" spans="1:28" x14ac:dyDescent="0.25">
      <c r="A39" t="str">
        <f>TEXT(Table2[[#This Row],[dated]],"mmm")</f>
        <v>Mar</v>
      </c>
      <c r="B39" t="s">
        <v>20</v>
      </c>
      <c r="C39" s="1" t="s">
        <v>1611</v>
      </c>
      <c r="D39" t="str">
        <f>VLOOKUP(Table2[[#This Row],[product]],Ref[#All],7,FALSE)</f>
        <v>Sugar</v>
      </c>
      <c r="E39" t="s">
        <v>16</v>
      </c>
      <c r="F39" t="str">
        <f>VLOOKUP(Table2[[#This Row],[product]],Ref[#All],2,FALSE)</f>
        <v>White Sugar</v>
      </c>
      <c r="G39" t="str">
        <f>VLOOKUP(Table2[[#This Row],[product]],Ref[#All],3,FALSE)</f>
        <v>White Sugar</v>
      </c>
      <c r="H39" t="str">
        <f>VLOOKUP(Table2[[#This Row],[product]],Ref[#All],4,FALSE)</f>
        <v>Import</v>
      </c>
      <c r="I39" s="1">
        <v>45735</v>
      </c>
      <c r="J39" t="s">
        <v>53</v>
      </c>
      <c r="K39" t="s">
        <v>672</v>
      </c>
      <c r="L39" t="s">
        <v>1658</v>
      </c>
      <c r="M39" t="s">
        <v>1586</v>
      </c>
      <c r="N39" t="s">
        <v>784</v>
      </c>
      <c r="O39" t="s">
        <v>1680</v>
      </c>
      <c r="P39" t="s">
        <v>788</v>
      </c>
      <c r="Q39" t="s">
        <v>55</v>
      </c>
      <c r="R39">
        <v>-3</v>
      </c>
      <c r="S39" s="15">
        <f>Table2[[#This Row],[movement_quantity]]/VLOOKUP(Table2[[#This Row],[product]],Ref[#All],5,FALSE)</f>
        <v>-0.15</v>
      </c>
      <c r="T39">
        <v>81012.933590000001</v>
      </c>
      <c r="U39" t="s">
        <v>17</v>
      </c>
      <c r="V39" t="s">
        <v>22</v>
      </c>
      <c r="W39" t="s">
        <v>673</v>
      </c>
      <c r="X39" t="s">
        <v>17</v>
      </c>
      <c r="Y39" t="s">
        <v>669</v>
      </c>
      <c r="Z39">
        <v>0</v>
      </c>
      <c r="AA39" s="2">
        <v>-243038.80077</v>
      </c>
      <c r="AB39" t="str">
        <f>VLOOKUP(Table2[[#This Row],[product]],Ref[#All],6,FALSE)</f>
        <v>BAG50</v>
      </c>
    </row>
    <row r="40" spans="1:28" x14ac:dyDescent="0.25">
      <c r="A40" t="str">
        <f>TEXT(Table2[[#This Row],[dated]],"mmm")</f>
        <v>Mar</v>
      </c>
      <c r="B40" t="s">
        <v>20</v>
      </c>
      <c r="C40" s="1" t="s">
        <v>1611</v>
      </c>
      <c r="D40" t="str">
        <f>VLOOKUP(Table2[[#This Row],[product]],Ref[#All],7,FALSE)</f>
        <v>Sugar</v>
      </c>
      <c r="E40" t="s">
        <v>16</v>
      </c>
      <c r="F40" t="str">
        <f>VLOOKUP(Table2[[#This Row],[product]],Ref[#All],2,FALSE)</f>
        <v>White Sugar</v>
      </c>
      <c r="G40" t="str">
        <f>VLOOKUP(Table2[[#This Row],[product]],Ref[#All],3,FALSE)</f>
        <v>White Sugar</v>
      </c>
      <c r="H40" t="str">
        <f>VLOOKUP(Table2[[#This Row],[product]],Ref[#All],4,FALSE)</f>
        <v>Import</v>
      </c>
      <c r="I40" s="1">
        <v>45735</v>
      </c>
      <c r="J40" t="s">
        <v>53</v>
      </c>
      <c r="K40" t="s">
        <v>674</v>
      </c>
      <c r="L40" t="s">
        <v>1658</v>
      </c>
      <c r="M40" t="s">
        <v>1586</v>
      </c>
      <c r="N40" t="s">
        <v>784</v>
      </c>
      <c r="O40" t="s">
        <v>1680</v>
      </c>
      <c r="P40" t="s">
        <v>788</v>
      </c>
      <c r="Q40" t="s">
        <v>55</v>
      </c>
      <c r="R40">
        <v>-7</v>
      </c>
      <c r="S40" s="15">
        <f>Table2[[#This Row],[movement_quantity]]/VLOOKUP(Table2[[#This Row],[product]],Ref[#All],5,FALSE)</f>
        <v>-0.35</v>
      </c>
      <c r="T40">
        <v>81012.933590000001</v>
      </c>
      <c r="U40" t="s">
        <v>17</v>
      </c>
      <c r="V40" t="s">
        <v>23</v>
      </c>
      <c r="W40" t="s">
        <v>675</v>
      </c>
      <c r="X40" t="s">
        <v>17</v>
      </c>
      <c r="Y40" t="s">
        <v>669</v>
      </c>
      <c r="Z40">
        <v>0</v>
      </c>
      <c r="AA40" s="2">
        <v>-567090.53512999997</v>
      </c>
      <c r="AB40" t="str">
        <f>VLOOKUP(Table2[[#This Row],[product]],Ref[#All],6,FALSE)</f>
        <v>BAG50</v>
      </c>
    </row>
    <row r="41" spans="1:28" x14ac:dyDescent="0.25">
      <c r="A41" t="str">
        <f>TEXT(Table2[[#This Row],[dated]],"mmm")</f>
        <v>May</v>
      </c>
      <c r="B41" t="s">
        <v>811</v>
      </c>
      <c r="C41" s="1" t="s">
        <v>1611</v>
      </c>
      <c r="D41" t="str">
        <f>VLOOKUP(Table2[[#This Row],[product]],Ref[#All],7,FALSE)</f>
        <v>Lentils</v>
      </c>
      <c r="E41" s="1" t="s">
        <v>853</v>
      </c>
      <c r="F41" t="str">
        <f>VLOOKUP(Table2[[#This Row],[product]],Ref[#All],2,FALSE)</f>
        <v>Lentil Elngm 20KG</v>
      </c>
      <c r="G41" t="str">
        <f>VLOOKUP(Table2[[#This Row],[product]],Ref[#All],3,FALSE)</f>
        <v>Lentils</v>
      </c>
      <c r="H41" t="str">
        <f>VLOOKUP(Table2[[#This Row],[product]],Ref[#All],4,FALSE)</f>
        <v>Import</v>
      </c>
      <c r="I41" s="1">
        <v>45782</v>
      </c>
      <c r="J41" t="s">
        <v>53</v>
      </c>
      <c r="K41" t="s">
        <v>857</v>
      </c>
      <c r="L41" t="s">
        <v>1927</v>
      </c>
      <c r="M41" t="s">
        <v>1586</v>
      </c>
      <c r="N41" t="s">
        <v>784</v>
      </c>
      <c r="O41" t="s">
        <v>1680</v>
      </c>
      <c r="P41" t="s">
        <v>788</v>
      </c>
      <c r="Q41" t="s">
        <v>55</v>
      </c>
      <c r="R41">
        <v>-6</v>
      </c>
      <c r="S41" s="15">
        <f>Table2[[#This Row],[movement_quantity]]/VLOOKUP(Table2[[#This Row],[product]],Ref[#All],5,FALSE)</f>
        <v>-0.12</v>
      </c>
      <c r="T41">
        <v>49211.972889999997</v>
      </c>
      <c r="U41" t="s">
        <v>17</v>
      </c>
      <c r="V41" t="s">
        <v>21</v>
      </c>
      <c r="W41" t="s">
        <v>858</v>
      </c>
      <c r="X41" t="s">
        <v>17</v>
      </c>
      <c r="Y41" t="s">
        <v>856</v>
      </c>
      <c r="Z41">
        <v>0</v>
      </c>
      <c r="AA41" s="2">
        <v>-295271.83733999997</v>
      </c>
      <c r="AB41" t="str">
        <f>VLOOKUP(Table2[[#This Row],[product]],Ref[#All],6,FALSE)</f>
        <v>BAG20</v>
      </c>
    </row>
    <row r="42" spans="1:28" x14ac:dyDescent="0.25">
      <c r="A42" t="str">
        <f>TEXT(Table2[[#This Row],[dated]],"mmm")</f>
        <v>May</v>
      </c>
      <c r="B42" t="s">
        <v>811</v>
      </c>
      <c r="C42" s="1" t="s">
        <v>1611</v>
      </c>
      <c r="D42" t="str">
        <f>VLOOKUP(Table2[[#This Row],[product]],Ref[#All],7,FALSE)</f>
        <v>Flour</v>
      </c>
      <c r="E42" s="1" t="s">
        <v>36</v>
      </c>
      <c r="F42" t="str">
        <f>VLOOKUP(Table2[[#This Row],[product]],Ref[#All],2,FALSE)</f>
        <v>Flour Import Elngm 25Kg</v>
      </c>
      <c r="G42" t="str">
        <f>VLOOKUP(Table2[[#This Row],[product]],Ref[#All],3,FALSE)</f>
        <v>Flour Al-Nagm (Imported)</v>
      </c>
      <c r="H42" t="str">
        <f>VLOOKUP(Table2[[#This Row],[product]],Ref[#All],4,FALSE)</f>
        <v>Import</v>
      </c>
      <c r="I42" s="1">
        <v>45782</v>
      </c>
      <c r="J42" t="s">
        <v>53</v>
      </c>
      <c r="K42" t="s">
        <v>882</v>
      </c>
      <c r="L42" t="s">
        <v>1654</v>
      </c>
      <c r="M42" t="s">
        <v>1586</v>
      </c>
      <c r="N42" t="s">
        <v>784</v>
      </c>
      <c r="O42" t="s">
        <v>1680</v>
      </c>
      <c r="P42" t="s">
        <v>788</v>
      </c>
      <c r="Q42" t="s">
        <v>55</v>
      </c>
      <c r="R42">
        <v>-7</v>
      </c>
      <c r="S42" s="15">
        <f>Table2[[#This Row],[movement_quantity]]/VLOOKUP(Table2[[#This Row],[product]],Ref[#All],5,FALSE)</f>
        <v>-0.17499999999999999</v>
      </c>
      <c r="T42">
        <v>31301.811430000002</v>
      </c>
      <c r="U42" t="s">
        <v>17</v>
      </c>
      <c r="V42" t="s">
        <v>18</v>
      </c>
      <c r="W42" t="s">
        <v>883</v>
      </c>
      <c r="X42" t="s">
        <v>17</v>
      </c>
      <c r="Y42" t="s">
        <v>884</v>
      </c>
      <c r="Z42">
        <v>0</v>
      </c>
      <c r="AA42" s="2">
        <v>-219112.68001000001</v>
      </c>
      <c r="AB42" t="str">
        <f>VLOOKUP(Table2[[#This Row],[product]],Ref[#All],6,FALSE)</f>
        <v>BAG25</v>
      </c>
    </row>
    <row r="43" spans="1:28" x14ac:dyDescent="0.25">
      <c r="A43" t="str">
        <f>TEXT(Table2[[#This Row],[dated]],"mmm")</f>
        <v>May</v>
      </c>
      <c r="B43" t="s">
        <v>811</v>
      </c>
      <c r="C43" s="1" t="s">
        <v>1611</v>
      </c>
      <c r="D43" t="str">
        <f>VLOOKUP(Table2[[#This Row],[product]],Ref[#All],7,FALSE)</f>
        <v>Flour</v>
      </c>
      <c r="E43" s="1" t="s">
        <v>36</v>
      </c>
      <c r="F43" t="str">
        <f>VLOOKUP(Table2[[#This Row],[product]],Ref[#All],2,FALSE)</f>
        <v>Flour Import Elngm 25Kg</v>
      </c>
      <c r="G43" t="str">
        <f>VLOOKUP(Table2[[#This Row],[product]],Ref[#All],3,FALSE)</f>
        <v>Flour Al-Nagm (Imported)</v>
      </c>
      <c r="H43" t="str">
        <f>VLOOKUP(Table2[[#This Row],[product]],Ref[#All],4,FALSE)</f>
        <v>Import</v>
      </c>
      <c r="I43" s="1">
        <v>45782</v>
      </c>
      <c r="J43" t="s">
        <v>53</v>
      </c>
      <c r="K43" t="s">
        <v>887</v>
      </c>
      <c r="L43" t="s">
        <v>1655</v>
      </c>
      <c r="M43" t="s">
        <v>1586</v>
      </c>
      <c r="N43" t="s">
        <v>784</v>
      </c>
      <c r="O43" t="s">
        <v>1680</v>
      </c>
      <c r="P43" t="s">
        <v>788</v>
      </c>
      <c r="Q43" t="s">
        <v>55</v>
      </c>
      <c r="R43">
        <v>-6</v>
      </c>
      <c r="S43" s="15">
        <f>Table2[[#This Row],[movement_quantity]]/VLOOKUP(Table2[[#This Row],[product]],Ref[#All],5,FALSE)</f>
        <v>-0.15</v>
      </c>
      <c r="T43">
        <v>31301.811430000002</v>
      </c>
      <c r="U43" t="s">
        <v>17</v>
      </c>
      <c r="V43" t="s">
        <v>22</v>
      </c>
      <c r="W43" t="s">
        <v>888</v>
      </c>
      <c r="X43" t="s">
        <v>17</v>
      </c>
      <c r="Y43" t="s">
        <v>884</v>
      </c>
      <c r="Z43">
        <v>0</v>
      </c>
      <c r="AA43" s="2">
        <v>-187810.86858000001</v>
      </c>
      <c r="AB43" t="str">
        <f>VLOOKUP(Table2[[#This Row],[product]],Ref[#All],6,FALSE)</f>
        <v>BAG25</v>
      </c>
    </row>
    <row r="44" spans="1:28" x14ac:dyDescent="0.25">
      <c r="A44" t="str">
        <f>TEXT(Table2[[#This Row],[dated]],"mmm")</f>
        <v>Jul</v>
      </c>
      <c r="B44" s="28" t="s">
        <v>20</v>
      </c>
      <c r="C44" s="1" t="s">
        <v>1611</v>
      </c>
      <c r="D44" t="str">
        <f>VLOOKUP(Table2[[#This Row],[product]],Ref[#All],7,FALSE)</f>
        <v>Flour</v>
      </c>
      <c r="E44" s="28" t="s">
        <v>36</v>
      </c>
      <c r="F44" t="str">
        <f>VLOOKUP(Table2[[#This Row],[product]],Ref[#All],2,FALSE)</f>
        <v>Flour Import Elngm 25Kg</v>
      </c>
      <c r="G44" t="str">
        <f>VLOOKUP(Table2[[#This Row],[product]],Ref[#All],3,FALSE)</f>
        <v>Flour Al-Nagm (Imported)</v>
      </c>
      <c r="H44" t="str">
        <f>VLOOKUP(Table2[[#This Row],[product]],Ref[#All],4,FALSE)</f>
        <v>Import</v>
      </c>
      <c r="I44" s="1">
        <v>45868</v>
      </c>
      <c r="J44" s="28" t="s">
        <v>53</v>
      </c>
      <c r="K44" s="33" t="s">
        <v>2215</v>
      </c>
      <c r="L44" t="s">
        <v>2281</v>
      </c>
      <c r="M44" t="s">
        <v>1586</v>
      </c>
      <c r="N44" t="s">
        <v>784</v>
      </c>
      <c r="O44" t="s">
        <v>786</v>
      </c>
      <c r="P44" t="s">
        <v>1597</v>
      </c>
      <c r="Q44" t="s">
        <v>2213</v>
      </c>
      <c r="R44">
        <v>-272</v>
      </c>
      <c r="S44" s="15">
        <f>Table2[[#This Row],[movement_quantity]]/VLOOKUP(Table2[[#This Row],[product]],Ref[#All],5,FALSE)</f>
        <v>-6.8</v>
      </c>
      <c r="T44" s="33">
        <v>28919.106970000001</v>
      </c>
      <c r="U44" s="33" t="s">
        <v>17</v>
      </c>
      <c r="V44" s="33" t="s">
        <v>29</v>
      </c>
      <c r="W44" s="33" t="s">
        <v>2216</v>
      </c>
      <c r="X44" s="33" t="s">
        <v>17</v>
      </c>
      <c r="Y44" s="33" t="s">
        <v>1289</v>
      </c>
      <c r="Z44" s="33">
        <v>0</v>
      </c>
      <c r="AA44">
        <v>-7865997.0958400005</v>
      </c>
      <c r="AB44" t="str">
        <f>VLOOKUP(Table2[[#This Row],[product]],Ref[#All],6,FALSE)</f>
        <v>BAG25</v>
      </c>
    </row>
    <row r="45" spans="1:28" x14ac:dyDescent="0.25">
      <c r="A45" t="str">
        <f>TEXT(Table2[[#This Row],[dated]],"mmm")</f>
        <v>Jul</v>
      </c>
      <c r="B45" s="26" t="s">
        <v>20</v>
      </c>
      <c r="C45" s="1" t="s">
        <v>1611</v>
      </c>
      <c r="D45" t="str">
        <f>VLOOKUP(Table2[[#This Row],[product]],Ref[#All],7,FALSE)</f>
        <v>Flour</v>
      </c>
      <c r="E45" s="26" t="s">
        <v>36</v>
      </c>
      <c r="F45" t="str">
        <f>VLOOKUP(Table2[[#This Row],[product]],Ref[#All],2,FALSE)</f>
        <v>Flour Import Elngm 25Kg</v>
      </c>
      <c r="G45" t="str">
        <f>VLOOKUP(Table2[[#This Row],[product]],Ref[#All],3,FALSE)</f>
        <v>Flour Al-Nagm (Imported)</v>
      </c>
      <c r="H45" t="str">
        <f>VLOOKUP(Table2[[#This Row],[product]],Ref[#All],4,FALSE)</f>
        <v>Import</v>
      </c>
      <c r="I45" s="29">
        <v>45868</v>
      </c>
      <c r="J45" s="26" t="s">
        <v>53</v>
      </c>
      <c r="K45" s="34" t="s">
        <v>2217</v>
      </c>
      <c r="L45" t="s">
        <v>2281</v>
      </c>
      <c r="M45" t="s">
        <v>1586</v>
      </c>
      <c r="N45" t="s">
        <v>784</v>
      </c>
      <c r="O45" t="s">
        <v>786</v>
      </c>
      <c r="P45" t="s">
        <v>1597</v>
      </c>
      <c r="Q45" t="s">
        <v>2213</v>
      </c>
      <c r="R45">
        <v>-6</v>
      </c>
      <c r="S45" s="15">
        <f>Table2[[#This Row],[movement_quantity]]/VLOOKUP(Table2[[#This Row],[product]],Ref[#All],5,FALSE)</f>
        <v>-0.15</v>
      </c>
      <c r="T45" s="34">
        <v>28919.106970000001</v>
      </c>
      <c r="U45" s="34" t="s">
        <v>17</v>
      </c>
      <c r="V45" s="34" t="s">
        <v>31</v>
      </c>
      <c r="W45" s="34" t="s">
        <v>2218</v>
      </c>
      <c r="X45" s="34" t="s">
        <v>17</v>
      </c>
      <c r="Y45" s="34" t="s">
        <v>1289</v>
      </c>
      <c r="Z45" s="34">
        <v>0</v>
      </c>
      <c r="AA45" s="32">
        <v>-173514.64182000002</v>
      </c>
      <c r="AB45" t="str">
        <f>VLOOKUP(Table2[[#This Row],[product]],Ref[#All],6,FALSE)</f>
        <v>BAG25</v>
      </c>
    </row>
    <row r="46" spans="1:28" x14ac:dyDescent="0.25">
      <c r="A46" t="str">
        <f>TEXT(Table2[[#This Row],[dated]],"mmm")</f>
        <v>Jul</v>
      </c>
      <c r="B46" s="28" t="s">
        <v>20</v>
      </c>
      <c r="C46" s="1" t="s">
        <v>1611</v>
      </c>
      <c r="D46" t="str">
        <f>VLOOKUP(Table2[[#This Row],[product]],Ref[#All],7,FALSE)</f>
        <v>Flour</v>
      </c>
      <c r="E46" s="28" t="s">
        <v>36</v>
      </c>
      <c r="F46" t="str">
        <f>VLOOKUP(Table2[[#This Row],[product]],Ref[#All],2,FALSE)</f>
        <v>Flour Import Elngm 25Kg</v>
      </c>
      <c r="G46" t="str">
        <f>VLOOKUP(Table2[[#This Row],[product]],Ref[#All],3,FALSE)</f>
        <v>Flour Al-Nagm (Imported)</v>
      </c>
      <c r="H46" t="str">
        <f>VLOOKUP(Table2[[#This Row],[product]],Ref[#All],4,FALSE)</f>
        <v>Import</v>
      </c>
      <c r="I46" s="1">
        <v>45868</v>
      </c>
      <c r="J46" s="28" t="s">
        <v>53</v>
      </c>
      <c r="K46" s="33" t="s">
        <v>2219</v>
      </c>
      <c r="L46" t="s">
        <v>2281</v>
      </c>
      <c r="M46" t="s">
        <v>1586</v>
      </c>
      <c r="N46" t="s">
        <v>784</v>
      </c>
      <c r="O46" t="s">
        <v>786</v>
      </c>
      <c r="P46" t="s">
        <v>1597</v>
      </c>
      <c r="Q46" t="s">
        <v>2213</v>
      </c>
      <c r="R46">
        <v>-47</v>
      </c>
      <c r="S46" s="15">
        <f>Table2[[#This Row],[movement_quantity]]/VLOOKUP(Table2[[#This Row],[product]],Ref[#All],5,FALSE)</f>
        <v>-1.175</v>
      </c>
      <c r="T46" s="33">
        <v>28919.106970000001</v>
      </c>
      <c r="U46" s="33" t="s">
        <v>17</v>
      </c>
      <c r="V46" s="33" t="s">
        <v>32</v>
      </c>
      <c r="W46" s="33" t="s">
        <v>2220</v>
      </c>
      <c r="X46" s="33" t="s">
        <v>17</v>
      </c>
      <c r="Y46" s="33" t="s">
        <v>1289</v>
      </c>
      <c r="Z46" s="33">
        <v>0</v>
      </c>
      <c r="AA46">
        <v>-1359198.0275900001</v>
      </c>
      <c r="AB46" t="str">
        <f>VLOOKUP(Table2[[#This Row],[product]],Ref[#All],6,FALSE)</f>
        <v>BAG25</v>
      </c>
    </row>
    <row r="47" spans="1:28" x14ac:dyDescent="0.25">
      <c r="A47" t="str">
        <f>TEXT(Table2[[#This Row],[dated]],"mmm")</f>
        <v>Jul</v>
      </c>
      <c r="B47" t="s">
        <v>20</v>
      </c>
      <c r="C47" s="1" t="s">
        <v>1611</v>
      </c>
      <c r="D47" t="str">
        <f>VLOOKUP(Table2[[#This Row],[product]],Ref[#All],7,FALSE)</f>
        <v>Flour</v>
      </c>
      <c r="E47" s="1" t="s">
        <v>36</v>
      </c>
      <c r="F47" t="str">
        <f>VLOOKUP(Table2[[#This Row],[product]],Ref[#All],2,FALSE)</f>
        <v>Flour Import Elngm 25Kg</v>
      </c>
      <c r="G47" t="str">
        <f>VLOOKUP(Table2[[#This Row],[product]],Ref[#All],3,FALSE)</f>
        <v>Flour Al-Nagm (Imported)</v>
      </c>
      <c r="H47" t="str">
        <f>VLOOKUP(Table2[[#This Row],[product]],Ref[#All],4,FALSE)</f>
        <v>Import</v>
      </c>
      <c r="I47" s="1">
        <v>45853</v>
      </c>
      <c r="J47" t="s">
        <v>53</v>
      </c>
      <c r="K47" t="s">
        <v>1974</v>
      </c>
      <c r="L47" t="s">
        <v>2280</v>
      </c>
      <c r="M47" t="s">
        <v>1586</v>
      </c>
      <c r="N47" t="s">
        <v>784</v>
      </c>
      <c r="O47" t="s">
        <v>1680</v>
      </c>
      <c r="P47" t="s">
        <v>788</v>
      </c>
      <c r="Q47" t="s">
        <v>55</v>
      </c>
      <c r="R47">
        <v>-139</v>
      </c>
      <c r="S47" s="15">
        <f>Table2[[#This Row],[movement_quantity]]/VLOOKUP(Table2[[#This Row],[product]],Ref[#All],5,FALSE)</f>
        <v>-3.4750000000000001</v>
      </c>
      <c r="T47">
        <v>28919.106970000001</v>
      </c>
      <c r="U47" t="s">
        <v>17</v>
      </c>
      <c r="V47" t="s">
        <v>21</v>
      </c>
      <c r="W47" t="s">
        <v>1975</v>
      </c>
      <c r="X47" t="s">
        <v>17</v>
      </c>
      <c r="Y47" s="23" t="s">
        <v>1289</v>
      </c>
      <c r="Z47">
        <v>0</v>
      </c>
      <c r="AA47" s="23">
        <v>-4019755.8688300001</v>
      </c>
      <c r="AB47" t="str">
        <f>VLOOKUP(Table2[[#This Row],[product]],Ref[#All],6,FALSE)</f>
        <v>BAG25</v>
      </c>
    </row>
    <row r="48" spans="1:28" x14ac:dyDescent="0.25">
      <c r="A48" t="str">
        <f>TEXT(Table2[[#This Row],[dated]],"mmm")</f>
        <v>Jul</v>
      </c>
      <c r="B48" t="s">
        <v>20</v>
      </c>
      <c r="C48" s="1" t="s">
        <v>1611</v>
      </c>
      <c r="D48" t="str">
        <f>VLOOKUP(Table2[[#This Row],[product]],Ref[#All],7,FALSE)</f>
        <v>Flour</v>
      </c>
      <c r="E48" s="1" t="s">
        <v>36</v>
      </c>
      <c r="F48" t="str">
        <f>VLOOKUP(Table2[[#This Row],[product]],Ref[#All],2,FALSE)</f>
        <v>Flour Import Elngm 25Kg</v>
      </c>
      <c r="G48" t="str">
        <f>VLOOKUP(Table2[[#This Row],[product]],Ref[#All],3,FALSE)</f>
        <v>Flour Al-Nagm (Imported)</v>
      </c>
      <c r="H48" t="str">
        <f>VLOOKUP(Table2[[#This Row],[product]],Ref[#All],4,FALSE)</f>
        <v>Import</v>
      </c>
      <c r="I48" s="1">
        <v>45853</v>
      </c>
      <c r="J48" t="s">
        <v>53</v>
      </c>
      <c r="K48" t="s">
        <v>1976</v>
      </c>
      <c r="L48" t="s">
        <v>2280</v>
      </c>
      <c r="M48" t="s">
        <v>1586</v>
      </c>
      <c r="N48" t="s">
        <v>784</v>
      </c>
      <c r="O48" t="s">
        <v>1680</v>
      </c>
      <c r="P48" t="s">
        <v>788</v>
      </c>
      <c r="Q48" t="s">
        <v>55</v>
      </c>
      <c r="R48">
        <v>-6</v>
      </c>
      <c r="S48" s="15">
        <f>Table2[[#This Row],[movement_quantity]]/VLOOKUP(Table2[[#This Row],[product]],Ref[#All],5,FALSE)</f>
        <v>-0.15</v>
      </c>
      <c r="T48">
        <v>28919.106970000001</v>
      </c>
      <c r="U48" t="s">
        <v>17</v>
      </c>
      <c r="V48" t="s">
        <v>22</v>
      </c>
      <c r="W48" t="s">
        <v>1977</v>
      </c>
      <c r="X48" t="s">
        <v>17</v>
      </c>
      <c r="Y48" s="23" t="s">
        <v>1289</v>
      </c>
      <c r="Z48">
        <v>0</v>
      </c>
      <c r="AA48" s="23">
        <v>-173514.64182000002</v>
      </c>
      <c r="AB48" t="str">
        <f>VLOOKUP(Table2[[#This Row],[product]],Ref[#All],6,FALSE)</f>
        <v>BAG25</v>
      </c>
    </row>
    <row r="49" spans="1:28" x14ac:dyDescent="0.25">
      <c r="A49" t="str">
        <f>TEXT(Table2[[#This Row],[dated]],"mmm")</f>
        <v>Jul</v>
      </c>
      <c r="B49" t="s">
        <v>20</v>
      </c>
      <c r="C49" s="1" t="s">
        <v>1611</v>
      </c>
      <c r="D49" t="str">
        <f>VLOOKUP(Table2[[#This Row],[product]],Ref[#All],7,FALSE)</f>
        <v>Flour</v>
      </c>
      <c r="E49" s="1" t="s">
        <v>36</v>
      </c>
      <c r="F49" t="str">
        <f>VLOOKUP(Table2[[#This Row],[product]],Ref[#All],2,FALSE)</f>
        <v>Flour Import Elngm 25Kg</v>
      </c>
      <c r="G49" t="str">
        <f>VLOOKUP(Table2[[#This Row],[product]],Ref[#All],3,FALSE)</f>
        <v>Flour Al-Nagm (Imported)</v>
      </c>
      <c r="H49" t="str">
        <f>VLOOKUP(Table2[[#This Row],[product]],Ref[#All],4,FALSE)</f>
        <v>Import</v>
      </c>
      <c r="I49" s="1">
        <v>45853</v>
      </c>
      <c r="J49" t="s">
        <v>53</v>
      </c>
      <c r="K49" t="s">
        <v>1978</v>
      </c>
      <c r="L49" t="s">
        <v>2280</v>
      </c>
      <c r="M49" t="s">
        <v>1586</v>
      </c>
      <c r="N49" t="s">
        <v>784</v>
      </c>
      <c r="O49" t="s">
        <v>1680</v>
      </c>
      <c r="P49" t="s">
        <v>788</v>
      </c>
      <c r="Q49" t="s">
        <v>55</v>
      </c>
      <c r="R49">
        <v>-45</v>
      </c>
      <c r="S49" s="15">
        <f>Table2[[#This Row],[movement_quantity]]/VLOOKUP(Table2[[#This Row],[product]],Ref[#All],5,FALSE)</f>
        <v>-1.125</v>
      </c>
      <c r="T49">
        <v>28919.106970000001</v>
      </c>
      <c r="U49" t="s">
        <v>17</v>
      </c>
      <c r="V49" t="s">
        <v>23</v>
      </c>
      <c r="W49" t="s">
        <v>1979</v>
      </c>
      <c r="X49" t="s">
        <v>17</v>
      </c>
      <c r="Y49" s="23" t="s">
        <v>1289</v>
      </c>
      <c r="Z49">
        <v>0</v>
      </c>
      <c r="AA49" s="23">
        <v>-1301359.8136500001</v>
      </c>
      <c r="AB49" t="str">
        <f>VLOOKUP(Table2[[#This Row],[product]],Ref[#All],6,FALSE)</f>
        <v>BAG25</v>
      </c>
    </row>
    <row r="50" spans="1:28" x14ac:dyDescent="0.25">
      <c r="A50" t="str">
        <f>TEXT(Table2[[#This Row],[dated]],"mmm")</f>
        <v>Jul</v>
      </c>
      <c r="B50" s="28" t="s">
        <v>20</v>
      </c>
      <c r="C50" s="1" t="s">
        <v>1611</v>
      </c>
      <c r="D50" t="str">
        <f>VLOOKUP(Table2[[#This Row],[product]],Ref[#All],7,FALSE)</f>
        <v>Flour</v>
      </c>
      <c r="E50" s="28" t="s">
        <v>36</v>
      </c>
      <c r="F50" t="str">
        <f>VLOOKUP(Table2[[#This Row],[product]],Ref[#All],2,FALSE)</f>
        <v>Flour Import Elngm 25Kg</v>
      </c>
      <c r="G50" t="str">
        <f>VLOOKUP(Table2[[#This Row],[product]],Ref[#All],3,FALSE)</f>
        <v>Flour Al-Nagm (Imported)</v>
      </c>
      <c r="H50" t="str">
        <f>VLOOKUP(Table2[[#This Row],[product]],Ref[#All],4,FALSE)</f>
        <v>Import</v>
      </c>
      <c r="I50" s="1">
        <v>45869</v>
      </c>
      <c r="J50" t="s">
        <v>53</v>
      </c>
      <c r="K50" t="s">
        <v>1462</v>
      </c>
      <c r="L50" t="s">
        <v>2533</v>
      </c>
      <c r="M50" t="s">
        <v>1586</v>
      </c>
      <c r="N50" t="s">
        <v>784</v>
      </c>
      <c r="O50" t="s">
        <v>1680</v>
      </c>
      <c r="P50" t="s">
        <v>788</v>
      </c>
      <c r="Q50" t="s">
        <v>2213</v>
      </c>
      <c r="R50">
        <v>-24</v>
      </c>
      <c r="S50" s="15">
        <f>Table2[[#This Row],[movement_quantity]]/VLOOKUP(Table2[[#This Row],[product]],Ref[#All],5,FALSE)</f>
        <v>-0.6</v>
      </c>
      <c r="T50">
        <v>28919.106970000001</v>
      </c>
      <c r="U50" t="s">
        <v>17</v>
      </c>
      <c r="V50" t="s">
        <v>23</v>
      </c>
      <c r="W50" t="s">
        <v>2404</v>
      </c>
      <c r="X50" t="s">
        <v>17</v>
      </c>
      <c r="Y50" s="2" t="s">
        <v>1289</v>
      </c>
      <c r="Z50">
        <v>0</v>
      </c>
      <c r="AA50" s="2">
        <v>-694058.56728000008</v>
      </c>
      <c r="AB50" t="str">
        <f>VLOOKUP(Table2[[#This Row],[product]],Ref[#All],6,FALSE)</f>
        <v>BAG25</v>
      </c>
    </row>
    <row r="51" spans="1:28" x14ac:dyDescent="0.25">
      <c r="A51" t="str">
        <f>TEXT(Table2[[#This Row],[dated]],"mmm")</f>
        <v>Jul</v>
      </c>
      <c r="B51" s="28" t="s">
        <v>20</v>
      </c>
      <c r="C51" s="1" t="s">
        <v>1611</v>
      </c>
      <c r="D51" t="str">
        <f>VLOOKUP(Table2[[#This Row],[product]],Ref[#All],7,FALSE)</f>
        <v>Flour</v>
      </c>
      <c r="E51" s="28" t="s">
        <v>36</v>
      </c>
      <c r="F51" t="str">
        <f>VLOOKUP(Table2[[#This Row],[product]],Ref[#All],2,FALSE)</f>
        <v>Flour Import Elngm 25Kg</v>
      </c>
      <c r="G51" t="str">
        <f>VLOOKUP(Table2[[#This Row],[product]],Ref[#All],3,FALSE)</f>
        <v>Flour Al-Nagm (Imported)</v>
      </c>
      <c r="H51" t="str">
        <f>VLOOKUP(Table2[[#This Row],[product]],Ref[#All],4,FALSE)</f>
        <v>Import</v>
      </c>
      <c r="I51" s="1">
        <v>45869</v>
      </c>
      <c r="J51" t="s">
        <v>53</v>
      </c>
      <c r="K51" t="s">
        <v>1462</v>
      </c>
      <c r="L51" t="s">
        <v>2533</v>
      </c>
      <c r="M51" t="s">
        <v>1586</v>
      </c>
      <c r="N51" t="s">
        <v>784</v>
      </c>
      <c r="O51" t="s">
        <v>1680</v>
      </c>
      <c r="P51" t="s">
        <v>788</v>
      </c>
      <c r="Q51" t="s">
        <v>2213</v>
      </c>
      <c r="R51">
        <v>-28</v>
      </c>
      <c r="S51" s="15">
        <f>Table2[[#This Row],[movement_quantity]]/VLOOKUP(Table2[[#This Row],[product]],Ref[#All],5,FALSE)</f>
        <v>-0.7</v>
      </c>
      <c r="T51">
        <v>28919.106970000001</v>
      </c>
      <c r="U51" t="s">
        <v>17</v>
      </c>
      <c r="V51" t="s">
        <v>24</v>
      </c>
      <c r="W51" t="s">
        <v>2404</v>
      </c>
      <c r="X51" t="s">
        <v>17</v>
      </c>
      <c r="Y51" s="2" t="s">
        <v>1289</v>
      </c>
      <c r="Z51">
        <v>0</v>
      </c>
      <c r="AA51" s="2">
        <v>-809734.99516000005</v>
      </c>
      <c r="AB51" t="str">
        <f>VLOOKUP(Table2[[#This Row],[product]],Ref[#All],6,FALSE)</f>
        <v>BAG25</v>
      </c>
    </row>
    <row r="52" spans="1:28" x14ac:dyDescent="0.25">
      <c r="A52" t="str">
        <f>TEXT(Table2[[#This Row],[dated]],"mmm")</f>
        <v>Jul</v>
      </c>
      <c r="B52" s="28" t="s">
        <v>20</v>
      </c>
      <c r="C52" s="1" t="s">
        <v>1611</v>
      </c>
      <c r="D52" t="str">
        <f>VLOOKUP(Table2[[#This Row],[product]],Ref[#All],7,FALSE)</f>
        <v>Flour</v>
      </c>
      <c r="E52" s="28" t="s">
        <v>36</v>
      </c>
      <c r="F52" t="str">
        <f>VLOOKUP(Table2[[#This Row],[product]],Ref[#All],2,FALSE)</f>
        <v>Flour Import Elngm 25Kg</v>
      </c>
      <c r="G52" t="str">
        <f>VLOOKUP(Table2[[#This Row],[product]],Ref[#All],3,FALSE)</f>
        <v>Flour Al-Nagm (Imported)</v>
      </c>
      <c r="H52" t="str">
        <f>VLOOKUP(Table2[[#This Row],[product]],Ref[#All],4,FALSE)</f>
        <v>Import</v>
      </c>
      <c r="I52" s="1">
        <v>45869</v>
      </c>
      <c r="J52" t="s">
        <v>53</v>
      </c>
      <c r="K52" t="s">
        <v>2304</v>
      </c>
      <c r="L52" t="s">
        <v>2533</v>
      </c>
      <c r="M52" t="s">
        <v>1586</v>
      </c>
      <c r="N52" t="s">
        <v>784</v>
      </c>
      <c r="O52" t="s">
        <v>1680</v>
      </c>
      <c r="P52" t="s">
        <v>788</v>
      </c>
      <c r="Q52" t="s">
        <v>2213</v>
      </c>
      <c r="R52">
        <v>-1</v>
      </c>
      <c r="S52" s="15">
        <f>Table2[[#This Row],[movement_quantity]]/VLOOKUP(Table2[[#This Row],[product]],Ref[#All],5,FALSE)</f>
        <v>-2.5000000000000001E-2</v>
      </c>
      <c r="T52">
        <v>28919.106970000001</v>
      </c>
      <c r="U52" t="s">
        <v>17</v>
      </c>
      <c r="V52" t="s">
        <v>25</v>
      </c>
      <c r="W52" t="s">
        <v>2405</v>
      </c>
      <c r="X52" t="s">
        <v>17</v>
      </c>
      <c r="Y52" s="2" t="s">
        <v>1289</v>
      </c>
      <c r="Z52">
        <v>0</v>
      </c>
      <c r="AA52" s="2">
        <v>-28919.106970000001</v>
      </c>
      <c r="AB52" t="str">
        <f>VLOOKUP(Table2[[#This Row],[product]],Ref[#All],6,FALSE)</f>
        <v>BAG25</v>
      </c>
    </row>
    <row r="53" spans="1:28" x14ac:dyDescent="0.25">
      <c r="A53" t="str">
        <f>TEXT(Table2[[#This Row],[dated]],"mmm")</f>
        <v>Jul</v>
      </c>
      <c r="B53" s="28" t="s">
        <v>20</v>
      </c>
      <c r="C53" s="1" t="s">
        <v>1611</v>
      </c>
      <c r="D53" t="str">
        <f>VLOOKUP(Table2[[#This Row],[product]],Ref[#All],7,FALSE)</f>
        <v>Flour</v>
      </c>
      <c r="E53" s="28" t="s">
        <v>36</v>
      </c>
      <c r="F53" t="str">
        <f>VLOOKUP(Table2[[#This Row],[product]],Ref[#All],2,FALSE)</f>
        <v>Flour Import Elngm 25Kg</v>
      </c>
      <c r="G53" t="str">
        <f>VLOOKUP(Table2[[#This Row],[product]],Ref[#All],3,FALSE)</f>
        <v>Flour Al-Nagm (Imported)</v>
      </c>
      <c r="H53" t="str">
        <f>VLOOKUP(Table2[[#This Row],[product]],Ref[#All],4,FALSE)</f>
        <v>Import</v>
      </c>
      <c r="I53" s="1">
        <v>45869</v>
      </c>
      <c r="J53" t="s">
        <v>53</v>
      </c>
      <c r="K53" t="s">
        <v>2305</v>
      </c>
      <c r="L53" t="s">
        <v>2533</v>
      </c>
      <c r="M53" t="s">
        <v>1586</v>
      </c>
      <c r="N53" t="s">
        <v>784</v>
      </c>
      <c r="O53" t="s">
        <v>1680</v>
      </c>
      <c r="P53" t="s">
        <v>788</v>
      </c>
      <c r="Q53" t="s">
        <v>2213</v>
      </c>
      <c r="R53">
        <v>-28</v>
      </c>
      <c r="S53" s="15">
        <f>Table2[[#This Row],[movement_quantity]]/VLOOKUP(Table2[[#This Row],[product]],Ref[#All],5,FALSE)</f>
        <v>-0.7</v>
      </c>
      <c r="T53">
        <v>28919.106970000001</v>
      </c>
      <c r="U53" t="s">
        <v>17</v>
      </c>
      <c r="V53" t="s">
        <v>26</v>
      </c>
      <c r="W53" t="s">
        <v>2406</v>
      </c>
      <c r="X53" t="s">
        <v>17</v>
      </c>
      <c r="Y53" s="2" t="s">
        <v>1289</v>
      </c>
      <c r="Z53">
        <v>0</v>
      </c>
      <c r="AA53" s="2">
        <v>-809734.99516000005</v>
      </c>
      <c r="AB53" t="str">
        <f>VLOOKUP(Table2[[#This Row],[product]],Ref[#All],6,FALSE)</f>
        <v>BAG25</v>
      </c>
    </row>
    <row r="54" spans="1:28" x14ac:dyDescent="0.25">
      <c r="A54" t="str">
        <f>TEXT(Table2[[#This Row],[dated]],"mmm")</f>
        <v>Jun</v>
      </c>
      <c r="B54" t="s">
        <v>811</v>
      </c>
      <c r="C54" s="1" t="s">
        <v>2728</v>
      </c>
      <c r="D54" t="str">
        <f>VLOOKUP(Table2[[#This Row],[product]],Ref[#All],7,FALSE)</f>
        <v>Sugar</v>
      </c>
      <c r="E54" s="1" t="s">
        <v>761</v>
      </c>
      <c r="F54" t="str">
        <f>VLOOKUP(Table2[[#This Row],[product]],Ref[#All],2,FALSE)</f>
        <v>White Crystal Sugar</v>
      </c>
      <c r="G54" t="str">
        <f>VLOOKUP(Table2[[#This Row],[product]],Ref[#All],3,FALSE)</f>
        <v>White Crystal Sugar</v>
      </c>
      <c r="H54" t="str">
        <f>VLOOKUP(Table2[[#This Row],[product]],Ref[#All],4,FALSE)</f>
        <v>Import</v>
      </c>
      <c r="I54" s="1">
        <v>45823</v>
      </c>
      <c r="J54" t="s">
        <v>53</v>
      </c>
      <c r="K54" t="s">
        <v>1551</v>
      </c>
      <c r="L54" t="s">
        <v>1612</v>
      </c>
      <c r="M54" t="s">
        <v>1586</v>
      </c>
      <c r="N54" t="s">
        <v>784</v>
      </c>
      <c r="O54" t="s">
        <v>1586</v>
      </c>
      <c r="P54" t="s">
        <v>788</v>
      </c>
      <c r="Q54" t="s">
        <v>55</v>
      </c>
      <c r="R54">
        <v>-65</v>
      </c>
      <c r="S54" s="15">
        <f>Table2[[#This Row],[movement_quantity]]/VLOOKUP(Table2[[#This Row],[product]],Ref[#All],5,FALSE)</f>
        <v>-3.25</v>
      </c>
      <c r="T54">
        <v>83521.151800000007</v>
      </c>
      <c r="U54" t="s">
        <v>17</v>
      </c>
      <c r="V54" t="s">
        <v>18</v>
      </c>
      <c r="W54" t="s">
        <v>1552</v>
      </c>
      <c r="X54" t="s">
        <v>17</v>
      </c>
      <c r="Y54" t="s">
        <v>1553</v>
      </c>
      <c r="Z54" s="2">
        <v>0</v>
      </c>
      <c r="AA54" s="2">
        <v>-5428874.8670000006</v>
      </c>
      <c r="AB54" t="str">
        <f>VLOOKUP(Table2[[#This Row],[product]],Ref[#All],6,FALSE)</f>
        <v>BAG50</v>
      </c>
    </row>
    <row r="55" spans="1:28" x14ac:dyDescent="0.25">
      <c r="A55" t="str">
        <f>TEXT(Table2[[#This Row],[dated]],"mmm")</f>
        <v>May</v>
      </c>
      <c r="B55" t="s">
        <v>861</v>
      </c>
      <c r="C55" s="1" t="s">
        <v>2728</v>
      </c>
      <c r="D55" t="str">
        <f>VLOOKUP(Table2[[#This Row],[product]],Ref[#All],7,FALSE)</f>
        <v>Rice</v>
      </c>
      <c r="E55" s="1" t="s">
        <v>45</v>
      </c>
      <c r="F55" t="str">
        <f>VLOOKUP(Table2[[#This Row],[product]],Ref[#All],2,FALSE)</f>
        <v>Rice Short Grain Elngm 25Kg</v>
      </c>
      <c r="G55" t="str">
        <f>VLOOKUP(Table2[[#This Row],[product]],Ref[#All],3,FALSE)</f>
        <v>Rice Short Grain</v>
      </c>
      <c r="H55" t="str">
        <f>VLOOKUP(Table2[[#This Row],[product]],Ref[#All],4,FALSE)</f>
        <v>Import</v>
      </c>
      <c r="I55" s="1">
        <v>45782</v>
      </c>
      <c r="J55" t="s">
        <v>53</v>
      </c>
      <c r="K55" t="s">
        <v>862</v>
      </c>
      <c r="L55" t="s">
        <v>1661</v>
      </c>
      <c r="M55" t="s">
        <v>1586</v>
      </c>
      <c r="N55" t="s">
        <v>784</v>
      </c>
      <c r="O55" t="s">
        <v>785</v>
      </c>
      <c r="P55" t="s">
        <v>788</v>
      </c>
      <c r="Q55" t="s">
        <v>55</v>
      </c>
      <c r="R55">
        <v>-4</v>
      </c>
      <c r="S55" s="15">
        <f>Table2[[#This Row],[movement_quantity]]/VLOOKUP(Table2[[#This Row],[product]],Ref[#All],5,FALSE)</f>
        <v>-0.1</v>
      </c>
      <c r="T55">
        <v>50476.383040000001</v>
      </c>
      <c r="U55" t="s">
        <v>17</v>
      </c>
      <c r="V55" t="s">
        <v>18</v>
      </c>
      <c r="W55" t="s">
        <v>863</v>
      </c>
      <c r="X55" t="s">
        <v>17</v>
      </c>
      <c r="Y55" t="s">
        <v>145</v>
      </c>
      <c r="Z55">
        <v>0</v>
      </c>
      <c r="AA55" s="2">
        <v>-201905.53216</v>
      </c>
      <c r="AB55" t="str">
        <f>VLOOKUP(Table2[[#This Row],[product]],Ref[#All],6,FALSE)</f>
        <v>BAG25</v>
      </c>
    </row>
    <row r="56" spans="1:28" x14ac:dyDescent="0.25">
      <c r="A56" t="str">
        <f>TEXT(Table2[[#This Row],[dated]],"mmm")</f>
        <v>May</v>
      </c>
      <c r="B56" t="s">
        <v>861</v>
      </c>
      <c r="C56" s="1" t="s">
        <v>2728</v>
      </c>
      <c r="D56" t="str">
        <f>VLOOKUP(Table2[[#This Row],[product]],Ref[#All],7,FALSE)</f>
        <v>Rice</v>
      </c>
      <c r="E56" s="1" t="s">
        <v>45</v>
      </c>
      <c r="F56" t="str">
        <f>VLOOKUP(Table2[[#This Row],[product]],Ref[#All],2,FALSE)</f>
        <v>Rice Short Grain Elngm 25Kg</v>
      </c>
      <c r="G56" t="str">
        <f>VLOOKUP(Table2[[#This Row],[product]],Ref[#All],3,FALSE)</f>
        <v>Rice Short Grain</v>
      </c>
      <c r="H56" t="str">
        <f>VLOOKUP(Table2[[#This Row],[product]],Ref[#All],4,FALSE)</f>
        <v>Import</v>
      </c>
      <c r="I56" s="1">
        <v>45782</v>
      </c>
      <c r="J56" t="s">
        <v>53</v>
      </c>
      <c r="K56" t="s">
        <v>866</v>
      </c>
      <c r="L56" t="s">
        <v>1661</v>
      </c>
      <c r="M56" t="s">
        <v>1586</v>
      </c>
      <c r="N56" t="s">
        <v>784</v>
      </c>
      <c r="O56" t="s">
        <v>785</v>
      </c>
      <c r="P56" t="s">
        <v>788</v>
      </c>
      <c r="Q56" t="s">
        <v>55</v>
      </c>
      <c r="R56">
        <v>-169</v>
      </c>
      <c r="S56" s="15">
        <f>Table2[[#This Row],[movement_quantity]]/VLOOKUP(Table2[[#This Row],[product]],Ref[#All],5,FALSE)</f>
        <v>-4.2249999999999996</v>
      </c>
      <c r="T56">
        <v>50476.383040000001</v>
      </c>
      <c r="U56" t="s">
        <v>17</v>
      </c>
      <c r="V56" t="s">
        <v>22</v>
      </c>
      <c r="W56" t="s">
        <v>867</v>
      </c>
      <c r="X56" t="s">
        <v>17</v>
      </c>
      <c r="Y56" t="s">
        <v>145</v>
      </c>
      <c r="Z56">
        <v>0</v>
      </c>
      <c r="AA56" s="2">
        <v>-8530508.7337599993</v>
      </c>
      <c r="AB56" t="str">
        <f>VLOOKUP(Table2[[#This Row],[product]],Ref[#All],6,FALSE)</f>
        <v>BAG25</v>
      </c>
    </row>
    <row r="57" spans="1:28" x14ac:dyDescent="0.25">
      <c r="A57" t="str">
        <f>TEXT(Table2[[#This Row],[dated]],"mmm")</f>
        <v>May</v>
      </c>
      <c r="B57" t="s">
        <v>861</v>
      </c>
      <c r="C57" s="1" t="s">
        <v>2728</v>
      </c>
      <c r="D57" t="str">
        <f>VLOOKUP(Table2[[#This Row],[product]],Ref[#All],7,FALSE)</f>
        <v>Rice</v>
      </c>
      <c r="E57" s="1" t="s">
        <v>45</v>
      </c>
      <c r="F57" t="str">
        <f>VLOOKUP(Table2[[#This Row],[product]],Ref[#All],2,FALSE)</f>
        <v>Rice Short Grain Elngm 25Kg</v>
      </c>
      <c r="G57" t="str">
        <f>VLOOKUP(Table2[[#This Row],[product]],Ref[#All],3,FALSE)</f>
        <v>Rice Short Grain</v>
      </c>
      <c r="H57" t="str">
        <f>VLOOKUP(Table2[[#This Row],[product]],Ref[#All],4,FALSE)</f>
        <v>Import</v>
      </c>
      <c r="I57" s="1">
        <v>45782</v>
      </c>
      <c r="J57" t="s">
        <v>53</v>
      </c>
      <c r="K57" t="s">
        <v>872</v>
      </c>
      <c r="L57" t="s">
        <v>1659</v>
      </c>
      <c r="M57" t="s">
        <v>1586</v>
      </c>
      <c r="N57" t="s">
        <v>784</v>
      </c>
      <c r="O57" t="s">
        <v>786</v>
      </c>
      <c r="P57" t="s">
        <v>1598</v>
      </c>
      <c r="Q57" t="s">
        <v>55</v>
      </c>
      <c r="R57">
        <v>-108</v>
      </c>
      <c r="S57" s="15">
        <f>Table2[[#This Row],[movement_quantity]]/VLOOKUP(Table2[[#This Row],[product]],Ref[#All],5,FALSE)</f>
        <v>-2.7</v>
      </c>
      <c r="T57">
        <v>50476.383040000001</v>
      </c>
      <c r="U57" t="s">
        <v>17</v>
      </c>
      <c r="V57" t="s">
        <v>23</v>
      </c>
      <c r="W57" t="s">
        <v>873</v>
      </c>
      <c r="X57" t="s">
        <v>17</v>
      </c>
      <c r="Y57" t="s">
        <v>145</v>
      </c>
      <c r="Z57">
        <v>0</v>
      </c>
      <c r="AA57" s="2">
        <v>-5451449.3683200004</v>
      </c>
      <c r="AB57" t="str">
        <f>VLOOKUP(Table2[[#This Row],[product]],Ref[#All],6,FALSE)</f>
        <v>BAG25</v>
      </c>
    </row>
    <row r="58" spans="1:28" x14ac:dyDescent="0.25">
      <c r="A58" t="str">
        <f>TEXT(Table2[[#This Row],[dated]],"mmm")</f>
        <v>May</v>
      </c>
      <c r="B58" t="s">
        <v>811</v>
      </c>
      <c r="C58" s="1" t="s">
        <v>2728</v>
      </c>
      <c r="D58" t="str">
        <f>VLOOKUP(Table2[[#This Row],[product]],Ref[#All],7,FALSE)</f>
        <v>Rice</v>
      </c>
      <c r="E58" s="1" t="s">
        <v>45</v>
      </c>
      <c r="F58" t="str">
        <f>VLOOKUP(Table2[[#This Row],[product]],Ref[#All],2,FALSE)</f>
        <v>Rice Short Grain Elngm 25Kg</v>
      </c>
      <c r="G58" t="str">
        <f>VLOOKUP(Table2[[#This Row],[product]],Ref[#All],3,FALSE)</f>
        <v>Rice Short Grain</v>
      </c>
      <c r="H58" t="str">
        <f>VLOOKUP(Table2[[#This Row],[product]],Ref[#All],4,FALSE)</f>
        <v>Import</v>
      </c>
      <c r="I58" s="1">
        <v>45782</v>
      </c>
      <c r="J58" t="s">
        <v>53</v>
      </c>
      <c r="K58" t="s">
        <v>847</v>
      </c>
      <c r="L58" t="s">
        <v>1928</v>
      </c>
      <c r="M58" t="s">
        <v>1586</v>
      </c>
      <c r="N58" t="s">
        <v>784</v>
      </c>
      <c r="O58" t="s">
        <v>1586</v>
      </c>
      <c r="P58" t="s">
        <v>788</v>
      </c>
      <c r="Q58" t="s">
        <v>55</v>
      </c>
      <c r="R58">
        <v>-3</v>
      </c>
      <c r="S58" s="15">
        <f>Table2[[#This Row],[movement_quantity]]/VLOOKUP(Table2[[#This Row],[product]],Ref[#All],5,FALSE)</f>
        <v>-7.4999999999999997E-2</v>
      </c>
      <c r="T58">
        <v>50476.383040000001</v>
      </c>
      <c r="U58" t="s">
        <v>17</v>
      </c>
      <c r="V58" t="s">
        <v>18</v>
      </c>
      <c r="W58" t="s">
        <v>848</v>
      </c>
      <c r="X58" t="s">
        <v>17</v>
      </c>
      <c r="Y58" t="s">
        <v>849</v>
      </c>
      <c r="Z58">
        <v>0</v>
      </c>
      <c r="AA58" s="2">
        <v>-151429.14912000002</v>
      </c>
      <c r="AB58" t="str">
        <f>VLOOKUP(Table2[[#This Row],[product]],Ref[#All],6,FALSE)</f>
        <v>BAG25</v>
      </c>
    </row>
    <row r="59" spans="1:28" x14ac:dyDescent="0.25">
      <c r="A59" t="str">
        <f>TEXT(Table2[[#This Row],[dated]],"mmm")</f>
        <v>May</v>
      </c>
      <c r="B59" t="s">
        <v>850</v>
      </c>
      <c r="C59" s="1" t="s">
        <v>2728</v>
      </c>
      <c r="D59" t="str">
        <f>VLOOKUP(Table2[[#This Row],[product]],Ref[#All],7,FALSE)</f>
        <v>Rice</v>
      </c>
      <c r="E59" s="1" t="s">
        <v>45</v>
      </c>
      <c r="F59" t="str">
        <f>VLOOKUP(Table2[[#This Row],[product]],Ref[#All],2,FALSE)</f>
        <v>Rice Short Grain Elngm 25Kg</v>
      </c>
      <c r="G59" t="str">
        <f>VLOOKUP(Table2[[#This Row],[product]],Ref[#All],3,FALSE)</f>
        <v>Rice Short Grain</v>
      </c>
      <c r="H59" t="str">
        <f>VLOOKUP(Table2[[#This Row],[product]],Ref[#All],4,FALSE)</f>
        <v>Import</v>
      </c>
      <c r="I59" s="1">
        <v>45782</v>
      </c>
      <c r="J59" t="s">
        <v>53</v>
      </c>
      <c r="K59" t="s">
        <v>851</v>
      </c>
      <c r="L59" t="s">
        <v>1928</v>
      </c>
      <c r="M59" t="s">
        <v>1586</v>
      </c>
      <c r="N59" t="s">
        <v>784</v>
      </c>
      <c r="O59" t="s">
        <v>1586</v>
      </c>
      <c r="P59" t="s">
        <v>788</v>
      </c>
      <c r="Q59" t="s">
        <v>55</v>
      </c>
      <c r="R59">
        <v>-77</v>
      </c>
      <c r="S59" s="15">
        <f>Table2[[#This Row],[movement_quantity]]/VLOOKUP(Table2[[#This Row],[product]],Ref[#All],5,FALSE)</f>
        <v>-1.925</v>
      </c>
      <c r="T59">
        <v>50476.383040000001</v>
      </c>
      <c r="U59" t="s">
        <v>17</v>
      </c>
      <c r="V59" t="s">
        <v>18</v>
      </c>
      <c r="W59" t="s">
        <v>852</v>
      </c>
      <c r="X59" t="s">
        <v>17</v>
      </c>
      <c r="Y59" t="s">
        <v>849</v>
      </c>
      <c r="Z59">
        <v>0</v>
      </c>
      <c r="AA59" s="2">
        <v>-3886681.4940800001</v>
      </c>
      <c r="AB59" t="str">
        <f>VLOOKUP(Table2[[#This Row],[product]],Ref[#All],6,FALSE)</f>
        <v>BAG25</v>
      </c>
    </row>
    <row r="60" spans="1:28" x14ac:dyDescent="0.25">
      <c r="A60" t="str">
        <f>TEXT(Table2[[#This Row],[dated]],"mmm")</f>
        <v>May</v>
      </c>
      <c r="B60" t="s">
        <v>850</v>
      </c>
      <c r="C60" s="1" t="s">
        <v>2728</v>
      </c>
      <c r="D60" t="str">
        <f>VLOOKUP(Table2[[#This Row],[product]],Ref[#All],7,FALSE)</f>
        <v>Rice</v>
      </c>
      <c r="E60" s="1" t="s">
        <v>341</v>
      </c>
      <c r="F60" t="str">
        <f>VLOOKUP(Table2[[#This Row],[product]],Ref[#All],2,FALSE)</f>
        <v>Rice Damaged 25KG</v>
      </c>
      <c r="G60" t="str">
        <f>VLOOKUP(Table2[[#This Row],[product]],Ref[#All],3,FALSE)</f>
        <v>Rice - Damaged</v>
      </c>
      <c r="H60" t="str">
        <f>VLOOKUP(Table2[[#This Row],[product]],Ref[#All],4,FALSE)</f>
        <v>Import</v>
      </c>
      <c r="I60" s="1">
        <v>45784</v>
      </c>
      <c r="J60" t="s">
        <v>127</v>
      </c>
      <c r="K60" t="s">
        <v>851</v>
      </c>
      <c r="L60" t="s">
        <v>1928</v>
      </c>
      <c r="M60" t="s">
        <v>1593</v>
      </c>
      <c r="N60" t="s">
        <v>784</v>
      </c>
      <c r="O60" t="s">
        <v>1586</v>
      </c>
      <c r="P60" t="s">
        <v>788</v>
      </c>
      <c r="Q60" t="s">
        <v>55</v>
      </c>
      <c r="R60">
        <v>77</v>
      </c>
      <c r="S60" s="15">
        <f>Table2[[#This Row],[movement_quantity]]/VLOOKUP(Table2[[#This Row],[product]],Ref[#All],5,FALSE)</f>
        <v>1.925</v>
      </c>
      <c r="T60">
        <v>0</v>
      </c>
      <c r="U60" t="s">
        <v>892</v>
      </c>
      <c r="V60" t="s">
        <v>18</v>
      </c>
      <c r="W60" t="s">
        <v>893</v>
      </c>
      <c r="X60" t="s">
        <v>894</v>
      </c>
      <c r="Y60" t="s">
        <v>17</v>
      </c>
      <c r="Z60">
        <v>0</v>
      </c>
      <c r="AA60" s="2">
        <v>0</v>
      </c>
      <c r="AB60" t="str">
        <f>VLOOKUP(Table2[[#This Row],[product]],Ref[#All],6,FALSE)</f>
        <v>BAG25</v>
      </c>
    </row>
    <row r="61" spans="1:28" x14ac:dyDescent="0.25">
      <c r="A61" t="str">
        <f>TEXT(Table2[[#This Row],[dated]],"mmm")</f>
        <v>May</v>
      </c>
      <c r="B61" t="s">
        <v>861</v>
      </c>
      <c r="C61" s="1" t="s">
        <v>2728</v>
      </c>
      <c r="D61" t="str">
        <f>VLOOKUP(Table2[[#This Row],[product]],Ref[#All],7,FALSE)</f>
        <v>Rice</v>
      </c>
      <c r="E61" s="1" t="s">
        <v>45</v>
      </c>
      <c r="F61" t="str">
        <f>VLOOKUP(Table2[[#This Row],[product]],Ref[#All],2,FALSE)</f>
        <v>Rice Short Grain Elngm 25Kg</v>
      </c>
      <c r="G61" t="str">
        <f>VLOOKUP(Table2[[#This Row],[product]],Ref[#All],3,FALSE)</f>
        <v>Rice Short Grain</v>
      </c>
      <c r="H61" t="str">
        <f>VLOOKUP(Table2[[#This Row],[product]],Ref[#All],4,FALSE)</f>
        <v>Import</v>
      </c>
      <c r="I61" s="1">
        <v>45782</v>
      </c>
      <c r="J61" t="s">
        <v>53</v>
      </c>
      <c r="K61" t="s">
        <v>878</v>
      </c>
      <c r="L61" t="s">
        <v>1660</v>
      </c>
      <c r="M61" t="s">
        <v>1586</v>
      </c>
      <c r="N61" t="s">
        <v>784</v>
      </c>
      <c r="O61" t="s">
        <v>785</v>
      </c>
      <c r="P61" t="s">
        <v>788</v>
      </c>
      <c r="Q61" t="s">
        <v>55</v>
      </c>
      <c r="R61">
        <v>-4</v>
      </c>
      <c r="S61" s="15">
        <f>Table2[[#This Row],[movement_quantity]]/VLOOKUP(Table2[[#This Row],[product]],Ref[#All],5,FALSE)</f>
        <v>-0.1</v>
      </c>
      <c r="T61">
        <v>50476.383040000001</v>
      </c>
      <c r="U61" t="s">
        <v>17</v>
      </c>
      <c r="V61" t="s">
        <v>26</v>
      </c>
      <c r="W61" t="s">
        <v>879</v>
      </c>
      <c r="X61" t="s">
        <v>17</v>
      </c>
      <c r="Y61" t="s">
        <v>145</v>
      </c>
      <c r="Z61">
        <v>0</v>
      </c>
      <c r="AA61" s="2">
        <v>-201905.53216</v>
      </c>
      <c r="AB61" t="str">
        <f>VLOOKUP(Table2[[#This Row],[product]],Ref[#All],6,FALSE)</f>
        <v>BAG25</v>
      </c>
    </row>
    <row r="62" spans="1:28" x14ac:dyDescent="0.25">
      <c r="A62" t="str">
        <f>TEXT(Table2[[#This Row],[dated]],"mmm")</f>
        <v>May</v>
      </c>
      <c r="B62" t="s">
        <v>861</v>
      </c>
      <c r="C62" s="1" t="s">
        <v>2728</v>
      </c>
      <c r="D62" t="str">
        <f>VLOOKUP(Table2[[#This Row],[product]],Ref[#All],7,FALSE)</f>
        <v>Rice</v>
      </c>
      <c r="E62" s="1" t="s">
        <v>45</v>
      </c>
      <c r="F62" t="str">
        <f>VLOOKUP(Table2[[#This Row],[product]],Ref[#All],2,FALSE)</f>
        <v>Rice Short Grain Elngm 25Kg</v>
      </c>
      <c r="G62" t="str">
        <f>VLOOKUP(Table2[[#This Row],[product]],Ref[#All],3,FALSE)</f>
        <v>Rice Short Grain</v>
      </c>
      <c r="H62" t="str">
        <f>VLOOKUP(Table2[[#This Row],[product]],Ref[#All],4,FALSE)</f>
        <v>Import</v>
      </c>
      <c r="I62" s="1">
        <v>45782</v>
      </c>
      <c r="J62" t="s">
        <v>53</v>
      </c>
      <c r="K62" t="s">
        <v>876</v>
      </c>
      <c r="L62" t="s">
        <v>1660</v>
      </c>
      <c r="M62" t="s">
        <v>1586</v>
      </c>
      <c r="N62" t="s">
        <v>784</v>
      </c>
      <c r="O62" t="s">
        <v>785</v>
      </c>
      <c r="P62" t="s">
        <v>788</v>
      </c>
      <c r="Q62" t="s">
        <v>55</v>
      </c>
      <c r="R62">
        <v>-114</v>
      </c>
      <c r="S62" s="15">
        <f>Table2[[#This Row],[movement_quantity]]/VLOOKUP(Table2[[#This Row],[product]],Ref[#All],5,FALSE)</f>
        <v>-2.85</v>
      </c>
      <c r="T62">
        <v>50476.383040000001</v>
      </c>
      <c r="U62" t="s">
        <v>17</v>
      </c>
      <c r="V62" t="s">
        <v>25</v>
      </c>
      <c r="W62" t="s">
        <v>877</v>
      </c>
      <c r="X62" t="s">
        <v>17</v>
      </c>
      <c r="Y62" t="s">
        <v>145</v>
      </c>
      <c r="Z62">
        <v>0</v>
      </c>
      <c r="AA62" s="2">
        <v>-5754307.6665599998</v>
      </c>
      <c r="AB62" t="str">
        <f>VLOOKUP(Table2[[#This Row],[product]],Ref[#All],6,FALSE)</f>
        <v>BAG25</v>
      </c>
    </row>
    <row r="63" spans="1:28" x14ac:dyDescent="0.25">
      <c r="A63" t="str">
        <f>TEXT(Table2[[#This Row],[dated]],"mmm")</f>
        <v>May</v>
      </c>
      <c r="B63" t="s">
        <v>861</v>
      </c>
      <c r="C63" s="1" t="s">
        <v>2728</v>
      </c>
      <c r="D63" t="str">
        <f>VLOOKUP(Table2[[#This Row],[product]],Ref[#All],7,FALSE)</f>
        <v>Rice</v>
      </c>
      <c r="E63" s="1" t="s">
        <v>45</v>
      </c>
      <c r="F63" t="str">
        <f>VLOOKUP(Table2[[#This Row],[product]],Ref[#All],2,FALSE)</f>
        <v>Rice Short Grain Elngm 25Kg</v>
      </c>
      <c r="G63" t="str">
        <f>VLOOKUP(Table2[[#This Row],[product]],Ref[#All],3,FALSE)</f>
        <v>Rice Short Grain</v>
      </c>
      <c r="H63" t="str">
        <f>VLOOKUP(Table2[[#This Row],[product]],Ref[#All],4,FALSE)</f>
        <v>Import</v>
      </c>
      <c r="I63" s="1">
        <v>45782</v>
      </c>
      <c r="J63" t="s">
        <v>53</v>
      </c>
      <c r="K63" t="s">
        <v>880</v>
      </c>
      <c r="L63" t="s">
        <v>1660</v>
      </c>
      <c r="M63" t="s">
        <v>1586</v>
      </c>
      <c r="N63" t="s">
        <v>784</v>
      </c>
      <c r="O63" t="s">
        <v>785</v>
      </c>
      <c r="P63" t="s">
        <v>788</v>
      </c>
      <c r="Q63" t="s">
        <v>55</v>
      </c>
      <c r="R63">
        <v>-161</v>
      </c>
      <c r="S63" s="15">
        <f>Table2[[#This Row],[movement_quantity]]/VLOOKUP(Table2[[#This Row],[product]],Ref[#All],5,FALSE)</f>
        <v>-4.0250000000000004</v>
      </c>
      <c r="T63">
        <v>50476.383040000001</v>
      </c>
      <c r="U63" t="s">
        <v>17</v>
      </c>
      <c r="V63" t="s">
        <v>27</v>
      </c>
      <c r="W63" t="s">
        <v>881</v>
      </c>
      <c r="X63" t="s">
        <v>17</v>
      </c>
      <c r="Y63" t="s">
        <v>145</v>
      </c>
      <c r="Z63">
        <v>0</v>
      </c>
      <c r="AA63" s="2">
        <v>-8126697.6694400003</v>
      </c>
      <c r="AB63" t="str">
        <f>VLOOKUP(Table2[[#This Row],[product]],Ref[#All],6,FALSE)</f>
        <v>BAG25</v>
      </c>
    </row>
    <row r="64" spans="1:28" x14ac:dyDescent="0.25">
      <c r="A64" t="str">
        <f>TEXT(Table2[[#This Row],[dated]],"mmm")</f>
        <v>Feb</v>
      </c>
      <c r="B64" t="s">
        <v>20</v>
      </c>
      <c r="C64" s="1" t="s">
        <v>2728</v>
      </c>
      <c r="D64" t="str">
        <f>VLOOKUP(Table2[[#This Row],[product]],Ref[#All],7,FALSE)</f>
        <v>Rice</v>
      </c>
      <c r="E64" t="s">
        <v>176</v>
      </c>
      <c r="F64" t="str">
        <f>VLOOKUP(Table2[[#This Row],[product]],Ref[#All],2,FALSE)</f>
        <v>Rice Long Grade 1 Elngm 20Kg</v>
      </c>
      <c r="G64" t="str">
        <f>VLOOKUP(Table2[[#This Row],[product]],Ref[#All],3,FALSE)</f>
        <v>Rice Long Grain</v>
      </c>
      <c r="H64" t="str">
        <f>VLOOKUP(Table2[[#This Row],[product]],Ref[#All],4,FALSE)</f>
        <v>Import</v>
      </c>
      <c r="I64" s="1">
        <v>45691</v>
      </c>
      <c r="J64" t="s">
        <v>53</v>
      </c>
      <c r="K64" t="s">
        <v>443</v>
      </c>
      <c r="L64" t="s">
        <v>1662</v>
      </c>
      <c r="M64" t="s">
        <v>1586</v>
      </c>
      <c r="N64" t="s">
        <v>784</v>
      </c>
      <c r="O64" t="s">
        <v>1586</v>
      </c>
      <c r="P64" t="s">
        <v>788</v>
      </c>
      <c r="Q64" t="s">
        <v>55</v>
      </c>
      <c r="R64">
        <v>-1</v>
      </c>
      <c r="S64" s="15">
        <f>Table2[[#This Row],[movement_quantity]]/VLOOKUP(Table2[[#This Row],[product]],Ref[#All],5,FALSE)</f>
        <v>-0.02</v>
      </c>
      <c r="T64">
        <v>34516.97135</v>
      </c>
      <c r="U64" t="s">
        <v>17</v>
      </c>
      <c r="V64" t="s">
        <v>18</v>
      </c>
      <c r="W64" t="s">
        <v>444</v>
      </c>
      <c r="X64" t="s">
        <v>17</v>
      </c>
      <c r="Y64" t="s">
        <v>177</v>
      </c>
      <c r="Z64">
        <v>0</v>
      </c>
      <c r="AA64" s="2">
        <v>-34516.97135</v>
      </c>
      <c r="AB64" t="str">
        <f>VLOOKUP(Table2[[#This Row],[product]],Ref[#All],6,FALSE)</f>
        <v>BAG20</v>
      </c>
    </row>
    <row r="65" spans="1:28" x14ac:dyDescent="0.25">
      <c r="A65" t="str">
        <f>TEXT(Table2[[#This Row],[dated]],"mmm")</f>
        <v>Feb</v>
      </c>
      <c r="B65" t="s">
        <v>20</v>
      </c>
      <c r="C65" s="1" t="s">
        <v>2728</v>
      </c>
      <c r="D65" t="str">
        <f>VLOOKUP(Table2[[#This Row],[product]],Ref[#All],7,FALSE)</f>
        <v>Rice</v>
      </c>
      <c r="E65" t="s">
        <v>176</v>
      </c>
      <c r="F65" t="str">
        <f>VLOOKUP(Table2[[#This Row],[product]],Ref[#All],2,FALSE)</f>
        <v>Rice Long Grade 1 Elngm 20Kg</v>
      </c>
      <c r="G65" t="str">
        <f>VLOOKUP(Table2[[#This Row],[product]],Ref[#All],3,FALSE)</f>
        <v>Rice Long Grain</v>
      </c>
      <c r="H65" t="str">
        <f>VLOOKUP(Table2[[#This Row],[product]],Ref[#All],4,FALSE)</f>
        <v>Import</v>
      </c>
      <c r="I65" s="1">
        <v>45691</v>
      </c>
      <c r="J65" t="s">
        <v>53</v>
      </c>
      <c r="K65" t="s">
        <v>443</v>
      </c>
      <c r="L65" t="s">
        <v>1662</v>
      </c>
      <c r="M65" t="s">
        <v>1586</v>
      </c>
      <c r="N65" t="s">
        <v>784</v>
      </c>
      <c r="O65" t="s">
        <v>1586</v>
      </c>
      <c r="P65" t="s">
        <v>788</v>
      </c>
      <c r="Q65" t="s">
        <v>55</v>
      </c>
      <c r="R65">
        <v>-21</v>
      </c>
      <c r="S65" s="15">
        <f>Table2[[#This Row],[movement_quantity]]/VLOOKUP(Table2[[#This Row],[product]],Ref[#All],5,FALSE)</f>
        <v>-0.42</v>
      </c>
      <c r="T65">
        <v>34516.97135</v>
      </c>
      <c r="U65" t="s">
        <v>17</v>
      </c>
      <c r="V65" t="s">
        <v>21</v>
      </c>
      <c r="W65" t="s">
        <v>444</v>
      </c>
      <c r="X65" t="s">
        <v>17</v>
      </c>
      <c r="Y65" t="s">
        <v>445</v>
      </c>
      <c r="Z65">
        <v>0</v>
      </c>
      <c r="AA65" s="2">
        <v>-724856.39835000003</v>
      </c>
      <c r="AB65" t="str">
        <f>VLOOKUP(Table2[[#This Row],[product]],Ref[#All],6,FALSE)</f>
        <v>BAG20</v>
      </c>
    </row>
    <row r="66" spans="1:28" x14ac:dyDescent="0.25">
      <c r="A66" t="str">
        <f>TEXT(Table2[[#This Row],[dated]],"mmm")</f>
        <v>Feb</v>
      </c>
      <c r="B66" t="s">
        <v>20</v>
      </c>
      <c r="C66" s="1" t="s">
        <v>2728</v>
      </c>
      <c r="D66" t="str">
        <f>VLOOKUP(Table2[[#This Row],[product]],Ref[#All],7,FALSE)</f>
        <v>Rice</v>
      </c>
      <c r="E66" t="s">
        <v>176</v>
      </c>
      <c r="F66" t="str">
        <f>VLOOKUP(Table2[[#This Row],[product]],Ref[#All],2,FALSE)</f>
        <v>Rice Long Grade 1 Elngm 20Kg</v>
      </c>
      <c r="G66" t="str">
        <f>VLOOKUP(Table2[[#This Row],[product]],Ref[#All],3,FALSE)</f>
        <v>Rice Long Grain</v>
      </c>
      <c r="H66" t="str">
        <f>VLOOKUP(Table2[[#This Row],[product]],Ref[#All],4,FALSE)</f>
        <v>Import</v>
      </c>
      <c r="I66" s="1">
        <v>45691</v>
      </c>
      <c r="J66" t="s">
        <v>53</v>
      </c>
      <c r="K66" t="s">
        <v>446</v>
      </c>
      <c r="L66" t="s">
        <v>1662</v>
      </c>
      <c r="M66" t="s">
        <v>1586</v>
      </c>
      <c r="N66" t="s">
        <v>784</v>
      </c>
      <c r="O66" t="s">
        <v>1586</v>
      </c>
      <c r="P66" t="s">
        <v>788</v>
      </c>
      <c r="Q66" t="s">
        <v>55</v>
      </c>
      <c r="R66">
        <v>-11</v>
      </c>
      <c r="S66" s="15">
        <f>Table2[[#This Row],[movement_quantity]]/VLOOKUP(Table2[[#This Row],[product]],Ref[#All],5,FALSE)</f>
        <v>-0.22</v>
      </c>
      <c r="T66">
        <v>34516.97135</v>
      </c>
      <c r="U66" t="s">
        <v>17</v>
      </c>
      <c r="V66" t="s">
        <v>22</v>
      </c>
      <c r="W66" t="s">
        <v>447</v>
      </c>
      <c r="X66" t="s">
        <v>17</v>
      </c>
      <c r="Y66" t="s">
        <v>445</v>
      </c>
      <c r="Z66">
        <v>0</v>
      </c>
      <c r="AA66" s="2">
        <v>-379686.68485000002</v>
      </c>
      <c r="AB66" t="str">
        <f>VLOOKUP(Table2[[#This Row],[product]],Ref[#All],6,FALSE)</f>
        <v>BAG20</v>
      </c>
    </row>
    <row r="67" spans="1:28" x14ac:dyDescent="0.25">
      <c r="A67" t="str">
        <f>TEXT(Table2[[#This Row],[dated]],"mmm")</f>
        <v>Feb</v>
      </c>
      <c r="B67" t="s">
        <v>20</v>
      </c>
      <c r="C67" s="1" t="s">
        <v>2728</v>
      </c>
      <c r="D67" t="str">
        <f>VLOOKUP(Table2[[#This Row],[product]],Ref[#All],7,FALSE)</f>
        <v>Rice</v>
      </c>
      <c r="E67" t="s">
        <v>176</v>
      </c>
      <c r="F67" t="str">
        <f>VLOOKUP(Table2[[#This Row],[product]],Ref[#All],2,FALSE)</f>
        <v>Rice Long Grade 1 Elngm 20Kg</v>
      </c>
      <c r="G67" t="str">
        <f>VLOOKUP(Table2[[#This Row],[product]],Ref[#All],3,FALSE)</f>
        <v>Rice Long Grain</v>
      </c>
      <c r="H67" t="str">
        <f>VLOOKUP(Table2[[#This Row],[product]],Ref[#All],4,FALSE)</f>
        <v>Import</v>
      </c>
      <c r="I67" s="1">
        <v>45691</v>
      </c>
      <c r="J67" t="s">
        <v>53</v>
      </c>
      <c r="K67" t="s">
        <v>448</v>
      </c>
      <c r="L67" t="s">
        <v>1662</v>
      </c>
      <c r="M67" t="s">
        <v>1586</v>
      </c>
      <c r="N67" t="s">
        <v>784</v>
      </c>
      <c r="O67" t="s">
        <v>1586</v>
      </c>
      <c r="P67" t="s">
        <v>788</v>
      </c>
      <c r="Q67" t="s">
        <v>55</v>
      </c>
      <c r="R67">
        <v>-4</v>
      </c>
      <c r="S67" s="15">
        <f>Table2[[#This Row],[movement_quantity]]/VLOOKUP(Table2[[#This Row],[product]],Ref[#All],5,FALSE)</f>
        <v>-0.08</v>
      </c>
      <c r="T67">
        <v>34516.97135</v>
      </c>
      <c r="U67" t="s">
        <v>17</v>
      </c>
      <c r="V67" t="s">
        <v>23</v>
      </c>
      <c r="W67" t="s">
        <v>449</v>
      </c>
      <c r="X67" t="s">
        <v>17</v>
      </c>
      <c r="Y67" t="s">
        <v>445</v>
      </c>
      <c r="Z67">
        <v>0</v>
      </c>
      <c r="AA67" s="2">
        <v>-138067.8854</v>
      </c>
      <c r="AB67" t="str">
        <f>VLOOKUP(Table2[[#This Row],[product]],Ref[#All],6,FALSE)</f>
        <v>BAG20</v>
      </c>
    </row>
    <row r="68" spans="1:28" x14ac:dyDescent="0.25">
      <c r="A68" t="str">
        <f>TEXT(Table2[[#This Row],[dated]],"mmm")</f>
        <v>Feb</v>
      </c>
      <c r="B68" t="s">
        <v>20</v>
      </c>
      <c r="C68" s="1" t="s">
        <v>2728</v>
      </c>
      <c r="D68" t="str">
        <f>VLOOKUP(Table2[[#This Row],[product]],Ref[#All],7,FALSE)</f>
        <v>Rice</v>
      </c>
      <c r="E68" t="s">
        <v>176</v>
      </c>
      <c r="F68" t="str">
        <f>VLOOKUP(Table2[[#This Row],[product]],Ref[#All],2,FALSE)</f>
        <v>Rice Long Grade 1 Elngm 20Kg</v>
      </c>
      <c r="G68" t="str">
        <f>VLOOKUP(Table2[[#This Row],[product]],Ref[#All],3,FALSE)</f>
        <v>Rice Long Grain</v>
      </c>
      <c r="H68" t="str">
        <f>VLOOKUP(Table2[[#This Row],[product]],Ref[#All],4,FALSE)</f>
        <v>Import</v>
      </c>
      <c r="I68" s="1">
        <v>45691</v>
      </c>
      <c r="J68" t="s">
        <v>53</v>
      </c>
      <c r="K68" t="s">
        <v>450</v>
      </c>
      <c r="L68" t="s">
        <v>1662</v>
      </c>
      <c r="M68" t="s">
        <v>1586</v>
      </c>
      <c r="N68" t="s">
        <v>784</v>
      </c>
      <c r="O68" t="s">
        <v>1586</v>
      </c>
      <c r="P68" t="s">
        <v>788</v>
      </c>
      <c r="Q68" t="s">
        <v>55</v>
      </c>
      <c r="R68">
        <v>-14</v>
      </c>
      <c r="S68" s="15">
        <f>Table2[[#This Row],[movement_quantity]]/VLOOKUP(Table2[[#This Row],[product]],Ref[#All],5,FALSE)</f>
        <v>-0.28000000000000003</v>
      </c>
      <c r="T68">
        <v>34516.97135</v>
      </c>
      <c r="U68" t="s">
        <v>17</v>
      </c>
      <c r="V68" t="s">
        <v>24</v>
      </c>
      <c r="W68" t="s">
        <v>451</v>
      </c>
      <c r="X68" t="s">
        <v>17</v>
      </c>
      <c r="Y68" t="s">
        <v>445</v>
      </c>
      <c r="Z68">
        <v>0</v>
      </c>
      <c r="AA68" s="2">
        <v>-483237.59889999998</v>
      </c>
      <c r="AB68" t="str">
        <f>VLOOKUP(Table2[[#This Row],[product]],Ref[#All],6,FALSE)</f>
        <v>BAG20</v>
      </c>
    </row>
    <row r="69" spans="1:28" x14ac:dyDescent="0.25">
      <c r="A69" t="str">
        <f>TEXT(Table2[[#This Row],[dated]],"mmm")</f>
        <v>Jun</v>
      </c>
      <c r="B69" t="s">
        <v>20</v>
      </c>
      <c r="C69" s="1" t="s">
        <v>2728</v>
      </c>
      <c r="D69" t="str">
        <f>VLOOKUP(Table2[[#This Row],[product]],Ref[#All],7,FALSE)</f>
        <v>Sugar</v>
      </c>
      <c r="E69" s="1" t="s">
        <v>72</v>
      </c>
      <c r="F69" t="str">
        <f>VLOOKUP(Table2[[#This Row],[product]],Ref[#All],2,FALSE)</f>
        <v>White Sugar</v>
      </c>
      <c r="G69" t="str">
        <f>VLOOKUP(Table2[[#This Row],[product]],Ref[#All],3,FALSE)</f>
        <v>White Sugar</v>
      </c>
      <c r="H69" t="str">
        <f>VLOOKUP(Table2[[#This Row],[product]],Ref[#All],4,FALSE)</f>
        <v>Import</v>
      </c>
      <c r="I69" s="1">
        <v>45823</v>
      </c>
      <c r="J69" t="s">
        <v>53</v>
      </c>
      <c r="K69" t="s">
        <v>1484</v>
      </c>
      <c r="L69" s="6" t="s">
        <v>1614</v>
      </c>
      <c r="M69" t="s">
        <v>1586</v>
      </c>
      <c r="N69" t="s">
        <v>784</v>
      </c>
      <c r="O69" t="s">
        <v>786</v>
      </c>
      <c r="P69" t="s">
        <v>1597</v>
      </c>
      <c r="Q69" t="s">
        <v>55</v>
      </c>
      <c r="R69">
        <v>-114</v>
      </c>
      <c r="S69" s="15">
        <f>Table2[[#This Row],[movement_quantity]]/VLOOKUP(Table2[[#This Row],[product]],Ref[#All],5,FALSE)</f>
        <v>-5.7</v>
      </c>
      <c r="T69">
        <v>83521.151800000007</v>
      </c>
      <c r="U69" t="s">
        <v>17</v>
      </c>
      <c r="V69" t="s">
        <v>18</v>
      </c>
      <c r="W69" t="s">
        <v>1485</v>
      </c>
      <c r="X69" t="s">
        <v>17</v>
      </c>
      <c r="Y69" t="s">
        <v>1320</v>
      </c>
      <c r="Z69" s="2">
        <v>0</v>
      </c>
      <c r="AA69" s="2">
        <v>-9521411.3052000012</v>
      </c>
      <c r="AB69" t="str">
        <f>VLOOKUP(Table2[[#This Row],[product]],Ref[#All],6,FALSE)</f>
        <v>BAG50</v>
      </c>
    </row>
    <row r="70" spans="1:28" x14ac:dyDescent="0.25">
      <c r="A70" t="str">
        <f>TEXT(Table2[[#This Row],[dated]],"mmm")</f>
        <v>Feb</v>
      </c>
      <c r="B70" t="s">
        <v>20</v>
      </c>
      <c r="C70" s="1" t="s">
        <v>2728</v>
      </c>
      <c r="D70" t="str">
        <f>VLOOKUP(Table2[[#This Row],[product]],Ref[#All],7,FALSE)</f>
        <v>Flour</v>
      </c>
      <c r="E70" t="s">
        <v>36</v>
      </c>
      <c r="F70" t="str">
        <f>VLOOKUP(Table2[[#This Row],[product]],Ref[#All],2,FALSE)</f>
        <v>Flour Import Elngm 25Kg</v>
      </c>
      <c r="G70" t="str">
        <f>VLOOKUP(Table2[[#This Row],[product]],Ref[#All],3,FALSE)</f>
        <v>Flour Al-Nagm (Imported)</v>
      </c>
      <c r="H70" t="str">
        <f>VLOOKUP(Table2[[#This Row],[product]],Ref[#All],4,FALSE)</f>
        <v>Import</v>
      </c>
      <c r="I70" s="1">
        <v>45691</v>
      </c>
      <c r="J70" t="s">
        <v>53</v>
      </c>
      <c r="K70" t="s">
        <v>425</v>
      </c>
      <c r="L70" t="s">
        <v>1664</v>
      </c>
      <c r="M70" t="s">
        <v>1586</v>
      </c>
      <c r="N70" t="s">
        <v>784</v>
      </c>
      <c r="O70" t="s">
        <v>1586</v>
      </c>
      <c r="P70" t="s">
        <v>788</v>
      </c>
      <c r="Q70" t="s">
        <v>55</v>
      </c>
      <c r="R70">
        <v>-63</v>
      </c>
      <c r="S70" s="15">
        <f>Table2[[#This Row],[movement_quantity]]/VLOOKUP(Table2[[#This Row],[product]],Ref[#All],5,FALSE)</f>
        <v>-1.575</v>
      </c>
      <c r="T70">
        <v>31675.77131</v>
      </c>
      <c r="U70" t="s">
        <v>17</v>
      </c>
      <c r="V70" t="s">
        <v>18</v>
      </c>
      <c r="W70" t="s">
        <v>426</v>
      </c>
      <c r="X70" t="s">
        <v>17</v>
      </c>
      <c r="Y70" t="s">
        <v>37</v>
      </c>
      <c r="Z70">
        <v>0</v>
      </c>
      <c r="AA70" s="2">
        <v>-1995573.59253</v>
      </c>
      <c r="AB70" t="str">
        <f>VLOOKUP(Table2[[#This Row],[product]],Ref[#All],6,FALSE)</f>
        <v>BAG25</v>
      </c>
    </row>
    <row r="71" spans="1:28" x14ac:dyDescent="0.25">
      <c r="A71" t="str">
        <f>TEXT(Table2[[#This Row],[dated]],"mmm")</f>
        <v>Jan</v>
      </c>
      <c r="B71" t="s">
        <v>20</v>
      </c>
      <c r="C71" s="1" t="s">
        <v>2728</v>
      </c>
      <c r="D71" t="str">
        <f>VLOOKUP(Table2[[#This Row],[product]],Ref[#All],7,FALSE)</f>
        <v>Sugar</v>
      </c>
      <c r="E71" t="s">
        <v>16</v>
      </c>
      <c r="F71" t="str">
        <f>VLOOKUP(Table2[[#This Row],[product]],Ref[#All],2,FALSE)</f>
        <v>White Sugar</v>
      </c>
      <c r="G71" t="str">
        <f>VLOOKUP(Table2[[#This Row],[product]],Ref[#All],3,FALSE)</f>
        <v>White Sugar</v>
      </c>
      <c r="H71" t="str">
        <f>VLOOKUP(Table2[[#This Row],[product]],Ref[#All],4,FALSE)</f>
        <v>Import</v>
      </c>
      <c r="I71" s="1">
        <v>45677</v>
      </c>
      <c r="J71" t="s">
        <v>53</v>
      </c>
      <c r="K71" t="s">
        <v>253</v>
      </c>
      <c r="L71" t="s">
        <v>1665</v>
      </c>
      <c r="M71" t="s">
        <v>1586</v>
      </c>
      <c r="N71" t="s">
        <v>784</v>
      </c>
      <c r="O71" t="s">
        <v>1586</v>
      </c>
      <c r="P71" t="s">
        <v>788</v>
      </c>
      <c r="Q71" t="s">
        <v>55</v>
      </c>
      <c r="R71">
        <v>-19</v>
      </c>
      <c r="S71" s="15">
        <f>Table2[[#This Row],[movement_quantity]]/VLOOKUP(Table2[[#This Row],[product]],Ref[#All],5,FALSE)</f>
        <v>-0.95</v>
      </c>
      <c r="T71">
        <v>80496.589399999997</v>
      </c>
      <c r="U71" t="s">
        <v>17</v>
      </c>
      <c r="V71" t="s">
        <v>18</v>
      </c>
      <c r="W71" t="s">
        <v>254</v>
      </c>
      <c r="X71" t="s">
        <v>17</v>
      </c>
      <c r="Y71" t="s">
        <v>48</v>
      </c>
      <c r="Z71">
        <v>0</v>
      </c>
      <c r="AA71" s="2">
        <v>-1529435.1986</v>
      </c>
      <c r="AB71" t="str">
        <f>VLOOKUP(Table2[[#This Row],[product]],Ref[#All],6,FALSE)</f>
        <v>BAG50</v>
      </c>
    </row>
    <row r="72" spans="1:28" x14ac:dyDescent="0.25">
      <c r="A72" t="str">
        <f>TEXT(Table2[[#This Row],[dated]],"mmm")</f>
        <v>Jun</v>
      </c>
      <c r="B72" t="s">
        <v>20</v>
      </c>
      <c r="C72" s="1" t="s">
        <v>2728</v>
      </c>
      <c r="D72" t="str">
        <f>VLOOKUP(Table2[[#This Row],[product]],Ref[#All],7,FALSE)</f>
        <v>Sugar</v>
      </c>
      <c r="E72" s="1" t="s">
        <v>16</v>
      </c>
      <c r="F72" t="str">
        <f>VLOOKUP(Table2[[#This Row],[product]],Ref[#All],2,FALSE)</f>
        <v>White Sugar</v>
      </c>
      <c r="G72" t="str">
        <f>VLOOKUP(Table2[[#This Row],[product]],Ref[#All],3,FALSE)</f>
        <v>White Sugar</v>
      </c>
      <c r="H72" t="str">
        <f>VLOOKUP(Table2[[#This Row],[product]],Ref[#All],4,FALSE)</f>
        <v>Import</v>
      </c>
      <c r="I72" s="1">
        <v>45823</v>
      </c>
      <c r="J72" t="s">
        <v>53</v>
      </c>
      <c r="K72" t="s">
        <v>1490</v>
      </c>
      <c r="L72" t="s">
        <v>1663</v>
      </c>
      <c r="M72" t="s">
        <v>1586</v>
      </c>
      <c r="N72" t="s">
        <v>784</v>
      </c>
      <c r="O72" t="s">
        <v>1586</v>
      </c>
      <c r="P72" t="s">
        <v>788</v>
      </c>
      <c r="Q72" t="s">
        <v>55</v>
      </c>
      <c r="R72">
        <v>-88</v>
      </c>
      <c r="S72" s="15">
        <f>Table2[[#This Row],[movement_quantity]]/VLOOKUP(Table2[[#This Row],[product]],Ref[#All],5,FALSE)</f>
        <v>-4.4000000000000004</v>
      </c>
      <c r="T72">
        <v>83521.151800000007</v>
      </c>
      <c r="U72" t="s">
        <v>17</v>
      </c>
      <c r="V72" t="s">
        <v>18</v>
      </c>
      <c r="W72" t="s">
        <v>1491</v>
      </c>
      <c r="X72" t="s">
        <v>17</v>
      </c>
      <c r="Y72" t="s">
        <v>669</v>
      </c>
      <c r="Z72" s="2">
        <v>0</v>
      </c>
      <c r="AA72" s="2">
        <v>-7349861.3584000003</v>
      </c>
      <c r="AB72" t="str">
        <f>VLOOKUP(Table2[[#This Row],[product]],Ref[#All],6,FALSE)</f>
        <v>BAG50</v>
      </c>
    </row>
    <row r="73" spans="1:28" x14ac:dyDescent="0.25">
      <c r="A73" t="str">
        <f>TEXT(Table2[[#This Row],[dated]],"mmm")</f>
        <v>Jun</v>
      </c>
      <c r="B73" t="s">
        <v>20</v>
      </c>
      <c r="C73" s="1" t="s">
        <v>2728</v>
      </c>
      <c r="D73" t="str">
        <f>VLOOKUP(Table2[[#This Row],[product]],Ref[#All],7,FALSE)</f>
        <v>Flour</v>
      </c>
      <c r="E73" s="1" t="s">
        <v>36</v>
      </c>
      <c r="F73" t="str">
        <f>VLOOKUP(Table2[[#This Row],[product]],Ref[#All],2,FALSE)</f>
        <v>Flour Import Elngm 25Kg</v>
      </c>
      <c r="G73" t="str">
        <f>VLOOKUP(Table2[[#This Row],[product]],Ref[#All],3,FALSE)</f>
        <v>Flour Al-Nagm (Imported)</v>
      </c>
      <c r="H73" t="str">
        <f>VLOOKUP(Table2[[#This Row],[product]],Ref[#All],4,FALSE)</f>
        <v>Import</v>
      </c>
      <c r="I73" s="1">
        <v>45823</v>
      </c>
      <c r="J73" t="s">
        <v>53</v>
      </c>
      <c r="K73" t="s">
        <v>1442</v>
      </c>
      <c r="L73" t="s">
        <v>1617</v>
      </c>
      <c r="M73" t="s">
        <v>1586</v>
      </c>
      <c r="N73" t="s">
        <v>784</v>
      </c>
      <c r="O73" t="s">
        <v>1586</v>
      </c>
      <c r="P73" t="s">
        <v>788</v>
      </c>
      <c r="Q73" t="s">
        <v>55</v>
      </c>
      <c r="R73">
        <v>-69</v>
      </c>
      <c r="S73" s="15">
        <f>Table2[[#This Row],[movement_quantity]]/VLOOKUP(Table2[[#This Row],[product]],Ref[#All],5,FALSE)</f>
        <v>-1.7250000000000001</v>
      </c>
      <c r="T73">
        <v>24758.555840000001</v>
      </c>
      <c r="U73" t="s">
        <v>17</v>
      </c>
      <c r="V73" t="s">
        <v>18</v>
      </c>
      <c r="W73" t="s">
        <v>1443</v>
      </c>
      <c r="X73" t="s">
        <v>17</v>
      </c>
      <c r="Y73" t="s">
        <v>1289</v>
      </c>
      <c r="Z73" s="2">
        <v>0</v>
      </c>
      <c r="AA73" s="2">
        <v>-1708340.35296</v>
      </c>
      <c r="AB73" t="str">
        <f>VLOOKUP(Table2[[#This Row],[product]],Ref[#All],6,FALSE)</f>
        <v>BAG25</v>
      </c>
    </row>
    <row r="74" spans="1:28" x14ac:dyDescent="0.25">
      <c r="A74" t="str">
        <f>TEXT(Table2[[#This Row],[dated]],"mmm")</f>
        <v>Feb</v>
      </c>
      <c r="B74" t="s">
        <v>20</v>
      </c>
      <c r="C74" s="1" t="s">
        <v>2728</v>
      </c>
      <c r="D74" t="str">
        <f>VLOOKUP(Table2[[#This Row],[product]],Ref[#All],7,FALSE)</f>
        <v>Flour</v>
      </c>
      <c r="E74" t="s">
        <v>36</v>
      </c>
      <c r="F74" t="str">
        <f>VLOOKUP(Table2[[#This Row],[product]],Ref[#All],2,FALSE)</f>
        <v>Flour Import Elngm 25Kg</v>
      </c>
      <c r="G74" t="str">
        <f>VLOOKUP(Table2[[#This Row],[product]],Ref[#All],3,FALSE)</f>
        <v>Flour Al-Nagm (Imported)</v>
      </c>
      <c r="H74" t="str">
        <f>VLOOKUP(Table2[[#This Row],[product]],Ref[#All],4,FALSE)</f>
        <v>Import</v>
      </c>
      <c r="I74" s="1">
        <v>45691</v>
      </c>
      <c r="J74" t="s">
        <v>53</v>
      </c>
      <c r="K74" t="s">
        <v>433</v>
      </c>
      <c r="L74" t="s">
        <v>1657</v>
      </c>
      <c r="M74" t="s">
        <v>1586</v>
      </c>
      <c r="N74" t="s">
        <v>784</v>
      </c>
      <c r="O74" t="s">
        <v>1586</v>
      </c>
      <c r="P74" t="s">
        <v>788</v>
      </c>
      <c r="Q74" t="s">
        <v>55</v>
      </c>
      <c r="R74">
        <v>-64</v>
      </c>
      <c r="S74" s="15">
        <f>Table2[[#This Row],[movement_quantity]]/VLOOKUP(Table2[[#This Row],[product]],Ref[#All],5,FALSE)</f>
        <v>-1.6</v>
      </c>
      <c r="T74">
        <v>31675.77131</v>
      </c>
      <c r="U74" t="s">
        <v>17</v>
      </c>
      <c r="V74" t="s">
        <v>24</v>
      </c>
      <c r="W74" t="s">
        <v>434</v>
      </c>
      <c r="X74" t="s">
        <v>17</v>
      </c>
      <c r="Y74" t="s">
        <v>37</v>
      </c>
      <c r="Z74">
        <v>0</v>
      </c>
      <c r="AA74" s="2">
        <v>-2027249.36384</v>
      </c>
      <c r="AB74" t="str">
        <f>VLOOKUP(Table2[[#This Row],[product]],Ref[#All],6,FALSE)</f>
        <v>BAG25</v>
      </c>
    </row>
    <row r="75" spans="1:28" x14ac:dyDescent="0.25">
      <c r="A75" t="str">
        <f>TEXT(Table2[[#This Row],[dated]],"mmm")</f>
        <v>Feb</v>
      </c>
      <c r="B75" t="s">
        <v>20</v>
      </c>
      <c r="C75" s="1" t="s">
        <v>2728</v>
      </c>
      <c r="D75" t="str">
        <f>VLOOKUP(Table2[[#This Row],[product]],Ref[#All],7,FALSE)</f>
        <v>Flour</v>
      </c>
      <c r="E75" t="s">
        <v>36</v>
      </c>
      <c r="F75" t="str">
        <f>VLOOKUP(Table2[[#This Row],[product]],Ref[#All],2,FALSE)</f>
        <v>Flour Import Elngm 25Kg</v>
      </c>
      <c r="G75" t="str">
        <f>VLOOKUP(Table2[[#This Row],[product]],Ref[#All],3,FALSE)</f>
        <v>Flour Al-Nagm (Imported)</v>
      </c>
      <c r="H75" t="str">
        <f>VLOOKUP(Table2[[#This Row],[product]],Ref[#All],4,FALSE)</f>
        <v>Import</v>
      </c>
      <c r="I75" s="1">
        <v>45691</v>
      </c>
      <c r="J75" t="s">
        <v>53</v>
      </c>
      <c r="K75" t="s">
        <v>441</v>
      </c>
      <c r="L75" t="s">
        <v>1657</v>
      </c>
      <c r="M75" t="s">
        <v>1586</v>
      </c>
      <c r="N75" t="s">
        <v>784</v>
      </c>
      <c r="O75" t="s">
        <v>786</v>
      </c>
      <c r="P75" t="s">
        <v>1597</v>
      </c>
      <c r="Q75" t="s">
        <v>55</v>
      </c>
      <c r="R75">
        <v>-16</v>
      </c>
      <c r="S75" s="15">
        <f>Table2[[#This Row],[movement_quantity]]/VLOOKUP(Table2[[#This Row],[product]],Ref[#All],5,FALSE)</f>
        <v>-0.4</v>
      </c>
      <c r="T75">
        <v>31675.77131</v>
      </c>
      <c r="U75" t="s">
        <v>17</v>
      </c>
      <c r="V75" t="s">
        <v>28</v>
      </c>
      <c r="W75" t="s">
        <v>442</v>
      </c>
      <c r="X75" t="s">
        <v>17</v>
      </c>
      <c r="Y75" t="s">
        <v>37</v>
      </c>
      <c r="Z75">
        <v>0</v>
      </c>
      <c r="AA75" s="2">
        <v>-506812.34096</v>
      </c>
      <c r="AB75" t="str">
        <f>VLOOKUP(Table2[[#This Row],[product]],Ref[#All],6,FALSE)</f>
        <v>BAG25</v>
      </c>
    </row>
    <row r="76" spans="1:28" x14ac:dyDescent="0.25">
      <c r="A76" t="str">
        <f>TEXT(Table2[[#This Row],[dated]],"mmm")</f>
        <v>Jun</v>
      </c>
      <c r="B76" t="s">
        <v>20</v>
      </c>
      <c r="C76" s="1" t="s">
        <v>2728</v>
      </c>
      <c r="D76" t="str">
        <f>VLOOKUP(Table2[[#This Row],[product]],Ref[#All],7,FALSE)</f>
        <v>Flour</v>
      </c>
      <c r="E76" s="1" t="s">
        <v>36</v>
      </c>
      <c r="F76" t="str">
        <f>VLOOKUP(Table2[[#This Row],[product]],Ref[#All],2,FALSE)</f>
        <v>Flour Import Elngm 25Kg</v>
      </c>
      <c r="G76" t="str">
        <f>VLOOKUP(Table2[[#This Row],[product]],Ref[#All],3,FALSE)</f>
        <v>Flour Al-Nagm (Imported)</v>
      </c>
      <c r="H76" t="str">
        <f>VLOOKUP(Table2[[#This Row],[product]],Ref[#All],4,FALSE)</f>
        <v>Import</v>
      </c>
      <c r="I76" s="1">
        <v>45823</v>
      </c>
      <c r="J76" t="s">
        <v>53</v>
      </c>
      <c r="K76" t="s">
        <v>1452</v>
      </c>
      <c r="L76" s="6" t="s">
        <v>1613</v>
      </c>
      <c r="M76" t="s">
        <v>1586</v>
      </c>
      <c r="N76" t="s">
        <v>784</v>
      </c>
      <c r="O76" t="s">
        <v>1586</v>
      </c>
      <c r="P76" t="s">
        <v>788</v>
      </c>
      <c r="Q76" t="s">
        <v>55</v>
      </c>
      <c r="R76">
        <v>-58</v>
      </c>
      <c r="S76" s="15">
        <f>Table2[[#This Row],[movement_quantity]]/VLOOKUP(Table2[[#This Row],[product]],Ref[#All],5,FALSE)</f>
        <v>-1.45</v>
      </c>
      <c r="T76">
        <v>24758.555840000001</v>
      </c>
      <c r="U76" t="s">
        <v>17</v>
      </c>
      <c r="V76" t="s">
        <v>1355</v>
      </c>
      <c r="W76" t="s">
        <v>1473</v>
      </c>
      <c r="X76" t="s">
        <v>17</v>
      </c>
      <c r="Y76" t="s">
        <v>1289</v>
      </c>
      <c r="Z76" s="2">
        <v>0</v>
      </c>
      <c r="AA76" s="2">
        <v>-1435996.23872</v>
      </c>
      <c r="AB76" t="str">
        <f>VLOOKUP(Table2[[#This Row],[product]],Ref[#All],6,FALSE)</f>
        <v>BAG25</v>
      </c>
    </row>
    <row r="77" spans="1:28" x14ac:dyDescent="0.25">
      <c r="A77" t="str">
        <f>TEXT(Table2[[#This Row],[dated]],"mmm")</f>
        <v>Jun</v>
      </c>
      <c r="B77" t="s">
        <v>20</v>
      </c>
      <c r="C77" s="1" t="s">
        <v>2728</v>
      </c>
      <c r="D77" t="str">
        <f>VLOOKUP(Table2[[#This Row],[product]],Ref[#All],7,FALSE)</f>
        <v>Flour</v>
      </c>
      <c r="E77" s="1" t="s">
        <v>36</v>
      </c>
      <c r="F77" t="str">
        <f>VLOOKUP(Table2[[#This Row],[product]],Ref[#All],2,FALSE)</f>
        <v>Flour Import Elngm 25Kg</v>
      </c>
      <c r="G77" t="str">
        <f>VLOOKUP(Table2[[#This Row],[product]],Ref[#All],3,FALSE)</f>
        <v>Flour Al-Nagm (Imported)</v>
      </c>
      <c r="H77" t="str">
        <f>VLOOKUP(Table2[[#This Row],[product]],Ref[#All],4,FALSE)</f>
        <v>Import</v>
      </c>
      <c r="I77" s="1">
        <v>45823</v>
      </c>
      <c r="J77" t="s">
        <v>53</v>
      </c>
      <c r="K77" t="s">
        <v>1479</v>
      </c>
      <c r="L77" s="6" t="s">
        <v>1613</v>
      </c>
      <c r="M77" t="s">
        <v>1586</v>
      </c>
      <c r="N77" t="s">
        <v>784</v>
      </c>
      <c r="O77" t="s">
        <v>786</v>
      </c>
      <c r="P77" t="s">
        <v>1597</v>
      </c>
      <c r="Q77" t="s">
        <v>55</v>
      </c>
      <c r="R77">
        <v>-37</v>
      </c>
      <c r="S77" s="15">
        <f>Table2[[#This Row],[movement_quantity]]/VLOOKUP(Table2[[#This Row],[product]],Ref[#All],5,FALSE)</f>
        <v>-0.92500000000000004</v>
      </c>
      <c r="T77">
        <v>24758.555840000001</v>
      </c>
      <c r="U77" t="s">
        <v>17</v>
      </c>
      <c r="V77" t="s">
        <v>1367</v>
      </c>
      <c r="W77" t="s">
        <v>1480</v>
      </c>
      <c r="X77" t="s">
        <v>17</v>
      </c>
      <c r="Y77" t="s">
        <v>1289</v>
      </c>
      <c r="Z77" s="2">
        <v>0</v>
      </c>
      <c r="AA77" s="2">
        <v>-916066.56608000002</v>
      </c>
      <c r="AB77" t="str">
        <f>VLOOKUP(Table2[[#This Row],[product]],Ref[#All],6,FALSE)</f>
        <v>BAG25</v>
      </c>
    </row>
    <row r="78" spans="1:28" x14ac:dyDescent="0.25">
      <c r="A78" t="str">
        <f>TEXT(Table2[[#This Row],[dated]],"mmm")</f>
        <v>Jun</v>
      </c>
      <c r="B78" t="s">
        <v>20</v>
      </c>
      <c r="C78" s="1" t="s">
        <v>2728</v>
      </c>
      <c r="D78" t="str">
        <f>VLOOKUP(Table2[[#This Row],[product]],Ref[#All],7,FALSE)</f>
        <v>Flour</v>
      </c>
      <c r="E78" s="1" t="s">
        <v>36</v>
      </c>
      <c r="F78" t="str">
        <f>VLOOKUP(Table2[[#This Row],[product]],Ref[#All],2,FALSE)</f>
        <v>Flour Import Elngm 25Kg</v>
      </c>
      <c r="G78" t="str">
        <f>VLOOKUP(Table2[[#This Row],[product]],Ref[#All],3,FALSE)</f>
        <v>Flour Al-Nagm (Imported)</v>
      </c>
      <c r="H78" t="str">
        <f>VLOOKUP(Table2[[#This Row],[product]],Ref[#All],4,FALSE)</f>
        <v>Import</v>
      </c>
      <c r="I78" s="1">
        <v>45823</v>
      </c>
      <c r="J78" t="s">
        <v>53</v>
      </c>
      <c r="K78" t="s">
        <v>1452</v>
      </c>
      <c r="L78" t="s">
        <v>1656</v>
      </c>
      <c r="M78" t="s">
        <v>1586</v>
      </c>
      <c r="N78" t="s">
        <v>784</v>
      </c>
      <c r="O78" t="s">
        <v>1586</v>
      </c>
      <c r="P78" t="s">
        <v>788</v>
      </c>
      <c r="Q78" t="s">
        <v>55</v>
      </c>
      <c r="R78">
        <v>-364</v>
      </c>
      <c r="S78" s="15">
        <f>Table2[[#This Row],[movement_quantity]]/VLOOKUP(Table2[[#This Row],[product]],Ref[#All],5,FALSE)</f>
        <v>-9.1</v>
      </c>
      <c r="T78">
        <v>24758.555840000001</v>
      </c>
      <c r="U78" t="s">
        <v>17</v>
      </c>
      <c r="V78" t="s">
        <v>25</v>
      </c>
      <c r="W78" t="s">
        <v>1453</v>
      </c>
      <c r="X78" t="s">
        <v>17</v>
      </c>
      <c r="Y78" t="s">
        <v>1289</v>
      </c>
      <c r="Z78" s="2">
        <v>0</v>
      </c>
      <c r="AA78" s="2">
        <v>-9012114.3257599995</v>
      </c>
      <c r="AB78" t="str">
        <f>VLOOKUP(Table2[[#This Row],[product]],Ref[#All],6,FALSE)</f>
        <v>BAG25</v>
      </c>
    </row>
    <row r="79" spans="1:28" x14ac:dyDescent="0.25">
      <c r="A79" t="str">
        <f>TEXT(Table2[[#This Row],[dated]],"mmm")</f>
        <v>Jun</v>
      </c>
      <c r="B79" t="s">
        <v>20</v>
      </c>
      <c r="C79" s="1" t="s">
        <v>2728</v>
      </c>
      <c r="D79" t="str">
        <f>VLOOKUP(Table2[[#This Row],[product]],Ref[#All],7,FALSE)</f>
        <v>Flour</v>
      </c>
      <c r="E79" s="1" t="s">
        <v>36</v>
      </c>
      <c r="F79" t="str">
        <f>VLOOKUP(Table2[[#This Row],[product]],Ref[#All],2,FALSE)</f>
        <v>Flour Import Elngm 25Kg</v>
      </c>
      <c r="G79" t="str">
        <f>VLOOKUP(Table2[[#This Row],[product]],Ref[#All],3,FALSE)</f>
        <v>Flour Al-Nagm (Imported)</v>
      </c>
      <c r="H79" t="str">
        <f>VLOOKUP(Table2[[#This Row],[product]],Ref[#All],4,FALSE)</f>
        <v>Import</v>
      </c>
      <c r="I79" s="1">
        <v>45823</v>
      </c>
      <c r="J79" t="s">
        <v>53</v>
      </c>
      <c r="K79" t="s">
        <v>1458</v>
      </c>
      <c r="L79" t="s">
        <v>1656</v>
      </c>
      <c r="M79" t="s">
        <v>1586</v>
      </c>
      <c r="N79" t="s">
        <v>784</v>
      </c>
      <c r="O79" t="s">
        <v>1586</v>
      </c>
      <c r="P79" t="s">
        <v>788</v>
      </c>
      <c r="Q79" t="s">
        <v>55</v>
      </c>
      <c r="R79">
        <v>-51</v>
      </c>
      <c r="S79" s="15">
        <f>Table2[[#This Row],[movement_quantity]]/VLOOKUP(Table2[[#This Row],[product]],Ref[#All],5,FALSE)</f>
        <v>-1.2749999999999999</v>
      </c>
      <c r="T79">
        <v>24758.555840000001</v>
      </c>
      <c r="U79" t="s">
        <v>17</v>
      </c>
      <c r="V79" t="s">
        <v>28</v>
      </c>
      <c r="W79" t="s">
        <v>1459</v>
      </c>
      <c r="X79" t="s">
        <v>17</v>
      </c>
      <c r="Y79" t="s">
        <v>1289</v>
      </c>
      <c r="Z79" s="2">
        <v>0</v>
      </c>
      <c r="AA79" s="2">
        <v>-1262686.3478399999</v>
      </c>
      <c r="AB79" t="str">
        <f>VLOOKUP(Table2[[#This Row],[product]],Ref[#All],6,FALSE)</f>
        <v>BAG25</v>
      </c>
    </row>
    <row r="80" spans="1:28" x14ac:dyDescent="0.25">
      <c r="A80" t="str">
        <f>TEXT(Table2[[#This Row],[dated]],"mmm")</f>
        <v>Jun</v>
      </c>
      <c r="B80" t="s">
        <v>20</v>
      </c>
      <c r="C80" s="1" t="s">
        <v>2728</v>
      </c>
      <c r="D80" t="str">
        <f>VLOOKUP(Table2[[#This Row],[product]],Ref[#All],7,FALSE)</f>
        <v>Flour</v>
      </c>
      <c r="E80" s="1" t="s">
        <v>36</v>
      </c>
      <c r="F80" t="str">
        <f>VLOOKUP(Table2[[#This Row],[product]],Ref[#All],2,FALSE)</f>
        <v>Flour Import Elngm 25Kg</v>
      </c>
      <c r="G80" t="str">
        <f>VLOOKUP(Table2[[#This Row],[product]],Ref[#All],3,FALSE)</f>
        <v>Flour Al-Nagm (Imported)</v>
      </c>
      <c r="H80" t="str">
        <f>VLOOKUP(Table2[[#This Row],[product]],Ref[#All],4,FALSE)</f>
        <v>Import</v>
      </c>
      <c r="I80" s="1">
        <v>45823</v>
      </c>
      <c r="J80" t="s">
        <v>53</v>
      </c>
      <c r="K80" t="s">
        <v>1460</v>
      </c>
      <c r="L80" t="s">
        <v>1616</v>
      </c>
      <c r="M80" t="s">
        <v>1586</v>
      </c>
      <c r="N80" t="s">
        <v>784</v>
      </c>
      <c r="O80" t="s">
        <v>786</v>
      </c>
      <c r="P80" t="s">
        <v>1597</v>
      </c>
      <c r="Q80" t="s">
        <v>55</v>
      </c>
      <c r="R80">
        <v>-14</v>
      </c>
      <c r="S80" s="15">
        <f>Table2[[#This Row],[movement_quantity]]/VLOOKUP(Table2[[#This Row],[product]],Ref[#All],5,FALSE)</f>
        <v>-0.35</v>
      </c>
      <c r="T80">
        <v>24758.555840000001</v>
      </c>
      <c r="U80" t="s">
        <v>17</v>
      </c>
      <c r="V80" t="s">
        <v>29</v>
      </c>
      <c r="W80" t="s">
        <v>1461</v>
      </c>
      <c r="X80" t="s">
        <v>17</v>
      </c>
      <c r="Y80" t="s">
        <v>1289</v>
      </c>
      <c r="Z80" s="2">
        <v>0</v>
      </c>
      <c r="AA80" s="2">
        <v>-346619.78176000004</v>
      </c>
      <c r="AB80" t="str">
        <f>VLOOKUP(Table2[[#This Row],[product]],Ref[#All],6,FALSE)</f>
        <v>BAG25</v>
      </c>
    </row>
    <row r="81" spans="1:28" x14ac:dyDescent="0.25">
      <c r="A81" t="str">
        <f>TEXT(Table2[[#This Row],[dated]],"mmm")</f>
        <v>Jun</v>
      </c>
      <c r="B81" t="s">
        <v>20</v>
      </c>
      <c r="C81" s="1" t="s">
        <v>2728</v>
      </c>
      <c r="D81" t="str">
        <f>VLOOKUP(Table2[[#This Row],[product]],Ref[#All],7,FALSE)</f>
        <v>Flour</v>
      </c>
      <c r="E81" s="1" t="s">
        <v>36</v>
      </c>
      <c r="F81" t="str">
        <f>VLOOKUP(Table2[[#This Row],[product]],Ref[#All],2,FALSE)</f>
        <v>Flour Import Elngm 25Kg</v>
      </c>
      <c r="G81" t="str">
        <f>VLOOKUP(Table2[[#This Row],[product]],Ref[#All],3,FALSE)</f>
        <v>Flour Al-Nagm (Imported)</v>
      </c>
      <c r="H81" t="str">
        <f>VLOOKUP(Table2[[#This Row],[product]],Ref[#All],4,FALSE)</f>
        <v>Import</v>
      </c>
      <c r="I81" s="1">
        <v>45823</v>
      </c>
      <c r="J81" t="s">
        <v>53</v>
      </c>
      <c r="K81" t="s">
        <v>1468</v>
      </c>
      <c r="L81" t="s">
        <v>1616</v>
      </c>
      <c r="M81" t="s">
        <v>1586</v>
      </c>
      <c r="N81" t="s">
        <v>784</v>
      </c>
      <c r="O81" t="s">
        <v>786</v>
      </c>
      <c r="P81" t="s">
        <v>1597</v>
      </c>
      <c r="Q81" t="s">
        <v>55</v>
      </c>
      <c r="R81">
        <v>-42</v>
      </c>
      <c r="S81" s="15">
        <f>Table2[[#This Row],[movement_quantity]]/VLOOKUP(Table2[[#This Row],[product]],Ref[#All],5,FALSE)</f>
        <v>-1.05</v>
      </c>
      <c r="T81">
        <v>24758.555840000001</v>
      </c>
      <c r="U81" t="s">
        <v>17</v>
      </c>
      <c r="V81" t="s">
        <v>33</v>
      </c>
      <c r="W81" t="s">
        <v>1469</v>
      </c>
      <c r="X81" t="s">
        <v>17</v>
      </c>
      <c r="Y81" t="s">
        <v>1289</v>
      </c>
      <c r="Z81" s="2">
        <v>0</v>
      </c>
      <c r="AA81" s="2">
        <v>-1039859.34528</v>
      </c>
      <c r="AB81" t="str">
        <f>VLOOKUP(Table2[[#This Row],[product]],Ref[#All],6,FALSE)</f>
        <v>BAG25</v>
      </c>
    </row>
    <row r="82" spans="1:28" x14ac:dyDescent="0.25">
      <c r="A82" t="str">
        <f>TEXT(Table2[[#This Row],[dated]],"mmm")</f>
        <v>Mar</v>
      </c>
      <c r="B82" t="s">
        <v>20</v>
      </c>
      <c r="C82" s="1" t="s">
        <v>2728</v>
      </c>
      <c r="D82" t="str">
        <f>VLOOKUP(Table2[[#This Row],[product]],Ref[#All],7,FALSE)</f>
        <v>Sugar</v>
      </c>
      <c r="E82" t="s">
        <v>16</v>
      </c>
      <c r="F82" t="str">
        <f>VLOOKUP(Table2[[#This Row],[product]],Ref[#All],2,FALSE)</f>
        <v>White Sugar</v>
      </c>
      <c r="G82" t="str">
        <f>VLOOKUP(Table2[[#This Row],[product]],Ref[#All],3,FALSE)</f>
        <v>White Sugar</v>
      </c>
      <c r="H82" t="str">
        <f>VLOOKUP(Table2[[#This Row],[product]],Ref[#All],4,FALSE)</f>
        <v>Import</v>
      </c>
      <c r="I82" s="1">
        <v>45735</v>
      </c>
      <c r="J82" t="s">
        <v>53</v>
      </c>
      <c r="K82" t="s">
        <v>667</v>
      </c>
      <c r="L82" t="s">
        <v>1658</v>
      </c>
      <c r="M82" t="s">
        <v>1586</v>
      </c>
      <c r="N82" t="s">
        <v>784</v>
      </c>
      <c r="O82" t="s">
        <v>786</v>
      </c>
      <c r="P82" t="s">
        <v>1597</v>
      </c>
      <c r="Q82" t="s">
        <v>55</v>
      </c>
      <c r="R82">
        <v>-272</v>
      </c>
      <c r="S82" s="15">
        <f>Table2[[#This Row],[movement_quantity]]/VLOOKUP(Table2[[#This Row],[product]],Ref[#All],5,FALSE)</f>
        <v>-13.6</v>
      </c>
      <c r="T82">
        <v>81012.933590000001</v>
      </c>
      <c r="U82" t="s">
        <v>17</v>
      </c>
      <c r="V82" t="s">
        <v>18</v>
      </c>
      <c r="W82" t="s">
        <v>668</v>
      </c>
      <c r="X82" t="s">
        <v>17</v>
      </c>
      <c r="Y82" t="s">
        <v>669</v>
      </c>
      <c r="Z82">
        <v>0</v>
      </c>
      <c r="AA82" s="2">
        <v>-22035517.936480001</v>
      </c>
      <c r="AB82" t="str">
        <f>VLOOKUP(Table2[[#This Row],[product]],Ref[#All],6,FALSE)</f>
        <v>BAG50</v>
      </c>
    </row>
    <row r="83" spans="1:28" x14ac:dyDescent="0.25">
      <c r="A83" t="str">
        <f>TEXT(Table2[[#This Row],[dated]],"mmm")</f>
        <v>May</v>
      </c>
      <c r="B83" t="s">
        <v>811</v>
      </c>
      <c r="C83" s="1" t="s">
        <v>2728</v>
      </c>
      <c r="D83" t="str">
        <f>VLOOKUP(Table2[[#This Row],[product]],Ref[#All],7,FALSE)</f>
        <v>Lentils</v>
      </c>
      <c r="E83" s="1" t="s">
        <v>853</v>
      </c>
      <c r="F83" t="str">
        <f>VLOOKUP(Table2[[#This Row],[product]],Ref[#All],2,FALSE)</f>
        <v>Lentil Elngm 20KG</v>
      </c>
      <c r="G83" t="str">
        <f>VLOOKUP(Table2[[#This Row],[product]],Ref[#All],3,FALSE)</f>
        <v>Lentils</v>
      </c>
      <c r="H83" t="str">
        <f>VLOOKUP(Table2[[#This Row],[product]],Ref[#All],4,FALSE)</f>
        <v>Import</v>
      </c>
      <c r="I83" s="1">
        <v>45782</v>
      </c>
      <c r="J83" t="s">
        <v>53</v>
      </c>
      <c r="K83" t="s">
        <v>854</v>
      </c>
      <c r="L83" t="s">
        <v>1927</v>
      </c>
      <c r="M83" t="s">
        <v>1586</v>
      </c>
      <c r="N83" t="s">
        <v>784</v>
      </c>
      <c r="O83" t="s">
        <v>1586</v>
      </c>
      <c r="P83" t="s">
        <v>788</v>
      </c>
      <c r="Q83" t="s">
        <v>55</v>
      </c>
      <c r="R83">
        <v>-2</v>
      </c>
      <c r="S83" s="15">
        <f>Table2[[#This Row],[movement_quantity]]/VLOOKUP(Table2[[#This Row],[product]],Ref[#All],5,FALSE)</f>
        <v>-0.04</v>
      </c>
      <c r="T83">
        <v>49211.972889999997</v>
      </c>
      <c r="U83" t="s">
        <v>17</v>
      </c>
      <c r="V83" t="s">
        <v>18</v>
      </c>
      <c r="W83" t="s">
        <v>855</v>
      </c>
      <c r="X83" t="s">
        <v>17</v>
      </c>
      <c r="Y83" t="s">
        <v>856</v>
      </c>
      <c r="Z83">
        <v>0</v>
      </c>
      <c r="AA83" s="2">
        <v>-98423.945779999995</v>
      </c>
      <c r="AB83" t="str">
        <f>VLOOKUP(Table2[[#This Row],[product]],Ref[#All],6,FALSE)</f>
        <v>BAG20</v>
      </c>
    </row>
    <row r="84" spans="1:28" x14ac:dyDescent="0.25">
      <c r="A84" t="str">
        <f>TEXT(Table2[[#This Row],[dated]],"mmm")</f>
        <v>May</v>
      </c>
      <c r="B84" t="s">
        <v>850</v>
      </c>
      <c r="C84" s="1" t="s">
        <v>2728</v>
      </c>
      <c r="D84" t="str">
        <f>VLOOKUP(Table2[[#This Row],[product]],Ref[#All],7,FALSE)</f>
        <v>Lentils</v>
      </c>
      <c r="E84" s="1" t="s">
        <v>853</v>
      </c>
      <c r="F84" t="str">
        <f>VLOOKUP(Table2[[#This Row],[product]],Ref[#All],2,FALSE)</f>
        <v>Lentil Elngm 20KG</v>
      </c>
      <c r="G84" t="str">
        <f>VLOOKUP(Table2[[#This Row],[product]],Ref[#All],3,FALSE)</f>
        <v>Lentils</v>
      </c>
      <c r="H84" t="str">
        <f>VLOOKUP(Table2[[#This Row],[product]],Ref[#All],4,FALSE)</f>
        <v>Import</v>
      </c>
      <c r="I84" s="1">
        <v>45782</v>
      </c>
      <c r="J84" t="s">
        <v>53</v>
      </c>
      <c r="K84" t="s">
        <v>859</v>
      </c>
      <c r="L84" t="s">
        <v>1927</v>
      </c>
      <c r="M84" t="s">
        <v>1586</v>
      </c>
      <c r="N84" t="s">
        <v>784</v>
      </c>
      <c r="O84" t="s">
        <v>1586</v>
      </c>
      <c r="P84" t="s">
        <v>788</v>
      </c>
      <c r="Q84" t="s">
        <v>55</v>
      </c>
      <c r="R84">
        <v>-29</v>
      </c>
      <c r="S84" s="15">
        <f>Table2[[#This Row],[movement_quantity]]/VLOOKUP(Table2[[#This Row],[product]],Ref[#All],5,FALSE)</f>
        <v>-0.57999999999999996</v>
      </c>
      <c r="T84">
        <v>49211.972889999997</v>
      </c>
      <c r="U84" t="s">
        <v>17</v>
      </c>
      <c r="V84" t="s">
        <v>18</v>
      </c>
      <c r="W84" t="s">
        <v>860</v>
      </c>
      <c r="X84" t="s">
        <v>17</v>
      </c>
      <c r="Y84" t="s">
        <v>856</v>
      </c>
      <c r="Z84">
        <v>0</v>
      </c>
      <c r="AA84" s="2">
        <v>-1427147.2138099999</v>
      </c>
      <c r="AB84" t="str">
        <f>VLOOKUP(Table2[[#This Row],[product]],Ref[#All],6,FALSE)</f>
        <v>BAG20</v>
      </c>
    </row>
    <row r="85" spans="1:28" x14ac:dyDescent="0.25">
      <c r="A85" t="str">
        <f>TEXT(Table2[[#This Row],[dated]],"mmm")</f>
        <v>May</v>
      </c>
      <c r="B85" t="s">
        <v>850</v>
      </c>
      <c r="C85" s="1" t="s">
        <v>2728</v>
      </c>
      <c r="D85" t="str">
        <f>VLOOKUP(Table2[[#This Row],[product]],Ref[#All],7,FALSE)</f>
        <v>Lentils</v>
      </c>
      <c r="E85" s="1" t="s">
        <v>895</v>
      </c>
      <c r="F85" t="str">
        <f>VLOOKUP(Table2[[#This Row],[product]],Ref[#All],2,FALSE)</f>
        <v>Lentil Damaged 20KG</v>
      </c>
      <c r="G85" t="str">
        <f>VLOOKUP(Table2[[#This Row],[product]],Ref[#All],3,FALSE)</f>
        <v>Lentil - Damaged</v>
      </c>
      <c r="H85" t="str">
        <f>VLOOKUP(Table2[[#This Row],[product]],Ref[#All],4,FALSE)</f>
        <v>Import</v>
      </c>
      <c r="I85" s="1">
        <v>45784</v>
      </c>
      <c r="J85" t="s">
        <v>127</v>
      </c>
      <c r="K85" t="s">
        <v>859</v>
      </c>
      <c r="L85" t="s">
        <v>1927</v>
      </c>
      <c r="M85" t="s">
        <v>1593</v>
      </c>
      <c r="N85" t="s">
        <v>784</v>
      </c>
      <c r="O85" t="s">
        <v>1586</v>
      </c>
      <c r="P85" t="s">
        <v>788</v>
      </c>
      <c r="Q85" t="s">
        <v>55</v>
      </c>
      <c r="R85">
        <v>29</v>
      </c>
      <c r="S85" s="15">
        <f>Table2[[#This Row],[movement_quantity]]/VLOOKUP(Table2[[#This Row],[product]],Ref[#All],5,FALSE)</f>
        <v>0.57999999999999996</v>
      </c>
      <c r="T85">
        <v>0</v>
      </c>
      <c r="U85" t="s">
        <v>892</v>
      </c>
      <c r="V85" t="s">
        <v>18</v>
      </c>
      <c r="W85" t="s">
        <v>896</v>
      </c>
      <c r="X85" t="s">
        <v>897</v>
      </c>
      <c r="Y85" t="s">
        <v>17</v>
      </c>
      <c r="Z85">
        <v>0</v>
      </c>
      <c r="AA85" s="2">
        <v>0</v>
      </c>
      <c r="AB85" t="str">
        <f>VLOOKUP(Table2[[#This Row],[product]],Ref[#All],6,FALSE)</f>
        <v>BAG20</v>
      </c>
    </row>
    <row r="86" spans="1:28" x14ac:dyDescent="0.25">
      <c r="A86" t="str">
        <f>TEXT(Table2[[#This Row],[dated]],"mmm")</f>
        <v>May</v>
      </c>
      <c r="B86" t="s">
        <v>811</v>
      </c>
      <c r="C86" s="1" t="s">
        <v>2728</v>
      </c>
      <c r="D86" t="str">
        <f>VLOOKUP(Table2[[#This Row],[product]],Ref[#All],7,FALSE)</f>
        <v>Flour</v>
      </c>
      <c r="E86" s="1" t="s">
        <v>36</v>
      </c>
      <c r="F86" t="str">
        <f>VLOOKUP(Table2[[#This Row],[product]],Ref[#All],2,FALSE)</f>
        <v>Flour Import Elngm 25Kg</v>
      </c>
      <c r="G86" t="str">
        <f>VLOOKUP(Table2[[#This Row],[product]],Ref[#All],3,FALSE)</f>
        <v>Flour Al-Nagm (Imported)</v>
      </c>
      <c r="H86" t="str">
        <f>VLOOKUP(Table2[[#This Row],[product]],Ref[#All],4,FALSE)</f>
        <v>Import</v>
      </c>
      <c r="I86" s="1">
        <v>45782</v>
      </c>
      <c r="J86" t="s">
        <v>53</v>
      </c>
      <c r="K86" t="s">
        <v>885</v>
      </c>
      <c r="L86" t="s">
        <v>1655</v>
      </c>
      <c r="M86" t="s">
        <v>1586</v>
      </c>
      <c r="N86" t="s">
        <v>784</v>
      </c>
      <c r="O86" t="s">
        <v>1586</v>
      </c>
      <c r="P86" t="s">
        <v>788</v>
      </c>
      <c r="Q86" t="s">
        <v>55</v>
      </c>
      <c r="R86">
        <v>-5</v>
      </c>
      <c r="S86" s="15">
        <f>Table2[[#This Row],[movement_quantity]]/VLOOKUP(Table2[[#This Row],[product]],Ref[#All],5,FALSE)</f>
        <v>-0.125</v>
      </c>
      <c r="T86">
        <v>31301.811430000002</v>
      </c>
      <c r="U86" t="s">
        <v>17</v>
      </c>
      <c r="V86" t="s">
        <v>21</v>
      </c>
      <c r="W86" t="s">
        <v>886</v>
      </c>
      <c r="X86" t="s">
        <v>17</v>
      </c>
      <c r="Y86" t="s">
        <v>884</v>
      </c>
      <c r="Z86">
        <v>0</v>
      </c>
      <c r="AA86" s="2">
        <v>-156509.05715000001</v>
      </c>
      <c r="AB86" t="str">
        <f>VLOOKUP(Table2[[#This Row],[product]],Ref[#All],6,FALSE)</f>
        <v>BAG25</v>
      </c>
    </row>
    <row r="87" spans="1:28" x14ac:dyDescent="0.25">
      <c r="A87" t="str">
        <f>TEXT(Table2[[#This Row],[dated]],"mmm")</f>
        <v>May</v>
      </c>
      <c r="B87" t="s">
        <v>868</v>
      </c>
      <c r="C87" s="1" t="s">
        <v>2728</v>
      </c>
      <c r="D87" t="str">
        <f>VLOOKUP(Table2[[#This Row],[product]],Ref[#All],7,FALSE)</f>
        <v>Flour</v>
      </c>
      <c r="E87" s="1" t="s">
        <v>36</v>
      </c>
      <c r="F87" t="str">
        <f>VLOOKUP(Table2[[#This Row],[product]],Ref[#All],2,FALSE)</f>
        <v>Flour Import Elngm 25Kg</v>
      </c>
      <c r="G87" t="str">
        <f>VLOOKUP(Table2[[#This Row],[product]],Ref[#All],3,FALSE)</f>
        <v>Flour Al-Nagm (Imported)</v>
      </c>
      <c r="H87" t="str">
        <f>VLOOKUP(Table2[[#This Row],[product]],Ref[#All],4,FALSE)</f>
        <v>Import</v>
      </c>
      <c r="I87" s="1">
        <v>45782</v>
      </c>
      <c r="J87" t="s">
        <v>53</v>
      </c>
      <c r="K87" t="s">
        <v>869</v>
      </c>
      <c r="L87" t="s">
        <v>2548</v>
      </c>
      <c r="M87" t="s">
        <v>1586</v>
      </c>
      <c r="N87" t="s">
        <v>784</v>
      </c>
      <c r="O87" t="s">
        <v>786</v>
      </c>
      <c r="P87" t="s">
        <v>1598</v>
      </c>
      <c r="Q87" t="s">
        <v>55</v>
      </c>
      <c r="R87">
        <v>-141</v>
      </c>
      <c r="S87" s="15">
        <f>Table2[[#This Row],[movement_quantity]]/VLOOKUP(Table2[[#This Row],[product]],Ref[#All],5,FALSE)</f>
        <v>-3.5249999999999999</v>
      </c>
      <c r="T87">
        <v>31301.811430000002</v>
      </c>
      <c r="U87" t="s">
        <v>17</v>
      </c>
      <c r="V87" t="s">
        <v>18</v>
      </c>
      <c r="W87" t="s">
        <v>870</v>
      </c>
      <c r="X87" t="s">
        <v>17</v>
      </c>
      <c r="Y87" t="s">
        <v>871</v>
      </c>
      <c r="Z87">
        <v>0</v>
      </c>
      <c r="AA87" s="2">
        <v>-4413555.41163</v>
      </c>
      <c r="AB87" t="str">
        <f>VLOOKUP(Table2[[#This Row],[product]],Ref[#All],6,FALSE)</f>
        <v>BAG25</v>
      </c>
    </row>
    <row r="88" spans="1:28" x14ac:dyDescent="0.25">
      <c r="A88" t="str">
        <f>TEXT(Table2[[#This Row],[dated]],"mmm")</f>
        <v>Jul</v>
      </c>
      <c r="B88" s="26" t="s">
        <v>20</v>
      </c>
      <c r="C88" s="1" t="s">
        <v>2728</v>
      </c>
      <c r="D88" t="str">
        <f>VLOOKUP(Table2[[#This Row],[product]],Ref[#All],7,FALSE)</f>
        <v>Flour</v>
      </c>
      <c r="E88" s="26" t="s">
        <v>36</v>
      </c>
      <c r="F88" t="str">
        <f>VLOOKUP(Table2[[#This Row],[product]],Ref[#All],2,FALSE)</f>
        <v>Flour Import Elngm 25Kg</v>
      </c>
      <c r="G88" t="str">
        <f>VLOOKUP(Table2[[#This Row],[product]],Ref[#All],3,FALSE)</f>
        <v>Flour Al-Nagm (Imported)</v>
      </c>
      <c r="H88" t="str">
        <f>VLOOKUP(Table2[[#This Row],[product]],Ref[#All],4,FALSE)</f>
        <v>Import</v>
      </c>
      <c r="I88" s="29">
        <v>45868</v>
      </c>
      <c r="J88" s="26" t="s">
        <v>53</v>
      </c>
      <c r="K88" s="32" t="s">
        <v>2212</v>
      </c>
      <c r="L88" t="s">
        <v>2281</v>
      </c>
      <c r="M88" t="s">
        <v>1586</v>
      </c>
      <c r="N88" t="s">
        <v>784</v>
      </c>
      <c r="O88" t="s">
        <v>786</v>
      </c>
      <c r="P88" t="s">
        <v>1597</v>
      </c>
      <c r="Q88" t="s">
        <v>2213</v>
      </c>
      <c r="R88">
        <v>-1160</v>
      </c>
      <c r="S88" s="15">
        <f>Table2[[#This Row],[movement_quantity]]/VLOOKUP(Table2[[#This Row],[product]],Ref[#All],5,FALSE)</f>
        <v>-29</v>
      </c>
      <c r="T88" s="32">
        <v>28919.106970000001</v>
      </c>
      <c r="U88" s="32" t="s">
        <v>17</v>
      </c>
      <c r="V88" s="32" t="s">
        <v>18</v>
      </c>
      <c r="W88" s="32" t="s">
        <v>2214</v>
      </c>
      <c r="X88" s="32" t="s">
        <v>17</v>
      </c>
      <c r="Y88" s="32" t="s">
        <v>1289</v>
      </c>
      <c r="Z88" s="32">
        <v>0</v>
      </c>
      <c r="AA88" s="32">
        <v>-33546164.085200001</v>
      </c>
      <c r="AB88" t="str">
        <f>VLOOKUP(Table2[[#This Row],[product]],Ref[#All],6,FALSE)</f>
        <v>BAG25</v>
      </c>
    </row>
    <row r="89" spans="1:28" x14ac:dyDescent="0.25">
      <c r="A89" t="str">
        <f>TEXT(Table2[[#This Row],[dated]],"mmm")</f>
        <v>Jul</v>
      </c>
      <c r="B89" s="28" t="s">
        <v>20</v>
      </c>
      <c r="C89" s="1" t="s">
        <v>2728</v>
      </c>
      <c r="D89" t="str">
        <f>VLOOKUP(Table2[[#This Row],[product]],Ref[#All],7,FALSE)</f>
        <v>Flour</v>
      </c>
      <c r="E89" s="28" t="s">
        <v>36</v>
      </c>
      <c r="F89" t="str">
        <f>VLOOKUP(Table2[[#This Row],[product]],Ref[#All],2,FALSE)</f>
        <v>Flour Import Elngm 25Kg</v>
      </c>
      <c r="G89" t="str">
        <f>VLOOKUP(Table2[[#This Row],[product]],Ref[#All],3,FALSE)</f>
        <v>Flour Al-Nagm (Imported)</v>
      </c>
      <c r="H89" t="str">
        <f>VLOOKUP(Table2[[#This Row],[product]],Ref[#All],4,FALSE)</f>
        <v>Import</v>
      </c>
      <c r="I89" s="1">
        <v>45868</v>
      </c>
      <c r="J89" s="28" t="s">
        <v>53</v>
      </c>
      <c r="K89" t="s">
        <v>2212</v>
      </c>
      <c r="L89" t="s">
        <v>2281</v>
      </c>
      <c r="M89" t="s">
        <v>1586</v>
      </c>
      <c r="N89" t="s">
        <v>784</v>
      </c>
      <c r="O89" t="s">
        <v>786</v>
      </c>
      <c r="P89" t="s">
        <v>1597</v>
      </c>
      <c r="Q89" t="s">
        <v>2213</v>
      </c>
      <c r="R89">
        <v>-1800</v>
      </c>
      <c r="S89" s="15">
        <f>Table2[[#This Row],[movement_quantity]]/VLOOKUP(Table2[[#This Row],[product]],Ref[#All],5,FALSE)</f>
        <v>-45</v>
      </c>
      <c r="T89">
        <v>28919.106970000001</v>
      </c>
      <c r="U89" t="s">
        <v>17</v>
      </c>
      <c r="V89" t="s">
        <v>21</v>
      </c>
      <c r="W89" t="s">
        <v>2214</v>
      </c>
      <c r="X89" t="s">
        <v>17</v>
      </c>
      <c r="Y89" t="s">
        <v>1289</v>
      </c>
      <c r="Z89">
        <v>0</v>
      </c>
      <c r="AA89">
        <v>-52054392.546000004</v>
      </c>
      <c r="AB89" t="str">
        <f>VLOOKUP(Table2[[#This Row],[product]],Ref[#All],6,FALSE)</f>
        <v>BAG25</v>
      </c>
    </row>
    <row r="90" spans="1:28" x14ac:dyDescent="0.25">
      <c r="A90" t="str">
        <f>TEXT(Table2[[#This Row],[dated]],"mmm")</f>
        <v>Jul</v>
      </c>
      <c r="B90" s="26" t="s">
        <v>20</v>
      </c>
      <c r="C90" s="1" t="s">
        <v>2728</v>
      </c>
      <c r="D90" t="str">
        <f>VLOOKUP(Table2[[#This Row],[product]],Ref[#All],7,FALSE)</f>
        <v>Flour</v>
      </c>
      <c r="E90" s="26" t="s">
        <v>36</v>
      </c>
      <c r="F90" t="str">
        <f>VLOOKUP(Table2[[#This Row],[product]],Ref[#All],2,FALSE)</f>
        <v>Flour Import Elngm 25Kg</v>
      </c>
      <c r="G90" t="str">
        <f>VLOOKUP(Table2[[#This Row],[product]],Ref[#All],3,FALSE)</f>
        <v>Flour Al-Nagm (Imported)</v>
      </c>
      <c r="H90" t="str">
        <f>VLOOKUP(Table2[[#This Row],[product]],Ref[#All],4,FALSE)</f>
        <v>Import</v>
      </c>
      <c r="I90" s="29">
        <v>45868</v>
      </c>
      <c r="J90" s="26" t="s">
        <v>53</v>
      </c>
      <c r="K90" s="32" t="s">
        <v>2212</v>
      </c>
      <c r="L90" t="s">
        <v>2281</v>
      </c>
      <c r="M90" t="s">
        <v>1586</v>
      </c>
      <c r="N90" t="s">
        <v>784</v>
      </c>
      <c r="O90" t="s">
        <v>786</v>
      </c>
      <c r="P90" t="s">
        <v>1597</v>
      </c>
      <c r="Q90" t="s">
        <v>2213</v>
      </c>
      <c r="R90">
        <v>-200</v>
      </c>
      <c r="S90" s="15">
        <f>Table2[[#This Row],[movement_quantity]]/VLOOKUP(Table2[[#This Row],[product]],Ref[#All],5,FALSE)</f>
        <v>-5</v>
      </c>
      <c r="T90" s="32">
        <v>28919.106970000001</v>
      </c>
      <c r="U90" s="32" t="s">
        <v>17</v>
      </c>
      <c r="V90" s="32" t="s">
        <v>22</v>
      </c>
      <c r="W90" s="32" t="s">
        <v>2214</v>
      </c>
      <c r="X90" s="32" t="s">
        <v>17</v>
      </c>
      <c r="Y90" s="32" t="s">
        <v>1289</v>
      </c>
      <c r="Z90" s="32">
        <v>0</v>
      </c>
      <c r="AA90" s="32">
        <v>-5783821.3940000003</v>
      </c>
      <c r="AB90" t="str">
        <f>VLOOKUP(Table2[[#This Row],[product]],Ref[#All],6,FALSE)</f>
        <v>BAG25</v>
      </c>
    </row>
    <row r="91" spans="1:28" x14ac:dyDescent="0.25">
      <c r="A91" t="str">
        <f>TEXT(Table2[[#This Row],[dated]],"mmm")</f>
        <v>Jul</v>
      </c>
      <c r="B91" s="28" t="s">
        <v>20</v>
      </c>
      <c r="C91" s="1" t="s">
        <v>2728</v>
      </c>
      <c r="D91" t="str">
        <f>VLOOKUP(Table2[[#This Row],[product]],Ref[#All],7,FALSE)</f>
        <v>Flour</v>
      </c>
      <c r="E91" s="28" t="s">
        <v>36</v>
      </c>
      <c r="F91" t="str">
        <f>VLOOKUP(Table2[[#This Row],[product]],Ref[#All],2,FALSE)</f>
        <v>Flour Import Elngm 25Kg</v>
      </c>
      <c r="G91" t="str">
        <f>VLOOKUP(Table2[[#This Row],[product]],Ref[#All],3,FALSE)</f>
        <v>Flour Al-Nagm (Imported)</v>
      </c>
      <c r="H91" t="str">
        <f>VLOOKUP(Table2[[#This Row],[product]],Ref[#All],4,FALSE)</f>
        <v>Import</v>
      </c>
      <c r="I91" s="1">
        <v>45868</v>
      </c>
      <c r="J91" s="28" t="s">
        <v>53</v>
      </c>
      <c r="K91" t="s">
        <v>2212</v>
      </c>
      <c r="L91" t="s">
        <v>2281</v>
      </c>
      <c r="M91" t="s">
        <v>1586</v>
      </c>
      <c r="N91" t="s">
        <v>784</v>
      </c>
      <c r="O91" t="s">
        <v>786</v>
      </c>
      <c r="P91" t="s">
        <v>1597</v>
      </c>
      <c r="Q91" t="s">
        <v>2213</v>
      </c>
      <c r="R91">
        <v>-1824</v>
      </c>
      <c r="S91" s="15">
        <f>Table2[[#This Row],[movement_quantity]]/VLOOKUP(Table2[[#This Row],[product]],Ref[#All],5,FALSE)</f>
        <v>-45.6</v>
      </c>
      <c r="T91">
        <v>28919.106970000001</v>
      </c>
      <c r="U91" t="s">
        <v>17</v>
      </c>
      <c r="V91" t="s">
        <v>23</v>
      </c>
      <c r="W91" t="s">
        <v>2214</v>
      </c>
      <c r="X91" t="s">
        <v>17</v>
      </c>
      <c r="Y91" t="s">
        <v>1289</v>
      </c>
      <c r="Z91">
        <v>0</v>
      </c>
      <c r="AA91">
        <v>-52748451.113279998</v>
      </c>
      <c r="AB91" t="str">
        <f>VLOOKUP(Table2[[#This Row],[product]],Ref[#All],6,FALSE)</f>
        <v>BAG25</v>
      </c>
    </row>
    <row r="92" spans="1:28" x14ac:dyDescent="0.25">
      <c r="A92" t="str">
        <f>TEXT(Table2[[#This Row],[dated]],"mmm")</f>
        <v>Jul</v>
      </c>
      <c r="B92" s="26" t="s">
        <v>20</v>
      </c>
      <c r="C92" s="1" t="s">
        <v>2728</v>
      </c>
      <c r="D92" t="str">
        <f>VLOOKUP(Table2[[#This Row],[product]],Ref[#All],7,FALSE)</f>
        <v>Flour</v>
      </c>
      <c r="E92" s="26" t="s">
        <v>36</v>
      </c>
      <c r="F92" t="str">
        <f>VLOOKUP(Table2[[#This Row],[product]],Ref[#All],2,FALSE)</f>
        <v>Flour Import Elngm 25Kg</v>
      </c>
      <c r="G92" t="str">
        <f>VLOOKUP(Table2[[#This Row],[product]],Ref[#All],3,FALSE)</f>
        <v>Flour Al-Nagm (Imported)</v>
      </c>
      <c r="H92" t="str">
        <f>VLOOKUP(Table2[[#This Row],[product]],Ref[#All],4,FALSE)</f>
        <v>Import</v>
      </c>
      <c r="I92" s="29">
        <v>45868</v>
      </c>
      <c r="J92" s="26" t="s">
        <v>53</v>
      </c>
      <c r="K92" s="32" t="s">
        <v>2212</v>
      </c>
      <c r="L92" t="s">
        <v>2281</v>
      </c>
      <c r="M92" t="s">
        <v>1586</v>
      </c>
      <c r="N92" t="s">
        <v>784</v>
      </c>
      <c r="O92" t="s">
        <v>786</v>
      </c>
      <c r="P92" t="s">
        <v>1597</v>
      </c>
      <c r="Q92" t="s">
        <v>2213</v>
      </c>
      <c r="R92">
        <v>-176</v>
      </c>
      <c r="S92" s="15">
        <f>Table2[[#This Row],[movement_quantity]]/VLOOKUP(Table2[[#This Row],[product]],Ref[#All],5,FALSE)</f>
        <v>-4.4000000000000004</v>
      </c>
      <c r="T92" s="32">
        <v>28919.106970000001</v>
      </c>
      <c r="U92" s="32" t="s">
        <v>17</v>
      </c>
      <c r="V92" s="32" t="s">
        <v>24</v>
      </c>
      <c r="W92" s="32" t="s">
        <v>2214</v>
      </c>
      <c r="X92" s="32" t="s">
        <v>17</v>
      </c>
      <c r="Y92" s="32" t="s">
        <v>1289</v>
      </c>
      <c r="Z92" s="32">
        <v>0</v>
      </c>
      <c r="AA92" s="32">
        <v>-5089762.8267200002</v>
      </c>
      <c r="AB92" t="str">
        <f>VLOOKUP(Table2[[#This Row],[product]],Ref[#All],6,FALSE)</f>
        <v>BAG25</v>
      </c>
    </row>
    <row r="93" spans="1:28" x14ac:dyDescent="0.25">
      <c r="A93" t="str">
        <f>TEXT(Table2[[#This Row],[dated]],"mmm")</f>
        <v>Jul</v>
      </c>
      <c r="B93" s="28" t="s">
        <v>20</v>
      </c>
      <c r="C93" s="1" t="s">
        <v>2728</v>
      </c>
      <c r="D93" t="str">
        <f>VLOOKUP(Table2[[#This Row],[product]],Ref[#All],7,FALSE)</f>
        <v>Flour</v>
      </c>
      <c r="E93" s="28" t="s">
        <v>36</v>
      </c>
      <c r="F93" t="str">
        <f>VLOOKUP(Table2[[#This Row],[product]],Ref[#All],2,FALSE)</f>
        <v>Flour Import Elngm 25Kg</v>
      </c>
      <c r="G93" t="str">
        <f>VLOOKUP(Table2[[#This Row],[product]],Ref[#All],3,FALSE)</f>
        <v>Flour Al-Nagm (Imported)</v>
      </c>
      <c r="H93" t="str">
        <f>VLOOKUP(Table2[[#This Row],[product]],Ref[#All],4,FALSE)</f>
        <v>Import</v>
      </c>
      <c r="I93" s="1">
        <v>45868</v>
      </c>
      <c r="J93" s="28" t="s">
        <v>53</v>
      </c>
      <c r="K93" t="s">
        <v>2212</v>
      </c>
      <c r="L93" t="s">
        <v>2281</v>
      </c>
      <c r="M93" t="s">
        <v>1586</v>
      </c>
      <c r="N93" t="s">
        <v>784</v>
      </c>
      <c r="O93" t="s">
        <v>786</v>
      </c>
      <c r="P93" t="s">
        <v>1597</v>
      </c>
      <c r="Q93" t="s">
        <v>2213</v>
      </c>
      <c r="R93">
        <v>-1800</v>
      </c>
      <c r="S93" s="15">
        <f>Table2[[#This Row],[movement_quantity]]/VLOOKUP(Table2[[#This Row],[product]],Ref[#All],5,FALSE)</f>
        <v>-45</v>
      </c>
      <c r="T93">
        <v>28919.106970000001</v>
      </c>
      <c r="U93" t="s">
        <v>17</v>
      </c>
      <c r="V93" t="s">
        <v>25</v>
      </c>
      <c r="W93" t="s">
        <v>2214</v>
      </c>
      <c r="X93" t="s">
        <v>17</v>
      </c>
      <c r="Y93" t="s">
        <v>1289</v>
      </c>
      <c r="Z93">
        <v>0</v>
      </c>
      <c r="AA93">
        <v>-52054392.546000004</v>
      </c>
      <c r="AB93" t="str">
        <f>VLOOKUP(Table2[[#This Row],[product]],Ref[#All],6,FALSE)</f>
        <v>BAG25</v>
      </c>
    </row>
    <row r="94" spans="1:28" x14ac:dyDescent="0.25">
      <c r="A94" t="str">
        <f>TEXT(Table2[[#This Row],[dated]],"mmm")</f>
        <v>Jul</v>
      </c>
      <c r="B94" s="26" t="s">
        <v>20</v>
      </c>
      <c r="C94" s="1" t="s">
        <v>2728</v>
      </c>
      <c r="D94" t="str">
        <f>VLOOKUP(Table2[[#This Row],[product]],Ref[#All],7,FALSE)</f>
        <v>Flour</v>
      </c>
      <c r="E94" s="26" t="s">
        <v>36</v>
      </c>
      <c r="F94" t="str">
        <f>VLOOKUP(Table2[[#This Row],[product]],Ref[#All],2,FALSE)</f>
        <v>Flour Import Elngm 25Kg</v>
      </c>
      <c r="G94" t="str">
        <f>VLOOKUP(Table2[[#This Row],[product]],Ref[#All],3,FALSE)</f>
        <v>Flour Al-Nagm (Imported)</v>
      </c>
      <c r="H94" t="str">
        <f>VLOOKUP(Table2[[#This Row],[product]],Ref[#All],4,FALSE)</f>
        <v>Import</v>
      </c>
      <c r="I94" s="29">
        <v>45868</v>
      </c>
      <c r="J94" s="26" t="s">
        <v>53</v>
      </c>
      <c r="K94" s="32" t="s">
        <v>2212</v>
      </c>
      <c r="L94" t="s">
        <v>2281</v>
      </c>
      <c r="M94" t="s">
        <v>1586</v>
      </c>
      <c r="N94" t="s">
        <v>784</v>
      </c>
      <c r="O94" t="s">
        <v>786</v>
      </c>
      <c r="P94" t="s">
        <v>1597</v>
      </c>
      <c r="Q94" t="s">
        <v>2213</v>
      </c>
      <c r="R94">
        <v>-200</v>
      </c>
      <c r="S94" s="15">
        <f>Table2[[#This Row],[movement_quantity]]/VLOOKUP(Table2[[#This Row],[product]],Ref[#All],5,FALSE)</f>
        <v>-5</v>
      </c>
      <c r="T94" s="32">
        <v>28919.106970000001</v>
      </c>
      <c r="U94" s="32" t="s">
        <v>17</v>
      </c>
      <c r="V94" s="32" t="s">
        <v>26</v>
      </c>
      <c r="W94" s="32" t="s">
        <v>2214</v>
      </c>
      <c r="X94" s="32" t="s">
        <v>17</v>
      </c>
      <c r="Y94" s="32" t="s">
        <v>1289</v>
      </c>
      <c r="Z94" s="32">
        <v>0</v>
      </c>
      <c r="AA94" s="32">
        <v>-5783821.3940000003</v>
      </c>
      <c r="AB94" t="str">
        <f>VLOOKUP(Table2[[#This Row],[product]],Ref[#All],6,FALSE)</f>
        <v>BAG25</v>
      </c>
    </row>
    <row r="95" spans="1:28" x14ac:dyDescent="0.25">
      <c r="A95" t="str">
        <f>TEXT(Table2[[#This Row],[dated]],"mmm")</f>
        <v>Jul</v>
      </c>
      <c r="B95" s="28" t="s">
        <v>20</v>
      </c>
      <c r="C95" s="1" t="s">
        <v>2728</v>
      </c>
      <c r="D95" t="str">
        <f>VLOOKUP(Table2[[#This Row],[product]],Ref[#All],7,FALSE)</f>
        <v>Flour</v>
      </c>
      <c r="E95" s="28" t="s">
        <v>36</v>
      </c>
      <c r="F95" t="str">
        <f>VLOOKUP(Table2[[#This Row],[product]],Ref[#All],2,FALSE)</f>
        <v>Flour Import Elngm 25Kg</v>
      </c>
      <c r="G95" t="str">
        <f>VLOOKUP(Table2[[#This Row],[product]],Ref[#All],3,FALSE)</f>
        <v>Flour Al-Nagm (Imported)</v>
      </c>
      <c r="H95" t="str">
        <f>VLOOKUP(Table2[[#This Row],[product]],Ref[#All],4,FALSE)</f>
        <v>Import</v>
      </c>
      <c r="I95" s="1">
        <v>45868</v>
      </c>
      <c r="J95" s="28" t="s">
        <v>53</v>
      </c>
      <c r="K95" t="s">
        <v>2212</v>
      </c>
      <c r="L95" t="s">
        <v>2281</v>
      </c>
      <c r="M95" t="s">
        <v>1586</v>
      </c>
      <c r="N95" t="s">
        <v>784</v>
      </c>
      <c r="O95" t="s">
        <v>786</v>
      </c>
      <c r="P95" t="s">
        <v>1597</v>
      </c>
      <c r="Q95" t="s">
        <v>2213</v>
      </c>
      <c r="R95">
        <v>-600</v>
      </c>
      <c r="S95" s="15">
        <f>Table2[[#This Row],[movement_quantity]]/VLOOKUP(Table2[[#This Row],[product]],Ref[#All],5,FALSE)</f>
        <v>-15</v>
      </c>
      <c r="T95">
        <v>28919.106970000001</v>
      </c>
      <c r="U95" t="s">
        <v>17</v>
      </c>
      <c r="V95" t="s">
        <v>27</v>
      </c>
      <c r="W95" t="s">
        <v>2214</v>
      </c>
      <c r="X95" t="s">
        <v>17</v>
      </c>
      <c r="Y95" t="s">
        <v>1289</v>
      </c>
      <c r="Z95">
        <v>0</v>
      </c>
      <c r="AA95">
        <v>-17351464.182</v>
      </c>
      <c r="AB95" t="str">
        <f>VLOOKUP(Table2[[#This Row],[product]],Ref[#All],6,FALSE)</f>
        <v>BAG25</v>
      </c>
    </row>
    <row r="96" spans="1:28" x14ac:dyDescent="0.25">
      <c r="A96" t="str">
        <f>TEXT(Table2[[#This Row],[dated]],"mmm")</f>
        <v>Jul</v>
      </c>
      <c r="B96" s="26" t="s">
        <v>20</v>
      </c>
      <c r="C96" s="1" t="s">
        <v>2728</v>
      </c>
      <c r="D96" t="str">
        <f>VLOOKUP(Table2[[#This Row],[product]],Ref[#All],7,FALSE)</f>
        <v>Flour</v>
      </c>
      <c r="E96" s="26" t="s">
        <v>36</v>
      </c>
      <c r="F96" t="str">
        <f>VLOOKUP(Table2[[#This Row],[product]],Ref[#All],2,FALSE)</f>
        <v>Flour Import Elngm 25Kg</v>
      </c>
      <c r="G96" t="str">
        <f>VLOOKUP(Table2[[#This Row],[product]],Ref[#All],3,FALSE)</f>
        <v>Flour Al-Nagm (Imported)</v>
      </c>
      <c r="H96" t="str">
        <f>VLOOKUP(Table2[[#This Row],[product]],Ref[#All],4,FALSE)</f>
        <v>Import</v>
      </c>
      <c r="I96" s="29">
        <v>45868</v>
      </c>
      <c r="J96" s="26" t="s">
        <v>53</v>
      </c>
      <c r="K96" s="32" t="s">
        <v>2212</v>
      </c>
      <c r="L96" t="s">
        <v>2281</v>
      </c>
      <c r="M96" t="s">
        <v>1586</v>
      </c>
      <c r="N96" t="s">
        <v>784</v>
      </c>
      <c r="O96" t="s">
        <v>786</v>
      </c>
      <c r="P96" t="s">
        <v>1597</v>
      </c>
      <c r="Q96" t="s">
        <v>2213</v>
      </c>
      <c r="R96">
        <v>-1338</v>
      </c>
      <c r="S96" s="15">
        <f>Table2[[#This Row],[movement_quantity]]/VLOOKUP(Table2[[#This Row],[product]],Ref[#All],5,FALSE)</f>
        <v>-33.450000000000003</v>
      </c>
      <c r="T96" s="32">
        <v>28919.106970000001</v>
      </c>
      <c r="U96" s="32" t="s">
        <v>17</v>
      </c>
      <c r="V96" s="32" t="s">
        <v>28</v>
      </c>
      <c r="W96" s="32" t="s">
        <v>2214</v>
      </c>
      <c r="X96" s="32" t="s">
        <v>17</v>
      </c>
      <c r="Y96" s="32" t="s">
        <v>1289</v>
      </c>
      <c r="Z96" s="32">
        <v>0</v>
      </c>
      <c r="AA96" s="32">
        <v>-38693765.125859998</v>
      </c>
      <c r="AB96" t="str">
        <f>VLOOKUP(Table2[[#This Row],[product]],Ref[#All],6,FALSE)</f>
        <v>BAG25</v>
      </c>
    </row>
    <row r="97" spans="1:28" x14ac:dyDescent="0.25">
      <c r="A97" t="str">
        <f>TEXT(Table2[[#This Row],[dated]],"mmm")</f>
        <v>Jul</v>
      </c>
      <c r="B97" t="s">
        <v>20</v>
      </c>
      <c r="C97" s="1" t="s">
        <v>2728</v>
      </c>
      <c r="D97" t="str">
        <f>VLOOKUP(Table2[[#This Row],[product]],Ref[#All],7,FALSE)</f>
        <v>Flour</v>
      </c>
      <c r="E97" s="1" t="s">
        <v>36</v>
      </c>
      <c r="F97" t="str">
        <f>VLOOKUP(Table2[[#This Row],[product]],Ref[#All],2,FALSE)</f>
        <v>Flour Import Elngm 25Kg</v>
      </c>
      <c r="G97" t="str">
        <f>VLOOKUP(Table2[[#This Row],[product]],Ref[#All],3,FALSE)</f>
        <v>Flour Al-Nagm (Imported)</v>
      </c>
      <c r="H97" t="str">
        <f>VLOOKUP(Table2[[#This Row],[product]],Ref[#All],4,FALSE)</f>
        <v>Import</v>
      </c>
      <c r="I97" s="1">
        <v>45853</v>
      </c>
      <c r="J97" t="s">
        <v>53</v>
      </c>
      <c r="K97" t="s">
        <v>1972</v>
      </c>
      <c r="L97" t="s">
        <v>2280</v>
      </c>
      <c r="M97" t="s">
        <v>1586</v>
      </c>
      <c r="N97" t="s">
        <v>784</v>
      </c>
      <c r="O97" t="s">
        <v>1586</v>
      </c>
      <c r="P97" t="s">
        <v>788</v>
      </c>
      <c r="Q97" t="s">
        <v>55</v>
      </c>
      <c r="R97">
        <v>-74</v>
      </c>
      <c r="S97" s="15">
        <f>Table2[[#This Row],[movement_quantity]]/VLOOKUP(Table2[[#This Row],[product]],Ref[#All],5,FALSE)</f>
        <v>-1.85</v>
      </c>
      <c r="T97">
        <v>28919.106970000001</v>
      </c>
      <c r="U97" t="s">
        <v>17</v>
      </c>
      <c r="V97" t="s">
        <v>18</v>
      </c>
      <c r="W97" t="s">
        <v>1973</v>
      </c>
      <c r="X97" t="s">
        <v>17</v>
      </c>
      <c r="Y97" s="2" t="s">
        <v>1289</v>
      </c>
      <c r="Z97">
        <v>0</v>
      </c>
      <c r="AA97" s="2">
        <v>-2140013.9157799999</v>
      </c>
      <c r="AB97" t="str">
        <f>VLOOKUP(Table2[[#This Row],[product]],Ref[#All],6,FALSE)</f>
        <v>BAG25</v>
      </c>
    </row>
    <row r="98" spans="1:28" x14ac:dyDescent="0.25">
      <c r="A98" t="str">
        <f>TEXT(Table2[[#This Row],[dated]],"mmm")</f>
        <v>Jul</v>
      </c>
      <c r="B98" t="s">
        <v>20</v>
      </c>
      <c r="C98" s="1" t="s">
        <v>2728</v>
      </c>
      <c r="D98" t="str">
        <f>VLOOKUP(Table2[[#This Row],[product]],Ref[#All],7,FALSE)</f>
        <v>Flour</v>
      </c>
      <c r="E98" s="1" t="s">
        <v>36</v>
      </c>
      <c r="F98" t="str">
        <f>VLOOKUP(Table2[[#This Row],[product]],Ref[#All],2,FALSE)</f>
        <v>Flour Import Elngm 25Kg</v>
      </c>
      <c r="G98" t="str">
        <f>VLOOKUP(Table2[[#This Row],[product]],Ref[#All],3,FALSE)</f>
        <v>Flour Al-Nagm (Imported)</v>
      </c>
      <c r="H98" t="str">
        <f>VLOOKUP(Table2[[#This Row],[product]],Ref[#All],4,FALSE)</f>
        <v>Import</v>
      </c>
      <c r="I98" s="1">
        <v>45853</v>
      </c>
      <c r="J98" t="s">
        <v>53</v>
      </c>
      <c r="K98" t="s">
        <v>1980</v>
      </c>
      <c r="L98" t="s">
        <v>2280</v>
      </c>
      <c r="M98" t="s">
        <v>1586</v>
      </c>
      <c r="N98" t="s">
        <v>784</v>
      </c>
      <c r="O98" t="s">
        <v>786</v>
      </c>
      <c r="P98" t="s">
        <v>1597</v>
      </c>
      <c r="Q98" t="s">
        <v>55</v>
      </c>
      <c r="R98">
        <v>-35</v>
      </c>
      <c r="S98" s="15">
        <f>Table2[[#This Row],[movement_quantity]]/VLOOKUP(Table2[[#This Row],[product]],Ref[#All],5,FALSE)</f>
        <v>-0.875</v>
      </c>
      <c r="T98">
        <v>28919.106970000001</v>
      </c>
      <c r="U98" t="s">
        <v>17</v>
      </c>
      <c r="V98" t="s">
        <v>24</v>
      </c>
      <c r="W98" t="s">
        <v>1981</v>
      </c>
      <c r="X98" t="s">
        <v>17</v>
      </c>
      <c r="Y98" s="23" t="s">
        <v>1289</v>
      </c>
      <c r="Z98">
        <v>0</v>
      </c>
      <c r="AA98" s="23">
        <v>-1012168.74395</v>
      </c>
      <c r="AB98" t="str">
        <f>VLOOKUP(Table2[[#This Row],[product]],Ref[#All],6,FALSE)</f>
        <v>BAG25</v>
      </c>
    </row>
    <row r="99" spans="1:28" x14ac:dyDescent="0.25">
      <c r="A99" t="str">
        <f>TEXT(Table2[[#This Row],[dated]],"mmm")</f>
        <v>Jul</v>
      </c>
      <c r="B99" s="28" t="s">
        <v>20</v>
      </c>
      <c r="C99" s="1" t="s">
        <v>2728</v>
      </c>
      <c r="D99" t="str">
        <f>VLOOKUP(Table2[[#This Row],[product]],Ref[#All],7,FALSE)</f>
        <v>Flour</v>
      </c>
      <c r="E99" s="28" t="s">
        <v>36</v>
      </c>
      <c r="F99" t="str">
        <f>VLOOKUP(Table2[[#This Row],[product]],Ref[#All],2,FALSE)</f>
        <v>Flour Import Elngm 25Kg</v>
      </c>
      <c r="G99" t="str">
        <f>VLOOKUP(Table2[[#This Row],[product]],Ref[#All],3,FALSE)</f>
        <v>Flour Al-Nagm (Imported)</v>
      </c>
      <c r="H99" t="str">
        <f>VLOOKUP(Table2[[#This Row],[product]],Ref[#All],4,FALSE)</f>
        <v>Import</v>
      </c>
      <c r="I99" s="1">
        <v>45869</v>
      </c>
      <c r="J99" t="s">
        <v>53</v>
      </c>
      <c r="K99" t="s">
        <v>1460</v>
      </c>
      <c r="L99" t="s">
        <v>2533</v>
      </c>
      <c r="M99" t="s">
        <v>1586</v>
      </c>
      <c r="N99" t="s">
        <v>784</v>
      </c>
      <c r="O99" t="s">
        <v>786</v>
      </c>
      <c r="P99" t="s">
        <v>1597</v>
      </c>
      <c r="Q99" t="s">
        <v>2213</v>
      </c>
      <c r="R99">
        <v>-127</v>
      </c>
      <c r="S99" s="15">
        <f>Table2[[#This Row],[movement_quantity]]/VLOOKUP(Table2[[#This Row],[product]],Ref[#All],5,FALSE)</f>
        <v>-3.1749999999999998</v>
      </c>
      <c r="T99">
        <v>28919.106970000001</v>
      </c>
      <c r="U99" t="s">
        <v>17</v>
      </c>
      <c r="V99" t="s">
        <v>21</v>
      </c>
      <c r="W99" t="s">
        <v>2403</v>
      </c>
      <c r="X99" t="s">
        <v>17</v>
      </c>
      <c r="Y99" s="2" t="s">
        <v>1289</v>
      </c>
      <c r="Z99">
        <v>0</v>
      </c>
      <c r="AA99" s="2">
        <v>-3672726.58519</v>
      </c>
      <c r="AB99" t="str">
        <f>VLOOKUP(Table2[[#This Row],[product]],Ref[#All],6,FALSE)</f>
        <v>BAG25</v>
      </c>
    </row>
    <row r="100" spans="1:28" x14ac:dyDescent="0.25">
      <c r="A100" t="str">
        <f>TEXT(Table2[[#This Row],[dated]],"mmm")</f>
        <v>Jul</v>
      </c>
      <c r="B100" s="28" t="s">
        <v>20</v>
      </c>
      <c r="C100" s="1" t="s">
        <v>2728</v>
      </c>
      <c r="D100" t="str">
        <f>VLOOKUP(Table2[[#This Row],[product]],Ref[#All],7,FALSE)</f>
        <v>Flour</v>
      </c>
      <c r="E100" s="28" t="s">
        <v>36</v>
      </c>
      <c r="F100" t="str">
        <f>VLOOKUP(Table2[[#This Row],[product]],Ref[#All],2,FALSE)</f>
        <v>Flour Import Elngm 25Kg</v>
      </c>
      <c r="G100" t="str">
        <f>VLOOKUP(Table2[[#This Row],[product]],Ref[#All],3,FALSE)</f>
        <v>Flour Al-Nagm (Imported)</v>
      </c>
      <c r="H100" t="str">
        <f>VLOOKUP(Table2[[#This Row],[product]],Ref[#All],4,FALSE)</f>
        <v>Import</v>
      </c>
      <c r="I100" s="1">
        <v>45869</v>
      </c>
      <c r="J100" t="s">
        <v>53</v>
      </c>
      <c r="K100" t="s">
        <v>1460</v>
      </c>
      <c r="L100" t="s">
        <v>2533</v>
      </c>
      <c r="M100" t="s">
        <v>1586</v>
      </c>
      <c r="N100" t="s">
        <v>784</v>
      </c>
      <c r="O100" t="s">
        <v>786</v>
      </c>
      <c r="P100" t="s">
        <v>1597</v>
      </c>
      <c r="Q100" t="s">
        <v>2213</v>
      </c>
      <c r="R100">
        <v>-3</v>
      </c>
      <c r="S100" s="15">
        <f>Table2[[#This Row],[movement_quantity]]/VLOOKUP(Table2[[#This Row],[product]],Ref[#All],5,FALSE)</f>
        <v>-7.4999999999999997E-2</v>
      </c>
      <c r="T100">
        <v>28919.106970000001</v>
      </c>
      <c r="U100" t="s">
        <v>17</v>
      </c>
      <c r="V100" t="s">
        <v>22</v>
      </c>
      <c r="W100" t="s">
        <v>2403</v>
      </c>
      <c r="X100" t="s">
        <v>17</v>
      </c>
      <c r="Y100" s="2" t="s">
        <v>1289</v>
      </c>
      <c r="Z100">
        <v>0</v>
      </c>
      <c r="AA100" s="2">
        <v>-86757.320910000009</v>
      </c>
      <c r="AB100" t="str">
        <f>VLOOKUP(Table2[[#This Row],[product]],Ref[#All],6,FALSE)</f>
        <v>BAG25</v>
      </c>
    </row>
    <row r="101" spans="1:28" x14ac:dyDescent="0.25">
      <c r="A101" t="str">
        <f>TEXT(Table2[[#This Row],[dated]],"mmm")</f>
        <v>Aug</v>
      </c>
      <c r="B101" s="28" t="s">
        <v>811</v>
      </c>
      <c r="C101" s="1" t="s">
        <v>2728</v>
      </c>
      <c r="D101" t="str">
        <f>VLOOKUP(Table2[[#This Row],[product]],Ref[#All],7,FALSE)</f>
        <v>Flour</v>
      </c>
      <c r="E101" s="28" t="s">
        <v>36</v>
      </c>
      <c r="F101" t="str">
        <f>VLOOKUP(Table2[[#This Row],[product]],Ref[#All],2,FALSE)</f>
        <v>Flour Import Elngm 25Kg</v>
      </c>
      <c r="G101" t="str">
        <f>VLOOKUP(Table2[[#This Row],[product]],Ref[#All],3,FALSE)</f>
        <v>Flour Al-Nagm (Imported)</v>
      </c>
      <c r="H101" t="str">
        <f>VLOOKUP(Table2[[#This Row],[product]],Ref[#All],4,FALSE)</f>
        <v>Import</v>
      </c>
      <c r="I101" s="1">
        <v>45880</v>
      </c>
      <c r="J101" t="s">
        <v>53</v>
      </c>
      <c r="K101" t="s">
        <v>2321</v>
      </c>
      <c r="L101" t="s">
        <v>2548</v>
      </c>
      <c r="M101" t="s">
        <v>1586</v>
      </c>
      <c r="N101" t="s">
        <v>784</v>
      </c>
      <c r="O101" t="s">
        <v>786</v>
      </c>
      <c r="P101" t="s">
        <v>1598</v>
      </c>
      <c r="Q101" t="s">
        <v>55</v>
      </c>
      <c r="R101">
        <v>-9</v>
      </c>
      <c r="S101" s="15">
        <f>Table2[[#This Row],[movement_quantity]]/VLOOKUP(Table2[[#This Row],[product]],Ref[#All],5,FALSE)</f>
        <v>-0.22500000000000001</v>
      </c>
      <c r="T101">
        <v>37596.649819999999</v>
      </c>
      <c r="U101" t="s">
        <v>17</v>
      </c>
      <c r="V101" t="s">
        <v>18</v>
      </c>
      <c r="W101" t="s">
        <v>2430</v>
      </c>
      <c r="X101" t="s">
        <v>17</v>
      </c>
      <c r="Y101" s="2" t="s">
        <v>871</v>
      </c>
      <c r="Z101">
        <v>0</v>
      </c>
      <c r="AA101" s="2">
        <v>-338369.84837999998</v>
      </c>
      <c r="AB101" t="str">
        <f>VLOOKUP(Table2[[#This Row],[product]],Ref[#All],6,FALSE)</f>
        <v>BAG25</v>
      </c>
    </row>
    <row r="102" spans="1:28" x14ac:dyDescent="0.25">
      <c r="A102" t="str">
        <f>TEXT(Table2[[#This Row],[dated]],"mmm")</f>
        <v>Aug</v>
      </c>
      <c r="B102" s="28" t="s">
        <v>811</v>
      </c>
      <c r="C102" s="1" t="s">
        <v>2728</v>
      </c>
      <c r="D102" t="str">
        <f>VLOOKUP(Table2[[#This Row],[product]],Ref[#All],7,FALSE)</f>
        <v>Flour</v>
      </c>
      <c r="E102" s="28" t="s">
        <v>36</v>
      </c>
      <c r="F102" t="str">
        <f>VLOOKUP(Table2[[#This Row],[product]],Ref[#All],2,FALSE)</f>
        <v>Flour Import Elngm 25Kg</v>
      </c>
      <c r="G102" t="str">
        <f>VLOOKUP(Table2[[#This Row],[product]],Ref[#All],3,FALSE)</f>
        <v>Flour Al-Nagm (Imported)</v>
      </c>
      <c r="H102" t="str">
        <f>VLOOKUP(Table2[[#This Row],[product]],Ref[#All],4,FALSE)</f>
        <v>Import</v>
      </c>
      <c r="I102" s="1">
        <v>45880</v>
      </c>
      <c r="J102" t="s">
        <v>53</v>
      </c>
      <c r="K102" t="s">
        <v>2321</v>
      </c>
      <c r="L102" t="s">
        <v>2548</v>
      </c>
      <c r="M102" t="s">
        <v>1586</v>
      </c>
      <c r="N102" t="s">
        <v>784</v>
      </c>
      <c r="O102" t="s">
        <v>786</v>
      </c>
      <c r="P102" t="s">
        <v>1598</v>
      </c>
      <c r="Q102" t="s">
        <v>55</v>
      </c>
      <c r="R102">
        <v>-7</v>
      </c>
      <c r="S102" s="15">
        <f>Table2[[#This Row],[movement_quantity]]/VLOOKUP(Table2[[#This Row],[product]],Ref[#All],5,FALSE)</f>
        <v>-0.17499999999999999</v>
      </c>
      <c r="T102">
        <v>37596.649819999999</v>
      </c>
      <c r="U102" t="s">
        <v>17</v>
      </c>
      <c r="V102" t="s">
        <v>21</v>
      </c>
      <c r="W102" t="s">
        <v>2430</v>
      </c>
      <c r="X102" t="s">
        <v>17</v>
      </c>
      <c r="Y102" s="2" t="s">
        <v>2408</v>
      </c>
      <c r="Z102">
        <v>0</v>
      </c>
      <c r="AA102" s="2">
        <v>-263176.54874</v>
      </c>
      <c r="AB102" t="str">
        <f>VLOOKUP(Table2[[#This Row],[product]],Ref[#All],6,FALSE)</f>
        <v>BAG25</v>
      </c>
    </row>
    <row r="103" spans="1:28" x14ac:dyDescent="0.25">
      <c r="A103" t="str">
        <f>TEXT(Table2[[#This Row],[dated]],"mmm")</f>
        <v>Aug</v>
      </c>
      <c r="B103" s="28" t="s">
        <v>811</v>
      </c>
      <c r="C103" s="1" t="s">
        <v>2728</v>
      </c>
      <c r="D103" t="str">
        <f>VLOOKUP(Table2[[#This Row],[product]],Ref[#All],7,FALSE)</f>
        <v>Flour</v>
      </c>
      <c r="E103" s="28" t="s">
        <v>36</v>
      </c>
      <c r="F103" t="str">
        <f>VLOOKUP(Table2[[#This Row],[product]],Ref[#All],2,FALSE)</f>
        <v>Flour Import Elngm 25Kg</v>
      </c>
      <c r="G103" t="str">
        <f>VLOOKUP(Table2[[#This Row],[product]],Ref[#All],3,FALSE)</f>
        <v>Flour Al-Nagm (Imported)</v>
      </c>
      <c r="H103" t="str">
        <f>VLOOKUP(Table2[[#This Row],[product]],Ref[#All],4,FALSE)</f>
        <v>Import</v>
      </c>
      <c r="I103" s="1">
        <v>45880</v>
      </c>
      <c r="J103" t="s">
        <v>53</v>
      </c>
      <c r="K103" t="s">
        <v>2322</v>
      </c>
      <c r="L103" s="32" t="s">
        <v>2549</v>
      </c>
      <c r="M103" t="s">
        <v>1586</v>
      </c>
      <c r="N103" t="s">
        <v>784</v>
      </c>
      <c r="O103" t="s">
        <v>786</v>
      </c>
      <c r="P103" t="s">
        <v>1598</v>
      </c>
      <c r="Q103" t="s">
        <v>55</v>
      </c>
      <c r="R103">
        <v>-3</v>
      </c>
      <c r="S103" s="15">
        <f>Table2[[#This Row],[movement_quantity]]/VLOOKUP(Table2[[#This Row],[product]],Ref[#All],5,FALSE)</f>
        <v>-7.4999999999999997E-2</v>
      </c>
      <c r="T103">
        <v>37596.649819999999</v>
      </c>
      <c r="U103" t="s">
        <v>17</v>
      </c>
      <c r="V103" t="s">
        <v>22</v>
      </c>
      <c r="W103" t="s">
        <v>2431</v>
      </c>
      <c r="X103" t="s">
        <v>17</v>
      </c>
      <c r="Y103" s="2" t="s">
        <v>2408</v>
      </c>
      <c r="Z103">
        <v>0</v>
      </c>
      <c r="AA103" s="2">
        <v>-112789.94946</v>
      </c>
      <c r="AB103" t="str">
        <f>VLOOKUP(Table2[[#This Row],[product]],Ref[#All],6,FALSE)</f>
        <v>BAG25</v>
      </c>
    </row>
    <row r="104" spans="1:28" x14ac:dyDescent="0.25">
      <c r="A104" t="str">
        <f>TEXT(Table2[[#This Row],[dated]],"mmm")</f>
        <v>Aug</v>
      </c>
      <c r="B104" s="28" t="s">
        <v>811</v>
      </c>
      <c r="C104" s="1" t="s">
        <v>2728</v>
      </c>
      <c r="D104" t="str">
        <f>VLOOKUP(Table2[[#This Row],[product]],Ref[#All],7,FALSE)</f>
        <v>Flour</v>
      </c>
      <c r="E104" s="28" t="s">
        <v>36</v>
      </c>
      <c r="F104" t="str">
        <f>VLOOKUP(Table2[[#This Row],[product]],Ref[#All],2,FALSE)</f>
        <v>Flour Import Elngm 25Kg</v>
      </c>
      <c r="G104" t="str">
        <f>VLOOKUP(Table2[[#This Row],[product]],Ref[#All],3,FALSE)</f>
        <v>Flour Al-Nagm (Imported)</v>
      </c>
      <c r="H104" t="str">
        <f>VLOOKUP(Table2[[#This Row],[product]],Ref[#All],4,FALSE)</f>
        <v>Import</v>
      </c>
      <c r="I104" s="1">
        <v>45880</v>
      </c>
      <c r="J104" t="s">
        <v>53</v>
      </c>
      <c r="K104" t="s">
        <v>2323</v>
      </c>
      <c r="L104" s="32" t="s">
        <v>2547</v>
      </c>
      <c r="M104" t="s">
        <v>1586</v>
      </c>
      <c r="N104" t="s">
        <v>784</v>
      </c>
      <c r="O104" t="s">
        <v>786</v>
      </c>
      <c r="P104" t="s">
        <v>1598</v>
      </c>
      <c r="Q104" t="s">
        <v>55</v>
      </c>
      <c r="R104">
        <v>-1</v>
      </c>
      <c r="S104" s="15">
        <f>Table2[[#This Row],[movement_quantity]]/VLOOKUP(Table2[[#This Row],[product]],Ref[#All],5,FALSE)</f>
        <v>-2.5000000000000001E-2</v>
      </c>
      <c r="T104">
        <v>37596.649819999999</v>
      </c>
      <c r="U104" t="s">
        <v>17</v>
      </c>
      <c r="V104" t="s">
        <v>23</v>
      </c>
      <c r="W104" t="s">
        <v>2432</v>
      </c>
      <c r="X104" t="s">
        <v>17</v>
      </c>
      <c r="Y104" s="2" t="s">
        <v>2408</v>
      </c>
      <c r="Z104">
        <v>0</v>
      </c>
      <c r="AA104" s="2">
        <v>-37596.649819999999</v>
      </c>
      <c r="AB104" t="str">
        <f>VLOOKUP(Table2[[#This Row],[product]],Ref[#All],6,FALSE)</f>
        <v>BAG25</v>
      </c>
    </row>
    <row r="105" spans="1:28" x14ac:dyDescent="0.25">
      <c r="A105" t="str">
        <f>TEXT(Table2[[#This Row],[dated]],"mmm")</f>
        <v>Aug</v>
      </c>
      <c r="B105" s="28" t="s">
        <v>811</v>
      </c>
      <c r="C105" s="1" t="s">
        <v>2728</v>
      </c>
      <c r="D105" t="str">
        <f>VLOOKUP(Table2[[#This Row],[product]],Ref[#All],7,FALSE)</f>
        <v>Flour</v>
      </c>
      <c r="E105" s="28" t="s">
        <v>36</v>
      </c>
      <c r="F105" t="str">
        <f>VLOOKUP(Table2[[#This Row],[product]],Ref[#All],2,FALSE)</f>
        <v>Flour Import Elngm 25Kg</v>
      </c>
      <c r="G105" t="str">
        <f>VLOOKUP(Table2[[#This Row],[product]],Ref[#All],3,FALSE)</f>
        <v>Flour Al-Nagm (Imported)</v>
      </c>
      <c r="H105" t="str">
        <f>VLOOKUP(Table2[[#This Row],[product]],Ref[#All],4,FALSE)</f>
        <v>Import</v>
      </c>
      <c r="I105" s="1">
        <v>45880</v>
      </c>
      <c r="J105" t="s">
        <v>53</v>
      </c>
      <c r="K105" t="s">
        <v>2324</v>
      </c>
      <c r="L105" t="s">
        <v>2548</v>
      </c>
      <c r="M105" t="s">
        <v>1586</v>
      </c>
      <c r="N105" t="s">
        <v>784</v>
      </c>
      <c r="O105" t="s">
        <v>786</v>
      </c>
      <c r="P105" t="s">
        <v>1598</v>
      </c>
      <c r="Q105" t="s">
        <v>55</v>
      </c>
      <c r="R105">
        <v>-6</v>
      </c>
      <c r="S105" s="15">
        <f>Table2[[#This Row],[movement_quantity]]/VLOOKUP(Table2[[#This Row],[product]],Ref[#All],5,FALSE)</f>
        <v>-0.15</v>
      </c>
      <c r="T105">
        <v>37596.649819999999</v>
      </c>
      <c r="U105" t="s">
        <v>17</v>
      </c>
      <c r="V105" t="s">
        <v>24</v>
      </c>
      <c r="W105" t="s">
        <v>2433</v>
      </c>
      <c r="X105" t="s">
        <v>17</v>
      </c>
      <c r="Y105" s="2" t="s">
        <v>2408</v>
      </c>
      <c r="Z105">
        <v>0</v>
      </c>
      <c r="AA105" s="2">
        <v>-225579.89892000001</v>
      </c>
      <c r="AB105" t="str">
        <f>VLOOKUP(Table2[[#This Row],[product]],Ref[#All],6,FALSE)</f>
        <v>BAG25</v>
      </c>
    </row>
    <row r="106" spans="1:28" x14ac:dyDescent="0.25">
      <c r="A106" t="str">
        <f>TEXT(Table2[[#This Row],[dated]],"mmm")</f>
        <v>Aug</v>
      </c>
      <c r="B106" s="28" t="s">
        <v>811</v>
      </c>
      <c r="C106" s="1" t="s">
        <v>2728</v>
      </c>
      <c r="D106" t="str">
        <f>VLOOKUP(Table2[[#This Row],[product]],Ref[#All],7,FALSE)</f>
        <v>Flour</v>
      </c>
      <c r="E106" s="28" t="s">
        <v>36</v>
      </c>
      <c r="F106" t="str">
        <f>VLOOKUP(Table2[[#This Row],[product]],Ref[#All],2,FALSE)</f>
        <v>Flour Import Elngm 25Kg</v>
      </c>
      <c r="G106" t="str">
        <f>VLOOKUP(Table2[[#This Row],[product]],Ref[#All],3,FALSE)</f>
        <v>Flour Al-Nagm (Imported)</v>
      </c>
      <c r="H106" t="str">
        <f>VLOOKUP(Table2[[#This Row],[product]],Ref[#All],4,FALSE)</f>
        <v>Import</v>
      </c>
      <c r="I106" s="1">
        <v>45880</v>
      </c>
      <c r="J106" t="s">
        <v>53</v>
      </c>
      <c r="K106" t="s">
        <v>2325</v>
      </c>
      <c r="L106" s="32" t="s">
        <v>2549</v>
      </c>
      <c r="M106" t="s">
        <v>1586</v>
      </c>
      <c r="N106" t="s">
        <v>784</v>
      </c>
      <c r="O106" t="s">
        <v>786</v>
      </c>
      <c r="P106" t="s">
        <v>1598</v>
      </c>
      <c r="Q106" t="s">
        <v>55</v>
      </c>
      <c r="R106">
        <v>-6</v>
      </c>
      <c r="S106" s="15">
        <f>Table2[[#This Row],[movement_quantity]]/VLOOKUP(Table2[[#This Row],[product]],Ref[#All],5,FALSE)</f>
        <v>-0.15</v>
      </c>
      <c r="T106">
        <v>37596.649819999999</v>
      </c>
      <c r="U106" t="s">
        <v>17</v>
      </c>
      <c r="V106" t="s">
        <v>25</v>
      </c>
      <c r="W106" t="s">
        <v>2434</v>
      </c>
      <c r="X106" t="s">
        <v>17</v>
      </c>
      <c r="Y106" s="2" t="s">
        <v>2408</v>
      </c>
      <c r="Z106">
        <v>0</v>
      </c>
      <c r="AA106" s="2">
        <v>-225579.89892000001</v>
      </c>
      <c r="AB106" t="str">
        <f>VLOOKUP(Table2[[#This Row],[product]],Ref[#All],6,FALSE)</f>
        <v>BAG25</v>
      </c>
    </row>
    <row r="107" spans="1:28" x14ac:dyDescent="0.25">
      <c r="A107" t="str">
        <f>TEXT(Table2[[#This Row],[dated]],"mmm")</f>
        <v>Aug</v>
      </c>
      <c r="B107" s="28" t="s">
        <v>811</v>
      </c>
      <c r="C107" s="1" t="s">
        <v>2728</v>
      </c>
      <c r="D107" t="str">
        <f>VLOOKUP(Table2[[#This Row],[product]],Ref[#All],7,FALSE)</f>
        <v>Flour</v>
      </c>
      <c r="E107" s="28" t="s">
        <v>36</v>
      </c>
      <c r="F107" t="str">
        <f>VLOOKUP(Table2[[#This Row],[product]],Ref[#All],2,FALSE)</f>
        <v>Flour Import Elngm 25Kg</v>
      </c>
      <c r="G107" t="str">
        <f>VLOOKUP(Table2[[#This Row],[product]],Ref[#All],3,FALSE)</f>
        <v>Flour Al-Nagm (Imported)</v>
      </c>
      <c r="H107" t="str">
        <f>VLOOKUP(Table2[[#This Row],[product]],Ref[#All],4,FALSE)</f>
        <v>Import</v>
      </c>
      <c r="I107" s="1">
        <v>45880</v>
      </c>
      <c r="J107" t="s">
        <v>53</v>
      </c>
      <c r="K107" t="s">
        <v>2326</v>
      </c>
      <c r="L107" s="32" t="s">
        <v>2547</v>
      </c>
      <c r="M107" t="s">
        <v>1586</v>
      </c>
      <c r="N107" t="s">
        <v>784</v>
      </c>
      <c r="O107" t="s">
        <v>786</v>
      </c>
      <c r="P107" t="s">
        <v>1598</v>
      </c>
      <c r="Q107" t="s">
        <v>55</v>
      </c>
      <c r="R107">
        <v>-8</v>
      </c>
      <c r="S107" s="15">
        <f>Table2[[#This Row],[movement_quantity]]/VLOOKUP(Table2[[#This Row],[product]],Ref[#All],5,FALSE)</f>
        <v>-0.2</v>
      </c>
      <c r="T107">
        <v>37596.649819999999</v>
      </c>
      <c r="U107" t="s">
        <v>17</v>
      </c>
      <c r="V107" t="s">
        <v>26</v>
      </c>
      <c r="W107" t="s">
        <v>2435</v>
      </c>
      <c r="X107" t="s">
        <v>17</v>
      </c>
      <c r="Y107" s="2" t="s">
        <v>2408</v>
      </c>
      <c r="Z107">
        <v>0</v>
      </c>
      <c r="AA107" s="2">
        <v>-300773.19855999999</v>
      </c>
      <c r="AB107" t="str">
        <f>VLOOKUP(Table2[[#This Row],[product]],Ref[#All],6,FALSE)</f>
        <v>BAG25</v>
      </c>
    </row>
    <row r="108" spans="1:28" x14ac:dyDescent="0.25">
      <c r="A108" t="str">
        <f>TEXT(Table2[[#This Row],[dated]],"mmm")</f>
        <v>Aug</v>
      </c>
      <c r="B108" s="28" t="s">
        <v>811</v>
      </c>
      <c r="C108" s="1" t="s">
        <v>2728</v>
      </c>
      <c r="D108" t="str">
        <f>VLOOKUP(Table2[[#This Row],[product]],Ref[#All],7,FALSE)</f>
        <v>Rice</v>
      </c>
      <c r="E108" s="28" t="s">
        <v>45</v>
      </c>
      <c r="F108" t="str">
        <f>VLOOKUP(Table2[[#This Row],[product]],Ref[#All],2,FALSE)</f>
        <v>Rice Short Grain Elngm 25Kg</v>
      </c>
      <c r="G108" t="str">
        <f>VLOOKUP(Table2[[#This Row],[product]],Ref[#All],3,FALSE)</f>
        <v>Rice Short Grain</v>
      </c>
      <c r="H108" t="str">
        <f>VLOOKUP(Table2[[#This Row],[product]],Ref[#All],4,FALSE)</f>
        <v>Import</v>
      </c>
      <c r="I108" s="1">
        <v>45881</v>
      </c>
      <c r="J108" t="s">
        <v>53</v>
      </c>
      <c r="K108" t="s">
        <v>2331</v>
      </c>
      <c r="L108" s="32" t="s">
        <v>2546</v>
      </c>
      <c r="M108" t="s">
        <v>1586</v>
      </c>
      <c r="N108" t="s">
        <v>784</v>
      </c>
      <c r="O108" t="s">
        <v>1586</v>
      </c>
      <c r="P108" t="s">
        <v>788</v>
      </c>
      <c r="Q108" t="s">
        <v>55</v>
      </c>
      <c r="R108">
        <v>-4</v>
      </c>
      <c r="S108" s="15">
        <f>Table2[[#This Row],[movement_quantity]]/VLOOKUP(Table2[[#This Row],[product]],Ref[#All],5,FALSE)</f>
        <v>-0.1</v>
      </c>
      <c r="T108">
        <v>56653.018790000002</v>
      </c>
      <c r="U108" t="s">
        <v>17</v>
      </c>
      <c r="V108" t="s">
        <v>22</v>
      </c>
      <c r="W108" t="s">
        <v>2440</v>
      </c>
      <c r="X108" t="s">
        <v>17</v>
      </c>
      <c r="Y108" s="2" t="s">
        <v>849</v>
      </c>
      <c r="Z108">
        <v>0</v>
      </c>
      <c r="AA108" s="2">
        <v>-226612.07516000001</v>
      </c>
      <c r="AB108" t="str">
        <f>VLOOKUP(Table2[[#This Row],[product]],Ref[#All],6,FALSE)</f>
        <v>BAG25</v>
      </c>
    </row>
    <row r="109" spans="1:28" x14ac:dyDescent="0.25">
      <c r="A109" t="str">
        <f>TEXT(Table2[[#This Row],[dated]],"mmm")</f>
        <v>Aug</v>
      </c>
      <c r="B109" s="28" t="s">
        <v>811</v>
      </c>
      <c r="C109" s="1" t="s">
        <v>2728</v>
      </c>
      <c r="D109" t="str">
        <f>VLOOKUP(Table2[[#This Row],[product]],Ref[#All],7,FALSE)</f>
        <v>Rice</v>
      </c>
      <c r="E109" s="28" t="s">
        <v>45</v>
      </c>
      <c r="F109" t="str">
        <f>VLOOKUP(Table2[[#This Row],[product]],Ref[#All],2,FALSE)</f>
        <v>Rice Short Grain Elngm 25Kg</v>
      </c>
      <c r="G109" t="str">
        <f>VLOOKUP(Table2[[#This Row],[product]],Ref[#All],3,FALSE)</f>
        <v>Rice Short Grain</v>
      </c>
      <c r="H109" t="str">
        <f>VLOOKUP(Table2[[#This Row],[product]],Ref[#All],4,FALSE)</f>
        <v>Import</v>
      </c>
      <c r="I109" s="1">
        <v>45881</v>
      </c>
      <c r="J109" t="s">
        <v>53</v>
      </c>
      <c r="K109" t="s">
        <v>2331</v>
      </c>
      <c r="L109" s="32" t="s">
        <v>2546</v>
      </c>
      <c r="M109" t="s">
        <v>1586</v>
      </c>
      <c r="N109" t="s">
        <v>784</v>
      </c>
      <c r="O109" t="s">
        <v>1586</v>
      </c>
      <c r="P109" t="s">
        <v>788</v>
      </c>
      <c r="Q109" t="s">
        <v>55</v>
      </c>
      <c r="R109">
        <v>-1</v>
      </c>
      <c r="S109" s="15">
        <f>Table2[[#This Row],[movement_quantity]]/VLOOKUP(Table2[[#This Row],[product]],Ref[#All],5,FALSE)</f>
        <v>-2.5000000000000001E-2</v>
      </c>
      <c r="T109">
        <v>56653.018790000002</v>
      </c>
      <c r="U109" t="s">
        <v>17</v>
      </c>
      <c r="V109" t="s">
        <v>23</v>
      </c>
      <c r="W109" t="s">
        <v>2440</v>
      </c>
      <c r="X109" t="s">
        <v>17</v>
      </c>
      <c r="Y109" s="2" t="s">
        <v>2441</v>
      </c>
      <c r="Z109">
        <v>0</v>
      </c>
      <c r="AA109" s="2">
        <v>-56653.018790000002</v>
      </c>
      <c r="AB109" t="str">
        <f>VLOOKUP(Table2[[#This Row],[product]],Ref[#All],6,FALSE)</f>
        <v>BAG25</v>
      </c>
    </row>
    <row r="110" spans="1:28" x14ac:dyDescent="0.25">
      <c r="A110" t="str">
        <f>TEXT(Table2[[#This Row],[dated]],"mmm")</f>
        <v>Aug</v>
      </c>
      <c r="B110" s="28" t="s">
        <v>811</v>
      </c>
      <c r="C110" s="1" t="s">
        <v>2728</v>
      </c>
      <c r="D110" t="str">
        <f>VLOOKUP(Table2[[#This Row],[product]],Ref[#All],7,FALSE)</f>
        <v>Rice</v>
      </c>
      <c r="E110" s="28" t="s">
        <v>45</v>
      </c>
      <c r="F110" t="str">
        <f>VLOOKUP(Table2[[#This Row],[product]],Ref[#All],2,FALSE)</f>
        <v>Rice Short Grain Elngm 25Kg</v>
      </c>
      <c r="G110" t="str">
        <f>VLOOKUP(Table2[[#This Row],[product]],Ref[#All],3,FALSE)</f>
        <v>Rice Short Grain</v>
      </c>
      <c r="H110" t="str">
        <f>VLOOKUP(Table2[[#This Row],[product]],Ref[#All],4,FALSE)</f>
        <v>Import</v>
      </c>
      <c r="I110" s="1">
        <v>45881</v>
      </c>
      <c r="J110" t="s">
        <v>53</v>
      </c>
      <c r="K110" t="s">
        <v>2333</v>
      </c>
      <c r="L110" s="32" t="s">
        <v>2546</v>
      </c>
      <c r="M110" t="s">
        <v>1586</v>
      </c>
      <c r="N110" t="s">
        <v>784</v>
      </c>
      <c r="O110" t="s">
        <v>1586</v>
      </c>
      <c r="P110" t="s">
        <v>788</v>
      </c>
      <c r="Q110" t="s">
        <v>55</v>
      </c>
      <c r="R110">
        <v>-5</v>
      </c>
      <c r="S110" s="15">
        <f>Table2[[#This Row],[movement_quantity]]/VLOOKUP(Table2[[#This Row],[product]],Ref[#All],5,FALSE)</f>
        <v>-0.125</v>
      </c>
      <c r="T110">
        <v>56653.018790000002</v>
      </c>
      <c r="U110" t="s">
        <v>17</v>
      </c>
      <c r="V110" t="s">
        <v>18</v>
      </c>
      <c r="W110" t="s">
        <v>2444</v>
      </c>
      <c r="X110" t="s">
        <v>17</v>
      </c>
      <c r="Y110" s="2" t="s">
        <v>849</v>
      </c>
      <c r="Z110">
        <v>0</v>
      </c>
      <c r="AA110" s="2">
        <v>-283265.09395000001</v>
      </c>
      <c r="AB110" t="str">
        <f>VLOOKUP(Table2[[#This Row],[product]],Ref[#All],6,FALSE)</f>
        <v>BAG25</v>
      </c>
    </row>
    <row r="111" spans="1:28" x14ac:dyDescent="0.25">
      <c r="A111" t="str">
        <f>TEXT(Table2[[#This Row],[dated]],"mmm")</f>
        <v>Aug</v>
      </c>
      <c r="B111" s="28" t="s">
        <v>811</v>
      </c>
      <c r="C111" s="1" t="s">
        <v>2728</v>
      </c>
      <c r="D111" t="str">
        <f>VLOOKUP(Table2[[#This Row],[product]],Ref[#All],7,FALSE)</f>
        <v>Rice</v>
      </c>
      <c r="E111" s="28" t="s">
        <v>45</v>
      </c>
      <c r="F111" t="str">
        <f>VLOOKUP(Table2[[#This Row],[product]],Ref[#All],2,FALSE)</f>
        <v>Rice Short Grain Elngm 25Kg</v>
      </c>
      <c r="G111" t="str">
        <f>VLOOKUP(Table2[[#This Row],[product]],Ref[#All],3,FALSE)</f>
        <v>Rice Short Grain</v>
      </c>
      <c r="H111" t="str">
        <f>VLOOKUP(Table2[[#This Row],[product]],Ref[#All],4,FALSE)</f>
        <v>Import</v>
      </c>
      <c r="I111" s="1">
        <v>45881</v>
      </c>
      <c r="J111" t="s">
        <v>127</v>
      </c>
      <c r="K111" t="s">
        <v>2334</v>
      </c>
      <c r="L111" s="32" t="s">
        <v>2546</v>
      </c>
      <c r="M111" t="s">
        <v>1586</v>
      </c>
      <c r="N111" t="s">
        <v>784</v>
      </c>
      <c r="O111" t="s">
        <v>1586</v>
      </c>
      <c r="P111" t="s">
        <v>788</v>
      </c>
      <c r="Q111" t="s">
        <v>55</v>
      </c>
      <c r="R111">
        <v>1</v>
      </c>
      <c r="S111" s="15">
        <f>Table2[[#This Row],[movement_quantity]]/VLOOKUP(Table2[[#This Row],[product]],Ref[#All],5,FALSE)</f>
        <v>2.5000000000000001E-2</v>
      </c>
      <c r="T111">
        <v>56653.018790000002</v>
      </c>
      <c r="U111" t="s">
        <v>813</v>
      </c>
      <c r="V111" t="s">
        <v>21</v>
      </c>
      <c r="W111" t="s">
        <v>2441</v>
      </c>
      <c r="X111" t="s">
        <v>2445</v>
      </c>
      <c r="Y111" s="2" t="s">
        <v>17</v>
      </c>
      <c r="Z111">
        <v>0</v>
      </c>
      <c r="AA111" s="2">
        <v>56653.018790000002</v>
      </c>
      <c r="AB111" t="str">
        <f>VLOOKUP(Table2[[#This Row],[product]],Ref[#All],6,FALSE)</f>
        <v>BAG25</v>
      </c>
    </row>
    <row r="112" spans="1:28" x14ac:dyDescent="0.25">
      <c r="A112" t="str">
        <f>TEXT(Table2[[#This Row],[dated]],"mmm")</f>
        <v>Aug</v>
      </c>
      <c r="B112" s="28" t="s">
        <v>20</v>
      </c>
      <c r="C112" s="1" t="s">
        <v>2728</v>
      </c>
      <c r="D112" t="str">
        <f>VLOOKUP(Table2[[#This Row],[product]],Ref[#All],7,FALSE)</f>
        <v>Lentils</v>
      </c>
      <c r="E112" s="28" t="s">
        <v>39</v>
      </c>
      <c r="F112" t="str">
        <f>VLOOKUP(Table2[[#This Row],[product]],Ref[#All],2,FALSE)</f>
        <v>Lentil TAT 20KG</v>
      </c>
      <c r="G112" t="str">
        <f>VLOOKUP(Table2[[#This Row],[product]],Ref[#All],3,FALSE)</f>
        <v>Lentils</v>
      </c>
      <c r="H112" t="str">
        <f>VLOOKUP(Table2[[#This Row],[product]],Ref[#All],4,FALSE)</f>
        <v>Import</v>
      </c>
      <c r="I112" s="1">
        <v>45890</v>
      </c>
      <c r="J112" t="s">
        <v>53</v>
      </c>
      <c r="K112" t="s">
        <v>2338</v>
      </c>
      <c r="L112" t="s">
        <v>2540</v>
      </c>
      <c r="M112" t="s">
        <v>1586</v>
      </c>
      <c r="N112" t="s">
        <v>784</v>
      </c>
      <c r="O112" t="s">
        <v>786</v>
      </c>
      <c r="P112" t="s">
        <v>1598</v>
      </c>
      <c r="Q112" t="s">
        <v>55</v>
      </c>
      <c r="R112">
        <v>-2</v>
      </c>
      <c r="S112" s="15">
        <f>Table2[[#This Row],[movement_quantity]]/VLOOKUP(Table2[[#This Row],[product]],Ref[#All],5,FALSE)</f>
        <v>-0.04</v>
      </c>
      <c r="T112">
        <v>53401.105539999997</v>
      </c>
      <c r="U112" t="s">
        <v>17</v>
      </c>
      <c r="V112" t="s">
        <v>26</v>
      </c>
      <c r="W112" t="s">
        <v>2451</v>
      </c>
      <c r="X112" t="s">
        <v>17</v>
      </c>
      <c r="Y112" s="2" t="s">
        <v>1934</v>
      </c>
      <c r="Z112">
        <v>0</v>
      </c>
      <c r="AA112" s="2">
        <v>-106802.21107999999</v>
      </c>
      <c r="AB112" t="str">
        <f>VLOOKUP(Table2[[#This Row],[product]],Ref[#All],6,FALSE)</f>
        <v>BAG20</v>
      </c>
    </row>
    <row r="113" spans="1:28" x14ac:dyDescent="0.25">
      <c r="A113" t="str">
        <f>TEXT(Table2[[#This Row],[dated]],"mmm")</f>
        <v>Aug</v>
      </c>
      <c r="B113" s="28" t="s">
        <v>20</v>
      </c>
      <c r="C113" s="1" t="s">
        <v>2728</v>
      </c>
      <c r="D113" t="str">
        <f>VLOOKUP(Table2[[#This Row],[product]],Ref[#All],7,FALSE)</f>
        <v>Lentils</v>
      </c>
      <c r="E113" s="28" t="s">
        <v>39</v>
      </c>
      <c r="F113" t="str">
        <f>VLOOKUP(Table2[[#This Row],[product]],Ref[#All],2,FALSE)</f>
        <v>Lentil TAT 20KG</v>
      </c>
      <c r="G113" t="str">
        <f>VLOOKUP(Table2[[#This Row],[product]],Ref[#All],3,FALSE)</f>
        <v>Lentils</v>
      </c>
      <c r="H113" t="str">
        <f>VLOOKUP(Table2[[#This Row],[product]],Ref[#All],4,FALSE)</f>
        <v>Import</v>
      </c>
      <c r="I113" s="1">
        <v>45890</v>
      </c>
      <c r="J113" t="s">
        <v>53</v>
      </c>
      <c r="K113" t="s">
        <v>2339</v>
      </c>
      <c r="L113" t="s">
        <v>2541</v>
      </c>
      <c r="M113" t="s">
        <v>1586</v>
      </c>
      <c r="N113" t="s">
        <v>784</v>
      </c>
      <c r="O113" t="s">
        <v>786</v>
      </c>
      <c r="P113" t="s">
        <v>1598</v>
      </c>
      <c r="Q113" t="s">
        <v>55</v>
      </c>
      <c r="R113">
        <v>-54</v>
      </c>
      <c r="S113" s="15">
        <f>Table2[[#This Row],[movement_quantity]]/VLOOKUP(Table2[[#This Row],[product]],Ref[#All],5,FALSE)</f>
        <v>-1.08</v>
      </c>
      <c r="T113">
        <v>53401.105539999997</v>
      </c>
      <c r="U113" t="s">
        <v>17</v>
      </c>
      <c r="V113" t="s">
        <v>27</v>
      </c>
      <c r="W113" t="s">
        <v>2452</v>
      </c>
      <c r="X113" t="s">
        <v>17</v>
      </c>
      <c r="Y113" s="2" t="s">
        <v>1934</v>
      </c>
      <c r="Z113">
        <v>0</v>
      </c>
      <c r="AA113" s="2">
        <v>-2883659.6991599998</v>
      </c>
      <c r="AB113" t="str">
        <f>VLOOKUP(Table2[[#This Row],[product]],Ref[#All],6,FALSE)</f>
        <v>BAG20</v>
      </c>
    </row>
    <row r="114" spans="1:28" x14ac:dyDescent="0.25">
      <c r="A114" t="str">
        <f>TEXT(Table2[[#This Row],[dated]],"mmm")</f>
        <v>Aug</v>
      </c>
      <c r="B114" s="28" t="s">
        <v>20</v>
      </c>
      <c r="C114" s="1" t="s">
        <v>2728</v>
      </c>
      <c r="D114" t="str">
        <f>VLOOKUP(Table2[[#This Row],[product]],Ref[#All],7,FALSE)</f>
        <v>Lentils</v>
      </c>
      <c r="E114" s="28" t="s">
        <v>39</v>
      </c>
      <c r="F114" t="str">
        <f>VLOOKUP(Table2[[#This Row],[product]],Ref[#All],2,FALSE)</f>
        <v>Lentil TAT 20KG</v>
      </c>
      <c r="G114" t="str">
        <f>VLOOKUP(Table2[[#This Row],[product]],Ref[#All],3,FALSE)</f>
        <v>Lentils</v>
      </c>
      <c r="H114" t="str">
        <f>VLOOKUP(Table2[[#This Row],[product]],Ref[#All],4,FALSE)</f>
        <v>Import</v>
      </c>
      <c r="I114" s="1">
        <v>45890</v>
      </c>
      <c r="J114" t="s">
        <v>53</v>
      </c>
      <c r="K114" t="s">
        <v>2340</v>
      </c>
      <c r="L114" t="s">
        <v>2542</v>
      </c>
      <c r="M114" t="s">
        <v>1586</v>
      </c>
      <c r="N114" t="s">
        <v>784</v>
      </c>
      <c r="O114" t="s">
        <v>786</v>
      </c>
      <c r="P114" t="s">
        <v>1598</v>
      </c>
      <c r="Q114" t="s">
        <v>55</v>
      </c>
      <c r="R114">
        <v>-21</v>
      </c>
      <c r="S114" s="15">
        <f>Table2[[#This Row],[movement_quantity]]/VLOOKUP(Table2[[#This Row],[product]],Ref[#All],5,FALSE)</f>
        <v>-0.42</v>
      </c>
      <c r="T114">
        <v>53401.105539999997</v>
      </c>
      <c r="U114" t="s">
        <v>17</v>
      </c>
      <c r="V114" t="s">
        <v>28</v>
      </c>
      <c r="W114" t="s">
        <v>2453</v>
      </c>
      <c r="X114" t="s">
        <v>17</v>
      </c>
      <c r="Y114" s="2" t="s">
        <v>1934</v>
      </c>
      <c r="Z114">
        <v>0</v>
      </c>
      <c r="AA114" s="2">
        <v>-1121423.21634</v>
      </c>
      <c r="AB114" t="str">
        <f>VLOOKUP(Table2[[#This Row],[product]],Ref[#All],6,FALSE)</f>
        <v>BAG20</v>
      </c>
    </row>
    <row r="115" spans="1:28" x14ac:dyDescent="0.25">
      <c r="A115" t="str">
        <f>TEXT(Table2[[#This Row],[dated]],"mmm")</f>
        <v>Aug</v>
      </c>
      <c r="B115" s="28" t="s">
        <v>20</v>
      </c>
      <c r="C115" s="1" t="s">
        <v>2728</v>
      </c>
      <c r="D115" t="str">
        <f>VLOOKUP(Table2[[#This Row],[product]],Ref[#All],7,FALSE)</f>
        <v>Lentils</v>
      </c>
      <c r="E115" s="28" t="s">
        <v>39</v>
      </c>
      <c r="F115" t="str">
        <f>VLOOKUP(Table2[[#This Row],[product]],Ref[#All],2,FALSE)</f>
        <v>Lentil TAT 20KG</v>
      </c>
      <c r="G115" t="str">
        <f>VLOOKUP(Table2[[#This Row],[product]],Ref[#All],3,FALSE)</f>
        <v>Lentils</v>
      </c>
      <c r="H115" t="str">
        <f>VLOOKUP(Table2[[#This Row],[product]],Ref[#All],4,FALSE)</f>
        <v>Import</v>
      </c>
      <c r="I115" s="1">
        <v>45890</v>
      </c>
      <c r="J115" t="s">
        <v>53</v>
      </c>
      <c r="K115" t="s">
        <v>2340</v>
      </c>
      <c r="L115" t="s">
        <v>2542</v>
      </c>
      <c r="M115" t="s">
        <v>1586</v>
      </c>
      <c r="N115" t="s">
        <v>784</v>
      </c>
      <c r="O115" t="s">
        <v>786</v>
      </c>
      <c r="P115" t="s">
        <v>1598</v>
      </c>
      <c r="Q115" t="s">
        <v>55</v>
      </c>
      <c r="R115">
        <v>-41</v>
      </c>
      <c r="S115" s="15">
        <f>Table2[[#This Row],[movement_quantity]]/VLOOKUP(Table2[[#This Row],[product]],Ref[#All],5,FALSE)</f>
        <v>-0.82</v>
      </c>
      <c r="T115">
        <v>53401.105539999997</v>
      </c>
      <c r="U115" t="s">
        <v>17</v>
      </c>
      <c r="V115" t="s">
        <v>29</v>
      </c>
      <c r="W115" t="s">
        <v>2453</v>
      </c>
      <c r="X115" t="s">
        <v>17</v>
      </c>
      <c r="Y115" s="2" t="s">
        <v>1937</v>
      </c>
      <c r="Z115">
        <v>0</v>
      </c>
      <c r="AA115" s="2">
        <v>-2189445.3271399997</v>
      </c>
      <c r="AB115" t="str">
        <f>VLOOKUP(Table2[[#This Row],[product]],Ref[#All],6,FALSE)</f>
        <v>BAG20</v>
      </c>
    </row>
    <row r="116" spans="1:28" x14ac:dyDescent="0.25">
      <c r="A116" t="str">
        <f>TEXT(Table2[[#This Row],[dated]],"mmm")</f>
        <v>Aug</v>
      </c>
      <c r="B116" s="28" t="s">
        <v>20</v>
      </c>
      <c r="C116" s="1" t="s">
        <v>2728</v>
      </c>
      <c r="D116" t="str">
        <f>VLOOKUP(Table2[[#This Row],[product]],Ref[#All],7,FALSE)</f>
        <v>Lentils</v>
      </c>
      <c r="E116" s="28" t="s">
        <v>39</v>
      </c>
      <c r="F116" t="str">
        <f>VLOOKUP(Table2[[#This Row],[product]],Ref[#All],2,FALSE)</f>
        <v>Lentil TAT 20KG</v>
      </c>
      <c r="G116" t="str">
        <f>VLOOKUP(Table2[[#This Row],[product]],Ref[#All],3,FALSE)</f>
        <v>Lentils</v>
      </c>
      <c r="H116" t="str">
        <f>VLOOKUP(Table2[[#This Row],[product]],Ref[#All],4,FALSE)</f>
        <v>Import</v>
      </c>
      <c r="I116" s="1">
        <v>45890</v>
      </c>
      <c r="J116" t="s">
        <v>53</v>
      </c>
      <c r="K116" t="s">
        <v>2341</v>
      </c>
      <c r="L116" t="s">
        <v>2550</v>
      </c>
      <c r="M116" t="s">
        <v>1586</v>
      </c>
      <c r="N116" t="s">
        <v>784</v>
      </c>
      <c r="O116" t="s">
        <v>785</v>
      </c>
      <c r="P116" t="s">
        <v>788</v>
      </c>
      <c r="Q116" t="s">
        <v>55</v>
      </c>
      <c r="R116">
        <v>-107</v>
      </c>
      <c r="S116" s="15">
        <f>Table2[[#This Row],[movement_quantity]]/VLOOKUP(Table2[[#This Row],[product]],Ref[#All],5,FALSE)</f>
        <v>-2.14</v>
      </c>
      <c r="T116">
        <v>53401.105539999997</v>
      </c>
      <c r="U116" t="s">
        <v>17</v>
      </c>
      <c r="V116" t="s">
        <v>31</v>
      </c>
      <c r="W116" t="s">
        <v>2454</v>
      </c>
      <c r="X116" t="s">
        <v>17</v>
      </c>
      <c r="Y116" s="2" t="s">
        <v>1937</v>
      </c>
      <c r="Z116">
        <v>0</v>
      </c>
      <c r="AA116" s="2">
        <v>-5713918.2927799998</v>
      </c>
      <c r="AB116" t="str">
        <f>VLOOKUP(Table2[[#This Row],[product]],Ref[#All],6,FALSE)</f>
        <v>BAG20</v>
      </c>
    </row>
    <row r="117" spans="1:28" x14ac:dyDescent="0.25">
      <c r="A117" t="str">
        <f>TEXT(Table2[[#This Row],[dated]],"mmm")</f>
        <v>Aug</v>
      </c>
      <c r="B117" s="28" t="s">
        <v>20</v>
      </c>
      <c r="C117" s="1" t="s">
        <v>2728</v>
      </c>
      <c r="D117" t="str">
        <f>VLOOKUP(Table2[[#This Row],[product]],Ref[#All],7,FALSE)</f>
        <v>Lentils</v>
      </c>
      <c r="E117" s="28" t="s">
        <v>39</v>
      </c>
      <c r="F117" t="str">
        <f>VLOOKUP(Table2[[#This Row],[product]],Ref[#All],2,FALSE)</f>
        <v>Lentil TAT 20KG</v>
      </c>
      <c r="G117" t="str">
        <f>VLOOKUP(Table2[[#This Row],[product]],Ref[#All],3,FALSE)</f>
        <v>Lentils</v>
      </c>
      <c r="H117" t="str">
        <f>VLOOKUP(Table2[[#This Row],[product]],Ref[#All],4,FALSE)</f>
        <v>Import</v>
      </c>
      <c r="I117" s="1">
        <v>45890</v>
      </c>
      <c r="J117" t="s">
        <v>53</v>
      </c>
      <c r="K117" t="s">
        <v>2342</v>
      </c>
      <c r="L117" t="s">
        <v>2544</v>
      </c>
      <c r="M117" t="s">
        <v>1586</v>
      </c>
      <c r="N117" t="s">
        <v>784</v>
      </c>
      <c r="O117" t="s">
        <v>786</v>
      </c>
      <c r="P117" t="s">
        <v>1598</v>
      </c>
      <c r="Q117" t="s">
        <v>55</v>
      </c>
      <c r="R117">
        <v>-10</v>
      </c>
      <c r="S117" s="15">
        <f>Table2[[#This Row],[movement_quantity]]/VLOOKUP(Table2[[#This Row],[product]],Ref[#All],5,FALSE)</f>
        <v>-0.2</v>
      </c>
      <c r="T117">
        <v>53401.105539999997</v>
      </c>
      <c r="U117" t="s">
        <v>17</v>
      </c>
      <c r="V117" t="s">
        <v>32</v>
      </c>
      <c r="W117" t="s">
        <v>2455</v>
      </c>
      <c r="X117" t="s">
        <v>17</v>
      </c>
      <c r="Y117" s="2" t="s">
        <v>1937</v>
      </c>
      <c r="Z117">
        <v>0</v>
      </c>
      <c r="AA117" s="2">
        <v>-534011.05539999995</v>
      </c>
      <c r="AB117" t="str">
        <f>VLOOKUP(Table2[[#This Row],[product]],Ref[#All],6,FALSE)</f>
        <v>BAG20</v>
      </c>
    </row>
    <row r="118" spans="1:28" x14ac:dyDescent="0.25">
      <c r="A118" t="str">
        <f>TEXT(Table2[[#This Row],[dated]],"mmm")</f>
        <v>Aug</v>
      </c>
      <c r="B118" s="28" t="s">
        <v>20</v>
      </c>
      <c r="C118" s="1" t="s">
        <v>2728</v>
      </c>
      <c r="D118" t="str">
        <f>VLOOKUP(Table2[[#This Row],[product]],Ref[#All],7,FALSE)</f>
        <v>Lentils</v>
      </c>
      <c r="E118" s="28" t="s">
        <v>39</v>
      </c>
      <c r="F118" t="str">
        <f>VLOOKUP(Table2[[#This Row],[product]],Ref[#All],2,FALSE)</f>
        <v>Lentil TAT 20KG</v>
      </c>
      <c r="G118" t="str">
        <f>VLOOKUP(Table2[[#This Row],[product]],Ref[#All],3,FALSE)</f>
        <v>Lentils</v>
      </c>
      <c r="H118" t="str">
        <f>VLOOKUP(Table2[[#This Row],[product]],Ref[#All],4,FALSE)</f>
        <v>Import</v>
      </c>
      <c r="I118" s="1">
        <v>45890</v>
      </c>
      <c r="J118" t="s">
        <v>53</v>
      </c>
      <c r="K118" t="s">
        <v>2342</v>
      </c>
      <c r="L118" t="s">
        <v>2544</v>
      </c>
      <c r="M118" t="s">
        <v>1586</v>
      </c>
      <c r="N118" t="s">
        <v>784</v>
      </c>
      <c r="O118" t="s">
        <v>786</v>
      </c>
      <c r="P118" t="s">
        <v>1598</v>
      </c>
      <c r="Q118" t="s">
        <v>55</v>
      </c>
      <c r="R118">
        <v>-23</v>
      </c>
      <c r="S118" s="15">
        <f>Table2[[#This Row],[movement_quantity]]/VLOOKUP(Table2[[#This Row],[product]],Ref[#All],5,FALSE)</f>
        <v>-0.46</v>
      </c>
      <c r="T118">
        <v>53401.105539999997</v>
      </c>
      <c r="U118" t="s">
        <v>17</v>
      </c>
      <c r="V118" t="s">
        <v>44</v>
      </c>
      <c r="W118" t="s">
        <v>2455</v>
      </c>
      <c r="X118" t="s">
        <v>17</v>
      </c>
      <c r="Y118" s="2" t="s">
        <v>2456</v>
      </c>
      <c r="Z118">
        <v>0</v>
      </c>
      <c r="AA118" s="2">
        <v>-1228225.4274199998</v>
      </c>
      <c r="AB118" t="str">
        <f>VLOOKUP(Table2[[#This Row],[product]],Ref[#All],6,FALSE)</f>
        <v>BAG20</v>
      </c>
    </row>
    <row r="119" spans="1:28" x14ac:dyDescent="0.25">
      <c r="A119" t="str">
        <f>TEXT(Table2[[#This Row],[dated]],"mmm")</f>
        <v>Aug</v>
      </c>
      <c r="B119" s="28" t="s">
        <v>20</v>
      </c>
      <c r="C119" s="1" t="s">
        <v>2728</v>
      </c>
      <c r="D119" t="str">
        <f>VLOOKUP(Table2[[#This Row],[product]],Ref[#All],7,FALSE)</f>
        <v>Lentils</v>
      </c>
      <c r="E119" s="28" t="s">
        <v>39</v>
      </c>
      <c r="F119" t="str">
        <f>VLOOKUP(Table2[[#This Row],[product]],Ref[#All],2,FALSE)</f>
        <v>Lentil TAT 20KG</v>
      </c>
      <c r="G119" t="str">
        <f>VLOOKUP(Table2[[#This Row],[product]],Ref[#All],3,FALSE)</f>
        <v>Lentils</v>
      </c>
      <c r="H119" t="str">
        <f>VLOOKUP(Table2[[#This Row],[product]],Ref[#All],4,FALSE)</f>
        <v>Import</v>
      </c>
      <c r="I119" s="1">
        <v>45890</v>
      </c>
      <c r="J119" t="s">
        <v>53</v>
      </c>
      <c r="K119" t="s">
        <v>2343</v>
      </c>
      <c r="L119" t="s">
        <v>2543</v>
      </c>
      <c r="M119" t="s">
        <v>1586</v>
      </c>
      <c r="N119" t="s">
        <v>784</v>
      </c>
      <c r="O119" t="s">
        <v>786</v>
      </c>
      <c r="P119" t="s">
        <v>1598</v>
      </c>
      <c r="Q119" t="s">
        <v>55</v>
      </c>
      <c r="R119">
        <v>-28</v>
      </c>
      <c r="S119" s="15">
        <f>Table2[[#This Row],[movement_quantity]]/VLOOKUP(Table2[[#This Row],[product]],Ref[#All],5,FALSE)</f>
        <v>-0.56000000000000005</v>
      </c>
      <c r="T119">
        <v>53401.105539999997</v>
      </c>
      <c r="U119" t="s">
        <v>17</v>
      </c>
      <c r="V119" t="s">
        <v>33</v>
      </c>
      <c r="W119" t="s">
        <v>2457</v>
      </c>
      <c r="X119" t="s">
        <v>17</v>
      </c>
      <c r="Y119" s="2" t="s">
        <v>2456</v>
      </c>
      <c r="Z119">
        <v>0</v>
      </c>
      <c r="AA119" s="2">
        <v>-1495230.9551199998</v>
      </c>
      <c r="AB119" t="str">
        <f>VLOOKUP(Table2[[#This Row],[product]],Ref[#All],6,FALSE)</f>
        <v>BAG20</v>
      </c>
    </row>
    <row r="120" spans="1:28" x14ac:dyDescent="0.25">
      <c r="A120" t="str">
        <f>TEXT(Table2[[#This Row],[dated]],"mmm")</f>
        <v>Jun</v>
      </c>
      <c r="B120" t="s">
        <v>20</v>
      </c>
      <c r="C120" s="1" t="s">
        <v>2729</v>
      </c>
      <c r="D120" t="str">
        <f>VLOOKUP(Table2[[#This Row],[product]],Ref[#All],7,FALSE)</f>
        <v>Flour</v>
      </c>
      <c r="E120" s="1" t="s">
        <v>36</v>
      </c>
      <c r="F120" t="str">
        <f>VLOOKUP(Table2[[#This Row],[product]],Ref[#All],2,FALSE)</f>
        <v>Flour Import Elngm 25Kg</v>
      </c>
      <c r="G120" t="str">
        <f>VLOOKUP(Table2[[#This Row],[product]],Ref[#All],3,FALSE)</f>
        <v>Flour Al-Nagm (Imported)</v>
      </c>
      <c r="H120" t="str">
        <f>VLOOKUP(Table2[[#This Row],[product]],Ref[#All],4,FALSE)</f>
        <v>Import</v>
      </c>
      <c r="I120" s="1">
        <v>45823</v>
      </c>
      <c r="J120" t="s">
        <v>127</v>
      </c>
      <c r="K120" t="s">
        <v>1481</v>
      </c>
      <c r="L120" t="s">
        <v>1615</v>
      </c>
      <c r="M120" t="s">
        <v>1593</v>
      </c>
      <c r="N120" t="s">
        <v>784</v>
      </c>
      <c r="O120" t="s">
        <v>1593</v>
      </c>
      <c r="P120" t="s">
        <v>788</v>
      </c>
      <c r="Q120" t="s">
        <v>55</v>
      </c>
      <c r="R120">
        <v>45</v>
      </c>
      <c r="S120" s="15">
        <f>Table2[[#This Row],[movement_quantity]]/VLOOKUP(Table2[[#This Row],[product]],Ref[#All],5,FALSE)</f>
        <v>1.125</v>
      </c>
      <c r="T120">
        <v>24758.555840000001</v>
      </c>
      <c r="U120" t="s">
        <v>1439</v>
      </c>
      <c r="V120" t="s">
        <v>35</v>
      </c>
      <c r="W120" t="s">
        <v>1482</v>
      </c>
      <c r="X120" t="s">
        <v>1483</v>
      </c>
      <c r="Y120" t="s">
        <v>17</v>
      </c>
      <c r="Z120" s="2">
        <v>0</v>
      </c>
      <c r="AA120" s="2">
        <v>1114135.0128000001</v>
      </c>
      <c r="AB120" t="str">
        <f>VLOOKUP(Table2[[#This Row],[product]],Ref[#All],6,FALSE)</f>
        <v>BAG25</v>
      </c>
    </row>
    <row r="121" spans="1:28" x14ac:dyDescent="0.25">
      <c r="A121" t="str">
        <f>TEXT(Table2[[#This Row],[dated]],"mmm")</f>
        <v>May</v>
      </c>
      <c r="B121" t="s">
        <v>811</v>
      </c>
      <c r="C121" s="1" t="s">
        <v>2729</v>
      </c>
      <c r="D121" t="str">
        <f>VLOOKUP(Table2[[#This Row],[product]],Ref[#All],7,FALSE)</f>
        <v>Flour</v>
      </c>
      <c r="E121" s="1" t="s">
        <v>36</v>
      </c>
      <c r="F121" t="str">
        <f>VLOOKUP(Table2[[#This Row],[product]],Ref[#All],2,FALSE)</f>
        <v>Flour Import Elngm 25Kg</v>
      </c>
      <c r="G121" t="str">
        <f>VLOOKUP(Table2[[#This Row],[product]],Ref[#All],3,FALSE)</f>
        <v>Flour Al-Nagm (Imported)</v>
      </c>
      <c r="H121" t="str">
        <f>VLOOKUP(Table2[[#This Row],[product]],Ref[#All],4,FALSE)</f>
        <v>Import</v>
      </c>
      <c r="I121" s="1">
        <v>45782</v>
      </c>
      <c r="J121" t="s">
        <v>127</v>
      </c>
      <c r="K121" t="s">
        <v>812</v>
      </c>
      <c r="L121" t="s">
        <v>1654</v>
      </c>
      <c r="M121" t="s">
        <v>1593</v>
      </c>
      <c r="N121" t="s">
        <v>784</v>
      </c>
      <c r="O121" t="s">
        <v>1593</v>
      </c>
      <c r="P121" t="s">
        <v>788</v>
      </c>
      <c r="Q121" t="s">
        <v>55</v>
      </c>
      <c r="R121">
        <v>27</v>
      </c>
      <c r="S121" s="15">
        <f>Table2[[#This Row],[movement_quantity]]/VLOOKUP(Table2[[#This Row],[product]],Ref[#All],5,FALSE)</f>
        <v>0.67500000000000004</v>
      </c>
      <c r="T121">
        <v>31301.811430000002</v>
      </c>
      <c r="U121" t="s">
        <v>813</v>
      </c>
      <c r="V121" t="s">
        <v>23</v>
      </c>
      <c r="W121" t="s">
        <v>814</v>
      </c>
      <c r="X121" t="s">
        <v>815</v>
      </c>
      <c r="Y121" t="s">
        <v>17</v>
      </c>
      <c r="Z121">
        <v>0</v>
      </c>
      <c r="AA121" s="2">
        <v>845148.90861000004</v>
      </c>
      <c r="AB121" t="str">
        <f>VLOOKUP(Table2[[#This Row],[product]],Ref[#All],6,FALSE)</f>
        <v>BAG25</v>
      </c>
    </row>
    <row r="122" spans="1:28" x14ac:dyDescent="0.25">
      <c r="A122" t="str">
        <f>TEXT(Table2[[#This Row],[dated]],"mmm")</f>
        <v>Jul</v>
      </c>
      <c r="B122" t="s">
        <v>20</v>
      </c>
      <c r="C122" s="1" t="s">
        <v>2729</v>
      </c>
      <c r="D122" t="str">
        <f>VLOOKUP(Table2[[#This Row],[product]],Ref[#All],7,FALSE)</f>
        <v>Lentils</v>
      </c>
      <c r="E122" s="1" t="s">
        <v>39</v>
      </c>
      <c r="F122" t="str">
        <f>VLOOKUP(Table2[[#This Row],[product]],Ref[#All],2,FALSE)</f>
        <v>Lentil TAT 20KG</v>
      </c>
      <c r="G122" t="str">
        <f>VLOOKUP(Table2[[#This Row],[product]],Ref[#All],3,FALSE)</f>
        <v>Lentils</v>
      </c>
      <c r="H122" t="str">
        <f>VLOOKUP(Table2[[#This Row],[product]],Ref[#All],4,FALSE)</f>
        <v>Import</v>
      </c>
      <c r="I122" s="1">
        <v>45853</v>
      </c>
      <c r="J122" t="s">
        <v>127</v>
      </c>
      <c r="K122" t="s">
        <v>1930</v>
      </c>
      <c r="L122" t="s">
        <v>2283</v>
      </c>
      <c r="M122" t="s">
        <v>1593</v>
      </c>
      <c r="N122" t="s">
        <v>784</v>
      </c>
      <c r="O122" t="s">
        <v>1593</v>
      </c>
      <c r="P122" t="s">
        <v>788</v>
      </c>
      <c r="Q122" t="s">
        <v>55</v>
      </c>
      <c r="R122">
        <v>153</v>
      </c>
      <c r="S122" s="15">
        <f>Table2[[#This Row],[movement_quantity]]/VLOOKUP(Table2[[#This Row],[product]],Ref[#All],5,FALSE)</f>
        <v>3.06</v>
      </c>
      <c r="T122">
        <v>41075.795080000004</v>
      </c>
      <c r="U122" t="s">
        <v>1439</v>
      </c>
      <c r="V122" t="s">
        <v>18</v>
      </c>
      <c r="W122" t="s">
        <v>1931</v>
      </c>
      <c r="X122" t="s">
        <v>1932</v>
      </c>
      <c r="Y122" s="2" t="s">
        <v>17</v>
      </c>
      <c r="Z122">
        <v>0</v>
      </c>
      <c r="AA122" s="2">
        <v>6284596.6472400008</v>
      </c>
      <c r="AB122" t="str">
        <f>VLOOKUP(Table2[[#This Row],[product]],Ref[#All],6,FALSE)</f>
        <v>BAG20</v>
      </c>
    </row>
    <row r="123" spans="1:28" x14ac:dyDescent="0.25">
      <c r="A123" t="str">
        <f>TEXT(Table2[[#This Row],[dated]],"mmm")</f>
        <v>Jul</v>
      </c>
      <c r="B123" t="s">
        <v>20</v>
      </c>
      <c r="C123" s="1" t="s">
        <v>2729</v>
      </c>
      <c r="D123" t="str">
        <f>VLOOKUP(Table2[[#This Row],[product]],Ref[#All],7,FALSE)</f>
        <v>Lentils</v>
      </c>
      <c r="E123" s="1" t="s">
        <v>39</v>
      </c>
      <c r="F123" t="str">
        <f>VLOOKUP(Table2[[#This Row],[product]],Ref[#All],2,FALSE)</f>
        <v>Lentil TAT 20KG</v>
      </c>
      <c r="G123" t="str">
        <f>VLOOKUP(Table2[[#This Row],[product]],Ref[#All],3,FALSE)</f>
        <v>Lentils</v>
      </c>
      <c r="H123" t="str">
        <f>VLOOKUP(Table2[[#This Row],[product]],Ref[#All],4,FALSE)</f>
        <v>Import</v>
      </c>
      <c r="I123" s="1">
        <v>45853</v>
      </c>
      <c r="J123" t="s">
        <v>127</v>
      </c>
      <c r="K123" t="s">
        <v>1933</v>
      </c>
      <c r="L123" t="s">
        <v>2282</v>
      </c>
      <c r="M123" t="s">
        <v>1593</v>
      </c>
      <c r="N123" t="s">
        <v>784</v>
      </c>
      <c r="O123" t="s">
        <v>1593</v>
      </c>
      <c r="P123" t="s">
        <v>788</v>
      </c>
      <c r="Q123" t="s">
        <v>55</v>
      </c>
      <c r="R123">
        <v>95</v>
      </c>
      <c r="S123" s="15">
        <f>Table2[[#This Row],[movement_quantity]]/VLOOKUP(Table2[[#This Row],[product]],Ref[#All],5,FALSE)</f>
        <v>1.9</v>
      </c>
      <c r="T123">
        <v>41075.795080000004</v>
      </c>
      <c r="U123" t="s">
        <v>1439</v>
      </c>
      <c r="V123" t="s">
        <v>21</v>
      </c>
      <c r="W123" t="s">
        <v>1934</v>
      </c>
      <c r="X123" t="s">
        <v>1935</v>
      </c>
      <c r="Y123" s="2" t="s">
        <v>17</v>
      </c>
      <c r="Z123">
        <v>0</v>
      </c>
      <c r="AA123" s="2">
        <v>3902200.5326000005</v>
      </c>
      <c r="AB123" t="str">
        <f>VLOOKUP(Table2[[#This Row],[product]],Ref[#All],6,FALSE)</f>
        <v>BAG20</v>
      </c>
    </row>
    <row r="124" spans="1:28" x14ac:dyDescent="0.25">
      <c r="A124" t="str">
        <f>TEXT(Table2[[#This Row],[dated]],"mmm")</f>
        <v>Jul</v>
      </c>
      <c r="B124" t="s">
        <v>20</v>
      </c>
      <c r="C124" s="1" t="s">
        <v>2729</v>
      </c>
      <c r="D124" t="str">
        <f>VLOOKUP(Table2[[#This Row],[product]],Ref[#All],7,FALSE)</f>
        <v>Lentils</v>
      </c>
      <c r="E124" s="1" t="s">
        <v>39</v>
      </c>
      <c r="F124" t="str">
        <f>VLOOKUP(Table2[[#This Row],[product]],Ref[#All],2,FALSE)</f>
        <v>Lentil TAT 20KG</v>
      </c>
      <c r="G124" t="str">
        <f>VLOOKUP(Table2[[#This Row],[product]],Ref[#All],3,FALSE)</f>
        <v>Lentils</v>
      </c>
      <c r="H124" t="str">
        <f>VLOOKUP(Table2[[#This Row],[product]],Ref[#All],4,FALSE)</f>
        <v>Import</v>
      </c>
      <c r="I124" s="1">
        <v>45853</v>
      </c>
      <c r="J124" t="s">
        <v>127</v>
      </c>
      <c r="K124" t="s">
        <v>1936</v>
      </c>
      <c r="L124" t="s">
        <v>2284</v>
      </c>
      <c r="M124" t="s">
        <v>1593</v>
      </c>
      <c r="N124" t="s">
        <v>784</v>
      </c>
      <c r="O124" t="s">
        <v>1593</v>
      </c>
      <c r="P124" t="s">
        <v>788</v>
      </c>
      <c r="Q124" t="s">
        <v>55</v>
      </c>
      <c r="R124">
        <v>158</v>
      </c>
      <c r="S124" s="15">
        <f>Table2[[#This Row],[movement_quantity]]/VLOOKUP(Table2[[#This Row],[product]],Ref[#All],5,FALSE)</f>
        <v>3.16</v>
      </c>
      <c r="T124">
        <v>41075.795080000004</v>
      </c>
      <c r="U124" t="s">
        <v>1439</v>
      </c>
      <c r="V124" t="s">
        <v>22</v>
      </c>
      <c r="W124" t="s">
        <v>1937</v>
      </c>
      <c r="X124" t="s">
        <v>1938</v>
      </c>
      <c r="Y124" s="2" t="s">
        <v>17</v>
      </c>
      <c r="Z124">
        <v>0</v>
      </c>
      <c r="AA124" s="2">
        <v>6489975.6226400007</v>
      </c>
      <c r="AB124" t="str">
        <f>VLOOKUP(Table2[[#This Row],[product]],Ref[#All],6,FALSE)</f>
        <v>BAG20</v>
      </c>
    </row>
    <row r="125" spans="1:28" x14ac:dyDescent="0.25">
      <c r="A125" t="str">
        <f>TEXT(Table2[[#This Row],[dated]],"mmm")</f>
        <v>Aug</v>
      </c>
      <c r="B125" s="28" t="s">
        <v>20</v>
      </c>
      <c r="C125" s="1" t="s">
        <v>2729</v>
      </c>
      <c r="D125" t="str">
        <f>VLOOKUP(Table2[[#This Row],[product]],Ref[#All],7,FALSE)</f>
        <v>Lentils</v>
      </c>
      <c r="E125" s="28" t="s">
        <v>39</v>
      </c>
      <c r="F125" t="str">
        <f>VLOOKUP(Table2[[#This Row],[product]],Ref[#All],2,FALSE)</f>
        <v>Lentil TAT 20KG</v>
      </c>
      <c r="G125" t="str">
        <f>VLOOKUP(Table2[[#This Row],[product]],Ref[#All],3,FALSE)</f>
        <v>Lentils</v>
      </c>
      <c r="H125" t="str">
        <f>VLOOKUP(Table2[[#This Row],[product]],Ref[#All],4,FALSE)</f>
        <v>Import</v>
      </c>
      <c r="I125" s="1">
        <v>45890</v>
      </c>
      <c r="J125" t="s">
        <v>127</v>
      </c>
      <c r="K125" t="s">
        <v>2347</v>
      </c>
      <c r="L125" t="s">
        <v>2539</v>
      </c>
      <c r="M125" t="s">
        <v>1593</v>
      </c>
      <c r="N125" t="s">
        <v>784</v>
      </c>
      <c r="O125" t="s">
        <v>1593</v>
      </c>
      <c r="P125" t="s">
        <v>788</v>
      </c>
      <c r="Q125" t="s">
        <v>55</v>
      </c>
      <c r="R125">
        <v>197</v>
      </c>
      <c r="S125" s="15">
        <f>Table2[[#This Row],[movement_quantity]]/VLOOKUP(Table2[[#This Row],[product]],Ref[#All],5,FALSE)</f>
        <v>3.94</v>
      </c>
      <c r="T125">
        <v>53401.105539999997</v>
      </c>
      <c r="U125" t="s">
        <v>1439</v>
      </c>
      <c r="V125" t="s">
        <v>18</v>
      </c>
      <c r="W125" t="s">
        <v>2456</v>
      </c>
      <c r="X125" t="s">
        <v>2462</v>
      </c>
      <c r="Y125" s="2" t="s">
        <v>17</v>
      </c>
      <c r="Z125">
        <v>0</v>
      </c>
      <c r="AA125" s="2">
        <v>10520017.791379999</v>
      </c>
      <c r="AB125" t="str">
        <f>VLOOKUP(Table2[[#This Row],[product]],Ref[#All],6,FALSE)</f>
        <v>BAG20</v>
      </c>
    </row>
    <row r="126" spans="1:28" x14ac:dyDescent="0.25">
      <c r="A126" t="str">
        <f>TEXT(Table2[[#This Row],[dated]],"mmm")</f>
        <v>Aug</v>
      </c>
      <c r="B126" s="28" t="s">
        <v>20</v>
      </c>
      <c r="C126" s="1" t="s">
        <v>2729</v>
      </c>
      <c r="D126" t="str">
        <f>VLOOKUP(Table2[[#This Row],[product]],Ref[#All],7,FALSE)</f>
        <v>Lentils</v>
      </c>
      <c r="E126" s="28" t="s">
        <v>39</v>
      </c>
      <c r="F126" t="str">
        <f>VLOOKUP(Table2[[#This Row],[product]],Ref[#All],2,FALSE)</f>
        <v>Lentil TAT 20KG</v>
      </c>
      <c r="G126" t="str">
        <f>VLOOKUP(Table2[[#This Row],[product]],Ref[#All],3,FALSE)</f>
        <v>Lentils</v>
      </c>
      <c r="H126" t="str">
        <f>VLOOKUP(Table2[[#This Row],[product]],Ref[#All],4,FALSE)</f>
        <v>Import</v>
      </c>
      <c r="I126" s="1">
        <v>45890</v>
      </c>
      <c r="J126" t="s">
        <v>127</v>
      </c>
      <c r="K126" t="s">
        <v>2348</v>
      </c>
      <c r="L126" t="s">
        <v>2534</v>
      </c>
      <c r="M126" t="s">
        <v>1593</v>
      </c>
      <c r="N126" t="s">
        <v>784</v>
      </c>
      <c r="O126" t="s">
        <v>1593</v>
      </c>
      <c r="P126" t="s">
        <v>788</v>
      </c>
      <c r="Q126" t="s">
        <v>55</v>
      </c>
      <c r="R126">
        <v>15</v>
      </c>
      <c r="S126" s="15">
        <f>Table2[[#This Row],[movement_quantity]]/VLOOKUP(Table2[[#This Row],[product]],Ref[#All],5,FALSE)</f>
        <v>0.3</v>
      </c>
      <c r="T126">
        <v>53401.105539999997</v>
      </c>
      <c r="U126" t="s">
        <v>1439</v>
      </c>
      <c r="V126" t="s">
        <v>21</v>
      </c>
      <c r="W126" t="s">
        <v>2463</v>
      </c>
      <c r="X126" t="s">
        <v>2464</v>
      </c>
      <c r="Y126" s="2" t="s">
        <v>17</v>
      </c>
      <c r="Z126">
        <v>0</v>
      </c>
      <c r="AA126" s="2">
        <v>801016.58309999993</v>
      </c>
      <c r="AB126" t="str">
        <f>VLOOKUP(Table2[[#This Row],[product]],Ref[#All],6,FALSE)</f>
        <v>BAG20</v>
      </c>
    </row>
    <row r="127" spans="1:28" x14ac:dyDescent="0.25">
      <c r="A127" t="str">
        <f>TEXT(Table2[[#This Row],[dated]],"mmm")</f>
        <v>Aug</v>
      </c>
      <c r="B127" s="28" t="s">
        <v>20</v>
      </c>
      <c r="C127" s="1" t="s">
        <v>2729</v>
      </c>
      <c r="D127" t="str">
        <f>VLOOKUP(Table2[[#This Row],[product]],Ref[#All],7,FALSE)</f>
        <v>Lentils</v>
      </c>
      <c r="E127" s="28" t="s">
        <v>39</v>
      </c>
      <c r="F127" t="str">
        <f>VLOOKUP(Table2[[#This Row],[product]],Ref[#All],2,FALSE)</f>
        <v>Lentil TAT 20KG</v>
      </c>
      <c r="G127" t="str">
        <f>VLOOKUP(Table2[[#This Row],[product]],Ref[#All],3,FALSE)</f>
        <v>Lentils</v>
      </c>
      <c r="H127" t="str">
        <f>VLOOKUP(Table2[[#This Row],[product]],Ref[#All],4,FALSE)</f>
        <v>Import</v>
      </c>
      <c r="I127" s="1">
        <v>45890</v>
      </c>
      <c r="J127" t="s">
        <v>127</v>
      </c>
      <c r="K127" t="s">
        <v>2349</v>
      </c>
      <c r="L127" t="s">
        <v>2536</v>
      </c>
      <c r="M127" t="s">
        <v>1593</v>
      </c>
      <c r="N127" t="s">
        <v>784</v>
      </c>
      <c r="O127" t="s">
        <v>1593</v>
      </c>
      <c r="P127" t="s">
        <v>788</v>
      </c>
      <c r="Q127" t="s">
        <v>55</v>
      </c>
      <c r="R127">
        <v>5</v>
      </c>
      <c r="S127" s="15">
        <f>Table2[[#This Row],[movement_quantity]]/VLOOKUP(Table2[[#This Row],[product]],Ref[#All],5,FALSE)</f>
        <v>0.1</v>
      </c>
      <c r="T127">
        <v>53401.105539999997</v>
      </c>
      <c r="U127" t="s">
        <v>1439</v>
      </c>
      <c r="V127" t="s">
        <v>22</v>
      </c>
      <c r="W127" t="s">
        <v>2465</v>
      </c>
      <c r="X127" t="s">
        <v>2466</v>
      </c>
      <c r="Y127" s="2" t="s">
        <v>17</v>
      </c>
      <c r="Z127">
        <v>0</v>
      </c>
      <c r="AA127" s="2">
        <v>267005.52769999998</v>
      </c>
      <c r="AB127" t="str">
        <f>VLOOKUP(Table2[[#This Row],[product]],Ref[#All],6,FALSE)</f>
        <v>BAG20</v>
      </c>
    </row>
    <row r="128" spans="1:28" x14ac:dyDescent="0.25">
      <c r="A128" t="str">
        <f>TEXT(Table2[[#This Row],[dated]],"mmm")</f>
        <v>Aug</v>
      </c>
      <c r="B128" s="28" t="s">
        <v>20</v>
      </c>
      <c r="C128" s="1" t="s">
        <v>2729</v>
      </c>
      <c r="D128" t="str">
        <f>VLOOKUP(Table2[[#This Row],[product]],Ref[#All],7,FALSE)</f>
        <v>Lentils</v>
      </c>
      <c r="E128" s="28" t="s">
        <v>39</v>
      </c>
      <c r="F128" t="str">
        <f>VLOOKUP(Table2[[#This Row],[product]],Ref[#All],2,FALSE)</f>
        <v>Lentil TAT 20KG</v>
      </c>
      <c r="G128" t="str">
        <f>VLOOKUP(Table2[[#This Row],[product]],Ref[#All],3,FALSE)</f>
        <v>Lentils</v>
      </c>
      <c r="H128" t="str">
        <f>VLOOKUP(Table2[[#This Row],[product]],Ref[#All],4,FALSE)</f>
        <v>Import</v>
      </c>
      <c r="I128" s="1">
        <v>45890</v>
      </c>
      <c r="J128" t="s">
        <v>127</v>
      </c>
      <c r="K128" t="s">
        <v>2350</v>
      </c>
      <c r="L128" t="s">
        <v>2535</v>
      </c>
      <c r="M128" t="s">
        <v>1593</v>
      </c>
      <c r="N128" t="s">
        <v>784</v>
      </c>
      <c r="O128" t="s">
        <v>1593</v>
      </c>
      <c r="P128" t="s">
        <v>788</v>
      </c>
      <c r="Q128" t="s">
        <v>55</v>
      </c>
      <c r="R128">
        <v>41</v>
      </c>
      <c r="S128" s="15">
        <f>Table2[[#This Row],[movement_quantity]]/VLOOKUP(Table2[[#This Row],[product]],Ref[#All],5,FALSE)</f>
        <v>0.82</v>
      </c>
      <c r="T128">
        <v>53401.105539999997</v>
      </c>
      <c r="U128" t="s">
        <v>1439</v>
      </c>
      <c r="V128" t="s">
        <v>23</v>
      </c>
      <c r="W128" t="s">
        <v>2467</v>
      </c>
      <c r="X128" t="s">
        <v>2468</v>
      </c>
      <c r="Y128" s="2" t="s">
        <v>17</v>
      </c>
      <c r="Z128">
        <v>0</v>
      </c>
      <c r="AA128" s="2">
        <v>2189445.3271399997</v>
      </c>
      <c r="AB128" t="str">
        <f>VLOOKUP(Table2[[#This Row],[product]],Ref[#All],6,FALSE)</f>
        <v>BAG20</v>
      </c>
    </row>
    <row r="129" spans="1:28" x14ac:dyDescent="0.25">
      <c r="A129" t="str">
        <f>TEXT(Table2[[#This Row],[dated]],"mmm")</f>
        <v>Aug</v>
      </c>
      <c r="B129" s="28" t="s">
        <v>20</v>
      </c>
      <c r="C129" s="1" t="s">
        <v>2729</v>
      </c>
      <c r="D129" t="str">
        <f>VLOOKUP(Table2[[#This Row],[product]],Ref[#All],7,FALSE)</f>
        <v>Lentils</v>
      </c>
      <c r="E129" s="28" t="s">
        <v>39</v>
      </c>
      <c r="F129" t="str">
        <f>VLOOKUP(Table2[[#This Row],[product]],Ref[#All],2,FALSE)</f>
        <v>Lentil TAT 20KG</v>
      </c>
      <c r="G129" t="str">
        <f>VLOOKUP(Table2[[#This Row],[product]],Ref[#All],3,FALSE)</f>
        <v>Lentils</v>
      </c>
      <c r="H129" t="str">
        <f>VLOOKUP(Table2[[#This Row],[product]],Ref[#All],4,FALSE)</f>
        <v>Import</v>
      </c>
      <c r="I129" s="1">
        <v>45890</v>
      </c>
      <c r="J129" t="s">
        <v>127</v>
      </c>
      <c r="K129" t="s">
        <v>2351</v>
      </c>
      <c r="L129" t="s">
        <v>2537</v>
      </c>
      <c r="M129" t="s">
        <v>1593</v>
      </c>
      <c r="N129" t="s">
        <v>784</v>
      </c>
      <c r="O129" t="s">
        <v>1593</v>
      </c>
      <c r="P129" t="s">
        <v>788</v>
      </c>
      <c r="Q129" t="s">
        <v>55</v>
      </c>
      <c r="R129">
        <v>207</v>
      </c>
      <c r="S129" s="15">
        <f>Table2[[#This Row],[movement_quantity]]/VLOOKUP(Table2[[#This Row],[product]],Ref[#All],5,FALSE)</f>
        <v>4.1399999999999997</v>
      </c>
      <c r="T129">
        <v>53401.105539999997</v>
      </c>
      <c r="U129" t="s">
        <v>1439</v>
      </c>
      <c r="V129" t="s">
        <v>24</v>
      </c>
      <c r="W129" t="s">
        <v>2469</v>
      </c>
      <c r="X129" t="s">
        <v>2470</v>
      </c>
      <c r="Y129" s="2" t="s">
        <v>17</v>
      </c>
      <c r="Z129">
        <v>0</v>
      </c>
      <c r="AA129" s="2">
        <v>11054028.84678</v>
      </c>
      <c r="AB129" t="str">
        <f>VLOOKUP(Table2[[#This Row],[product]],Ref[#All],6,FALSE)</f>
        <v>BAG20</v>
      </c>
    </row>
    <row r="130" spans="1:28" x14ac:dyDescent="0.25">
      <c r="A130" t="str">
        <f>TEXT(Table2[[#This Row],[dated]],"mmm")</f>
        <v>Aug</v>
      </c>
      <c r="B130" s="28" t="s">
        <v>20</v>
      </c>
      <c r="C130" s="1" t="s">
        <v>2729</v>
      </c>
      <c r="D130" t="str">
        <f>VLOOKUP(Table2[[#This Row],[product]],Ref[#All],7,FALSE)</f>
        <v>Lentils</v>
      </c>
      <c r="E130" s="28" t="s">
        <v>39</v>
      </c>
      <c r="F130" t="str">
        <f>VLOOKUP(Table2[[#This Row],[product]],Ref[#All],2,FALSE)</f>
        <v>Lentil TAT 20KG</v>
      </c>
      <c r="G130" t="str">
        <f>VLOOKUP(Table2[[#This Row],[product]],Ref[#All],3,FALSE)</f>
        <v>Lentils</v>
      </c>
      <c r="H130" t="str">
        <f>VLOOKUP(Table2[[#This Row],[product]],Ref[#All],4,FALSE)</f>
        <v>Import</v>
      </c>
      <c r="I130" s="1">
        <v>45890</v>
      </c>
      <c r="J130" t="s">
        <v>127</v>
      </c>
      <c r="K130" t="s">
        <v>2352</v>
      </c>
      <c r="L130" t="s">
        <v>2538</v>
      </c>
      <c r="M130" t="s">
        <v>1593</v>
      </c>
      <c r="N130" t="s">
        <v>784</v>
      </c>
      <c r="O130" t="s">
        <v>1593</v>
      </c>
      <c r="P130" t="s">
        <v>788</v>
      </c>
      <c r="Q130" t="s">
        <v>55</v>
      </c>
      <c r="R130">
        <v>154</v>
      </c>
      <c r="S130" s="15">
        <f>Table2[[#This Row],[movement_quantity]]/VLOOKUP(Table2[[#This Row],[product]],Ref[#All],5,FALSE)</f>
        <v>3.08</v>
      </c>
      <c r="T130">
        <v>53401.105539999997</v>
      </c>
      <c r="U130" t="s">
        <v>1439</v>
      </c>
      <c r="V130" t="s">
        <v>25</v>
      </c>
      <c r="W130" t="s">
        <v>2471</v>
      </c>
      <c r="X130" t="s">
        <v>2472</v>
      </c>
      <c r="Y130" s="2" t="s">
        <v>17</v>
      </c>
      <c r="Z130">
        <v>0</v>
      </c>
      <c r="AA130" s="2">
        <v>8223770.2531599998</v>
      </c>
      <c r="AB130" t="str">
        <f>VLOOKUP(Table2[[#This Row],[product]],Ref[#All],6,FALSE)</f>
        <v>BAG20</v>
      </c>
    </row>
    <row r="131" spans="1:28" x14ac:dyDescent="0.25">
      <c r="A131" t="str">
        <f>TEXT(Table2[[#This Row],[dated]],"mmm")</f>
        <v>Jan</v>
      </c>
      <c r="B131" t="s">
        <v>125</v>
      </c>
      <c r="C131" s="1" t="s">
        <v>540</v>
      </c>
      <c r="D131" t="str">
        <f>VLOOKUP(Table2[[#This Row],[product]],Ref[#All],7,FALSE)</f>
        <v>Sesame Non Gadarif</v>
      </c>
      <c r="E131" t="s">
        <v>251</v>
      </c>
      <c r="F131" t="str">
        <f>VLOOKUP(Table2[[#This Row],[product]],Ref[#All],2,FALSE)</f>
        <v>Non Gadarif Sesame - Colored - Grade 2 5</v>
      </c>
      <c r="G131" t="str">
        <f>VLOOKUP(Table2[[#This Row],[product]],Ref[#All],3,FALSE)</f>
        <v>Non Gadarif Sesame - Colored - Grade 2 5</v>
      </c>
      <c r="H131" t="str">
        <f>VLOOKUP(Table2[[#This Row],[product]],Ref[#All],4,FALSE)</f>
        <v>Export</v>
      </c>
      <c r="I131" s="1">
        <v>45678</v>
      </c>
      <c r="J131" t="s">
        <v>53</v>
      </c>
      <c r="K131" t="s">
        <v>264</v>
      </c>
      <c r="L131" t="s">
        <v>2553</v>
      </c>
      <c r="M131" t="s">
        <v>1586</v>
      </c>
      <c r="N131" t="s">
        <v>784</v>
      </c>
      <c r="O131" t="s">
        <v>785</v>
      </c>
      <c r="P131" t="s">
        <v>788</v>
      </c>
      <c r="Q131" t="s">
        <v>55</v>
      </c>
      <c r="R131">
        <v>-9</v>
      </c>
      <c r="S131" s="15">
        <f>Table2[[#This Row],[movement_quantity]]/VLOOKUP(Table2[[#This Row],[product]],Ref[#All],5,FALSE)</f>
        <v>-0.45</v>
      </c>
      <c r="T131">
        <v>88602.842109999998</v>
      </c>
      <c r="U131" t="s">
        <v>17</v>
      </c>
      <c r="V131" t="s">
        <v>18</v>
      </c>
      <c r="W131" t="s">
        <v>265</v>
      </c>
      <c r="X131" t="s">
        <v>17</v>
      </c>
      <c r="Y131" t="s">
        <v>252</v>
      </c>
      <c r="Z131">
        <v>0</v>
      </c>
      <c r="AA131" s="2">
        <v>-797425.57898999995</v>
      </c>
      <c r="AB131" t="str">
        <f>VLOOKUP(Table2[[#This Row],[product]],Ref[#All],6,FALSE)</f>
        <v>BAG50</v>
      </c>
    </row>
    <row r="132" spans="1:28" x14ac:dyDescent="0.25">
      <c r="A132" t="str">
        <f>TEXT(Table2[[#This Row],[dated]],"mmm")</f>
        <v>Feb</v>
      </c>
      <c r="B132" t="s">
        <v>125</v>
      </c>
      <c r="C132" s="1" t="s">
        <v>540</v>
      </c>
      <c r="D132" t="str">
        <f>VLOOKUP(Table2[[#This Row],[product]],Ref[#All],7,FALSE)</f>
        <v>Sesame Non Gadarif</v>
      </c>
      <c r="E132" t="s">
        <v>126</v>
      </c>
      <c r="F132" t="str">
        <f>VLOOKUP(Table2[[#This Row],[product]],Ref[#All],2,FALSE)</f>
        <v>Non Gadarif Sesame Colored Damage NC 50K</v>
      </c>
      <c r="G132" t="str">
        <f>VLOOKUP(Table2[[#This Row],[product]],Ref[#All],3,FALSE)</f>
        <v>Non Gadarif Sesame Colored Damage</v>
      </c>
      <c r="H132" t="str">
        <f>VLOOKUP(Table2[[#This Row],[product]],Ref[#All],4,FALSE)</f>
        <v>Export</v>
      </c>
      <c r="I132" s="1">
        <v>45699</v>
      </c>
      <c r="J132" t="s">
        <v>127</v>
      </c>
      <c r="K132" t="s">
        <v>128</v>
      </c>
      <c r="L132" t="s">
        <v>2553</v>
      </c>
      <c r="M132" t="s">
        <v>1593</v>
      </c>
      <c r="N132" t="s">
        <v>784</v>
      </c>
      <c r="O132" t="s">
        <v>785</v>
      </c>
      <c r="P132" t="s">
        <v>788</v>
      </c>
      <c r="Q132" t="s">
        <v>55</v>
      </c>
      <c r="R132">
        <v>6</v>
      </c>
      <c r="S132" s="15">
        <f>Table2[[#This Row],[movement_quantity]]/VLOOKUP(Table2[[#This Row],[product]],Ref[#All],5,FALSE)</f>
        <v>0.3</v>
      </c>
      <c r="T132">
        <v>0</v>
      </c>
      <c r="U132" t="s">
        <v>17</v>
      </c>
      <c r="V132" t="s">
        <v>18</v>
      </c>
      <c r="W132" t="s">
        <v>129</v>
      </c>
      <c r="X132" t="s">
        <v>130</v>
      </c>
      <c r="Y132" t="s">
        <v>17</v>
      </c>
      <c r="Z132">
        <v>0</v>
      </c>
      <c r="AA132" s="4">
        <v>60000</v>
      </c>
      <c r="AB132" t="str">
        <f>VLOOKUP(Table2[[#This Row],[product]],Ref[#All],6,FALSE)</f>
        <v>BAG50</v>
      </c>
    </row>
    <row r="133" spans="1:28" x14ac:dyDescent="0.25">
      <c r="A133" t="str">
        <f>TEXT(Table2[[#This Row],[dated]],"mmm")</f>
        <v>Jan</v>
      </c>
      <c r="B133" t="s">
        <v>89</v>
      </c>
      <c r="C133" s="1" t="s">
        <v>540</v>
      </c>
      <c r="D133" t="str">
        <f>VLOOKUP(Table2[[#This Row],[product]],Ref[#All],7,FALSE)</f>
        <v>Sesame Gadarif</v>
      </c>
      <c r="E133" t="s">
        <v>90</v>
      </c>
      <c r="F133" t="str">
        <f>VLOOKUP(Table2[[#This Row],[product]],Ref[#All],2,FALSE)</f>
        <v>Gadarif Sesame Raw</v>
      </c>
      <c r="G133" t="str">
        <f>VLOOKUP(Table2[[#This Row],[product]],Ref[#All],3,FALSE)</f>
        <v>Gadarif Sesame Raw</v>
      </c>
      <c r="H133" t="str">
        <f>VLOOKUP(Table2[[#This Row],[product]],Ref[#All],4,FALSE)</f>
        <v>Export</v>
      </c>
      <c r="I133" s="1">
        <v>45688</v>
      </c>
      <c r="J133" t="s">
        <v>53</v>
      </c>
      <c r="K133" t="s">
        <v>413</v>
      </c>
      <c r="L133" t="s">
        <v>1925</v>
      </c>
      <c r="M133" t="s">
        <v>1586</v>
      </c>
      <c r="N133" t="s">
        <v>784</v>
      </c>
      <c r="O133" t="s">
        <v>785</v>
      </c>
      <c r="P133" t="s">
        <v>788</v>
      </c>
      <c r="Q133" t="s">
        <v>55</v>
      </c>
      <c r="R133">
        <v>-1.94</v>
      </c>
      <c r="S133" s="15">
        <f>Table2[[#This Row],[movement_quantity]]/VLOOKUP(Table2[[#This Row],[product]],Ref[#All],5,FALSE)</f>
        <v>-1.94</v>
      </c>
      <c r="T133">
        <v>3559457.5</v>
      </c>
      <c r="U133" t="s">
        <v>17</v>
      </c>
      <c r="V133" t="s">
        <v>18</v>
      </c>
      <c r="W133" t="s">
        <v>414</v>
      </c>
      <c r="X133" t="s">
        <v>17</v>
      </c>
      <c r="Y133" t="s">
        <v>140</v>
      </c>
      <c r="Z133">
        <v>0</v>
      </c>
      <c r="AA133" s="2">
        <v>-6905347.5499999998</v>
      </c>
      <c r="AB133" t="str">
        <f>VLOOKUP(Table2[[#This Row],[product]],Ref[#All],6,FALSE)</f>
        <v>TON</v>
      </c>
    </row>
    <row r="134" spans="1:28" x14ac:dyDescent="0.25">
      <c r="A134" t="str">
        <f>TEXT(Table2[[#This Row],[dated]],"mmm")</f>
        <v>Jan</v>
      </c>
      <c r="B134" t="s">
        <v>89</v>
      </c>
      <c r="C134" s="1" t="s">
        <v>540</v>
      </c>
      <c r="D134" t="str">
        <f>VLOOKUP(Table2[[#This Row],[product]],Ref[#All],7,FALSE)</f>
        <v>Sesame Gadarif</v>
      </c>
      <c r="E134" t="s">
        <v>90</v>
      </c>
      <c r="F134" t="str">
        <f>VLOOKUP(Table2[[#This Row],[product]],Ref[#All],2,FALSE)</f>
        <v>Gadarif Sesame Raw</v>
      </c>
      <c r="G134" t="str">
        <f>VLOOKUP(Table2[[#This Row],[product]],Ref[#All],3,FALSE)</f>
        <v>Gadarif Sesame Raw</v>
      </c>
      <c r="H134" t="str">
        <f>VLOOKUP(Table2[[#This Row],[product]],Ref[#All],4,FALSE)</f>
        <v>Export</v>
      </c>
      <c r="I134" s="1">
        <v>45688</v>
      </c>
      <c r="J134" t="s">
        <v>53</v>
      </c>
      <c r="K134" t="s">
        <v>415</v>
      </c>
      <c r="L134" t="s">
        <v>1925</v>
      </c>
      <c r="M134" t="s">
        <v>1586</v>
      </c>
      <c r="N134" t="s">
        <v>784</v>
      </c>
      <c r="O134" t="s">
        <v>785</v>
      </c>
      <c r="P134" t="s">
        <v>788</v>
      </c>
      <c r="Q134" t="s">
        <v>55</v>
      </c>
      <c r="R134">
        <v>-0.16</v>
      </c>
      <c r="S134" s="15">
        <f>Table2[[#This Row],[movement_quantity]]/VLOOKUP(Table2[[#This Row],[product]],Ref[#All],5,FALSE)</f>
        <v>-0.16</v>
      </c>
      <c r="T134">
        <v>3559457.5</v>
      </c>
      <c r="U134" t="s">
        <v>17</v>
      </c>
      <c r="V134" t="s">
        <v>21</v>
      </c>
      <c r="W134" t="s">
        <v>416</v>
      </c>
      <c r="X134" t="s">
        <v>17</v>
      </c>
      <c r="Y134" t="s">
        <v>140</v>
      </c>
      <c r="Z134">
        <v>0</v>
      </c>
      <c r="AA134" s="2">
        <v>-569513.20000000007</v>
      </c>
      <c r="AB134" t="str">
        <f>VLOOKUP(Table2[[#This Row],[product]],Ref[#All],6,FALSE)</f>
        <v>TON</v>
      </c>
    </row>
    <row r="135" spans="1:28" x14ac:dyDescent="0.25">
      <c r="A135" t="str">
        <f>TEXT(Table2[[#This Row],[dated]],"mmm")</f>
        <v>Feb</v>
      </c>
      <c r="B135" t="s">
        <v>132</v>
      </c>
      <c r="C135" s="1" t="s">
        <v>540</v>
      </c>
      <c r="D135" t="str">
        <f>VLOOKUP(Table2[[#This Row],[product]],Ref[#All],7,FALSE)</f>
        <v>Rice</v>
      </c>
      <c r="E135" t="s">
        <v>133</v>
      </c>
      <c r="F135" t="str">
        <f>VLOOKUP(Table2[[#This Row],[product]],Ref[#All],2,FALSE)</f>
        <v>Rice Short Grain Dalian</v>
      </c>
      <c r="G135" t="str">
        <f>VLOOKUP(Table2[[#This Row],[product]],Ref[#All],3,FALSE)</f>
        <v>Rice Short Grain</v>
      </c>
      <c r="H135" t="str">
        <f>VLOOKUP(Table2[[#This Row],[product]],Ref[#All],4,FALSE)</f>
        <v>Import</v>
      </c>
      <c r="I135" s="1">
        <v>45699</v>
      </c>
      <c r="J135" t="s">
        <v>53</v>
      </c>
      <c r="K135" t="s">
        <v>134</v>
      </c>
      <c r="L135" t="s">
        <v>1924</v>
      </c>
      <c r="M135" t="s">
        <v>1586</v>
      </c>
      <c r="N135" t="s">
        <v>784</v>
      </c>
      <c r="O135" t="s">
        <v>785</v>
      </c>
      <c r="P135" t="s">
        <v>788</v>
      </c>
      <c r="Q135" t="s">
        <v>55</v>
      </c>
      <c r="R135">
        <v>-69</v>
      </c>
      <c r="S135" s="15">
        <f>Table2[[#This Row],[movement_quantity]]/VLOOKUP(Table2[[#This Row],[product]],Ref[#All],5,FALSE)</f>
        <v>-1.7250000000000001</v>
      </c>
      <c r="T135">
        <v>11822.45469</v>
      </c>
      <c r="U135" t="s">
        <v>17</v>
      </c>
      <c r="V135" t="s">
        <v>18</v>
      </c>
      <c r="W135" t="s">
        <v>135</v>
      </c>
      <c r="X135" t="s">
        <v>17</v>
      </c>
      <c r="Y135" t="s">
        <v>136</v>
      </c>
      <c r="Z135">
        <v>0</v>
      </c>
      <c r="AA135" s="2">
        <v>-815749.37361000001</v>
      </c>
      <c r="AB135" t="str">
        <f>VLOOKUP(Table2[[#This Row],[product]],Ref[#All],6,FALSE)</f>
        <v>BAG25</v>
      </c>
    </row>
    <row r="136" spans="1:28" x14ac:dyDescent="0.25">
      <c r="A136" t="str">
        <f>TEXT(Table2[[#This Row],[dated]],"mmm")</f>
        <v>Feb</v>
      </c>
      <c r="B136" t="s">
        <v>132</v>
      </c>
      <c r="C136" s="1" t="s">
        <v>540</v>
      </c>
      <c r="D136" t="str">
        <f>VLOOKUP(Table2[[#This Row],[product]],Ref[#All],7,FALSE)</f>
        <v>Rice</v>
      </c>
      <c r="E136" t="s">
        <v>133</v>
      </c>
      <c r="F136" t="str">
        <f>VLOOKUP(Table2[[#This Row],[product]],Ref[#All],2,FALSE)</f>
        <v>Rice Short Grain Dalian</v>
      </c>
      <c r="G136" t="str">
        <f>VLOOKUP(Table2[[#This Row],[product]],Ref[#All],3,FALSE)</f>
        <v>Rice Short Grain</v>
      </c>
      <c r="H136" t="str">
        <f>VLOOKUP(Table2[[#This Row],[product]],Ref[#All],4,FALSE)</f>
        <v>Import</v>
      </c>
      <c r="I136" s="1">
        <v>45699</v>
      </c>
      <c r="J136" t="s">
        <v>53</v>
      </c>
      <c r="K136" t="s">
        <v>134</v>
      </c>
      <c r="L136" t="s">
        <v>1924</v>
      </c>
      <c r="M136" t="s">
        <v>1586</v>
      </c>
      <c r="N136" t="s">
        <v>784</v>
      </c>
      <c r="O136" t="s">
        <v>785</v>
      </c>
      <c r="P136" t="s">
        <v>788</v>
      </c>
      <c r="Q136" t="s">
        <v>55</v>
      </c>
      <c r="R136">
        <v>-97</v>
      </c>
      <c r="S136" s="15">
        <f>Table2[[#This Row],[movement_quantity]]/VLOOKUP(Table2[[#This Row],[product]],Ref[#All],5,FALSE)</f>
        <v>-2.4249999999999998</v>
      </c>
      <c r="T136">
        <v>11822.45469</v>
      </c>
      <c r="U136" t="s">
        <v>17</v>
      </c>
      <c r="V136" t="s">
        <v>21</v>
      </c>
      <c r="W136" t="s">
        <v>135</v>
      </c>
      <c r="X136" t="s">
        <v>17</v>
      </c>
      <c r="Y136" t="s">
        <v>136</v>
      </c>
      <c r="Z136">
        <v>0</v>
      </c>
      <c r="AA136" s="2">
        <v>-1146778.1049300001</v>
      </c>
      <c r="AB136" t="str">
        <f>VLOOKUP(Table2[[#This Row],[product]],Ref[#All],6,FALSE)</f>
        <v>BAG25</v>
      </c>
    </row>
    <row r="137" spans="1:28" x14ac:dyDescent="0.25">
      <c r="A137" t="str">
        <f>TEXT(Table2[[#This Row],[dated]],"mmm")</f>
        <v>Apr</v>
      </c>
      <c r="B137" t="s">
        <v>132</v>
      </c>
      <c r="C137" s="1" t="s">
        <v>540</v>
      </c>
      <c r="D137" t="str">
        <f>VLOOKUP(Table2[[#This Row],[product]],Ref[#All],7,FALSE)</f>
        <v>Sugar</v>
      </c>
      <c r="E137" t="s">
        <v>72</v>
      </c>
      <c r="F137" t="str">
        <f>VLOOKUP(Table2[[#This Row],[product]],Ref[#All],2,FALSE)</f>
        <v>White Sugar</v>
      </c>
      <c r="G137" t="str">
        <f>VLOOKUP(Table2[[#This Row],[product]],Ref[#All],3,FALSE)</f>
        <v>White Sugar</v>
      </c>
      <c r="H137" t="str">
        <f>VLOOKUP(Table2[[#This Row],[product]],Ref[#All],4,FALSE)</f>
        <v>Import</v>
      </c>
      <c r="I137" s="1">
        <v>45764</v>
      </c>
      <c r="J137" t="s">
        <v>53</v>
      </c>
      <c r="K137" t="s">
        <v>542</v>
      </c>
      <c r="L137" t="s">
        <v>789</v>
      </c>
      <c r="M137" t="s">
        <v>1586</v>
      </c>
      <c r="N137" t="s">
        <v>784</v>
      </c>
      <c r="O137" t="s">
        <v>785</v>
      </c>
      <c r="P137" t="s">
        <v>788</v>
      </c>
      <c r="Q137" t="s">
        <v>55</v>
      </c>
      <c r="R137">
        <v>-106</v>
      </c>
      <c r="S137" s="15">
        <f>Table2[[#This Row],[movement_quantity]]/VLOOKUP(Table2[[#This Row],[product]],Ref[#All],5,FALSE)</f>
        <v>-5.3</v>
      </c>
      <c r="T137">
        <v>25844.69</v>
      </c>
      <c r="U137" t="s">
        <v>17</v>
      </c>
      <c r="V137" t="s">
        <v>18</v>
      </c>
      <c r="W137" t="s">
        <v>543</v>
      </c>
      <c r="X137" t="s">
        <v>17</v>
      </c>
      <c r="Y137" t="s">
        <v>544</v>
      </c>
      <c r="Z137">
        <v>0</v>
      </c>
      <c r="AA137" s="2">
        <v>-2739537.1399999997</v>
      </c>
      <c r="AB137" t="str">
        <f>VLOOKUP(Table2[[#This Row],[product]],Ref[#All],6,FALSE)</f>
        <v>BAG50</v>
      </c>
    </row>
    <row r="138" spans="1:28" x14ac:dyDescent="0.25">
      <c r="A138" t="str">
        <f>TEXT(Table2[[#This Row],[dated]],"mmm")</f>
        <v>Apr</v>
      </c>
      <c r="B138" t="s">
        <v>132</v>
      </c>
      <c r="C138" s="1" t="s">
        <v>540</v>
      </c>
      <c r="D138" t="str">
        <f>VLOOKUP(Table2[[#This Row],[product]],Ref[#All],7,FALSE)</f>
        <v>Sugar</v>
      </c>
      <c r="E138" t="s">
        <v>72</v>
      </c>
      <c r="F138" t="str">
        <f>VLOOKUP(Table2[[#This Row],[product]],Ref[#All],2,FALSE)</f>
        <v>White Sugar</v>
      </c>
      <c r="G138" t="str">
        <f>VLOOKUP(Table2[[#This Row],[product]],Ref[#All],3,FALSE)</f>
        <v>White Sugar</v>
      </c>
      <c r="H138" t="str">
        <f>VLOOKUP(Table2[[#This Row],[product]],Ref[#All],4,FALSE)</f>
        <v>Import</v>
      </c>
      <c r="I138" s="1">
        <v>45764</v>
      </c>
      <c r="J138" t="s">
        <v>53</v>
      </c>
      <c r="K138" t="s">
        <v>542</v>
      </c>
      <c r="L138" t="s">
        <v>789</v>
      </c>
      <c r="M138" t="s">
        <v>1586</v>
      </c>
      <c r="N138" t="s">
        <v>784</v>
      </c>
      <c r="O138" t="s">
        <v>785</v>
      </c>
      <c r="P138" t="s">
        <v>788</v>
      </c>
      <c r="Q138" t="s">
        <v>55</v>
      </c>
      <c r="R138">
        <v>-60</v>
      </c>
      <c r="S138" s="15">
        <f>Table2[[#This Row],[movement_quantity]]/VLOOKUP(Table2[[#This Row],[product]],Ref[#All],5,FALSE)</f>
        <v>-3</v>
      </c>
      <c r="T138">
        <v>25844.69</v>
      </c>
      <c r="U138" t="s">
        <v>17</v>
      </c>
      <c r="V138" t="s">
        <v>21</v>
      </c>
      <c r="W138" t="s">
        <v>543</v>
      </c>
      <c r="X138" t="s">
        <v>17</v>
      </c>
      <c r="Y138" t="s">
        <v>544</v>
      </c>
      <c r="Z138">
        <v>0</v>
      </c>
      <c r="AA138" s="2">
        <v>-1550681.4</v>
      </c>
      <c r="AB138" t="str">
        <f>VLOOKUP(Table2[[#This Row],[product]],Ref[#All],6,FALSE)</f>
        <v>BAG50</v>
      </c>
    </row>
    <row r="139" spans="1:28" x14ac:dyDescent="0.25">
      <c r="A139" t="str">
        <f>TEXT(Table2[[#This Row],[dated]],"mmm")</f>
        <v>Apr</v>
      </c>
      <c r="B139" t="s">
        <v>545</v>
      </c>
      <c r="C139" s="1" t="s">
        <v>540</v>
      </c>
      <c r="D139" t="str">
        <f>VLOOKUP(Table2[[#This Row],[product]],Ref[#All],7,FALSE)</f>
        <v>Sugar</v>
      </c>
      <c r="E139" t="s">
        <v>72</v>
      </c>
      <c r="F139" t="str">
        <f>VLOOKUP(Table2[[#This Row],[product]],Ref[#All],2,FALSE)</f>
        <v>White Sugar</v>
      </c>
      <c r="G139" t="str">
        <f>VLOOKUP(Table2[[#This Row],[product]],Ref[#All],3,FALSE)</f>
        <v>White Sugar</v>
      </c>
      <c r="H139" t="str">
        <f>VLOOKUP(Table2[[#This Row],[product]],Ref[#All],4,FALSE)</f>
        <v>Import</v>
      </c>
      <c r="I139" s="1">
        <v>45764</v>
      </c>
      <c r="J139" t="s">
        <v>53</v>
      </c>
      <c r="K139" t="s">
        <v>546</v>
      </c>
      <c r="L139" t="s">
        <v>789</v>
      </c>
      <c r="M139" t="s">
        <v>1586</v>
      </c>
      <c r="N139" t="s">
        <v>784</v>
      </c>
      <c r="O139" t="s">
        <v>785</v>
      </c>
      <c r="P139" t="s">
        <v>788</v>
      </c>
      <c r="Q139" t="s">
        <v>55</v>
      </c>
      <c r="R139">
        <v>-39</v>
      </c>
      <c r="S139" s="15">
        <f>Table2[[#This Row],[movement_quantity]]/VLOOKUP(Table2[[#This Row],[product]],Ref[#All],5,FALSE)</f>
        <v>-1.95</v>
      </c>
      <c r="T139">
        <v>81012.933590000001</v>
      </c>
      <c r="U139" t="s">
        <v>17</v>
      </c>
      <c r="V139" t="s">
        <v>18</v>
      </c>
      <c r="W139" t="s">
        <v>547</v>
      </c>
      <c r="X139" t="s">
        <v>17</v>
      </c>
      <c r="Y139" t="s">
        <v>548</v>
      </c>
      <c r="Z139">
        <v>0</v>
      </c>
      <c r="AA139" s="2">
        <v>-3159504.4100100002</v>
      </c>
      <c r="AB139" t="str">
        <f>VLOOKUP(Table2[[#This Row],[product]],Ref[#All],6,FALSE)</f>
        <v>BAG50</v>
      </c>
    </row>
    <row r="140" spans="1:28" x14ac:dyDescent="0.25">
      <c r="A140" t="str">
        <f>TEXT(Table2[[#This Row],[dated]],"mmm")</f>
        <v>Apr</v>
      </c>
      <c r="B140" t="s">
        <v>545</v>
      </c>
      <c r="C140" s="1" t="s">
        <v>540</v>
      </c>
      <c r="D140" t="str">
        <f>VLOOKUP(Table2[[#This Row],[product]],Ref[#All],7,FALSE)</f>
        <v>Sugar</v>
      </c>
      <c r="E140" t="s">
        <v>549</v>
      </c>
      <c r="F140" t="str">
        <f>VLOOKUP(Table2[[#This Row],[product]],Ref[#All],2,FALSE)</f>
        <v>White Sugar - Damaged</v>
      </c>
      <c r="G140" t="str">
        <f>VLOOKUP(Table2[[#This Row],[product]],Ref[#All],3,FALSE)</f>
        <v>White Sugar - Damaged</v>
      </c>
      <c r="H140" t="str">
        <f>VLOOKUP(Table2[[#This Row],[product]],Ref[#All],4,FALSE)</f>
        <v>Import</v>
      </c>
      <c r="I140" s="1">
        <v>45764</v>
      </c>
      <c r="J140" t="s">
        <v>127</v>
      </c>
      <c r="K140" t="s">
        <v>550</v>
      </c>
      <c r="L140" t="s">
        <v>789</v>
      </c>
      <c r="M140" t="s">
        <v>1593</v>
      </c>
      <c r="N140" t="s">
        <v>784</v>
      </c>
      <c r="O140" t="s">
        <v>785</v>
      </c>
      <c r="P140" t="s">
        <v>788</v>
      </c>
      <c r="Q140" t="s">
        <v>55</v>
      </c>
      <c r="R140">
        <v>39</v>
      </c>
      <c r="S140" s="15">
        <f>Table2[[#This Row],[movement_quantity]]/VLOOKUP(Table2[[#This Row],[product]],Ref[#All],5,FALSE)</f>
        <v>1.95</v>
      </c>
      <c r="T140">
        <v>0</v>
      </c>
      <c r="U140" t="s">
        <v>551</v>
      </c>
      <c r="V140" t="s">
        <v>18</v>
      </c>
      <c r="W140" t="s">
        <v>552</v>
      </c>
      <c r="X140" t="s">
        <v>553</v>
      </c>
      <c r="Y140" t="s">
        <v>17</v>
      </c>
      <c r="Z140">
        <v>0</v>
      </c>
      <c r="AA140" s="2">
        <v>0</v>
      </c>
      <c r="AB140" t="str">
        <f>VLOOKUP(Table2[[#This Row],[product]],Ref[#All],6,FALSE)</f>
        <v>BAG50</v>
      </c>
    </row>
    <row r="141" spans="1:28" x14ac:dyDescent="0.25">
      <c r="A141" t="str">
        <f>TEXT(Table2[[#This Row],[dated]],"mmm")</f>
        <v>Mar</v>
      </c>
      <c r="B141" t="s">
        <v>46</v>
      </c>
      <c r="C141" s="1" t="s">
        <v>540</v>
      </c>
      <c r="D141" t="str">
        <f>VLOOKUP(Table2[[#This Row],[product]],Ref[#All],7,FALSE)</f>
        <v>Flour</v>
      </c>
      <c r="E141" t="s">
        <v>42</v>
      </c>
      <c r="F141" t="str">
        <f>VLOOKUP(Table2[[#This Row],[product]],Ref[#All],2,FALSE)</f>
        <v>Alnajm Flour from Mill 25KG</v>
      </c>
      <c r="G141" t="str">
        <f>VLOOKUP(Table2[[#This Row],[product]],Ref[#All],3,FALSE)</f>
        <v>Flour Al-Nagm (Mill)</v>
      </c>
      <c r="H141" t="str">
        <f>VLOOKUP(Table2[[#This Row],[product]],Ref[#All],4,FALSE)</f>
        <v>Import</v>
      </c>
      <c r="I141" s="1">
        <v>45743</v>
      </c>
      <c r="J141" t="s">
        <v>53</v>
      </c>
      <c r="K141" t="s">
        <v>614</v>
      </c>
      <c r="L141" t="s">
        <v>1653</v>
      </c>
      <c r="M141" t="s">
        <v>1586</v>
      </c>
      <c r="N141" t="s">
        <v>784</v>
      </c>
      <c r="O141" t="s">
        <v>785</v>
      </c>
      <c r="P141" t="s">
        <v>788</v>
      </c>
      <c r="Q141" t="s">
        <v>55</v>
      </c>
      <c r="R141">
        <v>-1314</v>
      </c>
      <c r="S141" s="15">
        <f>Table2[[#This Row],[movement_quantity]]/VLOOKUP(Table2[[#This Row],[product]],Ref[#All],5,FALSE)</f>
        <v>-32.85</v>
      </c>
      <c r="T141">
        <v>31777.27522</v>
      </c>
      <c r="U141" t="s">
        <v>17</v>
      </c>
      <c r="V141" t="s">
        <v>18</v>
      </c>
      <c r="W141" t="s">
        <v>615</v>
      </c>
      <c r="X141" t="s">
        <v>17</v>
      </c>
      <c r="Y141" t="s">
        <v>616</v>
      </c>
      <c r="Z141">
        <v>0</v>
      </c>
      <c r="AA141" s="2">
        <v>-41755339.639080003</v>
      </c>
      <c r="AB141" t="str">
        <f>VLOOKUP(Table2[[#This Row],[product]],Ref[#All],6,FALSE)</f>
        <v>BAG25</v>
      </c>
    </row>
    <row r="142" spans="1:28" x14ac:dyDescent="0.25">
      <c r="A142" t="str">
        <f>TEXT(Table2[[#This Row],[dated]],"mmm")</f>
        <v>Mar</v>
      </c>
      <c r="B142" t="s">
        <v>46</v>
      </c>
      <c r="C142" s="1" t="s">
        <v>540</v>
      </c>
      <c r="D142" t="str">
        <f>VLOOKUP(Table2[[#This Row],[product]],Ref[#All],7,FALSE)</f>
        <v>Flour</v>
      </c>
      <c r="E142" t="s">
        <v>42</v>
      </c>
      <c r="F142" t="str">
        <f>VLOOKUP(Table2[[#This Row],[product]],Ref[#All],2,FALSE)</f>
        <v>Alnajm Flour from Mill 25KG</v>
      </c>
      <c r="G142" t="str">
        <f>VLOOKUP(Table2[[#This Row],[product]],Ref[#All],3,FALSE)</f>
        <v>Flour Al-Nagm (Mill)</v>
      </c>
      <c r="H142" t="str">
        <f>VLOOKUP(Table2[[#This Row],[product]],Ref[#All],4,FALSE)</f>
        <v>Import</v>
      </c>
      <c r="I142" s="1">
        <v>45743</v>
      </c>
      <c r="J142" t="s">
        <v>53</v>
      </c>
      <c r="K142" t="s">
        <v>614</v>
      </c>
      <c r="L142" t="s">
        <v>1653</v>
      </c>
      <c r="M142" t="s">
        <v>1586</v>
      </c>
      <c r="N142" t="s">
        <v>784</v>
      </c>
      <c r="O142" t="s">
        <v>785</v>
      </c>
      <c r="P142" t="s">
        <v>788</v>
      </c>
      <c r="Q142" t="s">
        <v>55</v>
      </c>
      <c r="R142">
        <v>-86</v>
      </c>
      <c r="S142" s="15">
        <f>Table2[[#This Row],[movement_quantity]]/VLOOKUP(Table2[[#This Row],[product]],Ref[#All],5,FALSE)</f>
        <v>-2.15</v>
      </c>
      <c r="T142">
        <v>31777.27522</v>
      </c>
      <c r="U142" t="s">
        <v>17</v>
      </c>
      <c r="V142" t="s">
        <v>21</v>
      </c>
      <c r="W142" t="s">
        <v>615</v>
      </c>
      <c r="X142" t="s">
        <v>17</v>
      </c>
      <c r="Y142" t="s">
        <v>616</v>
      </c>
      <c r="Z142">
        <v>0</v>
      </c>
      <c r="AA142" s="2">
        <v>-2732845.6689200001</v>
      </c>
      <c r="AB142" t="str">
        <f>VLOOKUP(Table2[[#This Row],[product]],Ref[#All],6,FALSE)</f>
        <v>BAG25</v>
      </c>
    </row>
    <row r="143" spans="1:28" x14ac:dyDescent="0.25">
      <c r="A143" t="str">
        <f>TEXT(Table2[[#This Row],[dated]],"mmm")</f>
        <v>Jan</v>
      </c>
      <c r="B143" t="s">
        <v>138</v>
      </c>
      <c r="C143" s="1" t="s">
        <v>540</v>
      </c>
      <c r="D143" t="str">
        <f>VLOOKUP(Table2[[#This Row],[product]],Ref[#All],7,FALSE)</f>
        <v>Sesame Gadarif</v>
      </c>
      <c r="E143" t="s">
        <v>131</v>
      </c>
      <c r="F143" t="str">
        <f>VLOOKUP(Table2[[#This Row],[product]],Ref[#All],2,FALSE)</f>
        <v>Gadarif Sesame - FG</v>
      </c>
      <c r="G143" t="str">
        <f>VLOOKUP(Table2[[#This Row],[product]],Ref[#All],3,FALSE)</f>
        <v>Gadarif Sesame - FG</v>
      </c>
      <c r="H143" t="str">
        <f>VLOOKUP(Table2[[#This Row],[product]],Ref[#All],4,FALSE)</f>
        <v>Export</v>
      </c>
      <c r="I143" s="1">
        <v>45680</v>
      </c>
      <c r="J143" t="s">
        <v>53</v>
      </c>
      <c r="K143" t="s">
        <v>294</v>
      </c>
      <c r="L143" t="s">
        <v>2554</v>
      </c>
      <c r="M143" t="s">
        <v>1586</v>
      </c>
      <c r="N143" t="s">
        <v>784</v>
      </c>
      <c r="O143" t="s">
        <v>785</v>
      </c>
      <c r="P143" t="s">
        <v>788</v>
      </c>
      <c r="Q143" t="s">
        <v>55</v>
      </c>
      <c r="R143">
        <v>-17</v>
      </c>
      <c r="S143" s="15">
        <f>Table2[[#This Row],[movement_quantity]]/VLOOKUP(Table2[[#This Row],[product]],Ref[#All],5,FALSE)</f>
        <v>-0.85</v>
      </c>
      <c r="T143">
        <v>187339.86842000001</v>
      </c>
      <c r="U143" t="s">
        <v>17</v>
      </c>
      <c r="V143" t="s">
        <v>24</v>
      </c>
      <c r="W143" t="s">
        <v>295</v>
      </c>
      <c r="X143" t="s">
        <v>17</v>
      </c>
      <c r="Y143" t="s">
        <v>250</v>
      </c>
      <c r="Z143">
        <v>0</v>
      </c>
      <c r="AA143" s="2">
        <v>-3184777.7631400004</v>
      </c>
      <c r="AB143" t="str">
        <f>VLOOKUP(Table2[[#This Row],[product]],Ref[#All],6,FALSE)</f>
        <v>BAG50</v>
      </c>
    </row>
    <row r="144" spans="1:28" x14ac:dyDescent="0.25">
      <c r="A144" t="str">
        <f>TEXT(Table2[[#This Row],[dated]],"mmm")</f>
        <v>Jan</v>
      </c>
      <c r="B144" t="s">
        <v>138</v>
      </c>
      <c r="C144" s="1" t="s">
        <v>540</v>
      </c>
      <c r="D144" t="str">
        <f>VLOOKUP(Table2[[#This Row],[product]],Ref[#All],7,FALSE)</f>
        <v>Sesame Gadarif</v>
      </c>
      <c r="E144" t="s">
        <v>277</v>
      </c>
      <c r="F144" t="str">
        <f>VLOOKUP(Table2[[#This Row],[product]],Ref[#All],2,FALSE)</f>
        <v>White Sesame Gadarif Damage NC 50K</v>
      </c>
      <c r="G144" t="str">
        <f>VLOOKUP(Table2[[#This Row],[product]],Ref[#All],3,FALSE)</f>
        <v>White Sesame Gadarif - Damage</v>
      </c>
      <c r="H144" t="str">
        <f>VLOOKUP(Table2[[#This Row],[product]],Ref[#All],4,FALSE)</f>
        <v>Export</v>
      </c>
      <c r="I144" s="1">
        <v>45680</v>
      </c>
      <c r="J144" t="s">
        <v>127</v>
      </c>
      <c r="K144" t="s">
        <v>296</v>
      </c>
      <c r="L144" t="s">
        <v>2554</v>
      </c>
      <c r="M144" t="s">
        <v>1593</v>
      </c>
      <c r="N144" t="s">
        <v>784</v>
      </c>
      <c r="O144" t="s">
        <v>785</v>
      </c>
      <c r="P144" t="s">
        <v>788</v>
      </c>
      <c r="Q144" t="s">
        <v>55</v>
      </c>
      <c r="R144">
        <v>17</v>
      </c>
      <c r="S144" s="15">
        <f>Table2[[#This Row],[movement_quantity]]/VLOOKUP(Table2[[#This Row],[product]],Ref[#All],5,FALSE)</f>
        <v>0.85</v>
      </c>
      <c r="T144">
        <v>0</v>
      </c>
      <c r="U144" t="s">
        <v>163</v>
      </c>
      <c r="V144" t="s">
        <v>21</v>
      </c>
      <c r="W144" t="s">
        <v>297</v>
      </c>
      <c r="X144" t="s">
        <v>298</v>
      </c>
      <c r="Y144" t="s">
        <v>17</v>
      </c>
      <c r="Z144">
        <v>0</v>
      </c>
      <c r="AA144" s="4">
        <v>170000</v>
      </c>
      <c r="AB144" t="str">
        <f>VLOOKUP(Table2[[#This Row],[product]],Ref[#All],6,FALSE)</f>
        <v>BAG50</v>
      </c>
    </row>
    <row r="145" spans="1:28" x14ac:dyDescent="0.25">
      <c r="A145" t="str">
        <f>TEXT(Table2[[#This Row],[dated]],"mmm")</f>
        <v>Jan</v>
      </c>
      <c r="B145" t="s">
        <v>138</v>
      </c>
      <c r="C145" s="1" t="s">
        <v>540</v>
      </c>
      <c r="D145" t="str">
        <f>VLOOKUP(Table2[[#This Row],[product]],Ref[#All],7,FALSE)</f>
        <v>Sesame Non Gadarif</v>
      </c>
      <c r="E145" t="s">
        <v>77</v>
      </c>
      <c r="F145" t="str">
        <f>VLOOKUP(Table2[[#This Row],[product]],Ref[#All],2,FALSE)</f>
        <v xml:space="preserve">White Sesame Non Gadarif - FG </v>
      </c>
      <c r="G145" t="str">
        <f>VLOOKUP(Table2[[#This Row],[product]],Ref[#All],3,FALSE)</f>
        <v xml:space="preserve">White Sesame Non Gadarif - FG </v>
      </c>
      <c r="H145" t="str">
        <f>VLOOKUP(Table2[[#This Row],[product]],Ref[#All],4,FALSE)</f>
        <v>Export</v>
      </c>
      <c r="I145" s="1">
        <v>45680</v>
      </c>
      <c r="J145" t="s">
        <v>53</v>
      </c>
      <c r="K145" t="s">
        <v>292</v>
      </c>
      <c r="L145" t="s">
        <v>2555</v>
      </c>
      <c r="M145" t="s">
        <v>1586</v>
      </c>
      <c r="N145" t="s">
        <v>784</v>
      </c>
      <c r="O145" t="s">
        <v>785</v>
      </c>
      <c r="P145" t="s">
        <v>788</v>
      </c>
      <c r="Q145" t="s">
        <v>55</v>
      </c>
      <c r="R145">
        <v>-1</v>
      </c>
      <c r="S145" s="15">
        <f>Table2[[#This Row],[movement_quantity]]/VLOOKUP(Table2[[#This Row],[product]],Ref[#All],5,FALSE)</f>
        <v>-0.05</v>
      </c>
      <c r="T145">
        <v>177205.68421000001</v>
      </c>
      <c r="U145" t="s">
        <v>17</v>
      </c>
      <c r="V145" t="s">
        <v>26</v>
      </c>
      <c r="W145" t="s">
        <v>293</v>
      </c>
      <c r="X145" t="s">
        <v>17</v>
      </c>
      <c r="Y145" t="s">
        <v>80</v>
      </c>
      <c r="Z145">
        <v>0</v>
      </c>
      <c r="AA145" s="2">
        <v>-177205.68421000001</v>
      </c>
      <c r="AB145" t="str">
        <f>VLOOKUP(Table2[[#This Row],[product]],Ref[#All],6,FALSE)</f>
        <v>BAG50</v>
      </c>
    </row>
    <row r="146" spans="1:28" x14ac:dyDescent="0.25">
      <c r="A146" t="str">
        <f>TEXT(Table2[[#This Row],[dated]],"mmm")</f>
        <v>Jan</v>
      </c>
      <c r="B146" t="s">
        <v>138</v>
      </c>
      <c r="C146" s="1" t="s">
        <v>540</v>
      </c>
      <c r="D146" t="str">
        <f>VLOOKUP(Table2[[#This Row],[product]],Ref[#All],7,FALSE)</f>
        <v>Sesame Non Gadarif</v>
      </c>
      <c r="E146" t="s">
        <v>281</v>
      </c>
      <c r="F146" t="str">
        <f>VLOOKUP(Table2[[#This Row],[product]],Ref[#All],2,FALSE)</f>
        <v>White Sesame Non Gadarif Damage NC 50K</v>
      </c>
      <c r="G146" t="str">
        <f>VLOOKUP(Table2[[#This Row],[product]],Ref[#All],3,FALSE)</f>
        <v>Non Gadarif Sesame - Damage</v>
      </c>
      <c r="H146" t="str">
        <f>VLOOKUP(Table2[[#This Row],[product]],Ref[#All],4,FALSE)</f>
        <v>Export</v>
      </c>
      <c r="I146" s="1">
        <v>45680</v>
      </c>
      <c r="J146" t="s">
        <v>127</v>
      </c>
      <c r="K146" t="s">
        <v>282</v>
      </c>
      <c r="L146" t="s">
        <v>2555</v>
      </c>
      <c r="M146" t="s">
        <v>1593</v>
      </c>
      <c r="N146" t="s">
        <v>784</v>
      </c>
      <c r="O146" t="s">
        <v>785</v>
      </c>
      <c r="P146" t="s">
        <v>788</v>
      </c>
      <c r="Q146" t="s">
        <v>1584</v>
      </c>
      <c r="R146">
        <v>1</v>
      </c>
      <c r="S146" s="15">
        <f>Table2[[#This Row],[movement_quantity]]/VLOOKUP(Table2[[#This Row],[product]],Ref[#All],5,FALSE)</f>
        <v>0.05</v>
      </c>
      <c r="T146">
        <v>0</v>
      </c>
      <c r="U146" t="s">
        <v>163</v>
      </c>
      <c r="V146" t="s">
        <v>18</v>
      </c>
      <c r="W146" t="s">
        <v>283</v>
      </c>
      <c r="X146" t="s">
        <v>284</v>
      </c>
      <c r="Y146"/>
      <c r="Z146">
        <v>0</v>
      </c>
      <c r="AA146" s="4">
        <v>10000</v>
      </c>
      <c r="AB146" t="str">
        <f>VLOOKUP(Table2[[#This Row],[product]],Ref[#All],6,FALSE)</f>
        <v>BAG50</v>
      </c>
    </row>
    <row r="147" spans="1:28" x14ac:dyDescent="0.25">
      <c r="A147" t="str">
        <f>TEXT(Table2[[#This Row],[dated]],"mmm")</f>
        <v>Jan</v>
      </c>
      <c r="B147" t="s">
        <v>138</v>
      </c>
      <c r="C147" s="1" t="s">
        <v>540</v>
      </c>
      <c r="D147" t="str">
        <f>VLOOKUP(Table2[[#This Row],[product]],Ref[#All],7,FALSE)</f>
        <v>Sesame Non Gadarif</v>
      </c>
      <c r="E147" t="s">
        <v>77</v>
      </c>
      <c r="F147" t="str">
        <f>VLOOKUP(Table2[[#This Row],[product]],Ref[#All],2,FALSE)</f>
        <v xml:space="preserve">White Sesame Non Gadarif - FG </v>
      </c>
      <c r="G147" t="str">
        <f>VLOOKUP(Table2[[#This Row],[product]],Ref[#All],3,FALSE)</f>
        <v xml:space="preserve">White Sesame Non Gadarif - FG </v>
      </c>
      <c r="H147" t="str">
        <f>VLOOKUP(Table2[[#This Row],[product]],Ref[#All],4,FALSE)</f>
        <v>Export</v>
      </c>
      <c r="I147" s="1">
        <v>45680</v>
      </c>
      <c r="J147" t="s">
        <v>53</v>
      </c>
      <c r="K147" t="s">
        <v>290</v>
      </c>
      <c r="L147" t="s">
        <v>2556</v>
      </c>
      <c r="M147" t="s">
        <v>1586</v>
      </c>
      <c r="N147" t="s">
        <v>784</v>
      </c>
      <c r="O147" t="s">
        <v>785</v>
      </c>
      <c r="P147" t="s">
        <v>788</v>
      </c>
      <c r="Q147" t="s">
        <v>55</v>
      </c>
      <c r="R147">
        <v>-23</v>
      </c>
      <c r="S147" s="15">
        <f>Table2[[#This Row],[movement_quantity]]/VLOOKUP(Table2[[#This Row],[product]],Ref[#All],5,FALSE)</f>
        <v>-1.1499999999999999</v>
      </c>
      <c r="T147">
        <v>177205.68421000001</v>
      </c>
      <c r="U147" t="s">
        <v>17</v>
      </c>
      <c r="V147" t="s">
        <v>25</v>
      </c>
      <c r="W147" t="s">
        <v>291</v>
      </c>
      <c r="X147" t="s">
        <v>17</v>
      </c>
      <c r="Y147" t="s">
        <v>80</v>
      </c>
      <c r="Z147">
        <v>0</v>
      </c>
      <c r="AA147" s="2">
        <v>-4075730.7368300003</v>
      </c>
      <c r="AB147" t="str">
        <f>VLOOKUP(Table2[[#This Row],[product]],Ref[#All],6,FALSE)</f>
        <v>BAG50</v>
      </c>
    </row>
    <row r="148" spans="1:28" x14ac:dyDescent="0.25">
      <c r="A148" t="str">
        <f>TEXT(Table2[[#This Row],[dated]],"mmm")</f>
        <v>Jan</v>
      </c>
      <c r="B148" t="s">
        <v>138</v>
      </c>
      <c r="C148" s="1" t="s">
        <v>540</v>
      </c>
      <c r="D148" t="str">
        <f>VLOOKUP(Table2[[#This Row],[product]],Ref[#All],7,FALSE)</f>
        <v>Sesame Non Gadarif</v>
      </c>
      <c r="E148" t="s">
        <v>281</v>
      </c>
      <c r="F148" t="str">
        <f>VLOOKUP(Table2[[#This Row],[product]],Ref[#All],2,FALSE)</f>
        <v>White Sesame Non Gadarif Damage NC 50K</v>
      </c>
      <c r="G148" t="str">
        <f>VLOOKUP(Table2[[#This Row],[product]],Ref[#All],3,FALSE)</f>
        <v>Non Gadarif Sesame - Damage</v>
      </c>
      <c r="H148" t="str">
        <f>VLOOKUP(Table2[[#This Row],[product]],Ref[#All],4,FALSE)</f>
        <v>Export</v>
      </c>
      <c r="I148" s="1">
        <v>45680</v>
      </c>
      <c r="J148" t="s">
        <v>127</v>
      </c>
      <c r="K148" t="s">
        <v>282</v>
      </c>
      <c r="L148" t="s">
        <v>2556</v>
      </c>
      <c r="M148" t="s">
        <v>1593</v>
      </c>
      <c r="N148" t="s">
        <v>784</v>
      </c>
      <c r="O148" t="s">
        <v>785</v>
      </c>
      <c r="P148" t="s">
        <v>788</v>
      </c>
      <c r="Q148" t="s">
        <v>55</v>
      </c>
      <c r="R148">
        <v>18</v>
      </c>
      <c r="S148" s="15">
        <f>Table2[[#This Row],[movement_quantity]]/VLOOKUP(Table2[[#This Row],[product]],Ref[#All],5,FALSE)</f>
        <v>0.9</v>
      </c>
      <c r="T148">
        <v>0</v>
      </c>
      <c r="U148" t="s">
        <v>163</v>
      </c>
      <c r="V148" t="s">
        <v>18</v>
      </c>
      <c r="W148" t="s">
        <v>283</v>
      </c>
      <c r="X148" t="s">
        <v>284</v>
      </c>
      <c r="Y148" t="s">
        <v>17</v>
      </c>
      <c r="Z148">
        <v>0</v>
      </c>
      <c r="AA148" s="4">
        <v>180000</v>
      </c>
      <c r="AB148" t="str">
        <f>VLOOKUP(Table2[[#This Row],[product]],Ref[#All],6,FALSE)</f>
        <v>BAG50</v>
      </c>
    </row>
    <row r="149" spans="1:28" x14ac:dyDescent="0.25">
      <c r="A149" t="str">
        <f>TEXT(Table2[[#This Row],[dated]],"mmm")</f>
        <v>May</v>
      </c>
      <c r="B149" t="s">
        <v>138</v>
      </c>
      <c r="C149" s="1" t="s">
        <v>540</v>
      </c>
      <c r="D149" t="str">
        <f>VLOOKUP(Table2[[#This Row],[product]],Ref[#All],7,FALSE)</f>
        <v>Sorghum</v>
      </c>
      <c r="E149" s="1" t="s">
        <v>1539</v>
      </c>
      <c r="F149" t="str">
        <f>VLOOKUP(Table2[[#This Row],[product]],Ref[#All],2,FALSE)</f>
        <v>Sorghum FG 50 KG</v>
      </c>
      <c r="G149" t="str">
        <f>VLOOKUP(Table2[[#This Row],[product]],Ref[#All],3,FALSE)</f>
        <v>Sorghum FG</v>
      </c>
      <c r="H149" t="str">
        <f>VLOOKUP(Table2[[#This Row],[product]],Ref[#All],4,FALSE)</f>
        <v>Export</v>
      </c>
      <c r="I149" s="1">
        <v>45804</v>
      </c>
      <c r="J149" t="s">
        <v>53</v>
      </c>
      <c r="K149" t="s">
        <v>1540</v>
      </c>
      <c r="L149" t="s">
        <v>2557</v>
      </c>
      <c r="M149" t="s">
        <v>1586</v>
      </c>
      <c r="N149" t="s">
        <v>784</v>
      </c>
      <c r="O149" t="s">
        <v>785</v>
      </c>
      <c r="P149" t="s">
        <v>788</v>
      </c>
      <c r="Q149" t="s">
        <v>55</v>
      </c>
      <c r="R149">
        <v>-4</v>
      </c>
      <c r="S149" s="15">
        <f>Table2[[#This Row],[movement_quantity]]/VLOOKUP(Table2[[#This Row],[product]],Ref[#All],5,FALSE)</f>
        <v>-0.2</v>
      </c>
      <c r="T149">
        <v>53108.105259999997</v>
      </c>
      <c r="U149" t="s">
        <v>17</v>
      </c>
      <c r="V149" t="s">
        <v>18</v>
      </c>
      <c r="W149" t="s">
        <v>1541</v>
      </c>
      <c r="X149" t="s">
        <v>17</v>
      </c>
      <c r="Y149" t="s">
        <v>1542</v>
      </c>
      <c r="Z149" s="2">
        <v>0</v>
      </c>
      <c r="AA149" s="2">
        <v>-212432.42103999999</v>
      </c>
      <c r="AB149" t="str">
        <f>VLOOKUP(Table2[[#This Row],[product]],Ref[#All],6,FALSE)</f>
        <v>BAG50</v>
      </c>
    </row>
    <row r="150" spans="1:28" x14ac:dyDescent="0.25">
      <c r="A150" t="str">
        <f>TEXT(Table2[[#This Row],[dated]],"mmm")</f>
        <v>May</v>
      </c>
      <c r="B150" t="s">
        <v>138</v>
      </c>
      <c r="C150" s="1" t="s">
        <v>540</v>
      </c>
      <c r="D150" t="str">
        <f>VLOOKUP(Table2[[#This Row],[product]],Ref[#All],7,FALSE)</f>
        <v>Sorghum</v>
      </c>
      <c r="E150" s="1" t="s">
        <v>137</v>
      </c>
      <c r="F150" t="str">
        <f>VLOOKUP(Table2[[#This Row],[product]],Ref[#All],2,FALSE)</f>
        <v>Sorghum Raw</v>
      </c>
      <c r="G150" t="str">
        <f>VLOOKUP(Table2[[#This Row],[product]],Ref[#All],3,FALSE)</f>
        <v>Sorghum Raw</v>
      </c>
      <c r="H150" t="str">
        <f>VLOOKUP(Table2[[#This Row],[product]],Ref[#All],4,FALSE)</f>
        <v>Export</v>
      </c>
      <c r="I150" s="1">
        <v>45804</v>
      </c>
      <c r="J150" t="s">
        <v>53</v>
      </c>
      <c r="K150" t="s">
        <v>1540</v>
      </c>
      <c r="L150" t="s">
        <v>2557</v>
      </c>
      <c r="M150" t="s">
        <v>1586</v>
      </c>
      <c r="N150" t="s">
        <v>784</v>
      </c>
      <c r="O150" t="s">
        <v>785</v>
      </c>
      <c r="P150" t="s">
        <v>788</v>
      </c>
      <c r="Q150" t="s">
        <v>55</v>
      </c>
      <c r="R150">
        <v>-2.4500000000000002</v>
      </c>
      <c r="S150" s="15">
        <f>Table2[[#This Row],[movement_quantity]]/VLOOKUP(Table2[[#This Row],[product]],Ref[#All],5,FALSE)</f>
        <v>-2.4500000000000002</v>
      </c>
      <c r="T150">
        <v>947797.31544000003</v>
      </c>
      <c r="U150" t="s">
        <v>17</v>
      </c>
      <c r="V150" t="s">
        <v>18</v>
      </c>
      <c r="W150" t="s">
        <v>1541</v>
      </c>
      <c r="X150" t="s">
        <v>17</v>
      </c>
      <c r="Y150" t="s">
        <v>1543</v>
      </c>
      <c r="Z150" s="2">
        <v>0</v>
      </c>
      <c r="AA150" s="2">
        <v>-2322103.422828</v>
      </c>
      <c r="AB150" t="str">
        <f>VLOOKUP(Table2[[#This Row],[product]],Ref[#All],6,FALSE)</f>
        <v>TON</v>
      </c>
    </row>
    <row r="151" spans="1:28" x14ac:dyDescent="0.25">
      <c r="A151" t="str">
        <f>TEXT(Table2[[#This Row],[dated]],"mmm")</f>
        <v>May</v>
      </c>
      <c r="B151" t="s">
        <v>138</v>
      </c>
      <c r="C151" s="1" t="s">
        <v>540</v>
      </c>
      <c r="D151" t="str">
        <f>VLOOKUP(Table2[[#This Row],[product]],Ref[#All],7,FALSE)</f>
        <v>Sorghum</v>
      </c>
      <c r="E151" s="1" t="s">
        <v>1546</v>
      </c>
      <c r="F151" t="str">
        <f>VLOOKUP(Table2[[#This Row],[product]],Ref[#All],2,FALSE)</f>
        <v>Sorghum Waste</v>
      </c>
      <c r="G151" t="str">
        <f>VLOOKUP(Table2[[#This Row],[product]],Ref[#All],3,FALSE)</f>
        <v>Sorghum - Waste</v>
      </c>
      <c r="H151" t="str">
        <f>VLOOKUP(Table2[[#This Row],[product]],Ref[#All],4,FALSE)</f>
        <v>Export</v>
      </c>
      <c r="I151" s="1">
        <v>45804</v>
      </c>
      <c r="J151" t="s">
        <v>127</v>
      </c>
      <c r="K151" t="s">
        <v>1547</v>
      </c>
      <c r="L151" t="s">
        <v>2557</v>
      </c>
      <c r="M151" t="s">
        <v>1593</v>
      </c>
      <c r="N151" t="s">
        <v>784</v>
      </c>
      <c r="O151" t="s">
        <v>785</v>
      </c>
      <c r="P151" t="s">
        <v>788</v>
      </c>
      <c r="Q151" t="s">
        <v>1584</v>
      </c>
      <c r="R151">
        <v>2.4500000000000002</v>
      </c>
      <c r="S151" s="15">
        <f>Table2[[#This Row],[movement_quantity]]/VLOOKUP(Table2[[#This Row],[product]],Ref[#All],5,FALSE)</f>
        <v>2.4500000000000002</v>
      </c>
      <c r="T151">
        <v>0</v>
      </c>
      <c r="U151" t="s">
        <v>163</v>
      </c>
      <c r="V151" t="s">
        <v>18</v>
      </c>
      <c r="W151" t="s">
        <v>1548</v>
      </c>
      <c r="X151" t="s">
        <v>1549</v>
      </c>
      <c r="Y151"/>
      <c r="Z151" s="2"/>
      <c r="AA151" s="4">
        <v>1000000</v>
      </c>
      <c r="AB151" t="str">
        <f>VLOOKUP(Table2[[#This Row],[product]],Ref[#All],6,FALSE)</f>
        <v>TON</v>
      </c>
    </row>
    <row r="152" spans="1:28" x14ac:dyDescent="0.25">
      <c r="A152" t="str">
        <f>TEXT(Table2[[#This Row],[dated]],"mmm")</f>
        <v>May</v>
      </c>
      <c r="B152" t="s">
        <v>138</v>
      </c>
      <c r="C152" s="1" t="s">
        <v>540</v>
      </c>
      <c r="D152" t="str">
        <f>VLOOKUP(Table2[[#This Row],[product]],Ref[#All],7,FALSE)</f>
        <v>Sorghum</v>
      </c>
      <c r="E152" s="1" t="s">
        <v>1550</v>
      </c>
      <c r="F152" t="str">
        <f>VLOOKUP(Table2[[#This Row],[product]],Ref[#All],2,FALSE)</f>
        <v>Sorghum Damage</v>
      </c>
      <c r="G152" t="str">
        <f>VLOOKUP(Table2[[#This Row],[product]],Ref[#All],3,FALSE)</f>
        <v>Sorghum - Damage</v>
      </c>
      <c r="H152" t="str">
        <f>VLOOKUP(Table2[[#This Row],[product]],Ref[#All],4,FALSE)</f>
        <v>Export</v>
      </c>
      <c r="I152" s="1">
        <v>45804</v>
      </c>
      <c r="J152" t="s">
        <v>127</v>
      </c>
      <c r="K152" t="s">
        <v>1547</v>
      </c>
      <c r="L152" t="s">
        <v>2557</v>
      </c>
      <c r="M152" t="s">
        <v>1593</v>
      </c>
      <c r="N152" t="s">
        <v>784</v>
      </c>
      <c r="O152" t="s">
        <v>785</v>
      </c>
      <c r="P152" t="s">
        <v>788</v>
      </c>
      <c r="Q152" t="s">
        <v>55</v>
      </c>
      <c r="R152">
        <v>4</v>
      </c>
      <c r="S152" s="15">
        <f>Table2[[#This Row],[movement_quantity]]/VLOOKUP(Table2[[#This Row],[product]],Ref[#All],5,FALSE)</f>
        <v>0.2</v>
      </c>
      <c r="T152">
        <v>0</v>
      </c>
      <c r="U152" t="s">
        <v>163</v>
      </c>
      <c r="V152" t="s">
        <v>18</v>
      </c>
      <c r="W152" t="s">
        <v>1548</v>
      </c>
      <c r="X152" t="s">
        <v>1549</v>
      </c>
      <c r="Y152" t="s">
        <v>17</v>
      </c>
      <c r="Z152" s="2">
        <v>0</v>
      </c>
      <c r="AA152" s="4">
        <v>100000</v>
      </c>
      <c r="AB152" t="str">
        <f>VLOOKUP(Table2[[#This Row],[product]],Ref[#All],6,FALSE)</f>
        <v>BAG50</v>
      </c>
    </row>
    <row r="153" spans="1:28" x14ac:dyDescent="0.25">
      <c r="A153" t="str">
        <f>TEXT(Table2[[#This Row],[dated]],"mmm")</f>
        <v>Jan</v>
      </c>
      <c r="B153" t="s">
        <v>268</v>
      </c>
      <c r="C153" s="1" t="s">
        <v>540</v>
      </c>
      <c r="D153" t="str">
        <f>VLOOKUP(Table2[[#This Row],[product]],Ref[#All],7,FALSE)</f>
        <v>Pigeon Peas</v>
      </c>
      <c r="E153" t="s">
        <v>269</v>
      </c>
      <c r="F153" t="str">
        <f>VLOOKUP(Table2[[#This Row],[product]],Ref[#All],2,FALSE)</f>
        <v>PIGEON PEAS JAZIRA CLEAN RAW MATRIAL</v>
      </c>
      <c r="G153" t="str">
        <f>VLOOKUP(Table2[[#This Row],[product]],Ref[#All],3,FALSE)</f>
        <v>Pigeon Peas Raw</v>
      </c>
      <c r="H153" t="str">
        <f>VLOOKUP(Table2[[#This Row],[product]],Ref[#All],4,FALSE)</f>
        <v>Export</v>
      </c>
      <c r="I153" s="1">
        <v>45678</v>
      </c>
      <c r="J153" t="s">
        <v>53</v>
      </c>
      <c r="K153" t="s">
        <v>270</v>
      </c>
      <c r="L153" t="s">
        <v>1631</v>
      </c>
      <c r="M153" t="s">
        <v>1586</v>
      </c>
      <c r="N153" t="s">
        <v>784</v>
      </c>
      <c r="O153" t="s">
        <v>785</v>
      </c>
      <c r="P153" t="s">
        <v>788</v>
      </c>
      <c r="Q153" t="s">
        <v>55</v>
      </c>
      <c r="R153">
        <v>-1.96</v>
      </c>
      <c r="S153" s="15">
        <f>Table2[[#This Row],[movement_quantity]]/VLOOKUP(Table2[[#This Row],[product]],Ref[#All],5,FALSE)</f>
        <v>-1.96</v>
      </c>
      <c r="T153">
        <v>2408028.1818200001</v>
      </c>
      <c r="U153" t="s">
        <v>17</v>
      </c>
      <c r="V153" t="s">
        <v>18</v>
      </c>
      <c r="W153" t="s">
        <v>271</v>
      </c>
      <c r="X153" t="s">
        <v>17</v>
      </c>
      <c r="Y153" t="s">
        <v>272</v>
      </c>
      <c r="Z153">
        <v>0</v>
      </c>
      <c r="AA153" s="2">
        <v>-4719735.2363671996</v>
      </c>
      <c r="AB153" t="str">
        <f>VLOOKUP(Table2[[#This Row],[product]],Ref[#All],6,FALSE)</f>
        <v>TON</v>
      </c>
    </row>
    <row r="154" spans="1:28" x14ac:dyDescent="0.25">
      <c r="A154" t="str">
        <f>TEXT(Table2[[#This Row],[dated]],"mmm")</f>
        <v>May</v>
      </c>
      <c r="B154" t="s">
        <v>138</v>
      </c>
      <c r="C154" s="1" t="s">
        <v>540</v>
      </c>
      <c r="D154" t="str">
        <f>VLOOKUP(Table2[[#This Row],[product]],Ref[#All],7,FALSE)</f>
        <v>Sesame Gadarif</v>
      </c>
      <c r="E154" s="1" t="s">
        <v>131</v>
      </c>
      <c r="F154" t="str">
        <f>VLOOKUP(Table2[[#This Row],[product]],Ref[#All],2,FALSE)</f>
        <v>Gadarif Sesame - FG</v>
      </c>
      <c r="G154" t="str">
        <f>VLOOKUP(Table2[[#This Row],[product]],Ref[#All],3,FALSE)</f>
        <v>Gadarif Sesame - FG</v>
      </c>
      <c r="H154" t="str">
        <f>VLOOKUP(Table2[[#This Row],[product]],Ref[#All],4,FALSE)</f>
        <v>Export</v>
      </c>
      <c r="I154" s="1">
        <v>45808</v>
      </c>
      <c r="J154" t="s">
        <v>53</v>
      </c>
      <c r="K154" t="s">
        <v>1530</v>
      </c>
      <c r="L154" t="s">
        <v>2558</v>
      </c>
      <c r="M154" t="s">
        <v>1586</v>
      </c>
      <c r="N154" t="s">
        <v>784</v>
      </c>
      <c r="O154" t="s">
        <v>785</v>
      </c>
      <c r="P154" t="s">
        <v>788</v>
      </c>
      <c r="Q154" t="s">
        <v>55</v>
      </c>
      <c r="R154">
        <v>-947</v>
      </c>
      <c r="S154" s="15">
        <f>Table2[[#This Row],[movement_quantity]]/VLOOKUP(Table2[[#This Row],[product]],Ref[#All],5,FALSE)</f>
        <v>-47.35</v>
      </c>
      <c r="T154">
        <v>203277.55262999999</v>
      </c>
      <c r="U154" t="s">
        <v>17</v>
      </c>
      <c r="V154" t="s">
        <v>21</v>
      </c>
      <c r="W154" t="s">
        <v>1531</v>
      </c>
      <c r="X154" t="s">
        <v>17</v>
      </c>
      <c r="Y154" t="s">
        <v>1532</v>
      </c>
      <c r="Z154" s="2">
        <v>0</v>
      </c>
      <c r="AA154" s="2">
        <v>-192503842.34061</v>
      </c>
      <c r="AB154" t="str">
        <f>VLOOKUP(Table2[[#This Row],[product]],Ref[#All],6,FALSE)</f>
        <v>BAG50</v>
      </c>
    </row>
    <row r="155" spans="1:28" x14ac:dyDescent="0.25">
      <c r="A155" t="str">
        <f>TEXT(Table2[[#This Row],[dated]],"mmm")</f>
        <v>May</v>
      </c>
      <c r="B155" t="s">
        <v>138</v>
      </c>
      <c r="C155" s="1" t="s">
        <v>540</v>
      </c>
      <c r="D155" t="str">
        <f>VLOOKUP(Table2[[#This Row],[product]],Ref[#All],7,FALSE)</f>
        <v>Sesame Gadarif</v>
      </c>
      <c r="E155" s="1" t="s">
        <v>1534</v>
      </c>
      <c r="F155" t="str">
        <f>VLOOKUP(Table2[[#This Row],[product]],Ref[#All],2,FALSE)</f>
        <v>Gadarif Sesame Low Grade FG 50KG</v>
      </c>
      <c r="G155" t="str">
        <f>VLOOKUP(Table2[[#This Row],[product]],Ref[#All],3,FALSE)</f>
        <v>Gadarif Sesame FG - Low Grade</v>
      </c>
      <c r="H155" t="str">
        <f>VLOOKUP(Table2[[#This Row],[product]],Ref[#All],4,FALSE)</f>
        <v>Export</v>
      </c>
      <c r="I155" s="1">
        <v>45808</v>
      </c>
      <c r="J155" t="s">
        <v>127</v>
      </c>
      <c r="K155" t="s">
        <v>1535</v>
      </c>
      <c r="L155" t="s">
        <v>2558</v>
      </c>
      <c r="M155" t="s">
        <v>1593</v>
      </c>
      <c r="N155" t="s">
        <v>784</v>
      </c>
      <c r="O155" t="s">
        <v>785</v>
      </c>
      <c r="P155" t="s">
        <v>788</v>
      </c>
      <c r="Q155" t="s">
        <v>55</v>
      </c>
      <c r="R155">
        <v>947</v>
      </c>
      <c r="S155" s="15">
        <f>Table2[[#This Row],[movement_quantity]]/VLOOKUP(Table2[[#This Row],[product]],Ref[#All],5,FALSE)</f>
        <v>47.35</v>
      </c>
      <c r="T155">
        <v>91474.9</v>
      </c>
      <c r="U155" t="s">
        <v>163</v>
      </c>
      <c r="V155" t="s">
        <v>18</v>
      </c>
      <c r="W155" t="s">
        <v>1536</v>
      </c>
      <c r="X155" t="s">
        <v>1537</v>
      </c>
      <c r="Y155" t="s">
        <v>17</v>
      </c>
      <c r="Z155" s="2">
        <v>0</v>
      </c>
      <c r="AA155" s="4">
        <v>96594000</v>
      </c>
      <c r="AB155" t="str">
        <f>VLOOKUP(Table2[[#This Row],[product]],Ref[#All],6,FALSE)</f>
        <v>BAG50</v>
      </c>
    </row>
    <row r="156" spans="1:28" x14ac:dyDescent="0.25">
      <c r="A156" t="str">
        <f>TEXT(Table2[[#This Row],[dated]],"mmm")</f>
        <v>May</v>
      </c>
      <c r="B156" t="s">
        <v>138</v>
      </c>
      <c r="C156" s="1" t="s">
        <v>540</v>
      </c>
      <c r="D156" t="str">
        <f>VLOOKUP(Table2[[#This Row],[product]],Ref[#All],7,FALSE)</f>
        <v>Sesame Non Gadarif</v>
      </c>
      <c r="E156" s="1" t="s">
        <v>77</v>
      </c>
      <c r="F156" t="str">
        <f>VLOOKUP(Table2[[#This Row],[product]],Ref[#All],2,FALSE)</f>
        <v xml:space="preserve">White Sesame Non Gadarif - FG </v>
      </c>
      <c r="G156" t="str">
        <f>VLOOKUP(Table2[[#This Row],[product]],Ref[#All],3,FALSE)</f>
        <v xml:space="preserve">White Sesame Non Gadarif - FG </v>
      </c>
      <c r="H156" t="str">
        <f>VLOOKUP(Table2[[#This Row],[product]],Ref[#All],4,FALSE)</f>
        <v>Export</v>
      </c>
      <c r="I156" s="1">
        <v>45808</v>
      </c>
      <c r="J156" t="s">
        <v>53</v>
      </c>
      <c r="K156" t="s">
        <v>1530</v>
      </c>
      <c r="L156" t="s">
        <v>2559</v>
      </c>
      <c r="M156" t="s">
        <v>1586</v>
      </c>
      <c r="N156" t="s">
        <v>784</v>
      </c>
      <c r="O156" t="s">
        <v>785</v>
      </c>
      <c r="P156" t="s">
        <v>788</v>
      </c>
      <c r="Q156" t="s">
        <v>55</v>
      </c>
      <c r="R156">
        <v>-174</v>
      </c>
      <c r="S156" s="15">
        <f>Table2[[#This Row],[movement_quantity]]/VLOOKUP(Table2[[#This Row],[product]],Ref[#All],5,FALSE)</f>
        <v>-8.6999999999999993</v>
      </c>
      <c r="T156">
        <v>191933.78946999999</v>
      </c>
      <c r="U156" t="s">
        <v>17</v>
      </c>
      <c r="V156" t="s">
        <v>21</v>
      </c>
      <c r="W156" t="s">
        <v>1533</v>
      </c>
      <c r="X156" t="s">
        <v>17</v>
      </c>
      <c r="Y156" t="s">
        <v>1532</v>
      </c>
      <c r="Z156" s="2">
        <v>0</v>
      </c>
      <c r="AA156" s="2">
        <v>-33396479.367779996</v>
      </c>
      <c r="AB156" t="str">
        <f>VLOOKUP(Table2[[#This Row],[product]],Ref[#All],6,FALSE)</f>
        <v>BAG50</v>
      </c>
    </row>
    <row r="157" spans="1:28" x14ac:dyDescent="0.25">
      <c r="A157" t="str">
        <f>TEXT(Table2[[#This Row],[dated]],"mmm")</f>
        <v>May</v>
      </c>
      <c r="B157" t="s">
        <v>138</v>
      </c>
      <c r="C157" s="1" t="s">
        <v>540</v>
      </c>
      <c r="D157" t="str">
        <f>VLOOKUP(Table2[[#This Row],[product]],Ref[#All],7,FALSE)</f>
        <v>Sesame Non Gadarif</v>
      </c>
      <c r="E157" s="1" t="s">
        <v>1538</v>
      </c>
      <c r="F157" t="str">
        <f>VLOOKUP(Table2[[#This Row],[product]],Ref[#All],2,FALSE)</f>
        <v>Non Gadarif Sesame Low Grade FG 50KG</v>
      </c>
      <c r="G157" t="str">
        <f>VLOOKUP(Table2[[#This Row],[product]],Ref[#All],3,FALSE)</f>
        <v>Non Gadarif Sesame FG - Low Grade</v>
      </c>
      <c r="H157" t="str">
        <f>VLOOKUP(Table2[[#This Row],[product]],Ref[#All],4,FALSE)</f>
        <v>Export</v>
      </c>
      <c r="I157" s="1">
        <v>45808</v>
      </c>
      <c r="J157" t="s">
        <v>127</v>
      </c>
      <c r="K157" t="s">
        <v>1535</v>
      </c>
      <c r="L157" t="s">
        <v>2559</v>
      </c>
      <c r="M157" t="s">
        <v>1593</v>
      </c>
      <c r="N157" t="s">
        <v>784</v>
      </c>
      <c r="O157" t="s">
        <v>785</v>
      </c>
      <c r="P157" t="s">
        <v>788</v>
      </c>
      <c r="Q157" t="s">
        <v>55</v>
      </c>
      <c r="R157">
        <v>174</v>
      </c>
      <c r="S157" s="15">
        <f>Table2[[#This Row],[movement_quantity]]/VLOOKUP(Table2[[#This Row],[product]],Ref[#All],5,FALSE)</f>
        <v>8.6999999999999993</v>
      </c>
      <c r="T157">
        <v>86370.21</v>
      </c>
      <c r="U157" t="s">
        <v>163</v>
      </c>
      <c r="V157" t="s">
        <v>18</v>
      </c>
      <c r="W157" t="s">
        <v>1536</v>
      </c>
      <c r="X157" t="s">
        <v>1537</v>
      </c>
      <c r="Y157" t="s">
        <v>17</v>
      </c>
      <c r="Z157" s="2">
        <v>0</v>
      </c>
      <c r="AA157" s="4">
        <v>17400000</v>
      </c>
      <c r="AB157" t="str">
        <f>VLOOKUP(Table2[[#This Row],[product]],Ref[#All],6,FALSE)</f>
        <v>BAG50</v>
      </c>
    </row>
    <row r="158" spans="1:28" x14ac:dyDescent="0.25">
      <c r="A158" t="str">
        <f>TEXT(Table2[[#This Row],[dated]],"mmm")</f>
        <v>May</v>
      </c>
      <c r="B158" t="s">
        <v>138</v>
      </c>
      <c r="C158" s="1" t="s">
        <v>540</v>
      </c>
      <c r="D158" t="str">
        <f>VLOOKUP(Table2[[#This Row],[product]],Ref[#All],7,FALSE)</f>
        <v>Pigeon Peas</v>
      </c>
      <c r="E158" s="1" t="s">
        <v>767</v>
      </c>
      <c r="F158" t="str">
        <f>VLOOKUP(Table2[[#This Row],[product]],Ref[#All],2,FALSE)</f>
        <v>Pigeon Peas Jazira FG</v>
      </c>
      <c r="G158" t="str">
        <f>VLOOKUP(Table2[[#This Row],[product]],Ref[#All],3,FALSE)</f>
        <v>Pigeon Peas FG</v>
      </c>
      <c r="H158" t="str">
        <f>VLOOKUP(Table2[[#This Row],[product]],Ref[#All],4,FALSE)</f>
        <v>Export</v>
      </c>
      <c r="I158" s="1">
        <v>45805</v>
      </c>
      <c r="J158" t="s">
        <v>53</v>
      </c>
      <c r="K158" t="s">
        <v>1518</v>
      </c>
      <c r="L158" t="s">
        <v>2560</v>
      </c>
      <c r="M158" t="s">
        <v>1586</v>
      </c>
      <c r="N158" t="s">
        <v>784</v>
      </c>
      <c r="O158" t="s">
        <v>785</v>
      </c>
      <c r="P158" t="s">
        <v>788</v>
      </c>
      <c r="Q158" t="s">
        <v>55</v>
      </c>
      <c r="R158">
        <v>-1324</v>
      </c>
      <c r="S158" s="15">
        <f>Table2[[#This Row],[movement_quantity]]/VLOOKUP(Table2[[#This Row],[product]],Ref[#All],5,FALSE)</f>
        <v>-66.2</v>
      </c>
      <c r="T158">
        <v>129829.40909</v>
      </c>
      <c r="U158" t="s">
        <v>17</v>
      </c>
      <c r="V158" t="s">
        <v>18</v>
      </c>
      <c r="W158" t="s">
        <v>1519</v>
      </c>
      <c r="X158" t="s">
        <v>17</v>
      </c>
      <c r="Y158" t="s">
        <v>1508</v>
      </c>
      <c r="Z158" s="2">
        <v>0</v>
      </c>
      <c r="AA158" s="2">
        <v>-171894137.63516</v>
      </c>
      <c r="AB158" t="str">
        <f>VLOOKUP(Table2[[#This Row],[product]],Ref[#All],6,FALSE)</f>
        <v>BAG50</v>
      </c>
    </row>
    <row r="159" spans="1:28" x14ac:dyDescent="0.25">
      <c r="A159" t="str">
        <f>TEXT(Table2[[#This Row],[dated]],"mmm")</f>
        <v>May</v>
      </c>
      <c r="B159" t="s">
        <v>138</v>
      </c>
      <c r="C159" s="1" t="s">
        <v>540</v>
      </c>
      <c r="D159" t="str">
        <f>VLOOKUP(Table2[[#This Row],[product]],Ref[#All],7,FALSE)</f>
        <v>Pigeon Peas</v>
      </c>
      <c r="E159" s="1" t="s">
        <v>754</v>
      </c>
      <c r="F159" t="str">
        <f>VLOOKUP(Table2[[#This Row],[product]],Ref[#All],2,FALSE)</f>
        <v>Pigeon Peas New Halfa FG</v>
      </c>
      <c r="G159" t="str">
        <f>VLOOKUP(Table2[[#This Row],[product]],Ref[#All],3,FALSE)</f>
        <v>Pigeon Peas FG</v>
      </c>
      <c r="H159" t="str">
        <f>VLOOKUP(Table2[[#This Row],[product]],Ref[#All],4,FALSE)</f>
        <v>Export</v>
      </c>
      <c r="I159" s="1">
        <v>45805</v>
      </c>
      <c r="J159" t="s">
        <v>53</v>
      </c>
      <c r="K159" t="s">
        <v>1518</v>
      </c>
      <c r="L159" t="s">
        <v>2560</v>
      </c>
      <c r="M159" t="s">
        <v>1586</v>
      </c>
      <c r="N159" t="s">
        <v>784</v>
      </c>
      <c r="O159" t="s">
        <v>785</v>
      </c>
      <c r="P159" t="s">
        <v>788</v>
      </c>
      <c r="Q159" t="s">
        <v>55</v>
      </c>
      <c r="R159">
        <v>-2683</v>
      </c>
      <c r="S159" s="15">
        <f>Table2[[#This Row],[movement_quantity]]/VLOOKUP(Table2[[#This Row],[product]],Ref[#All],5,FALSE)</f>
        <v>-134.15</v>
      </c>
      <c r="T159">
        <v>129829.40909</v>
      </c>
      <c r="U159" t="s">
        <v>17</v>
      </c>
      <c r="V159" t="s">
        <v>21</v>
      </c>
      <c r="W159" t="s">
        <v>1522</v>
      </c>
      <c r="X159" t="s">
        <v>17</v>
      </c>
      <c r="Y159" t="s">
        <v>795</v>
      </c>
      <c r="Z159" s="2">
        <v>0</v>
      </c>
      <c r="AA159" s="2">
        <v>-348332304.58846998</v>
      </c>
      <c r="AB159" t="str">
        <f>VLOOKUP(Table2[[#This Row],[product]],Ref[#All],6,FALSE)</f>
        <v>BAG50</v>
      </c>
    </row>
    <row r="160" spans="1:28" x14ac:dyDescent="0.25">
      <c r="A160" t="str">
        <f>TEXT(Table2[[#This Row],[dated]],"mmm")</f>
        <v>May</v>
      </c>
      <c r="B160" t="s">
        <v>138</v>
      </c>
      <c r="C160" s="1" t="s">
        <v>540</v>
      </c>
      <c r="D160" t="str">
        <f>VLOOKUP(Table2[[#This Row],[product]],Ref[#All],7,FALSE)</f>
        <v>Pigeon Peas</v>
      </c>
      <c r="E160" s="1" t="s">
        <v>1523</v>
      </c>
      <c r="F160" t="str">
        <f>VLOOKUP(Table2[[#This Row],[product]],Ref[#All],2,FALSE)</f>
        <v>Pigeon Peas Low Grade FG 50KG</v>
      </c>
      <c r="G160" t="str">
        <f>VLOOKUP(Table2[[#This Row],[product]],Ref[#All],3,FALSE)</f>
        <v>Pigeon Peas FG - Low Grade</v>
      </c>
      <c r="H160" t="str">
        <f>VLOOKUP(Table2[[#This Row],[product]],Ref[#All],4,FALSE)</f>
        <v>Export</v>
      </c>
      <c r="I160" s="1">
        <v>45805</v>
      </c>
      <c r="J160" t="s">
        <v>127</v>
      </c>
      <c r="K160" t="s">
        <v>1527</v>
      </c>
      <c r="L160" t="s">
        <v>2560</v>
      </c>
      <c r="M160" t="s">
        <v>1593</v>
      </c>
      <c r="N160" t="s">
        <v>784</v>
      </c>
      <c r="O160" t="s">
        <v>785</v>
      </c>
      <c r="P160" t="s">
        <v>788</v>
      </c>
      <c r="Q160" t="s">
        <v>55</v>
      </c>
      <c r="R160">
        <v>4007</v>
      </c>
      <c r="S160" s="15">
        <f>Table2[[#This Row],[movement_quantity]]/VLOOKUP(Table2[[#This Row],[product]],Ref[#All],5,FALSE)</f>
        <v>200.35</v>
      </c>
      <c r="T160">
        <v>58423.23</v>
      </c>
      <c r="U160" t="s">
        <v>17</v>
      </c>
      <c r="V160" t="s">
        <v>21</v>
      </c>
      <c r="W160" t="s">
        <v>1528</v>
      </c>
      <c r="X160" t="s">
        <v>1529</v>
      </c>
      <c r="Y160" t="s">
        <v>17</v>
      </c>
      <c r="Z160" s="2">
        <v>0</v>
      </c>
      <c r="AA160" s="4">
        <v>249023000</v>
      </c>
      <c r="AB160" t="str">
        <f>VLOOKUP(Table2[[#This Row],[product]],Ref[#All],6,FALSE)</f>
        <v>BAG50</v>
      </c>
    </row>
    <row r="161" spans="1:28" x14ac:dyDescent="0.25">
      <c r="A161" t="str">
        <f>TEXT(Table2[[#This Row],[dated]],"mmm")</f>
        <v>May</v>
      </c>
      <c r="B161" t="s">
        <v>40</v>
      </c>
      <c r="C161" s="1" t="s">
        <v>540</v>
      </c>
      <c r="D161" t="str">
        <f>VLOOKUP(Table2[[#This Row],[product]],Ref[#All],7,FALSE)</f>
        <v>Rice</v>
      </c>
      <c r="E161" s="1" t="s">
        <v>133</v>
      </c>
      <c r="F161" t="str">
        <f>VLOOKUP(Table2[[#This Row],[product]],Ref[#All],2,FALSE)</f>
        <v>Rice Short Grain Dalian</v>
      </c>
      <c r="G161" t="str">
        <f>VLOOKUP(Table2[[#This Row],[product]],Ref[#All],3,FALSE)</f>
        <v>Rice Short Grain</v>
      </c>
      <c r="H161" t="str">
        <f>VLOOKUP(Table2[[#This Row],[product]],Ref[#All],4,FALSE)</f>
        <v>Import</v>
      </c>
      <c r="I161" s="1">
        <v>45804</v>
      </c>
      <c r="J161" t="s">
        <v>53</v>
      </c>
      <c r="K161" t="s">
        <v>1427</v>
      </c>
      <c r="L161" t="s">
        <v>2551</v>
      </c>
      <c r="M161" t="s">
        <v>1586</v>
      </c>
      <c r="N161" t="s">
        <v>784</v>
      </c>
      <c r="O161" t="s">
        <v>785</v>
      </c>
      <c r="P161" t="s">
        <v>788</v>
      </c>
      <c r="Q161" t="s">
        <v>55</v>
      </c>
      <c r="R161">
        <v>-282</v>
      </c>
      <c r="S161" s="15">
        <f>Table2[[#This Row],[movement_quantity]]/VLOOKUP(Table2[[#This Row],[product]],Ref[#All],5,FALSE)</f>
        <v>-7.05</v>
      </c>
      <c r="T161">
        <v>50476.383040000001</v>
      </c>
      <c r="U161" t="s">
        <v>17</v>
      </c>
      <c r="V161" t="s">
        <v>21</v>
      </c>
      <c r="W161" t="s">
        <v>1428</v>
      </c>
      <c r="X161" t="s">
        <v>17</v>
      </c>
      <c r="Y161" t="s">
        <v>1107</v>
      </c>
      <c r="Z161" s="2">
        <v>0</v>
      </c>
      <c r="AA161" s="2">
        <v>-14234340.017279999</v>
      </c>
      <c r="AB161" t="str">
        <f>VLOOKUP(Table2[[#This Row],[product]],Ref[#All],6,FALSE)</f>
        <v>BAG25</v>
      </c>
    </row>
    <row r="162" spans="1:28" x14ac:dyDescent="0.25">
      <c r="A162" t="str">
        <f>TEXT(Table2[[#This Row],[dated]],"mmm")</f>
        <v>May</v>
      </c>
      <c r="B162" t="s">
        <v>40</v>
      </c>
      <c r="C162" s="1" t="s">
        <v>540</v>
      </c>
      <c r="D162" t="str">
        <f>VLOOKUP(Table2[[#This Row],[product]],Ref[#All],7,FALSE)</f>
        <v>Rice</v>
      </c>
      <c r="E162" s="1" t="s">
        <v>341</v>
      </c>
      <c r="F162" t="str">
        <f>VLOOKUP(Table2[[#This Row],[product]],Ref[#All],2,FALSE)</f>
        <v>Rice Damaged 25KG</v>
      </c>
      <c r="G162" t="str">
        <f>VLOOKUP(Table2[[#This Row],[product]],Ref[#All],3,FALSE)</f>
        <v>Rice - Damaged</v>
      </c>
      <c r="H162" t="str">
        <f>VLOOKUP(Table2[[#This Row],[product]],Ref[#All],4,FALSE)</f>
        <v>Import</v>
      </c>
      <c r="I162" s="1">
        <v>45804</v>
      </c>
      <c r="J162" t="s">
        <v>127</v>
      </c>
      <c r="K162" t="s">
        <v>1429</v>
      </c>
      <c r="L162" t="s">
        <v>2551</v>
      </c>
      <c r="M162" t="s">
        <v>1593</v>
      </c>
      <c r="N162" t="s">
        <v>784</v>
      </c>
      <c r="O162" t="s">
        <v>785</v>
      </c>
      <c r="P162" t="s">
        <v>788</v>
      </c>
      <c r="Q162" t="s">
        <v>1584</v>
      </c>
      <c r="R162">
        <v>282</v>
      </c>
      <c r="S162" s="15">
        <f>Table2[[#This Row],[movement_quantity]]/VLOOKUP(Table2[[#This Row],[product]],Ref[#All],5,FALSE)</f>
        <v>7.05</v>
      </c>
      <c r="T162">
        <v>0</v>
      </c>
      <c r="U162" t="s">
        <v>122</v>
      </c>
      <c r="V162" t="s">
        <v>18</v>
      </c>
      <c r="W162" t="s">
        <v>1430</v>
      </c>
      <c r="X162" t="s">
        <v>1431</v>
      </c>
      <c r="Y162"/>
      <c r="Z162" s="2"/>
      <c r="AA162" s="2">
        <v>7050000</v>
      </c>
      <c r="AB162" t="str">
        <f>VLOOKUP(Table2[[#This Row],[product]],Ref[#All],6,FALSE)</f>
        <v>BAG25</v>
      </c>
    </row>
    <row r="163" spans="1:28" x14ac:dyDescent="0.25">
      <c r="A163" t="str">
        <f>TEXT(Table2[[#This Row],[dated]],"mmm")</f>
        <v>May</v>
      </c>
      <c r="B163" t="s">
        <v>138</v>
      </c>
      <c r="C163" s="1" t="s">
        <v>540</v>
      </c>
      <c r="D163" t="str">
        <f>VLOOKUP(Table2[[#This Row],[product]],Ref[#All],7,FALSE)</f>
        <v>Chickpeas</v>
      </c>
      <c r="E163" s="1" t="s">
        <v>1505</v>
      </c>
      <c r="F163" t="str">
        <f>VLOOKUP(Table2[[#This Row],[product]],Ref[#All],2,FALSE)</f>
        <v>Chickpeas FG 50KG</v>
      </c>
      <c r="G163" t="str">
        <f>VLOOKUP(Table2[[#This Row],[product]],Ref[#All],3,FALSE)</f>
        <v>Chickpeas FG</v>
      </c>
      <c r="H163" t="str">
        <f>VLOOKUP(Table2[[#This Row],[product]],Ref[#All],4,FALSE)</f>
        <v>Export</v>
      </c>
      <c r="I163" s="1">
        <v>45804</v>
      </c>
      <c r="J163" t="s">
        <v>53</v>
      </c>
      <c r="K163" t="s">
        <v>1506</v>
      </c>
      <c r="L163" t="s">
        <v>2561</v>
      </c>
      <c r="M163" t="s">
        <v>1586</v>
      </c>
      <c r="N163" t="s">
        <v>784</v>
      </c>
      <c r="O163" t="s">
        <v>785</v>
      </c>
      <c r="P163" t="s">
        <v>788</v>
      </c>
      <c r="Q163" t="s">
        <v>55</v>
      </c>
      <c r="R163">
        <v>-189</v>
      </c>
      <c r="S163" s="15">
        <f>Table2[[#This Row],[movement_quantity]]/VLOOKUP(Table2[[#This Row],[product]],Ref[#All],5,FALSE)</f>
        <v>-9.4499999999999993</v>
      </c>
      <c r="T163">
        <v>91314.865309999994</v>
      </c>
      <c r="U163" t="s">
        <v>17</v>
      </c>
      <c r="V163" t="s">
        <v>18</v>
      </c>
      <c r="W163" t="s">
        <v>1507</v>
      </c>
      <c r="X163" t="s">
        <v>17</v>
      </c>
      <c r="Y163" t="s">
        <v>1508</v>
      </c>
      <c r="Z163" s="2">
        <v>0</v>
      </c>
      <c r="AA163" s="2">
        <v>-17258509.543589998</v>
      </c>
      <c r="AB163" t="str">
        <f>VLOOKUP(Table2[[#This Row],[product]],Ref[#All],6,FALSE)</f>
        <v>BAG50</v>
      </c>
    </row>
    <row r="164" spans="1:28" x14ac:dyDescent="0.25">
      <c r="A164" t="str">
        <f>TEXT(Table2[[#This Row],[dated]],"mmm")</f>
        <v>May</v>
      </c>
      <c r="B164" t="s">
        <v>138</v>
      </c>
      <c r="C164" s="1" t="s">
        <v>540</v>
      </c>
      <c r="D164" t="str">
        <f>VLOOKUP(Table2[[#This Row],[product]],Ref[#All],7,FALSE)</f>
        <v>Chickpeas</v>
      </c>
      <c r="E164" s="1" t="s">
        <v>1505</v>
      </c>
      <c r="F164" t="str">
        <f>VLOOKUP(Table2[[#This Row],[product]],Ref[#All],2,FALSE)</f>
        <v>Chickpeas FG 50KG</v>
      </c>
      <c r="G164" t="str">
        <f>VLOOKUP(Table2[[#This Row],[product]],Ref[#All],3,FALSE)</f>
        <v>Chickpeas FG</v>
      </c>
      <c r="H164" t="str">
        <f>VLOOKUP(Table2[[#This Row],[product]],Ref[#All],4,FALSE)</f>
        <v>Export</v>
      </c>
      <c r="I164" s="1">
        <v>45804</v>
      </c>
      <c r="J164" t="s">
        <v>53</v>
      </c>
      <c r="K164" t="s">
        <v>1506</v>
      </c>
      <c r="L164" t="s">
        <v>2561</v>
      </c>
      <c r="M164" t="s">
        <v>1586</v>
      </c>
      <c r="N164" t="s">
        <v>784</v>
      </c>
      <c r="O164" t="s">
        <v>785</v>
      </c>
      <c r="P164" t="s">
        <v>788</v>
      </c>
      <c r="Q164" t="s">
        <v>55</v>
      </c>
      <c r="R164">
        <v>-51</v>
      </c>
      <c r="S164" s="15">
        <f>Table2[[#This Row],[movement_quantity]]/VLOOKUP(Table2[[#This Row],[product]],Ref[#All],5,FALSE)</f>
        <v>-2.5499999999999998</v>
      </c>
      <c r="T164">
        <v>91314.865309999994</v>
      </c>
      <c r="U164" t="s">
        <v>17</v>
      </c>
      <c r="V164" t="s">
        <v>21</v>
      </c>
      <c r="W164" t="s">
        <v>1507</v>
      </c>
      <c r="X164" t="s">
        <v>17</v>
      </c>
      <c r="Y164" t="s">
        <v>1509</v>
      </c>
      <c r="Z164" s="2">
        <v>0</v>
      </c>
      <c r="AA164" s="2">
        <v>-4657058.13081</v>
      </c>
      <c r="AB164" t="str">
        <f>VLOOKUP(Table2[[#This Row],[product]],Ref[#All],6,FALSE)</f>
        <v>BAG50</v>
      </c>
    </row>
    <row r="165" spans="1:28" x14ac:dyDescent="0.25">
      <c r="A165" t="str">
        <f>TEXT(Table2[[#This Row],[dated]],"mmm")</f>
        <v>May</v>
      </c>
      <c r="B165" t="s">
        <v>138</v>
      </c>
      <c r="C165" s="1" t="s">
        <v>540</v>
      </c>
      <c r="D165" t="str">
        <f>VLOOKUP(Table2[[#This Row],[product]],Ref[#All],7,FALSE)</f>
        <v>Chickpeas</v>
      </c>
      <c r="E165" s="1" t="s">
        <v>1514</v>
      </c>
      <c r="F165" t="str">
        <f>VLOOKUP(Table2[[#This Row],[product]],Ref[#All],2,FALSE)</f>
        <v>Chickpeas Low Grade FG 50KG</v>
      </c>
      <c r="G165" t="str">
        <f>VLOOKUP(Table2[[#This Row],[product]],Ref[#All],3,FALSE)</f>
        <v>Chickpeas FG - Low Grade</v>
      </c>
      <c r="H165" t="str">
        <f>VLOOKUP(Table2[[#This Row],[product]],Ref[#All],4,FALSE)</f>
        <v>Export</v>
      </c>
      <c r="I165" s="1">
        <v>45805</v>
      </c>
      <c r="J165" t="s">
        <v>127</v>
      </c>
      <c r="K165" t="s">
        <v>1515</v>
      </c>
      <c r="L165" t="s">
        <v>2561</v>
      </c>
      <c r="M165" t="s">
        <v>1593</v>
      </c>
      <c r="N165" t="s">
        <v>784</v>
      </c>
      <c r="O165" t="s">
        <v>785</v>
      </c>
      <c r="P165" t="s">
        <v>788</v>
      </c>
      <c r="Q165" t="s">
        <v>55</v>
      </c>
      <c r="R165">
        <v>240</v>
      </c>
      <c r="S165" s="15">
        <f>Table2[[#This Row],[movement_quantity]]/VLOOKUP(Table2[[#This Row],[product]],Ref[#All],5,FALSE)</f>
        <v>12</v>
      </c>
      <c r="T165">
        <v>41091.69</v>
      </c>
      <c r="U165" t="s">
        <v>163</v>
      </c>
      <c r="V165" t="s">
        <v>18</v>
      </c>
      <c r="W165" t="s">
        <v>1516</v>
      </c>
      <c r="X165" t="s">
        <v>1517</v>
      </c>
      <c r="Y165" t="s">
        <v>17</v>
      </c>
      <c r="Z165" s="2">
        <v>0</v>
      </c>
      <c r="AA165" s="4">
        <v>29040000</v>
      </c>
      <c r="AB165" t="str">
        <f>VLOOKUP(Table2[[#This Row],[product]],Ref[#All],6,FALSE)</f>
        <v>BAG50</v>
      </c>
    </row>
    <row r="166" spans="1:28" x14ac:dyDescent="0.25">
      <c r="A166" t="str">
        <f>TEXT(Table2[[#This Row],[dated]],"mmm")</f>
        <v>Jul</v>
      </c>
      <c r="B166" t="s">
        <v>40</v>
      </c>
      <c r="C166" s="1" t="s">
        <v>540</v>
      </c>
      <c r="D166" t="str">
        <f>VLOOKUP(Table2[[#This Row],[product]],Ref[#All],7,FALSE)</f>
        <v>Lentils</v>
      </c>
      <c r="E166" s="1" t="s">
        <v>895</v>
      </c>
      <c r="F166" t="str">
        <f>VLOOKUP(Table2[[#This Row],[product]],Ref[#All],2,FALSE)</f>
        <v>Lentil Damaged 20KG</v>
      </c>
      <c r="G166" t="str">
        <f>VLOOKUP(Table2[[#This Row],[product]],Ref[#All],3,FALSE)</f>
        <v>Lentil - Damaged</v>
      </c>
      <c r="H166" t="str">
        <f>VLOOKUP(Table2[[#This Row],[product]],Ref[#All],4,FALSE)</f>
        <v>Import</v>
      </c>
      <c r="I166" s="1">
        <v>45853</v>
      </c>
      <c r="J166" t="s">
        <v>127</v>
      </c>
      <c r="K166" t="s">
        <v>1952</v>
      </c>
      <c r="L166" t="s">
        <v>2552</v>
      </c>
      <c r="M166" t="s">
        <v>1593</v>
      </c>
      <c r="N166" t="s">
        <v>784</v>
      </c>
      <c r="O166" t="s">
        <v>785</v>
      </c>
      <c r="P166" t="s">
        <v>788</v>
      </c>
      <c r="Q166" t="s">
        <v>1584</v>
      </c>
      <c r="R166">
        <v>1468</v>
      </c>
      <c r="S166" s="15">
        <f>Table2[[#This Row],[movement_quantity]]/VLOOKUP(Table2[[#This Row],[product]],Ref[#All],5,FALSE)</f>
        <v>29.36</v>
      </c>
      <c r="T166">
        <v>6000</v>
      </c>
      <c r="U166" t="s">
        <v>122</v>
      </c>
      <c r="V166" t="s">
        <v>18</v>
      </c>
      <c r="W166" t="s">
        <v>1953</v>
      </c>
      <c r="X166" t="s">
        <v>1954</v>
      </c>
      <c r="Y166" s="2" t="s">
        <v>17</v>
      </c>
      <c r="Z166">
        <v>0</v>
      </c>
      <c r="AA166" s="4">
        <v>8808000</v>
      </c>
      <c r="AB166" t="str">
        <f>VLOOKUP(Table2[[#This Row],[product]],Ref[#All],6,FALSE)</f>
        <v>BAG20</v>
      </c>
    </row>
    <row r="167" spans="1:28" x14ac:dyDescent="0.25">
      <c r="A167" t="str">
        <f>TEXT(Table2[[#This Row],[dated]],"mmm")</f>
        <v>Jul</v>
      </c>
      <c r="B167" t="s">
        <v>40</v>
      </c>
      <c r="C167" s="1" t="s">
        <v>540</v>
      </c>
      <c r="D167" t="str">
        <f>VLOOKUP(Table2[[#This Row],[product]],Ref[#All],7,FALSE)</f>
        <v>Lentils</v>
      </c>
      <c r="E167" s="1" t="s">
        <v>39</v>
      </c>
      <c r="F167" t="str">
        <f>VLOOKUP(Table2[[#This Row],[product]],Ref[#All],2,FALSE)</f>
        <v>Lentil TAT 20KG</v>
      </c>
      <c r="G167" t="str">
        <f>VLOOKUP(Table2[[#This Row],[product]],Ref[#All],3,FALSE)</f>
        <v>Lentils</v>
      </c>
      <c r="H167" t="str">
        <f>VLOOKUP(Table2[[#This Row],[product]],Ref[#All],4,FALSE)</f>
        <v>Import</v>
      </c>
      <c r="I167" s="1">
        <v>45853</v>
      </c>
      <c r="J167" t="s">
        <v>53</v>
      </c>
      <c r="K167" t="s">
        <v>2005</v>
      </c>
      <c r="L167" t="s">
        <v>2552</v>
      </c>
      <c r="M167" t="s">
        <v>1586</v>
      </c>
      <c r="N167" t="s">
        <v>784</v>
      </c>
      <c r="O167" t="s">
        <v>785</v>
      </c>
      <c r="P167" t="s">
        <v>788</v>
      </c>
      <c r="Q167" t="s">
        <v>55</v>
      </c>
      <c r="R167">
        <v>-1382</v>
      </c>
      <c r="S167" s="15">
        <f>Table2[[#This Row],[movement_quantity]]/VLOOKUP(Table2[[#This Row],[product]],Ref[#All],5,FALSE)</f>
        <v>-27.64</v>
      </c>
      <c r="T167">
        <v>41075.795080000004</v>
      </c>
      <c r="U167" t="s">
        <v>17</v>
      </c>
      <c r="V167" t="s">
        <v>18</v>
      </c>
      <c r="W167" t="s">
        <v>2006</v>
      </c>
      <c r="X167" t="s">
        <v>17</v>
      </c>
      <c r="Y167" s="23" t="s">
        <v>2007</v>
      </c>
      <c r="Z167">
        <v>0</v>
      </c>
      <c r="AA167" s="23">
        <v>-56766748.800560005</v>
      </c>
      <c r="AB167" t="str">
        <f>VLOOKUP(Table2[[#This Row],[product]],Ref[#All],6,FALSE)</f>
        <v>BAG20</v>
      </c>
    </row>
    <row r="168" spans="1:28" x14ac:dyDescent="0.25">
      <c r="A168" t="str">
        <f>TEXT(Table2[[#This Row],[dated]],"mmm")</f>
        <v>Jul</v>
      </c>
      <c r="B168" t="s">
        <v>40</v>
      </c>
      <c r="C168" s="1" t="s">
        <v>540</v>
      </c>
      <c r="D168" t="str">
        <f>VLOOKUP(Table2[[#This Row],[product]],Ref[#All],7,FALSE)</f>
        <v>Lentils</v>
      </c>
      <c r="E168" s="1" t="s">
        <v>39</v>
      </c>
      <c r="F168" t="str">
        <f>VLOOKUP(Table2[[#This Row],[product]],Ref[#All],2,FALSE)</f>
        <v>Lentil TAT 20KG</v>
      </c>
      <c r="G168" t="str">
        <f>VLOOKUP(Table2[[#This Row],[product]],Ref[#All],3,FALSE)</f>
        <v>Lentils</v>
      </c>
      <c r="H168" t="str">
        <f>VLOOKUP(Table2[[#This Row],[product]],Ref[#All],4,FALSE)</f>
        <v>Import</v>
      </c>
      <c r="I168" s="1">
        <v>45853</v>
      </c>
      <c r="J168" t="s">
        <v>53</v>
      </c>
      <c r="K168" t="s">
        <v>2005</v>
      </c>
      <c r="L168" t="s">
        <v>2552</v>
      </c>
      <c r="M168" t="s">
        <v>1586</v>
      </c>
      <c r="N168" t="s">
        <v>784</v>
      </c>
      <c r="O168" t="s">
        <v>785</v>
      </c>
      <c r="P168" t="s">
        <v>788</v>
      </c>
      <c r="Q168" t="s">
        <v>55</v>
      </c>
      <c r="R168">
        <v>-86</v>
      </c>
      <c r="S168" s="15">
        <f>Table2[[#This Row],[movement_quantity]]/VLOOKUP(Table2[[#This Row],[product]],Ref[#All],5,FALSE)</f>
        <v>-1.72</v>
      </c>
      <c r="T168">
        <v>41075.795080000004</v>
      </c>
      <c r="U168" t="s">
        <v>17</v>
      </c>
      <c r="V168" t="s">
        <v>21</v>
      </c>
      <c r="W168" t="s">
        <v>2006</v>
      </c>
      <c r="X168" t="s">
        <v>17</v>
      </c>
      <c r="Y168" s="23" t="s">
        <v>1965</v>
      </c>
      <c r="Z168">
        <v>0</v>
      </c>
      <c r="AA168" s="23">
        <v>-3532518.3768800003</v>
      </c>
      <c r="AB168" t="str">
        <f>VLOOKUP(Table2[[#This Row],[product]],Ref[#All],6,FALSE)</f>
        <v>BAG20</v>
      </c>
    </row>
    <row r="169" spans="1:28" x14ac:dyDescent="0.25">
      <c r="A169" t="str">
        <f>TEXT(Table2[[#This Row],[dated]],"mmm")</f>
        <v>Aug</v>
      </c>
      <c r="B169" s="28" t="s">
        <v>2530</v>
      </c>
      <c r="C169" s="1" t="s">
        <v>540</v>
      </c>
      <c r="D169" t="str">
        <f>VLOOKUP(Table2[[#This Row],[product]],Ref[#All],7,FALSE)</f>
        <v>Groundnuts</v>
      </c>
      <c r="E169" s="28" t="s">
        <v>2528</v>
      </c>
      <c r="F169" t="str">
        <f>VLOOKUP(Table2[[#This Row],[product]],Ref[#All],2,FALSE)</f>
        <v>GROUNDNUT SEEDS HPS DAMAGE 50KG</v>
      </c>
      <c r="G169" t="str">
        <f>VLOOKUP(Table2[[#This Row],[product]],Ref[#All],3,FALSE)</f>
        <v>HPS DAMAGE 50KG</v>
      </c>
      <c r="H169" t="str">
        <f>VLOOKUP(Table2[[#This Row],[product]],Ref[#All],4,FALSE)</f>
        <v>Export</v>
      </c>
      <c r="I169" s="1">
        <v>45881</v>
      </c>
      <c r="J169" t="s">
        <v>53</v>
      </c>
      <c r="K169" t="s">
        <v>2332</v>
      </c>
      <c r="L169" t="s">
        <v>2545</v>
      </c>
      <c r="M169" t="s">
        <v>1586</v>
      </c>
      <c r="N169" t="s">
        <v>784</v>
      </c>
      <c r="O169" t="s">
        <v>785</v>
      </c>
      <c r="P169" t="s">
        <v>788</v>
      </c>
      <c r="Q169" t="s">
        <v>55</v>
      </c>
      <c r="R169">
        <v>-5</v>
      </c>
      <c r="S169" s="15">
        <f>Table2[[#This Row],[movement_quantity]]/VLOOKUP(Table2[[#This Row],[product]],Ref[#All],5,FALSE)</f>
        <v>-0.25</v>
      </c>
      <c r="T169">
        <v>0</v>
      </c>
      <c r="U169" t="s">
        <v>17</v>
      </c>
      <c r="V169" t="s">
        <v>18</v>
      </c>
      <c r="W169" t="s">
        <v>2442</v>
      </c>
      <c r="X169" t="s">
        <v>17</v>
      </c>
      <c r="Y169" s="2" t="s">
        <v>2443</v>
      </c>
      <c r="Z169">
        <v>0</v>
      </c>
      <c r="AA169" s="2">
        <v>0</v>
      </c>
      <c r="AB169" t="str">
        <f>VLOOKUP(Table2[[#This Row],[product]],Ref[#All],6,FALSE)</f>
        <v>BAG50</v>
      </c>
    </row>
    <row r="170" spans="1:28" x14ac:dyDescent="0.25">
      <c r="A170" t="str">
        <f>TEXT(Table2[[#This Row],[dated]],"mmm")</f>
        <v>May</v>
      </c>
      <c r="B170" t="s">
        <v>138</v>
      </c>
      <c r="C170" s="1" t="s">
        <v>539</v>
      </c>
      <c r="D170" t="str">
        <f>VLOOKUP(Table2[[#This Row],[product]],Ref[#All],7,FALSE)</f>
        <v>Sorghum</v>
      </c>
      <c r="E170" s="1" t="s">
        <v>137</v>
      </c>
      <c r="F170" t="str">
        <f>VLOOKUP(Table2[[#This Row],[product]],Ref[#All],2,FALSE)</f>
        <v>Sorghum Raw</v>
      </c>
      <c r="G170" t="str">
        <f>VLOOKUP(Table2[[#This Row],[product]],Ref[#All],3,FALSE)</f>
        <v>Sorghum Raw</v>
      </c>
      <c r="H170" t="str">
        <f>VLOOKUP(Table2[[#This Row],[product]],Ref[#All],4,FALSE)</f>
        <v>Export</v>
      </c>
      <c r="I170" s="1">
        <v>45804</v>
      </c>
      <c r="J170" t="s">
        <v>53</v>
      </c>
      <c r="K170" t="s">
        <v>1544</v>
      </c>
      <c r="L170" t="s">
        <v>1583</v>
      </c>
      <c r="M170" t="s">
        <v>1586</v>
      </c>
      <c r="N170" t="s">
        <v>784</v>
      </c>
      <c r="O170" t="s">
        <v>1680</v>
      </c>
      <c r="P170" t="s">
        <v>788</v>
      </c>
      <c r="Q170" t="s">
        <v>55</v>
      </c>
      <c r="R170">
        <v>-6.21</v>
      </c>
      <c r="S170" s="15">
        <f>Table2[[#This Row],[movement_quantity]]/VLOOKUP(Table2[[#This Row],[product]],Ref[#All],5,FALSE)</f>
        <v>-6.21</v>
      </c>
      <c r="T170">
        <v>947797.31544000003</v>
      </c>
      <c r="U170" t="s">
        <v>17</v>
      </c>
      <c r="V170" t="s">
        <v>21</v>
      </c>
      <c r="W170" t="s">
        <v>1545</v>
      </c>
      <c r="X170" t="s">
        <v>17</v>
      </c>
      <c r="Y170" t="s">
        <v>1543</v>
      </c>
      <c r="Z170" s="2">
        <v>0</v>
      </c>
      <c r="AA170" s="2">
        <v>-5885821.3288823999</v>
      </c>
      <c r="AB170" t="str">
        <f>VLOOKUP(Table2[[#This Row],[product]],Ref[#All],6,FALSE)</f>
        <v>TON</v>
      </c>
    </row>
    <row r="171" spans="1:28" x14ac:dyDescent="0.25">
      <c r="A171" t="str">
        <f>TEXT(Table2[[#This Row],[dated]],"mmm")</f>
        <v>May</v>
      </c>
      <c r="B171" t="s">
        <v>138</v>
      </c>
      <c r="C171" s="1" t="s">
        <v>539</v>
      </c>
      <c r="D171" t="str">
        <f>VLOOKUP(Table2[[#This Row],[product]],Ref[#All],7,FALSE)</f>
        <v>Sorghum</v>
      </c>
      <c r="E171" s="1" t="s">
        <v>1546</v>
      </c>
      <c r="F171" t="str">
        <f>VLOOKUP(Table2[[#This Row],[product]],Ref[#All],2,FALSE)</f>
        <v>Sorghum Waste</v>
      </c>
      <c r="G171" t="str">
        <f>VLOOKUP(Table2[[#This Row],[product]],Ref[#All],3,FALSE)</f>
        <v>Sorghum - Waste</v>
      </c>
      <c r="H171" t="str">
        <f>VLOOKUP(Table2[[#This Row],[product]],Ref[#All],4,FALSE)</f>
        <v>Export</v>
      </c>
      <c r="I171" s="1">
        <v>45804</v>
      </c>
      <c r="J171" t="s">
        <v>127</v>
      </c>
      <c r="K171" t="s">
        <v>1547</v>
      </c>
      <c r="L171" t="s">
        <v>1583</v>
      </c>
      <c r="M171" t="s">
        <v>1593</v>
      </c>
      <c r="N171" t="s">
        <v>784</v>
      </c>
      <c r="O171" t="s">
        <v>1680</v>
      </c>
      <c r="P171" t="s">
        <v>788</v>
      </c>
      <c r="Q171" t="s">
        <v>55</v>
      </c>
      <c r="R171">
        <v>6.21</v>
      </c>
      <c r="S171" s="15">
        <f>Table2[[#This Row],[movement_quantity]]/VLOOKUP(Table2[[#This Row],[product]],Ref[#All],5,FALSE)</f>
        <v>6.21</v>
      </c>
      <c r="T171">
        <v>0</v>
      </c>
      <c r="U171" t="s">
        <v>163</v>
      </c>
      <c r="V171" t="s">
        <v>18</v>
      </c>
      <c r="W171" t="s">
        <v>1548</v>
      </c>
      <c r="X171" t="s">
        <v>1549</v>
      </c>
      <c r="Y171" t="s">
        <v>17</v>
      </c>
      <c r="Z171" s="2">
        <v>0</v>
      </c>
      <c r="AA171" s="4">
        <v>2842000</v>
      </c>
      <c r="AB171" t="str">
        <f>VLOOKUP(Table2[[#This Row],[product]],Ref[#All],6,FALSE)</f>
        <v>TON</v>
      </c>
    </row>
    <row r="172" spans="1:28" x14ac:dyDescent="0.25">
      <c r="A172" t="str">
        <f>TEXT(Table2[[#This Row],[dated]],"mmm")</f>
        <v>May</v>
      </c>
      <c r="B172" t="s">
        <v>816</v>
      </c>
      <c r="C172" s="1" t="s">
        <v>539</v>
      </c>
      <c r="D172" t="str">
        <f>VLOOKUP(Table2[[#This Row],[product]],Ref[#All],7,FALSE)</f>
        <v>Gum Arabic</v>
      </c>
      <c r="E172" s="1" t="s">
        <v>817</v>
      </c>
      <c r="F172" t="str">
        <f>VLOOKUP(Table2[[#This Row],[product]],Ref[#All],2,FALSE)</f>
        <v>Gum Hashab Waste</v>
      </c>
      <c r="G172" t="str">
        <f>VLOOKUP(Table2[[#This Row],[product]],Ref[#All],3,FALSE)</f>
        <v>Gum Hashab Waste</v>
      </c>
      <c r="H172" t="str">
        <f>VLOOKUP(Table2[[#This Row],[product]],Ref[#All],4,FALSE)</f>
        <v>Export</v>
      </c>
      <c r="I172" s="1">
        <v>45782</v>
      </c>
      <c r="J172" t="s">
        <v>53</v>
      </c>
      <c r="K172" t="s">
        <v>818</v>
      </c>
      <c r="L172" t="s">
        <v>1594</v>
      </c>
      <c r="M172" t="s">
        <v>1586</v>
      </c>
      <c r="N172" t="s">
        <v>784</v>
      </c>
      <c r="O172" t="s">
        <v>1593</v>
      </c>
      <c r="P172" t="s">
        <v>788</v>
      </c>
      <c r="Q172" t="s">
        <v>55</v>
      </c>
      <c r="R172">
        <v>-138.78</v>
      </c>
      <c r="S172" s="15">
        <f>Table2[[#This Row],[movement_quantity]]/VLOOKUP(Table2[[#This Row],[product]],Ref[#All],5,FALSE)</f>
        <v>-138.78</v>
      </c>
      <c r="T172">
        <v>0</v>
      </c>
      <c r="U172" t="s">
        <v>17</v>
      </c>
      <c r="V172" t="s">
        <v>18</v>
      </c>
      <c r="W172" t="s">
        <v>819</v>
      </c>
      <c r="X172" t="s">
        <v>17</v>
      </c>
      <c r="Y172" t="s">
        <v>820</v>
      </c>
      <c r="Z172">
        <v>0</v>
      </c>
      <c r="AA172" s="2">
        <v>0</v>
      </c>
      <c r="AB172" t="str">
        <f>VLOOKUP(Table2[[#This Row],[product]],Ref[#All],6,FALSE)</f>
        <v>TON</v>
      </c>
    </row>
    <row r="173" spans="1:28" x14ac:dyDescent="0.25">
      <c r="A173" t="str">
        <f>TEXT(Table2[[#This Row],[dated]],"mmm")</f>
        <v>May</v>
      </c>
      <c r="B173" t="s">
        <v>816</v>
      </c>
      <c r="C173" s="1" t="s">
        <v>539</v>
      </c>
      <c r="D173" t="str">
        <f>VLOOKUP(Table2[[#This Row],[product]],Ref[#All],7,FALSE)</f>
        <v>Gum Arabic</v>
      </c>
      <c r="E173" s="1" t="s">
        <v>889</v>
      </c>
      <c r="F173" t="str">
        <f>VLOOKUP(Table2[[#This Row],[product]],Ref[#All],2,FALSE)</f>
        <v>Gum Hashab Dark FG 50KG</v>
      </c>
      <c r="G173" t="str">
        <f>VLOOKUP(Table2[[#This Row],[product]],Ref[#All],3,FALSE)</f>
        <v>Gum Hashab Dark FG</v>
      </c>
      <c r="H173" t="str">
        <f>VLOOKUP(Table2[[#This Row],[product]],Ref[#All],4,FALSE)</f>
        <v>Export</v>
      </c>
      <c r="I173" s="1">
        <v>45782</v>
      </c>
      <c r="J173" t="s">
        <v>127</v>
      </c>
      <c r="K173" t="s">
        <v>818</v>
      </c>
      <c r="L173" t="s">
        <v>1594</v>
      </c>
      <c r="M173" t="s">
        <v>1593</v>
      </c>
      <c r="N173" t="s">
        <v>784</v>
      </c>
      <c r="O173" t="s">
        <v>1593</v>
      </c>
      <c r="P173" t="s">
        <v>788</v>
      </c>
      <c r="Q173" t="s">
        <v>55</v>
      </c>
      <c r="R173">
        <v>2750</v>
      </c>
      <c r="S173" s="15">
        <f>Table2[[#This Row],[movement_quantity]]/VLOOKUP(Table2[[#This Row],[product]],Ref[#All],5,FALSE)</f>
        <v>137.5</v>
      </c>
      <c r="T173">
        <v>174287.1</v>
      </c>
      <c r="U173" t="s">
        <v>17</v>
      </c>
      <c r="V173" t="s">
        <v>18</v>
      </c>
      <c r="W173" t="s">
        <v>890</v>
      </c>
      <c r="X173" t="s">
        <v>891</v>
      </c>
      <c r="Y173" t="s">
        <v>17</v>
      </c>
      <c r="Z173">
        <v>0</v>
      </c>
      <c r="AA173" s="2">
        <v>479289525</v>
      </c>
      <c r="AB173" t="str">
        <f>VLOOKUP(Table2[[#This Row],[product]],Ref[#All],6,FALSE)</f>
        <v>BAG50</v>
      </c>
    </row>
    <row r="174" spans="1:28" x14ac:dyDescent="0.25">
      <c r="A174" t="str">
        <f>TEXT(Table2[[#This Row],[dated]],"mmm")</f>
        <v>Mar</v>
      </c>
      <c r="B174" t="s">
        <v>40</v>
      </c>
      <c r="C174" s="1" t="s">
        <v>539</v>
      </c>
      <c r="D174" t="str">
        <f>VLOOKUP(Table2[[#This Row],[product]],Ref[#All],7,FALSE)</f>
        <v>Flour</v>
      </c>
      <c r="E174" t="s">
        <v>36</v>
      </c>
      <c r="F174" t="str">
        <f>VLOOKUP(Table2[[#This Row],[product]],Ref[#All],2,FALSE)</f>
        <v>Flour Import Elngm 25Kg</v>
      </c>
      <c r="G174" t="str">
        <f>VLOOKUP(Table2[[#This Row],[product]],Ref[#All],3,FALSE)</f>
        <v>Flour Al-Nagm (Imported)</v>
      </c>
      <c r="H174" t="str">
        <f>VLOOKUP(Table2[[#This Row],[product]],Ref[#All],4,FALSE)</f>
        <v>Import</v>
      </c>
      <c r="I174" s="1">
        <v>45735</v>
      </c>
      <c r="J174" t="s">
        <v>53</v>
      </c>
      <c r="K174" t="s">
        <v>662</v>
      </c>
      <c r="L174" t="s">
        <v>787</v>
      </c>
      <c r="M174" t="s">
        <v>1586</v>
      </c>
      <c r="N174" t="s">
        <v>784</v>
      </c>
      <c r="O174" t="s">
        <v>1680</v>
      </c>
      <c r="P174" t="s">
        <v>788</v>
      </c>
      <c r="Q174" t="s">
        <v>55</v>
      </c>
      <c r="R174">
        <v>-481</v>
      </c>
      <c r="S174" s="15">
        <f>Table2[[#This Row],[movement_quantity]]/VLOOKUP(Table2[[#This Row],[product]],Ref[#All],5,FALSE)</f>
        <v>-12.025</v>
      </c>
      <c r="T174">
        <v>31777.27522</v>
      </c>
      <c r="U174" t="s">
        <v>17</v>
      </c>
      <c r="V174" t="s">
        <v>21</v>
      </c>
      <c r="W174" t="s">
        <v>663</v>
      </c>
      <c r="X174" t="s">
        <v>17</v>
      </c>
      <c r="Y174" t="s">
        <v>57</v>
      </c>
      <c r="Z174">
        <v>0</v>
      </c>
      <c r="AA174" s="2">
        <v>-15284869.380820001</v>
      </c>
      <c r="AB174" t="str">
        <f>VLOOKUP(Table2[[#This Row],[product]],Ref[#All],6,FALSE)</f>
        <v>BAG25</v>
      </c>
    </row>
    <row r="175" spans="1:28" x14ac:dyDescent="0.25">
      <c r="A175" t="str">
        <f>TEXT(Table2[[#This Row],[dated]],"mmm")</f>
        <v>Mar</v>
      </c>
      <c r="B175" t="s">
        <v>40</v>
      </c>
      <c r="C175" s="1" t="s">
        <v>539</v>
      </c>
      <c r="D175" t="str">
        <f>VLOOKUP(Table2[[#This Row],[product]],Ref[#All],7,FALSE)</f>
        <v>Flour</v>
      </c>
      <c r="E175" t="s">
        <v>664</v>
      </c>
      <c r="F175" t="str">
        <f>VLOOKUP(Table2[[#This Row],[product]],Ref[#All],2,FALSE)</f>
        <v>Flour Damaged (AF) - Ton</v>
      </c>
      <c r="G175" t="str">
        <f>VLOOKUP(Table2[[#This Row],[product]],Ref[#All],3,FALSE)</f>
        <v>Flour - Damaged (AF)</v>
      </c>
      <c r="H175" t="str">
        <f>VLOOKUP(Table2[[#This Row],[product]],Ref[#All],4,FALSE)</f>
        <v>Import</v>
      </c>
      <c r="I175" s="1">
        <v>45735</v>
      </c>
      <c r="J175" t="s">
        <v>127</v>
      </c>
      <c r="K175" t="s">
        <v>662</v>
      </c>
      <c r="L175" t="s">
        <v>787</v>
      </c>
      <c r="M175" t="s">
        <v>1593</v>
      </c>
      <c r="N175" t="s">
        <v>784</v>
      </c>
      <c r="O175" t="s">
        <v>1680</v>
      </c>
      <c r="P175" t="s">
        <v>788</v>
      </c>
      <c r="Q175" t="s">
        <v>55</v>
      </c>
      <c r="R175">
        <v>12.025</v>
      </c>
      <c r="S175" s="15">
        <f>Table2[[#This Row],[movement_quantity]]/VLOOKUP(Table2[[#This Row],[product]],Ref[#All],5,FALSE)</f>
        <v>12.025</v>
      </c>
      <c r="T175">
        <v>185743.6</v>
      </c>
      <c r="U175" t="s">
        <v>122</v>
      </c>
      <c r="V175" t="s">
        <v>18</v>
      </c>
      <c r="W175" t="s">
        <v>665</v>
      </c>
      <c r="X175" t="s">
        <v>666</v>
      </c>
      <c r="Y175" t="s">
        <v>17</v>
      </c>
      <c r="Z175">
        <v>0</v>
      </c>
      <c r="AA175" s="2">
        <v>2233566.79</v>
      </c>
      <c r="AB175" t="str">
        <f>VLOOKUP(Table2[[#This Row],[product]],Ref[#All],6,FALSE)</f>
        <v>TON</v>
      </c>
    </row>
    <row r="176" spans="1:28" x14ac:dyDescent="0.25">
      <c r="A176" t="str">
        <f>TEXT(Table2[[#This Row],[dated]],"mmm")</f>
        <v>May</v>
      </c>
      <c r="B176" t="s">
        <v>40</v>
      </c>
      <c r="C176" s="1" t="s">
        <v>539</v>
      </c>
      <c r="D176" t="str">
        <f>VLOOKUP(Table2[[#This Row],[product]],Ref[#All],7,FALSE)</f>
        <v>Sugar</v>
      </c>
      <c r="E176" s="1" t="s">
        <v>761</v>
      </c>
      <c r="F176" t="str">
        <f>VLOOKUP(Table2[[#This Row],[product]],Ref[#All],2,FALSE)</f>
        <v>White Crystal Sugar</v>
      </c>
      <c r="G176" t="str">
        <f>VLOOKUP(Table2[[#This Row],[product]],Ref[#All],3,FALSE)</f>
        <v>White Crystal Sugar</v>
      </c>
      <c r="H176" t="str">
        <f>VLOOKUP(Table2[[#This Row],[product]],Ref[#All],4,FALSE)</f>
        <v>Import</v>
      </c>
      <c r="I176" s="1">
        <v>45808</v>
      </c>
      <c r="J176" t="s">
        <v>53</v>
      </c>
      <c r="K176" t="s">
        <v>1432</v>
      </c>
      <c r="L176" t="s">
        <v>1638</v>
      </c>
      <c r="M176" t="s">
        <v>1586</v>
      </c>
      <c r="N176" t="s">
        <v>784</v>
      </c>
      <c r="O176" t="s">
        <v>1680</v>
      </c>
      <c r="P176" t="s">
        <v>788</v>
      </c>
      <c r="Q176" t="s">
        <v>55</v>
      </c>
      <c r="R176">
        <v>-182</v>
      </c>
      <c r="S176" s="15">
        <f>Table2[[#This Row],[movement_quantity]]/VLOOKUP(Table2[[#This Row],[product]],Ref[#All],5,FALSE)</f>
        <v>-9.1</v>
      </c>
      <c r="T176">
        <v>96566.186310000005</v>
      </c>
      <c r="U176" t="s">
        <v>17</v>
      </c>
      <c r="V176" t="s">
        <v>18</v>
      </c>
      <c r="W176" t="s">
        <v>1433</v>
      </c>
      <c r="X176" t="s">
        <v>17</v>
      </c>
      <c r="Y176" t="s">
        <v>1434</v>
      </c>
      <c r="Z176" s="2">
        <v>0</v>
      </c>
      <c r="AA176" s="2">
        <v>-17575045.90842</v>
      </c>
      <c r="AB176" t="str">
        <f>VLOOKUP(Table2[[#This Row],[product]],Ref[#All],6,FALSE)</f>
        <v>BAG50</v>
      </c>
    </row>
    <row r="177" spans="1:28" x14ac:dyDescent="0.25">
      <c r="A177" t="str">
        <f>TEXT(Table2[[#This Row],[dated]],"mmm")</f>
        <v>May</v>
      </c>
      <c r="B177" t="s">
        <v>40</v>
      </c>
      <c r="C177" s="1" t="s">
        <v>539</v>
      </c>
      <c r="D177" t="str">
        <f>VLOOKUP(Table2[[#This Row],[product]],Ref[#All],7,FALSE)</f>
        <v>Sugar</v>
      </c>
      <c r="E177" s="1" t="s">
        <v>761</v>
      </c>
      <c r="F177" t="str">
        <f>VLOOKUP(Table2[[#This Row],[product]],Ref[#All],2,FALSE)</f>
        <v>White Crystal Sugar</v>
      </c>
      <c r="G177" t="str">
        <f>VLOOKUP(Table2[[#This Row],[product]],Ref[#All],3,FALSE)</f>
        <v>White Crystal Sugar</v>
      </c>
      <c r="H177" t="str">
        <f>VLOOKUP(Table2[[#This Row],[product]],Ref[#All],4,FALSE)</f>
        <v>Import</v>
      </c>
      <c r="I177" s="1">
        <v>45808</v>
      </c>
      <c r="J177" t="s">
        <v>53</v>
      </c>
      <c r="K177" t="s">
        <v>1432</v>
      </c>
      <c r="L177" t="s">
        <v>1638</v>
      </c>
      <c r="M177" t="s">
        <v>1586</v>
      </c>
      <c r="N177" t="s">
        <v>784</v>
      </c>
      <c r="O177" t="s">
        <v>1680</v>
      </c>
      <c r="P177" t="s">
        <v>788</v>
      </c>
      <c r="Q177" t="s">
        <v>55</v>
      </c>
      <c r="R177">
        <v>-53</v>
      </c>
      <c r="S177" s="15">
        <f>Table2[[#This Row],[movement_quantity]]/VLOOKUP(Table2[[#This Row],[product]],Ref[#All],5,FALSE)</f>
        <v>-2.65</v>
      </c>
      <c r="T177">
        <v>96566.186310000005</v>
      </c>
      <c r="U177" t="s">
        <v>17</v>
      </c>
      <c r="V177" t="s">
        <v>21</v>
      </c>
      <c r="W177" t="s">
        <v>1433</v>
      </c>
      <c r="X177" t="s">
        <v>17</v>
      </c>
      <c r="Y177" t="s">
        <v>1434</v>
      </c>
      <c r="Z177" s="2">
        <v>0</v>
      </c>
      <c r="AA177" s="2">
        <v>-5118007.8744299999</v>
      </c>
      <c r="AB177" t="str">
        <f>VLOOKUP(Table2[[#This Row],[product]],Ref[#All],6,FALSE)</f>
        <v>BAG50</v>
      </c>
    </row>
    <row r="178" spans="1:28" x14ac:dyDescent="0.25">
      <c r="A178" t="str">
        <f>TEXT(Table2[[#This Row],[dated]],"mmm")</f>
        <v>May</v>
      </c>
      <c r="B178" t="s">
        <v>40</v>
      </c>
      <c r="C178" s="1" t="s">
        <v>539</v>
      </c>
      <c r="D178" t="str">
        <f>VLOOKUP(Table2[[#This Row],[product]],Ref[#All],7,FALSE)</f>
        <v>Sugar</v>
      </c>
      <c r="E178" s="1" t="s">
        <v>761</v>
      </c>
      <c r="F178" t="str">
        <f>VLOOKUP(Table2[[#This Row],[product]],Ref[#All],2,FALSE)</f>
        <v>White Crystal Sugar</v>
      </c>
      <c r="G178" t="str">
        <f>VLOOKUP(Table2[[#This Row],[product]],Ref[#All],3,FALSE)</f>
        <v>White Crystal Sugar</v>
      </c>
      <c r="H178" t="str">
        <f>VLOOKUP(Table2[[#This Row],[product]],Ref[#All],4,FALSE)</f>
        <v>Import</v>
      </c>
      <c r="I178" s="1">
        <v>45808</v>
      </c>
      <c r="J178" t="s">
        <v>53</v>
      </c>
      <c r="K178" t="s">
        <v>1432</v>
      </c>
      <c r="L178" t="s">
        <v>1638</v>
      </c>
      <c r="M178" t="s">
        <v>1586</v>
      </c>
      <c r="N178" t="s">
        <v>784</v>
      </c>
      <c r="O178" t="s">
        <v>1680</v>
      </c>
      <c r="P178" t="s">
        <v>788</v>
      </c>
      <c r="Q178" t="s">
        <v>55</v>
      </c>
      <c r="R178">
        <v>-119</v>
      </c>
      <c r="S178" s="15">
        <f>Table2[[#This Row],[movement_quantity]]/VLOOKUP(Table2[[#This Row],[product]],Ref[#All],5,FALSE)</f>
        <v>-5.95</v>
      </c>
      <c r="T178">
        <v>96566.186310000005</v>
      </c>
      <c r="U178" t="s">
        <v>17</v>
      </c>
      <c r="V178" t="s">
        <v>22</v>
      </c>
      <c r="W178" t="s">
        <v>1433</v>
      </c>
      <c r="X178" t="s">
        <v>17</v>
      </c>
      <c r="Y178" t="s">
        <v>1434</v>
      </c>
      <c r="Z178" s="2">
        <v>0</v>
      </c>
      <c r="AA178" s="2">
        <v>-11491376.17089</v>
      </c>
      <c r="AB178" t="str">
        <f>VLOOKUP(Table2[[#This Row],[product]],Ref[#All],6,FALSE)</f>
        <v>BAG50</v>
      </c>
    </row>
    <row r="179" spans="1:28" x14ac:dyDescent="0.25">
      <c r="A179" t="str">
        <f>TEXT(Table2[[#This Row],[dated]],"mmm")</f>
        <v>May</v>
      </c>
      <c r="B179" t="s">
        <v>40</v>
      </c>
      <c r="C179" s="1" t="s">
        <v>539</v>
      </c>
      <c r="D179" t="str">
        <f>VLOOKUP(Table2[[#This Row],[product]],Ref[#All],7,FALSE)</f>
        <v>Sugar</v>
      </c>
      <c r="E179" s="1" t="s">
        <v>761</v>
      </c>
      <c r="F179" t="str">
        <f>VLOOKUP(Table2[[#This Row],[product]],Ref[#All],2,FALSE)</f>
        <v>White Crystal Sugar</v>
      </c>
      <c r="G179" t="str">
        <f>VLOOKUP(Table2[[#This Row],[product]],Ref[#All],3,FALSE)</f>
        <v>White Crystal Sugar</v>
      </c>
      <c r="H179" t="str">
        <f>VLOOKUP(Table2[[#This Row],[product]],Ref[#All],4,FALSE)</f>
        <v>Import</v>
      </c>
      <c r="I179" s="1">
        <v>45808</v>
      </c>
      <c r="J179" t="s">
        <v>53</v>
      </c>
      <c r="K179" t="s">
        <v>1432</v>
      </c>
      <c r="L179" t="s">
        <v>1638</v>
      </c>
      <c r="M179" t="s">
        <v>1586</v>
      </c>
      <c r="N179" t="s">
        <v>784</v>
      </c>
      <c r="O179" t="s">
        <v>1680</v>
      </c>
      <c r="P179" t="s">
        <v>788</v>
      </c>
      <c r="Q179" t="s">
        <v>55</v>
      </c>
      <c r="R179">
        <v>-2058</v>
      </c>
      <c r="S179" s="15">
        <f>Table2[[#This Row],[movement_quantity]]/VLOOKUP(Table2[[#This Row],[product]],Ref[#All],5,FALSE)</f>
        <v>-102.9</v>
      </c>
      <c r="T179">
        <v>96566.186310000005</v>
      </c>
      <c r="U179" t="s">
        <v>17</v>
      </c>
      <c r="V179" t="s">
        <v>23</v>
      </c>
      <c r="W179" t="s">
        <v>1433</v>
      </c>
      <c r="X179" t="s">
        <v>17</v>
      </c>
      <c r="Y179" t="s">
        <v>1435</v>
      </c>
      <c r="Z179" s="2">
        <v>0</v>
      </c>
      <c r="AA179" s="2">
        <v>-198733211.42598</v>
      </c>
      <c r="AB179" t="str">
        <f>VLOOKUP(Table2[[#This Row],[product]],Ref[#All],6,FALSE)</f>
        <v>BAG50</v>
      </c>
    </row>
    <row r="180" spans="1:28" x14ac:dyDescent="0.25">
      <c r="A180" t="str">
        <f>TEXT(Table2[[#This Row],[dated]],"mmm")</f>
        <v>May</v>
      </c>
      <c r="B180" t="s">
        <v>40</v>
      </c>
      <c r="C180" s="1" t="s">
        <v>539</v>
      </c>
      <c r="D180" t="str">
        <f>VLOOKUP(Table2[[#This Row],[product]],Ref[#All],7,FALSE)</f>
        <v>Sugar</v>
      </c>
      <c r="E180" s="1" t="s">
        <v>763</v>
      </c>
      <c r="F180" t="str">
        <f>VLOOKUP(Table2[[#This Row],[product]],Ref[#All],2,FALSE)</f>
        <v>Caked Sugar</v>
      </c>
      <c r="G180" t="str">
        <f>VLOOKUP(Table2[[#This Row],[product]],Ref[#All],3,FALSE)</f>
        <v>Caked Sugar</v>
      </c>
      <c r="H180" t="str">
        <f>VLOOKUP(Table2[[#This Row],[product]],Ref[#All],4,FALSE)</f>
        <v>Import</v>
      </c>
      <c r="I180" s="1">
        <v>45808</v>
      </c>
      <c r="J180" t="s">
        <v>127</v>
      </c>
      <c r="K180" t="s">
        <v>1432</v>
      </c>
      <c r="L180" t="s">
        <v>1638</v>
      </c>
      <c r="M180" t="s">
        <v>1593</v>
      </c>
      <c r="N180" t="s">
        <v>784</v>
      </c>
      <c r="O180" t="s">
        <v>1680</v>
      </c>
      <c r="P180" t="s">
        <v>788</v>
      </c>
      <c r="Q180" t="s">
        <v>55</v>
      </c>
      <c r="R180">
        <v>2412</v>
      </c>
      <c r="S180" s="15">
        <f>Table2[[#This Row],[movement_quantity]]/VLOOKUP(Table2[[#This Row],[product]],Ref[#All],5,FALSE)</f>
        <v>120.6</v>
      </c>
      <c r="T180">
        <v>48283.093150000001</v>
      </c>
      <c r="U180" t="s">
        <v>122</v>
      </c>
      <c r="V180" t="s">
        <v>18</v>
      </c>
      <c r="W180" t="s">
        <v>1436</v>
      </c>
      <c r="X180" t="s">
        <v>1437</v>
      </c>
      <c r="Y180" t="s">
        <v>17</v>
      </c>
      <c r="Z180" s="2">
        <v>0</v>
      </c>
      <c r="AA180" s="4">
        <v>185724000</v>
      </c>
      <c r="AB180" t="str">
        <f>VLOOKUP(Table2[[#This Row],[product]],Ref[#All],6,FALSE)</f>
        <v>BAG50</v>
      </c>
    </row>
    <row r="181" spans="1:28" x14ac:dyDescent="0.25">
      <c r="A181" t="str">
        <f>TEXT(Table2[[#This Row],[dated]],"mmm")</f>
        <v>Mar</v>
      </c>
      <c r="B181" t="s">
        <v>676</v>
      </c>
      <c r="C181" s="1" t="s">
        <v>539</v>
      </c>
      <c r="D181" t="str">
        <f>VLOOKUP(Table2[[#This Row],[product]],Ref[#All],7,FALSE)</f>
        <v>Sugar</v>
      </c>
      <c r="E181" t="s">
        <v>16</v>
      </c>
      <c r="F181" t="str">
        <f>VLOOKUP(Table2[[#This Row],[product]],Ref[#All],2,FALSE)</f>
        <v>White Sugar</v>
      </c>
      <c r="G181" t="str">
        <f>VLOOKUP(Table2[[#This Row],[product]],Ref[#All],3,FALSE)</f>
        <v>White Sugar</v>
      </c>
      <c r="H181" t="str">
        <f>VLOOKUP(Table2[[#This Row],[product]],Ref[#All],4,FALSE)</f>
        <v>Import</v>
      </c>
      <c r="I181" s="1">
        <v>45735</v>
      </c>
      <c r="J181" t="s">
        <v>53</v>
      </c>
      <c r="K181" t="s">
        <v>677</v>
      </c>
      <c r="L181" t="s">
        <v>1637</v>
      </c>
      <c r="M181" t="s">
        <v>1586</v>
      </c>
      <c r="N181" t="s">
        <v>784</v>
      </c>
      <c r="O181" t="s">
        <v>1680</v>
      </c>
      <c r="P181" t="s">
        <v>788</v>
      </c>
      <c r="Q181" t="s">
        <v>55</v>
      </c>
      <c r="R181">
        <v>-4</v>
      </c>
      <c r="S181" s="15">
        <f>Table2[[#This Row],[movement_quantity]]/VLOOKUP(Table2[[#This Row],[product]],Ref[#All],5,FALSE)</f>
        <v>-0.2</v>
      </c>
      <c r="T181">
        <v>81012.933590000001</v>
      </c>
      <c r="U181" t="s">
        <v>17</v>
      </c>
      <c r="V181" t="s">
        <v>18</v>
      </c>
      <c r="W181" t="s">
        <v>678</v>
      </c>
      <c r="X181" t="s">
        <v>17</v>
      </c>
      <c r="Y181" t="s">
        <v>679</v>
      </c>
      <c r="Z181">
        <v>0</v>
      </c>
      <c r="AA181" s="23">
        <v>-324051.73436</v>
      </c>
      <c r="AB181" t="str">
        <f>VLOOKUP(Table2[[#This Row],[product]],Ref[#All],6,FALSE)</f>
        <v>BAG50</v>
      </c>
    </row>
    <row r="182" spans="1:28" x14ac:dyDescent="0.25">
      <c r="A182" t="str">
        <f>TEXT(Table2[[#This Row],[dated]],"mmm")</f>
        <v>May</v>
      </c>
      <c r="B182" t="s">
        <v>138</v>
      </c>
      <c r="C182" s="1" t="s">
        <v>539</v>
      </c>
      <c r="D182" t="str">
        <f>VLOOKUP(Table2[[#This Row],[product]],Ref[#All],7,FALSE)</f>
        <v>Chickpeas</v>
      </c>
      <c r="E182" s="1" t="s">
        <v>1510</v>
      </c>
      <c r="F182" t="str">
        <f>VLOOKUP(Table2[[#This Row],[product]],Ref[#All],2,FALSE)</f>
        <v>Chickpeas FG 50KG</v>
      </c>
      <c r="G182" t="str">
        <f>VLOOKUP(Table2[[#This Row],[product]],Ref[#All],3,FALSE)</f>
        <v>Chickpeas FG</v>
      </c>
      <c r="H182" t="str">
        <f>VLOOKUP(Table2[[#This Row],[product]],Ref[#All],4,FALSE)</f>
        <v>Export</v>
      </c>
      <c r="I182" s="1">
        <v>45805</v>
      </c>
      <c r="J182" t="s">
        <v>53</v>
      </c>
      <c r="K182" t="s">
        <v>1511</v>
      </c>
      <c r="L182" t="s">
        <v>1639</v>
      </c>
      <c r="M182" t="s">
        <v>1586</v>
      </c>
      <c r="N182" t="s">
        <v>784</v>
      </c>
      <c r="O182" t="s">
        <v>1680</v>
      </c>
      <c r="P182" t="s">
        <v>788</v>
      </c>
      <c r="Q182" t="s">
        <v>55</v>
      </c>
      <c r="R182">
        <v>-3900</v>
      </c>
      <c r="S182" s="15">
        <f>Table2[[#This Row],[movement_quantity]]/VLOOKUP(Table2[[#This Row],[product]],Ref[#All],5,FALSE)</f>
        <v>-195</v>
      </c>
      <c r="T182" s="2">
        <v>91314.865309999994</v>
      </c>
      <c r="U182" t="s">
        <v>17</v>
      </c>
      <c r="V182" t="s">
        <v>18</v>
      </c>
      <c r="W182" t="s">
        <v>1512</v>
      </c>
      <c r="X182" t="s">
        <v>17</v>
      </c>
      <c r="Y182" t="s">
        <v>1513</v>
      </c>
      <c r="Z182" s="2">
        <v>0</v>
      </c>
      <c r="AA182" s="2">
        <v>-356127974.70899999</v>
      </c>
      <c r="AB182" t="str">
        <f>VLOOKUP(Table2[[#This Row],[product]],Ref[#All],6,FALSE)</f>
        <v>BAG50</v>
      </c>
    </row>
    <row r="183" spans="1:28" x14ac:dyDescent="0.25">
      <c r="A183" t="str">
        <f>TEXT(Table2[[#This Row],[dated]],"mmm")</f>
        <v>May</v>
      </c>
      <c r="B183" t="s">
        <v>138</v>
      </c>
      <c r="C183" s="1" t="s">
        <v>539</v>
      </c>
      <c r="D183" t="str">
        <f>VLOOKUP(Table2[[#This Row],[product]],Ref[#All],7,FALSE)</f>
        <v>Chickpeas</v>
      </c>
      <c r="E183" s="1" t="s">
        <v>1514</v>
      </c>
      <c r="F183" t="str">
        <f>VLOOKUP(Table2[[#This Row],[product]],Ref[#All],2,FALSE)</f>
        <v>Chickpeas Low Grade FG 50KG</v>
      </c>
      <c r="G183" t="str">
        <f>VLOOKUP(Table2[[#This Row],[product]],Ref[#All],3,FALSE)</f>
        <v>Chickpeas FG - Low Grade</v>
      </c>
      <c r="H183" t="str">
        <f>VLOOKUP(Table2[[#This Row],[product]],Ref[#All],4,FALSE)</f>
        <v>Export</v>
      </c>
      <c r="I183" s="1">
        <v>45805</v>
      </c>
      <c r="J183" t="s">
        <v>127</v>
      </c>
      <c r="K183" t="s">
        <v>1515</v>
      </c>
      <c r="L183" t="s">
        <v>1639</v>
      </c>
      <c r="M183" t="s">
        <v>1593</v>
      </c>
      <c r="N183" t="s">
        <v>784</v>
      </c>
      <c r="O183" t="s">
        <v>1680</v>
      </c>
      <c r="P183" t="s">
        <v>788</v>
      </c>
      <c r="Q183" t="s">
        <v>1584</v>
      </c>
      <c r="R183">
        <v>3900</v>
      </c>
      <c r="S183" s="15">
        <f>Table2[[#This Row],[movement_quantity]]/VLOOKUP(Table2[[#This Row],[product]],Ref[#All],5,FALSE)</f>
        <v>195</v>
      </c>
      <c r="T183" s="2">
        <v>41091.69</v>
      </c>
      <c r="U183" t="s">
        <v>163</v>
      </c>
      <c r="V183" t="s">
        <v>18</v>
      </c>
      <c r="W183" t="s">
        <v>1516</v>
      </c>
      <c r="X183" t="s">
        <v>1517</v>
      </c>
      <c r="Y183" t="s">
        <v>17</v>
      </c>
      <c r="Z183" s="2">
        <v>0</v>
      </c>
      <c r="AA183" s="4">
        <v>331500000</v>
      </c>
      <c r="AB183" t="str">
        <f>VLOOKUP(Table2[[#This Row],[product]],Ref[#All],6,FALSE)</f>
        <v>BAG50</v>
      </c>
    </row>
    <row r="184" spans="1:28" x14ac:dyDescent="0.25">
      <c r="A184" t="str">
        <f>TEXT(Table2[[#This Row],[dated]],"mmm")</f>
        <v>May</v>
      </c>
      <c r="B184" t="s">
        <v>138</v>
      </c>
      <c r="C184" s="1" t="s">
        <v>539</v>
      </c>
      <c r="D184" t="str">
        <f>VLOOKUP(Table2[[#This Row],[product]],Ref[#All],7,FALSE)</f>
        <v>Pigeon Peas</v>
      </c>
      <c r="E184" s="1" t="s">
        <v>754</v>
      </c>
      <c r="F184" t="str">
        <f>VLOOKUP(Table2[[#This Row],[product]],Ref[#All],2,FALSE)</f>
        <v>Pigeon Peas New Halfa FG</v>
      </c>
      <c r="G184" t="str">
        <f>VLOOKUP(Table2[[#This Row],[product]],Ref[#All],3,FALSE)</f>
        <v>Pigeon Peas FG</v>
      </c>
      <c r="H184" t="str">
        <f>VLOOKUP(Table2[[#This Row],[product]],Ref[#All],4,FALSE)</f>
        <v>Export</v>
      </c>
      <c r="I184" s="1">
        <v>45805</v>
      </c>
      <c r="J184" t="s">
        <v>53</v>
      </c>
      <c r="K184" t="s">
        <v>1520</v>
      </c>
      <c r="L184" t="s">
        <v>1585</v>
      </c>
      <c r="M184" t="s">
        <v>1586</v>
      </c>
      <c r="N184" t="s">
        <v>784</v>
      </c>
      <c r="O184" t="s">
        <v>1680</v>
      </c>
      <c r="P184" t="s">
        <v>788</v>
      </c>
      <c r="Q184" t="s">
        <v>55</v>
      </c>
      <c r="R184">
        <v>-3915</v>
      </c>
      <c r="S184" s="15">
        <f>Table2[[#This Row],[movement_quantity]]/VLOOKUP(Table2[[#This Row],[product]],Ref[#All],5,FALSE)</f>
        <v>-195.75</v>
      </c>
      <c r="T184" s="2">
        <v>129829.40909</v>
      </c>
      <c r="U184" t="s">
        <v>17</v>
      </c>
      <c r="V184" t="s">
        <v>18</v>
      </c>
      <c r="W184" t="s">
        <v>1521</v>
      </c>
      <c r="X184" t="s">
        <v>17</v>
      </c>
      <c r="Y184" t="s">
        <v>795</v>
      </c>
      <c r="Z184" s="2">
        <v>0</v>
      </c>
      <c r="AA184" s="2">
        <v>-508282136.58735001</v>
      </c>
      <c r="AB184" t="str">
        <f>VLOOKUP(Table2[[#This Row],[product]],Ref[#All],6,FALSE)</f>
        <v>BAG50</v>
      </c>
    </row>
    <row r="185" spans="1:28" x14ac:dyDescent="0.25">
      <c r="A185" t="str">
        <f>TEXT(Table2[[#This Row],[dated]],"mmm")</f>
        <v>May</v>
      </c>
      <c r="B185" t="s">
        <v>138</v>
      </c>
      <c r="C185" s="1" t="s">
        <v>539</v>
      </c>
      <c r="D185" t="str">
        <f>VLOOKUP(Table2[[#This Row],[product]],Ref[#All],7,FALSE)</f>
        <v>Pigeon Peas</v>
      </c>
      <c r="E185" s="1" t="s">
        <v>1523</v>
      </c>
      <c r="F185" t="str">
        <f>VLOOKUP(Table2[[#This Row],[product]],Ref[#All],2,FALSE)</f>
        <v>Pigeon Peas Low Grade FG 50KG</v>
      </c>
      <c r="G185" t="str">
        <f>VLOOKUP(Table2[[#This Row],[product]],Ref[#All],3,FALSE)</f>
        <v>Pigeon Peas FG - Low Grade</v>
      </c>
      <c r="H185" t="str">
        <f>VLOOKUP(Table2[[#This Row],[product]],Ref[#All],4,FALSE)</f>
        <v>Export</v>
      </c>
      <c r="I185" s="1">
        <v>45805</v>
      </c>
      <c r="J185" t="s">
        <v>127</v>
      </c>
      <c r="K185" t="s">
        <v>1524</v>
      </c>
      <c r="L185" t="s">
        <v>1585</v>
      </c>
      <c r="M185" t="s">
        <v>1593</v>
      </c>
      <c r="N185" t="s">
        <v>784</v>
      </c>
      <c r="O185" t="s">
        <v>1680</v>
      </c>
      <c r="P185" t="s">
        <v>788</v>
      </c>
      <c r="Q185" t="s">
        <v>55</v>
      </c>
      <c r="R185">
        <v>3915</v>
      </c>
      <c r="S185" s="15">
        <f>Table2[[#This Row],[movement_quantity]]/VLOOKUP(Table2[[#This Row],[product]],Ref[#All],5,FALSE)</f>
        <v>195.75</v>
      </c>
      <c r="T185" s="2">
        <v>58423.23</v>
      </c>
      <c r="U185" t="s">
        <v>163</v>
      </c>
      <c r="V185" t="s">
        <v>18</v>
      </c>
      <c r="W185" t="s">
        <v>1525</v>
      </c>
      <c r="X185" t="s">
        <v>1526</v>
      </c>
      <c r="Y185" t="s">
        <v>17</v>
      </c>
      <c r="Z185" s="2">
        <v>0</v>
      </c>
      <c r="AA185" s="4">
        <v>297540000</v>
      </c>
      <c r="AB185" t="str">
        <f>VLOOKUP(Table2[[#This Row],[product]],Ref[#All],6,FALSE)</f>
        <v>BAG50</v>
      </c>
    </row>
    <row r="186" spans="1:28" x14ac:dyDescent="0.25">
      <c r="A186" t="str">
        <f>TEXT(Table2[[#This Row],[dated]],"mmm")</f>
        <v>May</v>
      </c>
      <c r="B186" t="s">
        <v>40</v>
      </c>
      <c r="C186" s="1" t="s">
        <v>539</v>
      </c>
      <c r="D186" t="str">
        <f>VLOOKUP(Table2[[#This Row],[product]],Ref[#All],7,FALSE)</f>
        <v>Rice</v>
      </c>
      <c r="E186" s="1" t="s">
        <v>133</v>
      </c>
      <c r="F186" t="str">
        <f>VLOOKUP(Table2[[#This Row],[product]],Ref[#All],2,FALSE)</f>
        <v>Rice Short Grain Dalian</v>
      </c>
      <c r="G186" t="str">
        <f>VLOOKUP(Table2[[#This Row],[product]],Ref[#All],3,FALSE)</f>
        <v>Rice Short Grain</v>
      </c>
      <c r="H186" t="str">
        <f>VLOOKUP(Table2[[#This Row],[product]],Ref[#All],4,FALSE)</f>
        <v>Import</v>
      </c>
      <c r="I186" s="1">
        <v>45804</v>
      </c>
      <c r="J186" t="s">
        <v>53</v>
      </c>
      <c r="K186" t="s">
        <v>1427</v>
      </c>
      <c r="L186" t="s">
        <v>1633</v>
      </c>
      <c r="M186" t="s">
        <v>1586</v>
      </c>
      <c r="N186" t="s">
        <v>784</v>
      </c>
      <c r="O186" t="s">
        <v>1680</v>
      </c>
      <c r="P186" t="s">
        <v>788</v>
      </c>
      <c r="Q186" t="s">
        <v>55</v>
      </c>
      <c r="R186">
        <v>-12</v>
      </c>
      <c r="S186" s="15">
        <f>Table2[[#This Row],[movement_quantity]]/VLOOKUP(Table2[[#This Row],[product]],Ref[#All],5,FALSE)</f>
        <v>-0.3</v>
      </c>
      <c r="T186">
        <v>50476.383040000001</v>
      </c>
      <c r="U186" t="s">
        <v>17</v>
      </c>
      <c r="V186" t="s">
        <v>18</v>
      </c>
      <c r="W186" t="s">
        <v>1428</v>
      </c>
      <c r="X186" t="s">
        <v>17</v>
      </c>
      <c r="Y186" t="s">
        <v>1107</v>
      </c>
      <c r="Z186" s="2">
        <v>0</v>
      </c>
      <c r="AA186" s="2">
        <v>-605716.59648000007</v>
      </c>
      <c r="AB186" t="str">
        <f>VLOOKUP(Table2[[#This Row],[product]],Ref[#All],6,FALSE)</f>
        <v>BAG25</v>
      </c>
    </row>
    <row r="187" spans="1:28" x14ac:dyDescent="0.25">
      <c r="A187" t="str">
        <f>TEXT(Table2[[#This Row],[dated]],"mmm")</f>
        <v>May</v>
      </c>
      <c r="B187" t="s">
        <v>40</v>
      </c>
      <c r="C187" s="1" t="s">
        <v>539</v>
      </c>
      <c r="D187" t="str">
        <f>VLOOKUP(Table2[[#This Row],[product]],Ref[#All],7,FALSE)</f>
        <v>Rice</v>
      </c>
      <c r="E187" s="1" t="s">
        <v>133</v>
      </c>
      <c r="F187" t="str">
        <f>VLOOKUP(Table2[[#This Row],[product]],Ref[#All],2,FALSE)</f>
        <v>Rice Short Grain Dalian</v>
      </c>
      <c r="G187" t="str">
        <f>VLOOKUP(Table2[[#This Row],[product]],Ref[#All],3,FALSE)</f>
        <v>Rice Short Grain</v>
      </c>
      <c r="H187" t="str">
        <f>VLOOKUP(Table2[[#This Row],[product]],Ref[#All],4,FALSE)</f>
        <v>Import</v>
      </c>
      <c r="I187" s="1">
        <v>45804</v>
      </c>
      <c r="J187" t="s">
        <v>53</v>
      </c>
      <c r="K187" t="s">
        <v>1427</v>
      </c>
      <c r="L187" t="s">
        <v>1633</v>
      </c>
      <c r="M187" t="s">
        <v>1586</v>
      </c>
      <c r="N187" t="s">
        <v>784</v>
      </c>
      <c r="O187" t="s">
        <v>1680</v>
      </c>
      <c r="P187" t="s">
        <v>788</v>
      </c>
      <c r="Q187" t="s">
        <v>55</v>
      </c>
      <c r="R187">
        <v>-1501</v>
      </c>
      <c r="S187" s="15">
        <f>Table2[[#This Row],[movement_quantity]]/VLOOKUP(Table2[[#This Row],[product]],Ref[#All],5,FALSE)</f>
        <v>-37.524999999999999</v>
      </c>
      <c r="T187">
        <v>50476.383040000001</v>
      </c>
      <c r="U187" t="s">
        <v>17</v>
      </c>
      <c r="V187" t="s">
        <v>22</v>
      </c>
      <c r="W187" t="s">
        <v>1428</v>
      </c>
      <c r="X187" t="s">
        <v>17</v>
      </c>
      <c r="Y187" t="s">
        <v>1107</v>
      </c>
      <c r="Z187" s="2">
        <v>0</v>
      </c>
      <c r="AA187" s="2">
        <v>-75765050.943039998</v>
      </c>
      <c r="AB187" t="str">
        <f>VLOOKUP(Table2[[#This Row],[product]],Ref[#All],6,FALSE)</f>
        <v>BAG25</v>
      </c>
    </row>
    <row r="188" spans="1:28" x14ac:dyDescent="0.25">
      <c r="A188" t="str">
        <f>TEXT(Table2[[#This Row],[dated]],"mmm")</f>
        <v>May</v>
      </c>
      <c r="B188" t="s">
        <v>40</v>
      </c>
      <c r="C188" s="1" t="s">
        <v>539</v>
      </c>
      <c r="D188" t="str">
        <f>VLOOKUP(Table2[[#This Row],[product]],Ref[#All],7,FALSE)</f>
        <v>Rice</v>
      </c>
      <c r="E188" s="1" t="s">
        <v>341</v>
      </c>
      <c r="F188" t="str">
        <f>VLOOKUP(Table2[[#This Row],[product]],Ref[#All],2,FALSE)</f>
        <v>Rice Damaged 25KG</v>
      </c>
      <c r="G188" t="str">
        <f>VLOOKUP(Table2[[#This Row],[product]],Ref[#All],3,FALSE)</f>
        <v>Rice - Damaged</v>
      </c>
      <c r="H188" t="str">
        <f>VLOOKUP(Table2[[#This Row],[product]],Ref[#All],4,FALSE)</f>
        <v>Import</v>
      </c>
      <c r="I188" s="1">
        <v>45804</v>
      </c>
      <c r="J188" t="s">
        <v>127</v>
      </c>
      <c r="K188" t="s">
        <v>1429</v>
      </c>
      <c r="L188" t="s">
        <v>1633</v>
      </c>
      <c r="M188" t="s">
        <v>1593</v>
      </c>
      <c r="N188" t="s">
        <v>784</v>
      </c>
      <c r="O188" t="s">
        <v>1680</v>
      </c>
      <c r="P188" t="s">
        <v>788</v>
      </c>
      <c r="Q188" t="s">
        <v>55</v>
      </c>
      <c r="R188">
        <v>1513</v>
      </c>
      <c r="S188" s="15">
        <f>Table2[[#This Row],[movement_quantity]]/VLOOKUP(Table2[[#This Row],[product]],Ref[#All],5,FALSE)</f>
        <v>37.825000000000003</v>
      </c>
      <c r="T188">
        <v>0</v>
      </c>
      <c r="U188" t="s">
        <v>122</v>
      </c>
      <c r="V188" t="s">
        <v>18</v>
      </c>
      <c r="W188" t="s">
        <v>1430</v>
      </c>
      <c r="X188" t="s">
        <v>1431</v>
      </c>
      <c r="Y188" t="s">
        <v>17</v>
      </c>
      <c r="Z188" s="2">
        <v>0</v>
      </c>
      <c r="AA188" s="4">
        <v>37825000</v>
      </c>
      <c r="AB188" t="str">
        <f>VLOOKUP(Table2[[#This Row],[product]],Ref[#All],6,FALSE)</f>
        <v>BAG25</v>
      </c>
    </row>
    <row r="189" spans="1:28" x14ac:dyDescent="0.25">
      <c r="A189" t="str">
        <f>TEXT(Table2[[#This Row],[dated]],"mmm")</f>
        <v>Jul</v>
      </c>
      <c r="B189" s="26" t="s">
        <v>2221</v>
      </c>
      <c r="C189" s="1" t="s">
        <v>539</v>
      </c>
      <c r="D189" t="str">
        <f>VLOOKUP(Table2[[#This Row],[product]],Ref[#All],7,FALSE)</f>
        <v>Flour</v>
      </c>
      <c r="E189" s="26" t="s">
        <v>36</v>
      </c>
      <c r="F189" t="str">
        <f>VLOOKUP(Table2[[#This Row],[product]],Ref[#All],2,FALSE)</f>
        <v>Flour Import Elngm 25Kg</v>
      </c>
      <c r="G189" t="str">
        <f>VLOOKUP(Table2[[#This Row],[product]],Ref[#All],3,FALSE)</f>
        <v>Flour Al-Nagm (Imported)</v>
      </c>
      <c r="H189" t="str">
        <f>VLOOKUP(Table2[[#This Row],[product]],Ref[#All],4,FALSE)</f>
        <v>Import</v>
      </c>
      <c r="I189" s="29">
        <v>45868</v>
      </c>
      <c r="J189" s="26" t="s">
        <v>53</v>
      </c>
      <c r="K189" s="34" t="s">
        <v>2222</v>
      </c>
      <c r="L189" s="34" t="s">
        <v>2286</v>
      </c>
      <c r="M189" t="s">
        <v>1586</v>
      </c>
      <c r="N189" t="s">
        <v>784</v>
      </c>
      <c r="O189" t="s">
        <v>1680</v>
      </c>
      <c r="P189" t="s">
        <v>788</v>
      </c>
      <c r="Q189" t="s">
        <v>2213</v>
      </c>
      <c r="R189">
        <v>-95</v>
      </c>
      <c r="S189" s="15">
        <f>Table2[[#This Row],[movement_quantity]]/VLOOKUP(Table2[[#This Row],[product]],Ref[#All],5,FALSE)</f>
        <v>-2.375</v>
      </c>
      <c r="T189" s="34">
        <v>28919.106970000001</v>
      </c>
      <c r="U189" s="34" t="s">
        <v>17</v>
      </c>
      <c r="V189" s="34" t="s">
        <v>18</v>
      </c>
      <c r="W189" s="34" t="s">
        <v>2223</v>
      </c>
      <c r="X189" s="34" t="s">
        <v>17</v>
      </c>
      <c r="Y189" s="34" t="s">
        <v>1289</v>
      </c>
      <c r="Z189" s="34">
        <v>0</v>
      </c>
      <c r="AA189" s="32">
        <v>-2747315.1621500002</v>
      </c>
      <c r="AB189" t="str">
        <f>VLOOKUP(Table2[[#This Row],[product]],Ref[#All],6,FALSE)</f>
        <v>BAG25</v>
      </c>
    </row>
    <row r="190" spans="1:28" x14ac:dyDescent="0.25">
      <c r="A190" t="str">
        <f>TEXT(Table2[[#This Row],[dated]],"mmm")</f>
        <v>Jul</v>
      </c>
      <c r="B190" t="s">
        <v>2064</v>
      </c>
      <c r="C190" s="1" t="s">
        <v>539</v>
      </c>
      <c r="D190" t="str">
        <f>VLOOKUP(Table2[[#This Row],[product]],Ref[#All],7,FALSE)</f>
        <v>Sugar</v>
      </c>
      <c r="E190" s="1" t="s">
        <v>763</v>
      </c>
      <c r="F190" t="str">
        <f>VLOOKUP(Table2[[#This Row],[product]],Ref[#All],2,FALSE)</f>
        <v>Caked Sugar</v>
      </c>
      <c r="G190" t="str">
        <f>VLOOKUP(Table2[[#This Row],[product]],Ref[#All],3,FALSE)</f>
        <v>Caked Sugar</v>
      </c>
      <c r="H190" t="str">
        <f>VLOOKUP(Table2[[#This Row],[product]],Ref[#All],4,FALSE)</f>
        <v>Import</v>
      </c>
      <c r="I190" s="1">
        <v>45858</v>
      </c>
      <c r="J190" t="s">
        <v>127</v>
      </c>
      <c r="K190" t="s">
        <v>2065</v>
      </c>
      <c r="L190" t="s">
        <v>2209</v>
      </c>
      <c r="M190" t="s">
        <v>1593</v>
      </c>
      <c r="N190" t="s">
        <v>784</v>
      </c>
      <c r="O190" t="s">
        <v>1680</v>
      </c>
      <c r="P190" t="s">
        <v>788</v>
      </c>
      <c r="Q190" t="s">
        <v>55</v>
      </c>
      <c r="R190">
        <v>370</v>
      </c>
      <c r="S190" s="15">
        <f>Table2[[#This Row],[movement_quantity]]/VLOOKUP(Table2[[#This Row],[product]],Ref[#All],5,FALSE)</f>
        <v>18.5</v>
      </c>
      <c r="T190">
        <v>39146.90855</v>
      </c>
      <c r="U190" t="s">
        <v>2066</v>
      </c>
      <c r="V190" t="s">
        <v>18</v>
      </c>
      <c r="W190" t="s">
        <v>2067</v>
      </c>
      <c r="X190" t="s">
        <v>2068</v>
      </c>
      <c r="Y190" s="2" t="s">
        <v>17</v>
      </c>
      <c r="Z190">
        <v>0</v>
      </c>
      <c r="AA190" s="4">
        <f>80000*370</f>
        <v>29600000</v>
      </c>
      <c r="AB190" t="str">
        <f>VLOOKUP(Table2[[#This Row],[product]],Ref[#All],6,FALSE)</f>
        <v>BAG50</v>
      </c>
    </row>
    <row r="191" spans="1:28" x14ac:dyDescent="0.25">
      <c r="A191" t="str">
        <f>TEXT(Table2[[#This Row],[dated]],"mmm")</f>
        <v>Jul</v>
      </c>
      <c r="B191" t="s">
        <v>2064</v>
      </c>
      <c r="C191" s="1" t="s">
        <v>539</v>
      </c>
      <c r="D191" t="str">
        <f>VLOOKUP(Table2[[#This Row],[product]],Ref[#All],7,FALSE)</f>
        <v>Sugar</v>
      </c>
      <c r="E191" s="1" t="s">
        <v>763</v>
      </c>
      <c r="F191" t="str">
        <f>VLOOKUP(Table2[[#This Row],[product]],Ref[#All],2,FALSE)</f>
        <v>Caked Sugar</v>
      </c>
      <c r="G191" t="str">
        <f>VLOOKUP(Table2[[#This Row],[product]],Ref[#All],3,FALSE)</f>
        <v>Caked Sugar</v>
      </c>
      <c r="H191" t="str">
        <f>VLOOKUP(Table2[[#This Row],[product]],Ref[#All],4,FALSE)</f>
        <v>Import</v>
      </c>
      <c r="I191" s="1">
        <v>45858</v>
      </c>
      <c r="J191" t="s">
        <v>127</v>
      </c>
      <c r="K191" t="s">
        <v>2069</v>
      </c>
      <c r="L191" t="s">
        <v>2209</v>
      </c>
      <c r="M191" t="s">
        <v>1593</v>
      </c>
      <c r="N191" t="s">
        <v>784</v>
      </c>
      <c r="O191" t="s">
        <v>1680</v>
      </c>
      <c r="P191" t="s">
        <v>788</v>
      </c>
      <c r="Q191" t="s">
        <v>55</v>
      </c>
      <c r="R191">
        <v>251</v>
      </c>
      <c r="S191" s="15">
        <f>Table2[[#This Row],[movement_quantity]]/VLOOKUP(Table2[[#This Row],[product]],Ref[#All],5,FALSE)</f>
        <v>12.55</v>
      </c>
      <c r="T191">
        <v>39146.90855</v>
      </c>
      <c r="U191" t="s">
        <v>2066</v>
      </c>
      <c r="V191" t="s">
        <v>21</v>
      </c>
      <c r="W191" t="s">
        <v>2070</v>
      </c>
      <c r="X191" t="s">
        <v>2071</v>
      </c>
      <c r="Y191" s="2" t="s">
        <v>17</v>
      </c>
      <c r="Z191">
        <v>0</v>
      </c>
      <c r="AA191" s="4">
        <f>80000*251</f>
        <v>20080000</v>
      </c>
      <c r="AB191" t="str">
        <f>VLOOKUP(Table2[[#This Row],[product]],Ref[#All],6,FALSE)</f>
        <v>BAG50</v>
      </c>
    </row>
    <row r="192" spans="1:28" x14ac:dyDescent="0.25">
      <c r="A192" t="str">
        <f>TEXT(Table2[[#This Row],[dated]],"mmm")</f>
        <v>Jul</v>
      </c>
      <c r="B192" t="s">
        <v>2064</v>
      </c>
      <c r="C192" s="1" t="s">
        <v>539</v>
      </c>
      <c r="D192" t="str">
        <f>VLOOKUP(Table2[[#This Row],[product]],Ref[#All],7,FALSE)</f>
        <v>Sugar</v>
      </c>
      <c r="E192" s="1" t="s">
        <v>761</v>
      </c>
      <c r="F192" t="str">
        <f>VLOOKUP(Table2[[#This Row],[product]],Ref[#All],2,FALSE)</f>
        <v>White Crystal Sugar</v>
      </c>
      <c r="G192" t="str">
        <f>VLOOKUP(Table2[[#This Row],[product]],Ref[#All],3,FALSE)</f>
        <v>White Crystal Sugar</v>
      </c>
      <c r="H192" t="str">
        <f>VLOOKUP(Table2[[#This Row],[product]],Ref[#All],4,FALSE)</f>
        <v>Import</v>
      </c>
      <c r="I192" s="1">
        <v>45858</v>
      </c>
      <c r="J192" t="s">
        <v>53</v>
      </c>
      <c r="K192" t="s">
        <v>2065</v>
      </c>
      <c r="L192" t="s">
        <v>2209</v>
      </c>
      <c r="M192" t="s">
        <v>1586</v>
      </c>
      <c r="N192" t="s">
        <v>784</v>
      </c>
      <c r="O192" t="s">
        <v>1680</v>
      </c>
      <c r="P192" t="s">
        <v>788</v>
      </c>
      <c r="Q192" t="s">
        <v>55</v>
      </c>
      <c r="R192">
        <v>-59</v>
      </c>
      <c r="S192" s="15">
        <f>Table2[[#This Row],[movement_quantity]]/VLOOKUP(Table2[[#This Row],[product]],Ref[#All],5,FALSE)</f>
        <v>-2.95</v>
      </c>
      <c r="T192">
        <v>78293.8171</v>
      </c>
      <c r="U192" t="s">
        <v>17</v>
      </c>
      <c r="V192" t="s">
        <v>18</v>
      </c>
      <c r="W192" t="s">
        <v>2079</v>
      </c>
      <c r="X192" t="s">
        <v>17</v>
      </c>
      <c r="Y192" s="2" t="s">
        <v>2001</v>
      </c>
      <c r="Z192">
        <v>0</v>
      </c>
      <c r="AA192" s="2">
        <v>-4619335.2089</v>
      </c>
      <c r="AB192" t="str">
        <f>VLOOKUP(Table2[[#This Row],[product]],Ref[#All],6,FALSE)</f>
        <v>BAG50</v>
      </c>
    </row>
    <row r="193" spans="1:28" x14ac:dyDescent="0.25">
      <c r="A193" t="str">
        <f>TEXT(Table2[[#This Row],[dated]],"mmm")</f>
        <v>Jul</v>
      </c>
      <c r="B193" t="s">
        <v>2064</v>
      </c>
      <c r="C193" s="1" t="s">
        <v>539</v>
      </c>
      <c r="D193" t="str">
        <f>VLOOKUP(Table2[[#This Row],[product]],Ref[#All],7,FALSE)</f>
        <v>Sugar</v>
      </c>
      <c r="E193" s="1" t="s">
        <v>761</v>
      </c>
      <c r="F193" t="str">
        <f>VLOOKUP(Table2[[#This Row],[product]],Ref[#All],2,FALSE)</f>
        <v>White Crystal Sugar</v>
      </c>
      <c r="G193" t="str">
        <f>VLOOKUP(Table2[[#This Row],[product]],Ref[#All],3,FALSE)</f>
        <v>White Crystal Sugar</v>
      </c>
      <c r="H193" t="str">
        <f>VLOOKUP(Table2[[#This Row],[product]],Ref[#All],4,FALSE)</f>
        <v>Import</v>
      </c>
      <c r="I193" s="1">
        <v>45858</v>
      </c>
      <c r="J193" t="s">
        <v>53</v>
      </c>
      <c r="K193" t="s">
        <v>2065</v>
      </c>
      <c r="L193" t="s">
        <v>2209</v>
      </c>
      <c r="M193" t="s">
        <v>1586</v>
      </c>
      <c r="N193" t="s">
        <v>784</v>
      </c>
      <c r="O193" t="s">
        <v>1680</v>
      </c>
      <c r="P193" t="s">
        <v>788</v>
      </c>
      <c r="Q193" t="s">
        <v>55</v>
      </c>
      <c r="R193">
        <v>-105</v>
      </c>
      <c r="S193" s="15">
        <f>Table2[[#This Row],[movement_quantity]]/VLOOKUP(Table2[[#This Row],[product]],Ref[#All],5,FALSE)</f>
        <v>-5.25</v>
      </c>
      <c r="T193">
        <v>78293.8171</v>
      </c>
      <c r="U193" t="s">
        <v>17</v>
      </c>
      <c r="V193" t="s">
        <v>21</v>
      </c>
      <c r="W193" t="s">
        <v>2079</v>
      </c>
      <c r="X193" t="s">
        <v>17</v>
      </c>
      <c r="Y193" s="2" t="s">
        <v>2001</v>
      </c>
      <c r="Z193">
        <v>0</v>
      </c>
      <c r="AA193" s="2">
        <v>-8220850.7955</v>
      </c>
      <c r="AB193" t="str">
        <f>VLOOKUP(Table2[[#This Row],[product]],Ref[#All],6,FALSE)</f>
        <v>BAG50</v>
      </c>
    </row>
    <row r="194" spans="1:28" x14ac:dyDescent="0.25">
      <c r="A194" t="str">
        <f>TEXT(Table2[[#This Row],[dated]],"mmm")</f>
        <v>Jul</v>
      </c>
      <c r="B194" t="s">
        <v>2064</v>
      </c>
      <c r="C194" s="1" t="s">
        <v>539</v>
      </c>
      <c r="D194" t="str">
        <f>VLOOKUP(Table2[[#This Row],[product]],Ref[#All],7,FALSE)</f>
        <v>Sugar</v>
      </c>
      <c r="E194" s="1" t="s">
        <v>761</v>
      </c>
      <c r="F194" t="str">
        <f>VLOOKUP(Table2[[#This Row],[product]],Ref[#All],2,FALSE)</f>
        <v>White Crystal Sugar</v>
      </c>
      <c r="G194" t="str">
        <f>VLOOKUP(Table2[[#This Row],[product]],Ref[#All],3,FALSE)</f>
        <v>White Crystal Sugar</v>
      </c>
      <c r="H194" t="str">
        <f>VLOOKUP(Table2[[#This Row],[product]],Ref[#All],4,FALSE)</f>
        <v>Import</v>
      </c>
      <c r="I194" s="1">
        <v>45858</v>
      </c>
      <c r="J194" t="s">
        <v>53</v>
      </c>
      <c r="K194" t="s">
        <v>2065</v>
      </c>
      <c r="L194" t="s">
        <v>2209</v>
      </c>
      <c r="M194" t="s">
        <v>1586</v>
      </c>
      <c r="N194" t="s">
        <v>784</v>
      </c>
      <c r="O194" t="s">
        <v>1680</v>
      </c>
      <c r="P194" t="s">
        <v>788</v>
      </c>
      <c r="Q194" t="s">
        <v>55</v>
      </c>
      <c r="R194">
        <v>-73</v>
      </c>
      <c r="S194" s="15">
        <f>Table2[[#This Row],[movement_quantity]]/VLOOKUP(Table2[[#This Row],[product]],Ref[#All],5,FALSE)</f>
        <v>-3.65</v>
      </c>
      <c r="T194">
        <v>78293.8171</v>
      </c>
      <c r="U194" t="s">
        <v>17</v>
      </c>
      <c r="V194" t="s">
        <v>22</v>
      </c>
      <c r="W194" t="s">
        <v>2079</v>
      </c>
      <c r="X194" t="s">
        <v>17</v>
      </c>
      <c r="Y194" s="2" t="s">
        <v>2001</v>
      </c>
      <c r="Z194">
        <v>0</v>
      </c>
      <c r="AA194" s="2">
        <v>-5715448.6483000005</v>
      </c>
      <c r="AB194" t="str">
        <f>VLOOKUP(Table2[[#This Row],[product]],Ref[#All],6,FALSE)</f>
        <v>BAG50</v>
      </c>
    </row>
    <row r="195" spans="1:28" x14ac:dyDescent="0.25">
      <c r="A195" t="str">
        <f>TEXT(Table2[[#This Row],[dated]],"mmm")</f>
        <v>Jul</v>
      </c>
      <c r="B195" t="s">
        <v>2064</v>
      </c>
      <c r="C195" s="1" t="s">
        <v>539</v>
      </c>
      <c r="D195" t="str">
        <f>VLOOKUP(Table2[[#This Row],[product]],Ref[#All],7,FALSE)</f>
        <v>Sugar</v>
      </c>
      <c r="E195" s="1" t="s">
        <v>761</v>
      </c>
      <c r="F195" t="str">
        <f>VLOOKUP(Table2[[#This Row],[product]],Ref[#All],2,FALSE)</f>
        <v>White Crystal Sugar</v>
      </c>
      <c r="G195" t="str">
        <f>VLOOKUP(Table2[[#This Row],[product]],Ref[#All],3,FALSE)</f>
        <v>White Crystal Sugar</v>
      </c>
      <c r="H195" t="str">
        <f>VLOOKUP(Table2[[#This Row],[product]],Ref[#All],4,FALSE)</f>
        <v>Import</v>
      </c>
      <c r="I195" s="1">
        <v>45858</v>
      </c>
      <c r="J195" t="s">
        <v>53</v>
      </c>
      <c r="K195" t="s">
        <v>2065</v>
      </c>
      <c r="L195" t="s">
        <v>2209</v>
      </c>
      <c r="M195" t="s">
        <v>1586</v>
      </c>
      <c r="N195" t="s">
        <v>784</v>
      </c>
      <c r="O195" t="s">
        <v>1680</v>
      </c>
      <c r="P195" t="s">
        <v>788</v>
      </c>
      <c r="Q195" t="s">
        <v>55</v>
      </c>
      <c r="R195">
        <v>-132</v>
      </c>
      <c r="S195" s="15">
        <f>Table2[[#This Row],[movement_quantity]]/VLOOKUP(Table2[[#This Row],[product]],Ref[#All],5,FALSE)</f>
        <v>-6.6</v>
      </c>
      <c r="T195">
        <v>78293.8171</v>
      </c>
      <c r="U195" t="s">
        <v>17</v>
      </c>
      <c r="V195" t="s">
        <v>23</v>
      </c>
      <c r="W195" t="s">
        <v>2079</v>
      </c>
      <c r="X195" t="s">
        <v>17</v>
      </c>
      <c r="Y195" s="2" t="s">
        <v>2001</v>
      </c>
      <c r="Z195">
        <v>0</v>
      </c>
      <c r="AA195" s="2">
        <v>-10334783.8572</v>
      </c>
      <c r="AB195" t="str">
        <f>VLOOKUP(Table2[[#This Row],[product]],Ref[#All],6,FALSE)</f>
        <v>BAG50</v>
      </c>
    </row>
    <row r="196" spans="1:28" x14ac:dyDescent="0.25">
      <c r="A196" t="str">
        <f>TEXT(Table2[[#This Row],[dated]],"mmm")</f>
        <v>Jul</v>
      </c>
      <c r="B196" t="s">
        <v>2064</v>
      </c>
      <c r="C196" s="1" t="s">
        <v>539</v>
      </c>
      <c r="D196" t="str">
        <f>VLOOKUP(Table2[[#This Row],[product]],Ref[#All],7,FALSE)</f>
        <v>Sugar</v>
      </c>
      <c r="E196" s="1" t="s">
        <v>761</v>
      </c>
      <c r="F196" t="str">
        <f>VLOOKUP(Table2[[#This Row],[product]],Ref[#All],2,FALSE)</f>
        <v>White Crystal Sugar</v>
      </c>
      <c r="G196" t="str">
        <f>VLOOKUP(Table2[[#This Row],[product]],Ref[#All],3,FALSE)</f>
        <v>White Crystal Sugar</v>
      </c>
      <c r="H196" t="str">
        <f>VLOOKUP(Table2[[#This Row],[product]],Ref[#All],4,FALSE)</f>
        <v>Import</v>
      </c>
      <c r="I196" s="1">
        <v>45858</v>
      </c>
      <c r="J196" t="s">
        <v>53</v>
      </c>
      <c r="K196" t="s">
        <v>2065</v>
      </c>
      <c r="L196" t="s">
        <v>2209</v>
      </c>
      <c r="M196" t="s">
        <v>1586</v>
      </c>
      <c r="N196" t="s">
        <v>784</v>
      </c>
      <c r="O196" t="s">
        <v>1680</v>
      </c>
      <c r="P196" t="s">
        <v>788</v>
      </c>
      <c r="Q196" t="s">
        <v>55</v>
      </c>
      <c r="R196">
        <v>-1</v>
      </c>
      <c r="S196" s="15">
        <f>Table2[[#This Row],[movement_quantity]]/VLOOKUP(Table2[[#This Row],[product]],Ref[#All],5,FALSE)</f>
        <v>-0.05</v>
      </c>
      <c r="T196">
        <v>78293.8171</v>
      </c>
      <c r="U196" t="s">
        <v>17</v>
      </c>
      <c r="V196" t="s">
        <v>24</v>
      </c>
      <c r="W196" t="s">
        <v>2079</v>
      </c>
      <c r="X196" t="s">
        <v>17</v>
      </c>
      <c r="Y196" s="2" t="s">
        <v>2001</v>
      </c>
      <c r="Z196">
        <v>0</v>
      </c>
      <c r="AA196" s="2">
        <v>-78293.8171</v>
      </c>
      <c r="AB196" t="str">
        <f>VLOOKUP(Table2[[#This Row],[product]],Ref[#All],6,FALSE)</f>
        <v>BAG50</v>
      </c>
    </row>
    <row r="197" spans="1:28" x14ac:dyDescent="0.25">
      <c r="A197" t="str">
        <f>TEXT(Table2[[#This Row],[dated]],"mmm")</f>
        <v>Jul</v>
      </c>
      <c r="B197" t="s">
        <v>2064</v>
      </c>
      <c r="C197" s="1" t="s">
        <v>539</v>
      </c>
      <c r="D197" t="str">
        <f>VLOOKUP(Table2[[#This Row],[product]],Ref[#All],7,FALSE)</f>
        <v>Sugar</v>
      </c>
      <c r="E197" s="1" t="s">
        <v>72</v>
      </c>
      <c r="F197" t="str">
        <f>VLOOKUP(Table2[[#This Row],[product]],Ref[#All],2,FALSE)</f>
        <v>White Sugar</v>
      </c>
      <c r="G197" t="str">
        <f>VLOOKUP(Table2[[#This Row],[product]],Ref[#All],3,FALSE)</f>
        <v>White Sugar</v>
      </c>
      <c r="H197" t="str">
        <f>VLOOKUP(Table2[[#This Row],[product]],Ref[#All],4,FALSE)</f>
        <v>Import</v>
      </c>
      <c r="I197" s="1">
        <v>45858</v>
      </c>
      <c r="J197" t="s">
        <v>53</v>
      </c>
      <c r="K197" t="s">
        <v>2069</v>
      </c>
      <c r="L197" t="s">
        <v>2209</v>
      </c>
      <c r="M197" t="s">
        <v>1586</v>
      </c>
      <c r="N197" t="s">
        <v>784</v>
      </c>
      <c r="O197" t="s">
        <v>1680</v>
      </c>
      <c r="P197" t="s">
        <v>788</v>
      </c>
      <c r="Q197" t="s">
        <v>55</v>
      </c>
      <c r="R197">
        <v>-251</v>
      </c>
      <c r="S197" s="15">
        <f>Table2[[#This Row],[movement_quantity]]/VLOOKUP(Table2[[#This Row],[product]],Ref[#All],5,FALSE)</f>
        <v>-12.55</v>
      </c>
      <c r="T197">
        <v>78293.8171</v>
      </c>
      <c r="U197" t="s">
        <v>17</v>
      </c>
      <c r="V197" t="s">
        <v>18</v>
      </c>
      <c r="W197" t="s">
        <v>2080</v>
      </c>
      <c r="X197" t="s">
        <v>17</v>
      </c>
      <c r="Y197" s="2" t="s">
        <v>2081</v>
      </c>
      <c r="Z197">
        <v>0</v>
      </c>
      <c r="AA197" s="2">
        <v>-19651748.092100002</v>
      </c>
      <c r="AB197" t="str">
        <f>VLOOKUP(Table2[[#This Row],[product]],Ref[#All],6,FALSE)</f>
        <v>BAG50</v>
      </c>
    </row>
    <row r="198" spans="1:28" x14ac:dyDescent="0.25">
      <c r="A198" t="str">
        <f>TEXT(Table2[[#This Row],[dated]],"mmm")</f>
        <v>Jul</v>
      </c>
      <c r="B198" t="s">
        <v>1939</v>
      </c>
      <c r="C198" s="1" t="s">
        <v>539</v>
      </c>
      <c r="D198" t="str">
        <f>VLOOKUP(Table2[[#This Row],[product]],Ref[#All],7,FALSE)</f>
        <v>Sugar</v>
      </c>
      <c r="E198" s="1" t="s">
        <v>763</v>
      </c>
      <c r="F198" t="str">
        <f>VLOOKUP(Table2[[#This Row],[product]],Ref[#All],2,FALSE)</f>
        <v>Caked Sugar</v>
      </c>
      <c r="G198" t="str">
        <f>VLOOKUP(Table2[[#This Row],[product]],Ref[#All],3,FALSE)</f>
        <v>Caked Sugar</v>
      </c>
      <c r="H198" t="str">
        <f>VLOOKUP(Table2[[#This Row],[product]],Ref[#All],4,FALSE)</f>
        <v>Import</v>
      </c>
      <c r="I198" s="1">
        <v>45853</v>
      </c>
      <c r="J198" t="s">
        <v>127</v>
      </c>
      <c r="K198" t="s">
        <v>1940</v>
      </c>
      <c r="L198" t="s">
        <v>2289</v>
      </c>
      <c r="M198" t="s">
        <v>1593</v>
      </c>
      <c r="N198" t="s">
        <v>784</v>
      </c>
      <c r="O198" t="s">
        <v>1680</v>
      </c>
      <c r="P198" t="s">
        <v>788</v>
      </c>
      <c r="Q198" t="s">
        <v>55</v>
      </c>
      <c r="R198">
        <v>17</v>
      </c>
      <c r="S198" s="15">
        <f>Table2[[#This Row],[movement_quantity]]/VLOOKUP(Table2[[#This Row],[product]],Ref[#All],5,FALSE)</f>
        <v>0.85</v>
      </c>
      <c r="T198">
        <v>77000</v>
      </c>
      <c r="U198" t="s">
        <v>1941</v>
      </c>
      <c r="V198" t="s">
        <v>18</v>
      </c>
      <c r="W198" t="s">
        <v>1942</v>
      </c>
      <c r="X198" t="s">
        <v>1943</v>
      </c>
      <c r="Y198" s="2" t="s">
        <v>17</v>
      </c>
      <c r="Z198">
        <v>0</v>
      </c>
      <c r="AA198" s="2">
        <v>1309000</v>
      </c>
      <c r="AB198" t="str">
        <f>VLOOKUP(Table2[[#This Row],[product]],Ref[#All],6,FALSE)</f>
        <v>BAG50</v>
      </c>
    </row>
    <row r="199" spans="1:28" x14ac:dyDescent="0.25">
      <c r="A199" t="str">
        <f>TEXT(Table2[[#This Row],[dated]],"mmm")</f>
        <v>Jul</v>
      </c>
      <c r="B199" t="s">
        <v>40</v>
      </c>
      <c r="C199" s="1" t="s">
        <v>539</v>
      </c>
      <c r="D199" t="str">
        <f>VLOOKUP(Table2[[#This Row],[product]],Ref[#All],7,FALSE)</f>
        <v>Sugar</v>
      </c>
      <c r="E199" s="1" t="s">
        <v>72</v>
      </c>
      <c r="F199" t="str">
        <f>VLOOKUP(Table2[[#This Row],[product]],Ref[#All],2,FALSE)</f>
        <v>White Sugar</v>
      </c>
      <c r="G199" t="str">
        <f>VLOOKUP(Table2[[#This Row],[product]],Ref[#All],3,FALSE)</f>
        <v>White Sugar</v>
      </c>
      <c r="H199" t="str">
        <f>VLOOKUP(Table2[[#This Row],[product]],Ref[#All],4,FALSE)</f>
        <v>Import</v>
      </c>
      <c r="I199" s="1">
        <v>45853</v>
      </c>
      <c r="J199" t="s">
        <v>53</v>
      </c>
      <c r="K199" t="s">
        <v>1944</v>
      </c>
      <c r="L199" t="s">
        <v>2291</v>
      </c>
      <c r="M199" t="s">
        <v>1586</v>
      </c>
      <c r="N199" t="s">
        <v>784</v>
      </c>
      <c r="O199" t="s">
        <v>1680</v>
      </c>
      <c r="P199" t="s">
        <v>788</v>
      </c>
      <c r="Q199" t="s">
        <v>55</v>
      </c>
      <c r="R199">
        <v>-2319</v>
      </c>
      <c r="S199" s="15">
        <f>Table2[[#This Row],[movement_quantity]]/VLOOKUP(Table2[[#This Row],[product]],Ref[#All],5,FALSE)</f>
        <v>-115.95</v>
      </c>
      <c r="T199">
        <v>78293.8171</v>
      </c>
      <c r="U199" t="s">
        <v>17</v>
      </c>
      <c r="V199" t="s">
        <v>18</v>
      </c>
      <c r="W199" t="s">
        <v>1945</v>
      </c>
      <c r="X199" t="s">
        <v>17</v>
      </c>
      <c r="Y199" s="2" t="s">
        <v>1320</v>
      </c>
      <c r="Z199">
        <v>0</v>
      </c>
      <c r="AA199" s="2">
        <v>-181563361.8549</v>
      </c>
      <c r="AB199" t="str">
        <f>VLOOKUP(Table2[[#This Row],[product]],Ref[#All],6,FALSE)</f>
        <v>BAG50</v>
      </c>
    </row>
    <row r="200" spans="1:28" x14ac:dyDescent="0.25">
      <c r="A200" t="str">
        <f>TEXT(Table2[[#This Row],[dated]],"mmm")</f>
        <v>Jul</v>
      </c>
      <c r="B200" t="s">
        <v>40</v>
      </c>
      <c r="C200" s="1" t="s">
        <v>539</v>
      </c>
      <c r="D200" t="str">
        <f>VLOOKUP(Table2[[#This Row],[product]],Ref[#All],7,FALSE)</f>
        <v>Sugar</v>
      </c>
      <c r="E200" s="1" t="s">
        <v>72</v>
      </c>
      <c r="F200" t="str">
        <f>VLOOKUP(Table2[[#This Row],[product]],Ref[#All],2,FALSE)</f>
        <v>White Sugar</v>
      </c>
      <c r="G200" t="str">
        <f>VLOOKUP(Table2[[#This Row],[product]],Ref[#All],3,FALSE)</f>
        <v>White Sugar</v>
      </c>
      <c r="H200" t="str">
        <f>VLOOKUP(Table2[[#This Row],[product]],Ref[#All],4,FALSE)</f>
        <v>Import</v>
      </c>
      <c r="I200" s="1">
        <v>45853</v>
      </c>
      <c r="J200" t="s">
        <v>53</v>
      </c>
      <c r="K200" t="s">
        <v>1944</v>
      </c>
      <c r="L200" t="s">
        <v>2291</v>
      </c>
      <c r="M200" t="s">
        <v>1586</v>
      </c>
      <c r="N200" t="s">
        <v>784</v>
      </c>
      <c r="O200" t="s">
        <v>1680</v>
      </c>
      <c r="P200" t="s">
        <v>788</v>
      </c>
      <c r="Q200" t="s">
        <v>55</v>
      </c>
      <c r="R200">
        <v>-444</v>
      </c>
      <c r="S200" s="15">
        <f>Table2[[#This Row],[movement_quantity]]/VLOOKUP(Table2[[#This Row],[product]],Ref[#All],5,FALSE)</f>
        <v>-22.2</v>
      </c>
      <c r="T200">
        <v>78293.8171</v>
      </c>
      <c r="U200" t="s">
        <v>17</v>
      </c>
      <c r="V200" t="s">
        <v>21</v>
      </c>
      <c r="W200" t="s">
        <v>1945</v>
      </c>
      <c r="X200" t="s">
        <v>17</v>
      </c>
      <c r="Y200" s="2" t="s">
        <v>1320</v>
      </c>
      <c r="Z200">
        <v>0</v>
      </c>
      <c r="AA200" s="2">
        <v>-34762454.792400002</v>
      </c>
      <c r="AB200" t="str">
        <f>VLOOKUP(Table2[[#This Row],[product]],Ref[#All],6,FALSE)</f>
        <v>BAG50</v>
      </c>
    </row>
    <row r="201" spans="1:28" x14ac:dyDescent="0.25">
      <c r="A201" t="str">
        <f>TEXT(Table2[[#This Row],[dated]],"mmm")</f>
        <v>Jul</v>
      </c>
      <c r="B201" t="s">
        <v>40</v>
      </c>
      <c r="C201" s="1" t="s">
        <v>539</v>
      </c>
      <c r="D201" t="str">
        <f>VLOOKUP(Table2[[#This Row],[product]],Ref[#All],7,FALSE)</f>
        <v>Sugar</v>
      </c>
      <c r="E201" s="1" t="s">
        <v>763</v>
      </c>
      <c r="F201" t="str">
        <f>VLOOKUP(Table2[[#This Row],[product]],Ref[#All],2,FALSE)</f>
        <v>Caked Sugar</v>
      </c>
      <c r="G201" t="str">
        <f>VLOOKUP(Table2[[#This Row],[product]],Ref[#All],3,FALSE)</f>
        <v>Caked Sugar</v>
      </c>
      <c r="H201" t="str">
        <f>VLOOKUP(Table2[[#This Row],[product]],Ref[#All],4,FALSE)</f>
        <v>Import</v>
      </c>
      <c r="I201" s="1">
        <v>45853</v>
      </c>
      <c r="J201" t="s">
        <v>127</v>
      </c>
      <c r="K201" t="s">
        <v>1944</v>
      </c>
      <c r="L201" t="s">
        <v>2291</v>
      </c>
      <c r="M201" t="s">
        <v>1593</v>
      </c>
      <c r="N201" t="s">
        <v>784</v>
      </c>
      <c r="O201" t="s">
        <v>1680</v>
      </c>
      <c r="P201" t="s">
        <v>788</v>
      </c>
      <c r="Q201" t="s">
        <v>55</v>
      </c>
      <c r="R201">
        <v>2763</v>
      </c>
      <c r="S201" s="15">
        <f>Table2[[#This Row],[movement_quantity]]/VLOOKUP(Table2[[#This Row],[product]],Ref[#All],5,FALSE)</f>
        <v>138.15</v>
      </c>
      <c r="T201">
        <v>77000</v>
      </c>
      <c r="U201" t="s">
        <v>122</v>
      </c>
      <c r="V201" t="s">
        <v>18</v>
      </c>
      <c r="W201" t="s">
        <v>1946</v>
      </c>
      <c r="X201" t="s">
        <v>1947</v>
      </c>
      <c r="Y201" s="2" t="s">
        <v>17</v>
      </c>
      <c r="Z201">
        <v>0</v>
      </c>
      <c r="AA201" s="2">
        <v>212751000</v>
      </c>
      <c r="AB201" t="str">
        <f>VLOOKUP(Table2[[#This Row],[product]],Ref[#All],6,FALSE)</f>
        <v>BAG50</v>
      </c>
    </row>
    <row r="202" spans="1:28" x14ac:dyDescent="0.25">
      <c r="A202" t="str">
        <f>TEXT(Table2[[#This Row],[dated]],"mmm")</f>
        <v>Jul</v>
      </c>
      <c r="B202" t="s">
        <v>545</v>
      </c>
      <c r="C202" s="1" t="s">
        <v>539</v>
      </c>
      <c r="D202" t="str">
        <f>VLOOKUP(Table2[[#This Row],[product]],Ref[#All],7,FALSE)</f>
        <v>Sugar</v>
      </c>
      <c r="E202" s="1" t="s">
        <v>549</v>
      </c>
      <c r="F202" t="str">
        <f>VLOOKUP(Table2[[#This Row],[product]],Ref[#All],2,FALSE)</f>
        <v>White Sugar - Damaged</v>
      </c>
      <c r="G202" t="str">
        <f>VLOOKUP(Table2[[#This Row],[product]],Ref[#All],3,FALSE)</f>
        <v>White Sugar - Damaged</v>
      </c>
      <c r="H202" t="str">
        <f>VLOOKUP(Table2[[#This Row],[product]],Ref[#All],4,FALSE)</f>
        <v>Import</v>
      </c>
      <c r="I202" s="1">
        <v>45853</v>
      </c>
      <c r="J202" t="s">
        <v>127</v>
      </c>
      <c r="K202" t="s">
        <v>1948</v>
      </c>
      <c r="L202" t="s">
        <v>2297</v>
      </c>
      <c r="M202" t="s">
        <v>1593</v>
      </c>
      <c r="N202" t="s">
        <v>784</v>
      </c>
      <c r="O202" t="s">
        <v>1680</v>
      </c>
      <c r="P202" t="s">
        <v>788</v>
      </c>
      <c r="Q202" t="s">
        <v>55</v>
      </c>
      <c r="R202">
        <v>3851</v>
      </c>
      <c r="S202" s="15">
        <f>Table2[[#This Row],[movement_quantity]]/VLOOKUP(Table2[[#This Row],[product]],Ref[#All],5,FALSE)</f>
        <v>192.55</v>
      </c>
      <c r="T202" s="24">
        <v>29741.4941</v>
      </c>
      <c r="U202" t="s">
        <v>1949</v>
      </c>
      <c r="V202" t="s">
        <v>18</v>
      </c>
      <c r="W202" t="s">
        <v>1950</v>
      </c>
      <c r="X202" t="s">
        <v>1951</v>
      </c>
      <c r="Y202" s="2" t="s">
        <v>17</v>
      </c>
      <c r="Z202">
        <v>0</v>
      </c>
      <c r="AA202" s="2">
        <v>114534493.7791</v>
      </c>
      <c r="AB202" t="str">
        <f>VLOOKUP(Table2[[#This Row],[product]],Ref[#All],6,FALSE)</f>
        <v>BAG50</v>
      </c>
    </row>
    <row r="203" spans="1:28" x14ac:dyDescent="0.25">
      <c r="A203" t="str">
        <f>TEXT(Table2[[#This Row],[dated]],"mmm")</f>
        <v>Jul</v>
      </c>
      <c r="B203" t="s">
        <v>40</v>
      </c>
      <c r="C203" s="1" t="s">
        <v>539</v>
      </c>
      <c r="D203" t="str">
        <f>VLOOKUP(Table2[[#This Row],[product]],Ref[#All],7,FALSE)</f>
        <v>Lentils</v>
      </c>
      <c r="E203" s="1" t="s">
        <v>895</v>
      </c>
      <c r="F203" t="str">
        <f>VLOOKUP(Table2[[#This Row],[product]],Ref[#All],2,FALSE)</f>
        <v>Lentil Damaged 20KG</v>
      </c>
      <c r="G203" t="str">
        <f>VLOOKUP(Table2[[#This Row],[product]],Ref[#All],3,FALSE)</f>
        <v>Lentil - Damaged</v>
      </c>
      <c r="H203" t="str">
        <f>VLOOKUP(Table2[[#This Row],[product]],Ref[#All],4,FALSE)</f>
        <v>Import</v>
      </c>
      <c r="I203" s="1">
        <v>45853</v>
      </c>
      <c r="J203" t="s">
        <v>127</v>
      </c>
      <c r="K203" t="s">
        <v>1952</v>
      </c>
      <c r="L203" t="s">
        <v>2290</v>
      </c>
      <c r="M203" t="s">
        <v>1593</v>
      </c>
      <c r="N203" t="s">
        <v>784</v>
      </c>
      <c r="O203" t="s">
        <v>1680</v>
      </c>
      <c r="P203" t="s">
        <v>788</v>
      </c>
      <c r="Q203" t="s">
        <v>55</v>
      </c>
      <c r="R203">
        <f>1700-1468</f>
        <v>232</v>
      </c>
      <c r="S203" s="15">
        <f>Table2[[#This Row],[movement_quantity]]/VLOOKUP(Table2[[#This Row],[product]],Ref[#All],5,FALSE)</f>
        <v>4.6399999999999997</v>
      </c>
      <c r="T203">
        <v>6000</v>
      </c>
      <c r="U203" t="s">
        <v>122</v>
      </c>
      <c r="V203" t="s">
        <v>18</v>
      </c>
      <c r="W203" t="s">
        <v>1953</v>
      </c>
      <c r="X203" t="s">
        <v>1954</v>
      </c>
      <c r="Y203" s="2" t="s">
        <v>17</v>
      </c>
      <c r="Z203">
        <v>0</v>
      </c>
      <c r="AA203" s="4">
        <f>10200000-8808000</f>
        <v>1392000</v>
      </c>
      <c r="AB203" t="str">
        <f>VLOOKUP(Table2[[#This Row],[product]],Ref[#All],6,FALSE)</f>
        <v>BAG20</v>
      </c>
    </row>
    <row r="204" spans="1:28" x14ac:dyDescent="0.25">
      <c r="A204" t="str">
        <f>TEXT(Table2[[#This Row],[dated]],"mmm")</f>
        <v>Jul</v>
      </c>
      <c r="B204" t="s">
        <v>545</v>
      </c>
      <c r="C204" s="1" t="s">
        <v>539</v>
      </c>
      <c r="D204" t="str">
        <f>VLOOKUP(Table2[[#This Row],[product]],Ref[#All],7,FALSE)</f>
        <v>Sugar</v>
      </c>
      <c r="E204" s="1" t="s">
        <v>72</v>
      </c>
      <c r="F204" t="str">
        <f>VLOOKUP(Table2[[#This Row],[product]],Ref[#All],2,FALSE)</f>
        <v>White Sugar</v>
      </c>
      <c r="G204" t="str">
        <f>VLOOKUP(Table2[[#This Row],[product]],Ref[#All],3,FALSE)</f>
        <v>White Sugar</v>
      </c>
      <c r="H204" t="str">
        <f>VLOOKUP(Table2[[#This Row],[product]],Ref[#All],4,FALSE)</f>
        <v>Import</v>
      </c>
      <c r="I204" s="1">
        <v>45853</v>
      </c>
      <c r="J204" t="s">
        <v>53</v>
      </c>
      <c r="K204" t="s">
        <v>1948</v>
      </c>
      <c r="L204" t="s">
        <v>2297</v>
      </c>
      <c r="M204" t="s">
        <v>1586</v>
      </c>
      <c r="N204" t="s">
        <v>784</v>
      </c>
      <c r="O204" t="s">
        <v>1680</v>
      </c>
      <c r="P204" t="s">
        <v>788</v>
      </c>
      <c r="Q204" t="s">
        <v>55</v>
      </c>
      <c r="R204">
        <v>-5</v>
      </c>
      <c r="S204" s="15">
        <f>Table2[[#This Row],[movement_quantity]]/VLOOKUP(Table2[[#This Row],[product]],Ref[#All],5,FALSE)</f>
        <v>-0.25</v>
      </c>
      <c r="T204">
        <v>78293.8171</v>
      </c>
      <c r="U204" t="s">
        <v>17</v>
      </c>
      <c r="V204" t="s">
        <v>18</v>
      </c>
      <c r="W204" t="s">
        <v>1955</v>
      </c>
      <c r="X204" t="s">
        <v>17</v>
      </c>
      <c r="Y204" s="2" t="s">
        <v>1320</v>
      </c>
      <c r="Z204">
        <v>0</v>
      </c>
      <c r="AA204" s="2">
        <v>-391469.08549999999</v>
      </c>
      <c r="AB204" t="str">
        <f>VLOOKUP(Table2[[#This Row],[product]],Ref[#All],6,FALSE)</f>
        <v>BAG50</v>
      </c>
    </row>
    <row r="205" spans="1:28" x14ac:dyDescent="0.25">
      <c r="A205" t="str">
        <f>TEXT(Table2[[#This Row],[dated]],"mmm")</f>
        <v>Jul</v>
      </c>
      <c r="B205" t="s">
        <v>1982</v>
      </c>
      <c r="C205" s="1" t="s">
        <v>539</v>
      </c>
      <c r="D205" t="str">
        <f>VLOOKUP(Table2[[#This Row],[product]],Ref[#All],7,FALSE)</f>
        <v>Sugar</v>
      </c>
      <c r="E205" s="1" t="s">
        <v>72</v>
      </c>
      <c r="F205" t="str">
        <f>VLOOKUP(Table2[[#This Row],[product]],Ref[#All],2,FALSE)</f>
        <v>White Sugar</v>
      </c>
      <c r="G205" t="str">
        <f>VLOOKUP(Table2[[#This Row],[product]],Ref[#All],3,FALSE)</f>
        <v>White Sugar</v>
      </c>
      <c r="H205" t="str">
        <f>VLOOKUP(Table2[[#This Row],[product]],Ref[#All],4,FALSE)</f>
        <v>Import</v>
      </c>
      <c r="I205" s="1">
        <v>45853</v>
      </c>
      <c r="J205" t="s">
        <v>53</v>
      </c>
      <c r="K205" t="s">
        <v>1983</v>
      </c>
      <c r="L205" t="s">
        <v>2285</v>
      </c>
      <c r="M205" t="s">
        <v>1586</v>
      </c>
      <c r="N205" t="s">
        <v>784</v>
      </c>
      <c r="O205" t="s">
        <v>1680</v>
      </c>
      <c r="P205" t="s">
        <v>788</v>
      </c>
      <c r="Q205" t="s">
        <v>55</v>
      </c>
      <c r="R205">
        <v>-49</v>
      </c>
      <c r="S205" s="15">
        <f>Table2[[#This Row],[movement_quantity]]/VLOOKUP(Table2[[#This Row],[product]],Ref[#All],5,FALSE)</f>
        <v>-2.4500000000000002</v>
      </c>
      <c r="T205">
        <v>25844.69</v>
      </c>
      <c r="U205" t="s">
        <v>17</v>
      </c>
      <c r="V205" t="s">
        <v>18</v>
      </c>
      <c r="W205" t="s">
        <v>1984</v>
      </c>
      <c r="X205" t="s">
        <v>17</v>
      </c>
      <c r="Y205" s="23" t="s">
        <v>1985</v>
      </c>
      <c r="Z205">
        <v>0</v>
      </c>
      <c r="AA205" s="23">
        <v>-1266389.8099999998</v>
      </c>
      <c r="AB205" t="str">
        <f>VLOOKUP(Table2[[#This Row],[product]],Ref[#All],6,FALSE)</f>
        <v>BAG50</v>
      </c>
    </row>
    <row r="206" spans="1:28" x14ac:dyDescent="0.25">
      <c r="A206" t="str">
        <f>TEXT(Table2[[#This Row],[dated]],"mmm")</f>
        <v>Jul</v>
      </c>
      <c r="B206" t="s">
        <v>1982</v>
      </c>
      <c r="C206" s="1" t="s">
        <v>539</v>
      </c>
      <c r="D206" t="str">
        <f>VLOOKUP(Table2[[#This Row],[product]],Ref[#All],7,FALSE)</f>
        <v>Sugar</v>
      </c>
      <c r="E206" s="1" t="s">
        <v>72</v>
      </c>
      <c r="F206" t="str">
        <f>VLOOKUP(Table2[[#This Row],[product]],Ref[#All],2,FALSE)</f>
        <v>White Sugar</v>
      </c>
      <c r="G206" t="str">
        <f>VLOOKUP(Table2[[#This Row],[product]],Ref[#All],3,FALSE)</f>
        <v>White Sugar</v>
      </c>
      <c r="H206" t="str">
        <f>VLOOKUP(Table2[[#This Row],[product]],Ref[#All],4,FALSE)</f>
        <v>Import</v>
      </c>
      <c r="I206" s="1">
        <v>45853</v>
      </c>
      <c r="J206" t="s">
        <v>53</v>
      </c>
      <c r="K206" t="s">
        <v>1983</v>
      </c>
      <c r="L206" t="s">
        <v>2285</v>
      </c>
      <c r="M206" t="s">
        <v>1586</v>
      </c>
      <c r="N206" t="s">
        <v>784</v>
      </c>
      <c r="O206" t="s">
        <v>1680</v>
      </c>
      <c r="P206" t="s">
        <v>788</v>
      </c>
      <c r="Q206" t="s">
        <v>55</v>
      </c>
      <c r="R206">
        <v>-200</v>
      </c>
      <c r="S206" s="15">
        <f>Table2[[#This Row],[movement_quantity]]/VLOOKUP(Table2[[#This Row],[product]],Ref[#All],5,FALSE)</f>
        <v>-10</v>
      </c>
      <c r="T206">
        <v>25844.69</v>
      </c>
      <c r="U206" t="s">
        <v>17</v>
      </c>
      <c r="V206" t="s">
        <v>21</v>
      </c>
      <c r="W206" t="s">
        <v>1984</v>
      </c>
      <c r="X206" t="s">
        <v>17</v>
      </c>
      <c r="Y206" s="23" t="s">
        <v>1986</v>
      </c>
      <c r="Z206">
        <v>0</v>
      </c>
      <c r="AA206" s="23">
        <v>-5168938</v>
      </c>
      <c r="AB206" t="str">
        <f>VLOOKUP(Table2[[#This Row],[product]],Ref[#All],6,FALSE)</f>
        <v>BAG50</v>
      </c>
    </row>
    <row r="207" spans="1:28" x14ac:dyDescent="0.25">
      <c r="A207" t="str">
        <f>TEXT(Table2[[#This Row],[dated]],"mmm")</f>
        <v>Jul</v>
      </c>
      <c r="B207" t="s">
        <v>1982</v>
      </c>
      <c r="C207" s="1" t="s">
        <v>539</v>
      </c>
      <c r="D207" t="str">
        <f>VLOOKUP(Table2[[#This Row],[product]],Ref[#All],7,FALSE)</f>
        <v>Rice</v>
      </c>
      <c r="E207" s="1" t="s">
        <v>133</v>
      </c>
      <c r="F207" t="str">
        <f>VLOOKUP(Table2[[#This Row],[product]],Ref[#All],2,FALSE)</f>
        <v>Rice Short Grain Dalian</v>
      </c>
      <c r="G207" t="str">
        <f>VLOOKUP(Table2[[#This Row],[product]],Ref[#All],3,FALSE)</f>
        <v>Rice Short Grain</v>
      </c>
      <c r="H207" t="str">
        <f>VLOOKUP(Table2[[#This Row],[product]],Ref[#All],4,FALSE)</f>
        <v>Import</v>
      </c>
      <c r="I207" s="1">
        <v>45853</v>
      </c>
      <c r="J207" t="s">
        <v>53</v>
      </c>
      <c r="K207" t="s">
        <v>1987</v>
      </c>
      <c r="L207" t="s">
        <v>2287</v>
      </c>
      <c r="M207" t="s">
        <v>1586</v>
      </c>
      <c r="N207" t="s">
        <v>784</v>
      </c>
      <c r="O207" t="s">
        <v>1680</v>
      </c>
      <c r="P207" t="s">
        <v>788</v>
      </c>
      <c r="Q207" t="s">
        <v>55</v>
      </c>
      <c r="R207">
        <v>-32</v>
      </c>
      <c r="S207" s="15">
        <f>Table2[[#This Row],[movement_quantity]]/VLOOKUP(Table2[[#This Row],[product]],Ref[#All],5,FALSE)</f>
        <v>-0.8</v>
      </c>
      <c r="T207">
        <v>11822.45469</v>
      </c>
      <c r="U207" t="s">
        <v>17</v>
      </c>
      <c r="V207" t="s">
        <v>18</v>
      </c>
      <c r="W207" t="s">
        <v>1988</v>
      </c>
      <c r="X207" t="s">
        <v>17</v>
      </c>
      <c r="Y207" s="23" t="s">
        <v>1107</v>
      </c>
      <c r="Z207">
        <v>0</v>
      </c>
      <c r="AA207" s="23">
        <v>-378318.55008000002</v>
      </c>
      <c r="AB207" t="str">
        <f>VLOOKUP(Table2[[#This Row],[product]],Ref[#All],6,FALSE)</f>
        <v>BAG25</v>
      </c>
    </row>
    <row r="208" spans="1:28" x14ac:dyDescent="0.25">
      <c r="A208" t="str">
        <f>TEXT(Table2[[#This Row],[dated]],"mmm")</f>
        <v>Jul</v>
      </c>
      <c r="B208" t="s">
        <v>1939</v>
      </c>
      <c r="C208" s="1" t="s">
        <v>539</v>
      </c>
      <c r="D208" t="str">
        <f>VLOOKUP(Table2[[#This Row],[product]],Ref[#All],7,FALSE)</f>
        <v>Sugar</v>
      </c>
      <c r="E208" s="1" t="s">
        <v>72</v>
      </c>
      <c r="F208" t="str">
        <f>VLOOKUP(Table2[[#This Row],[product]],Ref[#All],2,FALSE)</f>
        <v>White Sugar</v>
      </c>
      <c r="G208" t="str">
        <f>VLOOKUP(Table2[[#This Row],[product]],Ref[#All],3,FALSE)</f>
        <v>White Sugar</v>
      </c>
      <c r="H208" t="str">
        <f>VLOOKUP(Table2[[#This Row],[product]],Ref[#All],4,FALSE)</f>
        <v>Import</v>
      </c>
      <c r="I208" s="1">
        <v>45853</v>
      </c>
      <c r="J208" t="s">
        <v>53</v>
      </c>
      <c r="K208" t="s">
        <v>1989</v>
      </c>
      <c r="L208" t="s">
        <v>2289</v>
      </c>
      <c r="M208" t="s">
        <v>1586</v>
      </c>
      <c r="N208" t="s">
        <v>784</v>
      </c>
      <c r="O208" t="s">
        <v>1680</v>
      </c>
      <c r="P208" t="s">
        <v>788</v>
      </c>
      <c r="Q208" t="s">
        <v>55</v>
      </c>
      <c r="R208">
        <v>-1</v>
      </c>
      <c r="S208" s="15">
        <f>Table2[[#This Row],[movement_quantity]]/VLOOKUP(Table2[[#This Row],[product]],Ref[#All],5,FALSE)</f>
        <v>-0.05</v>
      </c>
      <c r="T208">
        <v>78293.8171</v>
      </c>
      <c r="U208" t="s">
        <v>17</v>
      </c>
      <c r="V208" t="s">
        <v>18</v>
      </c>
      <c r="W208" t="s">
        <v>1990</v>
      </c>
      <c r="X208" t="s">
        <v>17</v>
      </c>
      <c r="Y208" s="23" t="s">
        <v>1991</v>
      </c>
      <c r="Z208">
        <v>0</v>
      </c>
      <c r="AA208" s="23">
        <v>-78293.8171</v>
      </c>
      <c r="AB208" t="str">
        <f>VLOOKUP(Table2[[#This Row],[product]],Ref[#All],6,FALSE)</f>
        <v>BAG50</v>
      </c>
    </row>
    <row r="209" spans="1:28" x14ac:dyDescent="0.25">
      <c r="A209" t="str">
        <f>TEXT(Table2[[#This Row],[dated]],"mmm")</f>
        <v>Jul</v>
      </c>
      <c r="B209" t="s">
        <v>1939</v>
      </c>
      <c r="C209" s="1" t="s">
        <v>539</v>
      </c>
      <c r="D209" t="str">
        <f>VLOOKUP(Table2[[#This Row],[product]],Ref[#All],7,FALSE)</f>
        <v>Sugar</v>
      </c>
      <c r="E209" s="1" t="s">
        <v>1992</v>
      </c>
      <c r="F209" t="str">
        <f>VLOOKUP(Table2[[#This Row],[product]],Ref[#All],2,FALSE)</f>
        <v>White Sugar</v>
      </c>
      <c r="G209" t="str">
        <f>VLOOKUP(Table2[[#This Row],[product]],Ref[#All],3,FALSE)</f>
        <v>White Sugar</v>
      </c>
      <c r="H209" t="str">
        <f>VLOOKUP(Table2[[#This Row],[product]],Ref[#All],4,FALSE)</f>
        <v>Import</v>
      </c>
      <c r="I209" s="1">
        <v>45853</v>
      </c>
      <c r="J209" t="s">
        <v>53</v>
      </c>
      <c r="K209" t="s">
        <v>1993</v>
      </c>
      <c r="L209" t="s">
        <v>2289</v>
      </c>
      <c r="M209" t="s">
        <v>1586</v>
      </c>
      <c r="N209" t="s">
        <v>784</v>
      </c>
      <c r="O209" t="s">
        <v>1680</v>
      </c>
      <c r="P209" t="s">
        <v>788</v>
      </c>
      <c r="Q209" t="s">
        <v>55</v>
      </c>
      <c r="R209">
        <v>-5</v>
      </c>
      <c r="S209" s="15">
        <f>Table2[[#This Row],[movement_quantity]]/VLOOKUP(Table2[[#This Row],[product]],Ref[#All],5,FALSE)</f>
        <v>-0.25</v>
      </c>
      <c r="T209">
        <v>78293.8171</v>
      </c>
      <c r="U209" t="s">
        <v>17</v>
      </c>
      <c r="V209" t="s">
        <v>18</v>
      </c>
      <c r="W209" t="s">
        <v>1994</v>
      </c>
      <c r="X209" t="s">
        <v>17</v>
      </c>
      <c r="Y209" s="23" t="s">
        <v>1991</v>
      </c>
      <c r="Z209">
        <v>0</v>
      </c>
      <c r="AA209" s="23">
        <v>-391469.08549999999</v>
      </c>
      <c r="AB209" t="str">
        <f>VLOOKUP(Table2[[#This Row],[product]],Ref[#All],6,FALSE)</f>
        <v>BAG50</v>
      </c>
    </row>
    <row r="210" spans="1:28" x14ac:dyDescent="0.25">
      <c r="A210" t="str">
        <f>TEXT(Table2[[#This Row],[dated]],"mmm")</f>
        <v>Jul</v>
      </c>
      <c r="B210" t="s">
        <v>1939</v>
      </c>
      <c r="C210" s="1" t="s">
        <v>539</v>
      </c>
      <c r="D210" t="str">
        <f>VLOOKUP(Table2[[#This Row],[product]],Ref[#All],7,FALSE)</f>
        <v>Sugar</v>
      </c>
      <c r="E210" s="1" t="s">
        <v>16</v>
      </c>
      <c r="F210" t="str">
        <f>VLOOKUP(Table2[[#This Row],[product]],Ref[#All],2,FALSE)</f>
        <v>White Sugar</v>
      </c>
      <c r="G210" t="str">
        <f>VLOOKUP(Table2[[#This Row],[product]],Ref[#All],3,FALSE)</f>
        <v>White Sugar</v>
      </c>
      <c r="H210" t="str">
        <f>VLOOKUP(Table2[[#This Row],[product]],Ref[#All],4,FALSE)</f>
        <v>Import</v>
      </c>
      <c r="I210" s="1">
        <v>45853</v>
      </c>
      <c r="J210" t="s">
        <v>53</v>
      </c>
      <c r="K210" t="s">
        <v>1995</v>
      </c>
      <c r="L210" t="s">
        <v>2289</v>
      </c>
      <c r="M210" t="s">
        <v>1586</v>
      </c>
      <c r="N210" t="s">
        <v>784</v>
      </c>
      <c r="O210" t="s">
        <v>1680</v>
      </c>
      <c r="P210" t="s">
        <v>788</v>
      </c>
      <c r="Q210" t="s">
        <v>55</v>
      </c>
      <c r="R210">
        <v>-11</v>
      </c>
      <c r="S210" s="15">
        <f>Table2[[#This Row],[movement_quantity]]/VLOOKUP(Table2[[#This Row],[product]],Ref[#All],5,FALSE)</f>
        <v>-0.55000000000000004</v>
      </c>
      <c r="T210">
        <v>78293.8171</v>
      </c>
      <c r="U210" t="s">
        <v>17</v>
      </c>
      <c r="V210" t="s">
        <v>18</v>
      </c>
      <c r="W210" t="s">
        <v>1996</v>
      </c>
      <c r="X210" t="s">
        <v>17</v>
      </c>
      <c r="Y210" s="23" t="s">
        <v>1991</v>
      </c>
      <c r="Z210">
        <v>0</v>
      </c>
      <c r="AA210" s="23">
        <v>-861231.98809999996</v>
      </c>
      <c r="AB210" t="str">
        <f>VLOOKUP(Table2[[#This Row],[product]],Ref[#All],6,FALSE)</f>
        <v>BAG50</v>
      </c>
    </row>
    <row r="211" spans="1:28" x14ac:dyDescent="0.25">
      <c r="A211" t="str">
        <f>TEXT(Table2[[#This Row],[dated]],"mmm")</f>
        <v>Jul</v>
      </c>
      <c r="B211" t="s">
        <v>40</v>
      </c>
      <c r="C211" s="1" t="s">
        <v>539</v>
      </c>
      <c r="D211" t="str">
        <f>VLOOKUP(Table2[[#This Row],[product]],Ref[#All],7,FALSE)</f>
        <v>Sugar</v>
      </c>
      <c r="E211" s="1" t="s">
        <v>763</v>
      </c>
      <c r="F211" t="str">
        <f>VLOOKUP(Table2[[#This Row],[product]],Ref[#All],2,FALSE)</f>
        <v>Caked Sugar</v>
      </c>
      <c r="G211" t="str">
        <f>VLOOKUP(Table2[[#This Row],[product]],Ref[#All],3,FALSE)</f>
        <v>Caked Sugar</v>
      </c>
      <c r="H211" t="str">
        <f>VLOOKUP(Table2[[#This Row],[product]],Ref[#All],4,FALSE)</f>
        <v>Import</v>
      </c>
      <c r="I211" s="1">
        <v>45853</v>
      </c>
      <c r="J211" t="s">
        <v>127</v>
      </c>
      <c r="K211" t="s">
        <v>1997</v>
      </c>
      <c r="L211" t="s">
        <v>2288</v>
      </c>
      <c r="M211" t="s">
        <v>1593</v>
      </c>
      <c r="N211" t="s">
        <v>784</v>
      </c>
      <c r="O211" t="s">
        <v>1680</v>
      </c>
      <c r="P211" t="s">
        <v>788</v>
      </c>
      <c r="Q211" t="s">
        <v>55</v>
      </c>
      <c r="R211">
        <v>871</v>
      </c>
      <c r="S211" s="15">
        <f>Table2[[#This Row],[movement_quantity]]/VLOOKUP(Table2[[#This Row],[product]],Ref[#All],5,FALSE)</f>
        <v>43.55</v>
      </c>
      <c r="T211">
        <v>39146.90855</v>
      </c>
      <c r="U211" t="s">
        <v>17</v>
      </c>
      <c r="V211" t="s">
        <v>21</v>
      </c>
      <c r="W211" t="s">
        <v>1998</v>
      </c>
      <c r="X211" t="s">
        <v>1999</v>
      </c>
      <c r="Y211" s="23" t="s">
        <v>17</v>
      </c>
      <c r="Z211">
        <v>0</v>
      </c>
      <c r="AA211" s="25">
        <v>67067000</v>
      </c>
      <c r="AB211" t="str">
        <f>VLOOKUP(Table2[[#This Row],[product]],Ref[#All],6,FALSE)</f>
        <v>BAG50</v>
      </c>
    </row>
    <row r="212" spans="1:28" x14ac:dyDescent="0.25">
      <c r="A212" t="str">
        <f>TEXT(Table2[[#This Row],[dated]],"mmm")</f>
        <v>Jul</v>
      </c>
      <c r="B212" t="s">
        <v>545</v>
      </c>
      <c r="C212" s="1" t="s">
        <v>539</v>
      </c>
      <c r="D212" t="str">
        <f>VLOOKUP(Table2[[#This Row],[product]],Ref[#All],7,FALSE)</f>
        <v>Sugar</v>
      </c>
      <c r="E212" s="1" t="s">
        <v>761</v>
      </c>
      <c r="F212" t="str">
        <f>VLOOKUP(Table2[[#This Row],[product]],Ref[#All],2,FALSE)</f>
        <v>White Crystal Sugar</v>
      </c>
      <c r="G212" t="str">
        <f>VLOOKUP(Table2[[#This Row],[product]],Ref[#All],3,FALSE)</f>
        <v>White Crystal Sugar</v>
      </c>
      <c r="H212" t="str">
        <f>VLOOKUP(Table2[[#This Row],[product]],Ref[#All],4,FALSE)</f>
        <v>Import</v>
      </c>
      <c r="I212" s="1">
        <v>45853</v>
      </c>
      <c r="J212" t="s">
        <v>53</v>
      </c>
      <c r="K212" t="s">
        <v>1948</v>
      </c>
      <c r="L212" t="s">
        <v>2297</v>
      </c>
      <c r="M212" t="s">
        <v>1586</v>
      </c>
      <c r="N212" t="s">
        <v>784</v>
      </c>
      <c r="O212" t="s">
        <v>1680</v>
      </c>
      <c r="P212" t="s">
        <v>788</v>
      </c>
      <c r="Q212" t="s">
        <v>55</v>
      </c>
      <c r="R212">
        <v>-35</v>
      </c>
      <c r="S212" s="15">
        <f>Table2[[#This Row],[movement_quantity]]/VLOOKUP(Table2[[#This Row],[product]],Ref[#All],5,FALSE)</f>
        <v>-1.75</v>
      </c>
      <c r="T212">
        <v>78293.8171</v>
      </c>
      <c r="U212" t="s">
        <v>17</v>
      </c>
      <c r="V212" t="s">
        <v>18</v>
      </c>
      <c r="W212" t="s">
        <v>2000</v>
      </c>
      <c r="X212" t="s">
        <v>17</v>
      </c>
      <c r="Y212" s="23" t="s">
        <v>2001</v>
      </c>
      <c r="Z212">
        <v>0</v>
      </c>
      <c r="AA212" s="23">
        <v>-2740283.5984999998</v>
      </c>
      <c r="AB212" t="str">
        <f>VLOOKUP(Table2[[#This Row],[product]],Ref[#All],6,FALSE)</f>
        <v>BAG50</v>
      </c>
    </row>
    <row r="213" spans="1:28" x14ac:dyDescent="0.25">
      <c r="A213" t="str">
        <f>TEXT(Table2[[#This Row],[dated]],"mmm")</f>
        <v>Jul</v>
      </c>
      <c r="B213" t="s">
        <v>545</v>
      </c>
      <c r="C213" s="1" t="s">
        <v>539</v>
      </c>
      <c r="D213" t="str">
        <f>VLOOKUP(Table2[[#This Row],[product]],Ref[#All],7,FALSE)</f>
        <v>Sugar</v>
      </c>
      <c r="E213" s="1" t="s">
        <v>761</v>
      </c>
      <c r="F213" t="str">
        <f>VLOOKUP(Table2[[#This Row],[product]],Ref[#All],2,FALSE)</f>
        <v>White Crystal Sugar</v>
      </c>
      <c r="G213" t="str">
        <f>VLOOKUP(Table2[[#This Row],[product]],Ref[#All],3,FALSE)</f>
        <v>White Crystal Sugar</v>
      </c>
      <c r="H213" t="str">
        <f>VLOOKUP(Table2[[#This Row],[product]],Ref[#All],4,FALSE)</f>
        <v>Import</v>
      </c>
      <c r="I213" s="1">
        <v>45853</v>
      </c>
      <c r="J213" t="s">
        <v>53</v>
      </c>
      <c r="K213" t="s">
        <v>1948</v>
      </c>
      <c r="L213" t="s">
        <v>2297</v>
      </c>
      <c r="M213" t="s">
        <v>1586</v>
      </c>
      <c r="N213" t="s">
        <v>784</v>
      </c>
      <c r="O213" t="s">
        <v>1680</v>
      </c>
      <c r="P213" t="s">
        <v>788</v>
      </c>
      <c r="Q213" t="s">
        <v>55</v>
      </c>
      <c r="R213">
        <v>-348</v>
      </c>
      <c r="S213" s="15">
        <f>Table2[[#This Row],[movement_quantity]]/VLOOKUP(Table2[[#This Row],[product]],Ref[#All],5,FALSE)</f>
        <v>-17.399999999999999</v>
      </c>
      <c r="T213">
        <v>78293.8171</v>
      </c>
      <c r="U213" t="s">
        <v>17</v>
      </c>
      <c r="V213" t="s">
        <v>21</v>
      </c>
      <c r="W213" t="s">
        <v>2000</v>
      </c>
      <c r="X213" t="s">
        <v>17</v>
      </c>
      <c r="Y213" s="23" t="s">
        <v>2001</v>
      </c>
      <c r="Z213">
        <v>0</v>
      </c>
      <c r="AA213" s="23">
        <v>-27246248.3508</v>
      </c>
      <c r="AB213" t="str">
        <f>VLOOKUP(Table2[[#This Row],[product]],Ref[#All],6,FALSE)</f>
        <v>BAG50</v>
      </c>
    </row>
    <row r="214" spans="1:28" x14ac:dyDescent="0.25">
      <c r="A214" t="str">
        <f>TEXT(Table2[[#This Row],[dated]],"mmm")</f>
        <v>Jul</v>
      </c>
      <c r="B214" t="s">
        <v>545</v>
      </c>
      <c r="C214" s="1" t="s">
        <v>539</v>
      </c>
      <c r="D214" t="str">
        <f>VLOOKUP(Table2[[#This Row],[product]],Ref[#All],7,FALSE)</f>
        <v>Sugar</v>
      </c>
      <c r="E214" s="1" t="s">
        <v>761</v>
      </c>
      <c r="F214" t="str">
        <f>VLOOKUP(Table2[[#This Row],[product]],Ref[#All],2,FALSE)</f>
        <v>White Crystal Sugar</v>
      </c>
      <c r="G214" t="str">
        <f>VLOOKUP(Table2[[#This Row],[product]],Ref[#All],3,FALSE)</f>
        <v>White Crystal Sugar</v>
      </c>
      <c r="H214" t="str">
        <f>VLOOKUP(Table2[[#This Row],[product]],Ref[#All],4,FALSE)</f>
        <v>Import</v>
      </c>
      <c r="I214" s="1">
        <v>45853</v>
      </c>
      <c r="J214" t="s">
        <v>53</v>
      </c>
      <c r="K214" t="s">
        <v>1948</v>
      </c>
      <c r="L214" t="s">
        <v>2297</v>
      </c>
      <c r="M214" t="s">
        <v>1586</v>
      </c>
      <c r="N214" t="s">
        <v>784</v>
      </c>
      <c r="O214" t="s">
        <v>1680</v>
      </c>
      <c r="P214" t="s">
        <v>788</v>
      </c>
      <c r="Q214" t="s">
        <v>55</v>
      </c>
      <c r="R214">
        <v>-90</v>
      </c>
      <c r="S214" s="15">
        <f>Table2[[#This Row],[movement_quantity]]/VLOOKUP(Table2[[#This Row],[product]],Ref[#All],5,FALSE)</f>
        <v>-4.5</v>
      </c>
      <c r="T214">
        <v>78293.8171</v>
      </c>
      <c r="U214" t="s">
        <v>17</v>
      </c>
      <c r="V214" t="s">
        <v>22</v>
      </c>
      <c r="W214" t="s">
        <v>2000</v>
      </c>
      <c r="X214" t="s">
        <v>17</v>
      </c>
      <c r="Y214" s="23" t="s">
        <v>2001</v>
      </c>
      <c r="Z214">
        <v>0</v>
      </c>
      <c r="AA214" s="23">
        <v>-7046443.5389999999</v>
      </c>
      <c r="AB214" t="str">
        <f>VLOOKUP(Table2[[#This Row],[product]],Ref[#All],6,FALSE)</f>
        <v>BAG50</v>
      </c>
    </row>
    <row r="215" spans="1:28" x14ac:dyDescent="0.25">
      <c r="A215" t="str">
        <f>TEXT(Table2[[#This Row],[dated]],"mmm")</f>
        <v>Jul</v>
      </c>
      <c r="B215" t="s">
        <v>545</v>
      </c>
      <c r="C215" s="1" t="s">
        <v>539</v>
      </c>
      <c r="D215" t="str">
        <f>VLOOKUP(Table2[[#This Row],[product]],Ref[#All],7,FALSE)</f>
        <v>Sugar</v>
      </c>
      <c r="E215" s="1" t="s">
        <v>761</v>
      </c>
      <c r="F215" t="str">
        <f>VLOOKUP(Table2[[#This Row],[product]],Ref[#All],2,FALSE)</f>
        <v>White Crystal Sugar</v>
      </c>
      <c r="G215" t="str">
        <f>VLOOKUP(Table2[[#This Row],[product]],Ref[#All],3,FALSE)</f>
        <v>White Crystal Sugar</v>
      </c>
      <c r="H215" t="str">
        <f>VLOOKUP(Table2[[#This Row],[product]],Ref[#All],4,FALSE)</f>
        <v>Import</v>
      </c>
      <c r="I215" s="1">
        <v>45853</v>
      </c>
      <c r="J215" t="s">
        <v>53</v>
      </c>
      <c r="K215" t="s">
        <v>1948</v>
      </c>
      <c r="L215" t="s">
        <v>2297</v>
      </c>
      <c r="M215" t="s">
        <v>1586</v>
      </c>
      <c r="N215" t="s">
        <v>784</v>
      </c>
      <c r="O215" t="s">
        <v>1680</v>
      </c>
      <c r="P215" t="s">
        <v>788</v>
      </c>
      <c r="Q215" t="s">
        <v>55</v>
      </c>
      <c r="R215">
        <v>-2021</v>
      </c>
      <c r="S215" s="15">
        <f>Table2[[#This Row],[movement_quantity]]/VLOOKUP(Table2[[#This Row],[product]],Ref[#All],5,FALSE)</f>
        <v>-101.05</v>
      </c>
      <c r="T215">
        <v>78293.8171</v>
      </c>
      <c r="U215" t="s">
        <v>17</v>
      </c>
      <c r="V215" t="s">
        <v>23</v>
      </c>
      <c r="W215" t="s">
        <v>2000</v>
      </c>
      <c r="X215" t="s">
        <v>17</v>
      </c>
      <c r="Y215" s="23" t="s">
        <v>2002</v>
      </c>
      <c r="Z215">
        <v>0</v>
      </c>
      <c r="AA215" s="23">
        <v>-158231804.35910001</v>
      </c>
      <c r="AB215" t="str">
        <f>VLOOKUP(Table2[[#This Row],[product]],Ref[#All],6,FALSE)</f>
        <v>BAG50</v>
      </c>
    </row>
    <row r="216" spans="1:28" x14ac:dyDescent="0.25">
      <c r="A216" t="str">
        <f>TEXT(Table2[[#This Row],[dated]],"mmm")</f>
        <v>Jul</v>
      </c>
      <c r="B216" t="s">
        <v>545</v>
      </c>
      <c r="C216" s="1" t="s">
        <v>539</v>
      </c>
      <c r="D216" t="str">
        <f>VLOOKUP(Table2[[#This Row],[product]],Ref[#All],7,FALSE)</f>
        <v>Sugar</v>
      </c>
      <c r="E216" s="1" t="s">
        <v>763</v>
      </c>
      <c r="F216" t="str">
        <f>VLOOKUP(Table2[[#This Row],[product]],Ref[#All],2,FALSE)</f>
        <v>Caked Sugar</v>
      </c>
      <c r="G216" t="str">
        <f>VLOOKUP(Table2[[#This Row],[product]],Ref[#All],3,FALSE)</f>
        <v>Caked Sugar</v>
      </c>
      <c r="H216" t="str">
        <f>VLOOKUP(Table2[[#This Row],[product]],Ref[#All],4,FALSE)</f>
        <v>Import</v>
      </c>
      <c r="I216" s="1">
        <v>45853</v>
      </c>
      <c r="J216" t="s">
        <v>53</v>
      </c>
      <c r="K216" t="s">
        <v>1948</v>
      </c>
      <c r="L216" t="s">
        <v>2297</v>
      </c>
      <c r="M216" t="s">
        <v>1586</v>
      </c>
      <c r="N216" t="s">
        <v>784</v>
      </c>
      <c r="O216" t="s">
        <v>1680</v>
      </c>
      <c r="P216" t="s">
        <v>788</v>
      </c>
      <c r="Q216" t="s">
        <v>55</v>
      </c>
      <c r="R216">
        <v>-240</v>
      </c>
      <c r="S216" s="15">
        <f>Table2[[#This Row],[movement_quantity]]/VLOOKUP(Table2[[#This Row],[product]],Ref[#All],5,FALSE)</f>
        <v>-12</v>
      </c>
      <c r="T216">
        <v>39146.90855</v>
      </c>
      <c r="U216" t="s">
        <v>17</v>
      </c>
      <c r="V216" t="s">
        <v>18</v>
      </c>
      <c r="W216" t="s">
        <v>2000</v>
      </c>
      <c r="X216" t="s">
        <v>17</v>
      </c>
      <c r="Y216" s="23" t="s">
        <v>2003</v>
      </c>
      <c r="Z216">
        <v>0</v>
      </c>
      <c r="AA216" s="23">
        <v>-9395258.0519999992</v>
      </c>
      <c r="AB216" t="str">
        <f>VLOOKUP(Table2[[#This Row],[product]],Ref[#All],6,FALSE)</f>
        <v>BAG50</v>
      </c>
    </row>
    <row r="217" spans="1:28" x14ac:dyDescent="0.25">
      <c r="A217" t="str">
        <f>TEXT(Table2[[#This Row],[dated]],"mmm")</f>
        <v>Jul</v>
      </c>
      <c r="B217" t="s">
        <v>545</v>
      </c>
      <c r="C217" s="1" t="s">
        <v>539</v>
      </c>
      <c r="D217" t="str">
        <f>VLOOKUP(Table2[[#This Row],[product]],Ref[#All],7,FALSE)</f>
        <v>Sugar</v>
      </c>
      <c r="E217" s="1" t="s">
        <v>763</v>
      </c>
      <c r="F217" t="str">
        <f>VLOOKUP(Table2[[#This Row],[product]],Ref[#All],2,FALSE)</f>
        <v>Caked Sugar</v>
      </c>
      <c r="G217" t="str">
        <f>VLOOKUP(Table2[[#This Row],[product]],Ref[#All],3,FALSE)</f>
        <v>Caked Sugar</v>
      </c>
      <c r="H217" t="str">
        <f>VLOOKUP(Table2[[#This Row],[product]],Ref[#All],4,FALSE)</f>
        <v>Import</v>
      </c>
      <c r="I217" s="1">
        <v>45853</v>
      </c>
      <c r="J217" t="s">
        <v>53</v>
      </c>
      <c r="K217" t="s">
        <v>1948</v>
      </c>
      <c r="L217" t="s">
        <v>2297</v>
      </c>
      <c r="M217" t="s">
        <v>1586</v>
      </c>
      <c r="N217" t="s">
        <v>784</v>
      </c>
      <c r="O217" t="s">
        <v>1680</v>
      </c>
      <c r="P217" t="s">
        <v>788</v>
      </c>
      <c r="Q217" t="s">
        <v>55</v>
      </c>
      <c r="R217">
        <v>-11</v>
      </c>
      <c r="S217" s="15">
        <f>Table2[[#This Row],[movement_quantity]]/VLOOKUP(Table2[[#This Row],[product]],Ref[#All],5,FALSE)</f>
        <v>-0.55000000000000004</v>
      </c>
      <c r="T217">
        <v>39146.90855</v>
      </c>
      <c r="U217" t="s">
        <v>17</v>
      </c>
      <c r="V217" t="s">
        <v>21</v>
      </c>
      <c r="W217" t="s">
        <v>2000</v>
      </c>
      <c r="X217" t="s">
        <v>17</v>
      </c>
      <c r="Y217" s="23" t="s">
        <v>2004</v>
      </c>
      <c r="Z217">
        <v>0</v>
      </c>
      <c r="AA217" s="23">
        <v>-430615.99404999998</v>
      </c>
      <c r="AB217" t="str">
        <f>VLOOKUP(Table2[[#This Row],[product]],Ref[#All],6,FALSE)</f>
        <v>BAG50</v>
      </c>
    </row>
    <row r="218" spans="1:28" x14ac:dyDescent="0.25">
      <c r="A218" t="str">
        <f>TEXT(Table2[[#This Row],[dated]],"mmm")</f>
        <v>Jul</v>
      </c>
      <c r="B218" t="s">
        <v>40</v>
      </c>
      <c r="C218" s="1" t="s">
        <v>539</v>
      </c>
      <c r="D218" t="str">
        <f>VLOOKUP(Table2[[#This Row],[product]],Ref[#All],7,FALSE)</f>
        <v>Lentils</v>
      </c>
      <c r="E218" s="1" t="s">
        <v>39</v>
      </c>
      <c r="F218" t="str">
        <f>VLOOKUP(Table2[[#This Row],[product]],Ref[#All],2,FALSE)</f>
        <v>Lentil TAT 20KG</v>
      </c>
      <c r="G218" t="str">
        <f>VLOOKUP(Table2[[#This Row],[product]],Ref[#All],3,FALSE)</f>
        <v>Lentils</v>
      </c>
      <c r="H218" t="str">
        <f>VLOOKUP(Table2[[#This Row],[product]],Ref[#All],4,FALSE)</f>
        <v>Import</v>
      </c>
      <c r="I218" s="1">
        <v>45853</v>
      </c>
      <c r="J218" t="s">
        <v>53</v>
      </c>
      <c r="K218" t="s">
        <v>2008</v>
      </c>
      <c r="L218" t="s">
        <v>2290</v>
      </c>
      <c r="M218" t="s">
        <v>1586</v>
      </c>
      <c r="N218" t="s">
        <v>784</v>
      </c>
      <c r="O218" t="s">
        <v>1680</v>
      </c>
      <c r="P218" t="s">
        <v>788</v>
      </c>
      <c r="Q218" t="s">
        <v>55</v>
      </c>
      <c r="R218">
        <v>-232</v>
      </c>
      <c r="S218" s="15">
        <f>Table2[[#This Row],[movement_quantity]]/VLOOKUP(Table2[[#This Row],[product]],Ref[#All],5,FALSE)</f>
        <v>-4.6399999999999997</v>
      </c>
      <c r="T218">
        <v>41075.795080000004</v>
      </c>
      <c r="U218" t="s">
        <v>17</v>
      </c>
      <c r="V218" t="s">
        <v>22</v>
      </c>
      <c r="W218" t="s">
        <v>2009</v>
      </c>
      <c r="X218" t="s">
        <v>17</v>
      </c>
      <c r="Y218" s="23" t="s">
        <v>1965</v>
      </c>
      <c r="Z218">
        <v>0</v>
      </c>
      <c r="AA218" s="23">
        <v>-9529584.4585600011</v>
      </c>
      <c r="AB218" t="str">
        <f>VLOOKUP(Table2[[#This Row],[product]],Ref[#All],6,FALSE)</f>
        <v>BAG20</v>
      </c>
    </row>
    <row r="219" spans="1:28" x14ac:dyDescent="0.25">
      <c r="A219" t="str">
        <f>TEXT(Table2[[#This Row],[dated]],"mmm")</f>
        <v>Jul</v>
      </c>
      <c r="B219" t="s">
        <v>40</v>
      </c>
      <c r="C219" s="1" t="s">
        <v>539</v>
      </c>
      <c r="D219" t="str">
        <f>VLOOKUP(Table2[[#This Row],[product]],Ref[#All],7,FALSE)</f>
        <v>Sugar</v>
      </c>
      <c r="E219" s="1" t="s">
        <v>761</v>
      </c>
      <c r="F219" t="str">
        <f>VLOOKUP(Table2[[#This Row],[product]],Ref[#All],2,FALSE)</f>
        <v>White Crystal Sugar</v>
      </c>
      <c r="G219" t="str">
        <f>VLOOKUP(Table2[[#This Row],[product]],Ref[#All],3,FALSE)</f>
        <v>White Crystal Sugar</v>
      </c>
      <c r="H219" t="str">
        <f>VLOOKUP(Table2[[#This Row],[product]],Ref[#All],4,FALSE)</f>
        <v>Import</v>
      </c>
      <c r="I219" s="1">
        <v>45853</v>
      </c>
      <c r="J219" t="s">
        <v>53</v>
      </c>
      <c r="K219" t="s">
        <v>1997</v>
      </c>
      <c r="L219" t="s">
        <v>2288</v>
      </c>
      <c r="M219" t="s">
        <v>1586</v>
      </c>
      <c r="N219" t="s">
        <v>784</v>
      </c>
      <c r="O219" t="s">
        <v>1680</v>
      </c>
      <c r="P219" t="s">
        <v>788</v>
      </c>
      <c r="Q219" t="s">
        <v>55</v>
      </c>
      <c r="R219">
        <v>-871</v>
      </c>
      <c r="S219" s="15">
        <f>Table2[[#This Row],[movement_quantity]]/VLOOKUP(Table2[[#This Row],[product]],Ref[#All],5,FALSE)</f>
        <v>-43.55</v>
      </c>
      <c r="T219">
        <v>78293.8171</v>
      </c>
      <c r="U219" t="s">
        <v>17</v>
      </c>
      <c r="V219" t="s">
        <v>18</v>
      </c>
      <c r="W219" t="s">
        <v>2010</v>
      </c>
      <c r="X219" t="s">
        <v>17</v>
      </c>
      <c r="Y219" s="23" t="s">
        <v>1435</v>
      </c>
      <c r="Z219">
        <v>0</v>
      </c>
      <c r="AA219" s="23">
        <v>-68193914.694100007</v>
      </c>
      <c r="AB219" t="str">
        <f>VLOOKUP(Table2[[#This Row],[product]],Ref[#All],6,FALSE)</f>
        <v>BAG50</v>
      </c>
    </row>
    <row r="220" spans="1:28" x14ac:dyDescent="0.25">
      <c r="A220" t="str">
        <f>TEXT(Table2[[#This Row],[dated]],"mmm")</f>
        <v>Jul</v>
      </c>
      <c r="B220" t="s">
        <v>545</v>
      </c>
      <c r="C220" s="1" t="s">
        <v>539</v>
      </c>
      <c r="D220" t="str">
        <f>VLOOKUP(Table2[[#This Row],[product]],Ref[#All],7,FALSE)</f>
        <v>Sugar</v>
      </c>
      <c r="E220" s="1" t="s">
        <v>72</v>
      </c>
      <c r="F220" t="str">
        <f>VLOOKUP(Table2[[#This Row],[product]],Ref[#All],2,FALSE)</f>
        <v>White Sugar</v>
      </c>
      <c r="G220" t="str">
        <f>VLOOKUP(Table2[[#This Row],[product]],Ref[#All],3,FALSE)</f>
        <v>White Sugar</v>
      </c>
      <c r="H220" t="str">
        <f>VLOOKUP(Table2[[#This Row],[product]],Ref[#All],4,FALSE)</f>
        <v>Import</v>
      </c>
      <c r="I220" s="1">
        <v>45853</v>
      </c>
      <c r="J220" t="s">
        <v>53</v>
      </c>
      <c r="K220" t="s">
        <v>1948</v>
      </c>
      <c r="L220" t="s">
        <v>2297</v>
      </c>
      <c r="M220" t="s">
        <v>1586</v>
      </c>
      <c r="N220" t="s">
        <v>784</v>
      </c>
      <c r="O220" t="s">
        <v>1680</v>
      </c>
      <c r="P220" t="s">
        <v>788</v>
      </c>
      <c r="Q220" t="s">
        <v>55</v>
      </c>
      <c r="R220">
        <v>-104</v>
      </c>
      <c r="S220" s="15">
        <f>Table2[[#This Row],[movement_quantity]]/VLOOKUP(Table2[[#This Row],[product]],Ref[#All],5,FALSE)</f>
        <v>-5.2</v>
      </c>
      <c r="T220">
        <v>78293.8171</v>
      </c>
      <c r="U220" t="s">
        <v>17</v>
      </c>
      <c r="V220" t="s">
        <v>21</v>
      </c>
      <c r="W220" t="s">
        <v>1955</v>
      </c>
      <c r="X220" t="s">
        <v>17</v>
      </c>
      <c r="Y220" s="23" t="s">
        <v>1320</v>
      </c>
      <c r="Z220">
        <v>0</v>
      </c>
      <c r="AA220" s="23">
        <v>-8142556.9784000004</v>
      </c>
      <c r="AB220" t="str">
        <f>VLOOKUP(Table2[[#This Row],[product]],Ref[#All],6,FALSE)</f>
        <v>BAG50</v>
      </c>
    </row>
    <row r="221" spans="1:28" x14ac:dyDescent="0.25">
      <c r="A221" t="str">
        <f>TEXT(Table2[[#This Row],[dated]],"mmm")</f>
        <v>Jul</v>
      </c>
      <c r="B221" t="s">
        <v>545</v>
      </c>
      <c r="C221" s="1" t="s">
        <v>539</v>
      </c>
      <c r="D221" t="str">
        <f>VLOOKUP(Table2[[#This Row],[product]],Ref[#All],7,FALSE)</f>
        <v>Sugar</v>
      </c>
      <c r="E221" s="1" t="s">
        <v>72</v>
      </c>
      <c r="F221" t="str">
        <f>VLOOKUP(Table2[[#This Row],[product]],Ref[#All],2,FALSE)</f>
        <v>White Sugar</v>
      </c>
      <c r="G221" t="str">
        <f>VLOOKUP(Table2[[#This Row],[product]],Ref[#All],3,FALSE)</f>
        <v>White Sugar</v>
      </c>
      <c r="H221" t="str">
        <f>VLOOKUP(Table2[[#This Row],[product]],Ref[#All],4,FALSE)</f>
        <v>Import</v>
      </c>
      <c r="I221" s="1">
        <v>45853</v>
      </c>
      <c r="J221" t="s">
        <v>53</v>
      </c>
      <c r="K221" t="s">
        <v>1948</v>
      </c>
      <c r="L221" t="s">
        <v>2297</v>
      </c>
      <c r="M221" t="s">
        <v>1586</v>
      </c>
      <c r="N221" t="s">
        <v>784</v>
      </c>
      <c r="O221" t="s">
        <v>1680</v>
      </c>
      <c r="P221" t="s">
        <v>788</v>
      </c>
      <c r="Q221" t="s">
        <v>55</v>
      </c>
      <c r="R221">
        <v>-112</v>
      </c>
      <c r="S221" s="15">
        <f>Table2[[#This Row],[movement_quantity]]/VLOOKUP(Table2[[#This Row],[product]],Ref[#All],5,FALSE)</f>
        <v>-5.6</v>
      </c>
      <c r="T221">
        <v>78293.8171</v>
      </c>
      <c r="U221" t="s">
        <v>17</v>
      </c>
      <c r="V221" t="s">
        <v>22</v>
      </c>
      <c r="W221" t="s">
        <v>1955</v>
      </c>
      <c r="X221" t="s">
        <v>17</v>
      </c>
      <c r="Y221" s="23" t="s">
        <v>1320</v>
      </c>
      <c r="Z221">
        <v>0</v>
      </c>
      <c r="AA221" s="23">
        <v>-8768907.5152000003</v>
      </c>
      <c r="AB221" t="str">
        <f>VLOOKUP(Table2[[#This Row],[product]],Ref[#All],6,FALSE)</f>
        <v>BAG50</v>
      </c>
    </row>
    <row r="222" spans="1:28" x14ac:dyDescent="0.25">
      <c r="A222" t="str">
        <f>TEXT(Table2[[#This Row],[dated]],"mmm")</f>
        <v>Jul</v>
      </c>
      <c r="B222" t="s">
        <v>545</v>
      </c>
      <c r="C222" s="1" t="s">
        <v>539</v>
      </c>
      <c r="D222" t="str">
        <f>VLOOKUP(Table2[[#This Row],[product]],Ref[#All],7,FALSE)</f>
        <v>Sugar</v>
      </c>
      <c r="E222" s="1" t="s">
        <v>72</v>
      </c>
      <c r="F222" t="str">
        <f>VLOOKUP(Table2[[#This Row],[product]],Ref[#All],2,FALSE)</f>
        <v>White Sugar</v>
      </c>
      <c r="G222" t="str">
        <f>VLOOKUP(Table2[[#This Row],[product]],Ref[#All],3,FALSE)</f>
        <v>White Sugar</v>
      </c>
      <c r="H222" t="str">
        <f>VLOOKUP(Table2[[#This Row],[product]],Ref[#All],4,FALSE)</f>
        <v>Import</v>
      </c>
      <c r="I222" s="1">
        <v>45853</v>
      </c>
      <c r="J222" t="s">
        <v>53</v>
      </c>
      <c r="K222" t="s">
        <v>1948</v>
      </c>
      <c r="L222" t="s">
        <v>2297</v>
      </c>
      <c r="M222" t="s">
        <v>1586</v>
      </c>
      <c r="N222" t="s">
        <v>784</v>
      </c>
      <c r="O222" t="s">
        <v>1680</v>
      </c>
      <c r="P222" t="s">
        <v>788</v>
      </c>
      <c r="Q222" t="s">
        <v>55</v>
      </c>
      <c r="R222">
        <v>-885</v>
      </c>
      <c r="S222" s="15">
        <f>Table2[[#This Row],[movement_quantity]]/VLOOKUP(Table2[[#This Row],[product]],Ref[#All],5,FALSE)</f>
        <v>-44.25</v>
      </c>
      <c r="T222">
        <v>78293.8171</v>
      </c>
      <c r="U222" t="s">
        <v>17</v>
      </c>
      <c r="V222" t="s">
        <v>23</v>
      </c>
      <c r="W222" t="s">
        <v>1955</v>
      </c>
      <c r="X222" t="s">
        <v>17</v>
      </c>
      <c r="Y222" s="23" t="s">
        <v>1320</v>
      </c>
      <c r="Z222">
        <v>0</v>
      </c>
      <c r="AA222" s="23">
        <v>-69290028.133499995</v>
      </c>
      <c r="AB222" t="str">
        <f>VLOOKUP(Table2[[#This Row],[product]],Ref[#All],6,FALSE)</f>
        <v>BAG50</v>
      </c>
    </row>
    <row r="223" spans="1:28" x14ac:dyDescent="0.25">
      <c r="A223" t="str">
        <f>TEXT(Table2[[#This Row],[dated]],"mmm")</f>
        <v>Sep</v>
      </c>
      <c r="B223" t="s">
        <v>811</v>
      </c>
      <c r="C223" s="1" t="s">
        <v>539</v>
      </c>
      <c r="D223" t="str">
        <f>VLOOKUP(Table2[[#This Row],[product]],Ref[#All],7,FALSE)</f>
        <v>Flour</v>
      </c>
      <c r="E223" s="28" t="s">
        <v>36</v>
      </c>
      <c r="F223" t="str">
        <f>VLOOKUP(Table2[[#This Row],[product]],Ref[#All],2,FALSE)</f>
        <v>Flour Import Elngm 25Kg</v>
      </c>
      <c r="G223" t="str">
        <f>VLOOKUP(Table2[[#This Row],[product]],Ref[#All],3,FALSE)</f>
        <v>Flour Al-Nagm (Imported)</v>
      </c>
      <c r="H223" t="str">
        <f>VLOOKUP(Table2[[#This Row],[product]],Ref[#All],4,FALSE)</f>
        <v>Import</v>
      </c>
      <c r="I223" s="1">
        <v>45917</v>
      </c>
      <c r="J223" s="28" t="s">
        <v>53</v>
      </c>
      <c r="K223" t="s">
        <v>2597</v>
      </c>
      <c r="L223" s="40" t="s">
        <v>2721</v>
      </c>
      <c r="M223" t="s">
        <v>1586</v>
      </c>
      <c r="N223" t="s">
        <v>784</v>
      </c>
      <c r="O223" t="s">
        <v>1680</v>
      </c>
      <c r="P223" t="s">
        <v>788</v>
      </c>
      <c r="Q223" s="38" t="s">
        <v>1584</v>
      </c>
      <c r="R223">
        <v>-340</v>
      </c>
      <c r="S223" s="15">
        <f>Table2[[#This Row],[movement_quantity]]/VLOOKUP(Table2[[#This Row],[product]],Ref[#All],5,FALSE)</f>
        <v>-8.5</v>
      </c>
      <c r="T223">
        <v>32432.643329999999</v>
      </c>
      <c r="AA223">
        <v>-11027098.7322</v>
      </c>
      <c r="AB223" t="str">
        <f>VLOOKUP(Table2[[#This Row],[product]],Ref[#All],6,FALSE)</f>
        <v>BAG25</v>
      </c>
    </row>
    <row r="224" spans="1:28" x14ac:dyDescent="0.25">
      <c r="A224" t="str">
        <f>TEXT(Table2[[#This Row],[dated]],"mmm")</f>
        <v>Sep</v>
      </c>
      <c r="B224" t="s">
        <v>811</v>
      </c>
      <c r="C224" s="1" t="s">
        <v>539</v>
      </c>
      <c r="D224" t="str">
        <f>VLOOKUP(Table2[[#This Row],[product]],Ref[#All],7,FALSE)</f>
        <v>Flour</v>
      </c>
      <c r="E224" s="28" t="s">
        <v>2601</v>
      </c>
      <c r="F224" t="str">
        <f>VLOOKUP(Table2[[#This Row],[product]],Ref[#All],2,FALSE)</f>
        <v>WHEAT FLOUR DAMAGED 25KG</v>
      </c>
      <c r="G224" t="str">
        <f>VLOOKUP(Table2[[#This Row],[product]],Ref[#All],3,FALSE)</f>
        <v>Flour Damaged 25KG</v>
      </c>
      <c r="H224" t="str">
        <f>VLOOKUP(Table2[[#This Row],[product]],Ref[#All],4,FALSE)</f>
        <v>Import</v>
      </c>
      <c r="I224" s="1">
        <v>45917</v>
      </c>
      <c r="J224" s="28" t="s">
        <v>127</v>
      </c>
      <c r="K224" t="s">
        <v>2598</v>
      </c>
      <c r="L224" s="40" t="s">
        <v>2721</v>
      </c>
      <c r="M224" t="s">
        <v>1593</v>
      </c>
      <c r="N224" t="s">
        <v>784</v>
      </c>
      <c r="O224" t="s">
        <v>1680</v>
      </c>
      <c r="P224" t="s">
        <v>788</v>
      </c>
      <c r="Q224" s="38" t="s">
        <v>1584</v>
      </c>
      <c r="R224">
        <v>340</v>
      </c>
      <c r="S224" s="15">
        <f>Table2[[#This Row],[movement_quantity]]/VLOOKUP(Table2[[#This Row],[product]],Ref[#All],5,FALSE)</f>
        <v>8.5</v>
      </c>
      <c r="AA224" s="4">
        <v>4080000</v>
      </c>
      <c r="AB224" t="str">
        <f>VLOOKUP(Table2[[#This Row],[product]],Ref[#All],6,FALSE)</f>
        <v>BAG25</v>
      </c>
    </row>
    <row r="225" spans="1:28" x14ac:dyDescent="0.25">
      <c r="A225" t="str">
        <f>TEXT(Table2[[#This Row],[dated]],"mmm")</f>
        <v>Sep</v>
      </c>
      <c r="B225" t="s">
        <v>40</v>
      </c>
      <c r="C225" s="1" t="s">
        <v>539</v>
      </c>
      <c r="D225" t="str">
        <f>VLOOKUP(Table2[[#This Row],[product]],Ref[#All],7,FALSE)</f>
        <v>Sugar</v>
      </c>
      <c r="E225" s="28" t="s">
        <v>1992</v>
      </c>
      <c r="F225" t="str">
        <f>VLOOKUP(Table2[[#This Row],[product]],Ref[#All],2,FALSE)</f>
        <v>White Sugar</v>
      </c>
      <c r="G225" t="str">
        <f>VLOOKUP(Table2[[#This Row],[product]],Ref[#All],3,FALSE)</f>
        <v>White Sugar</v>
      </c>
      <c r="H225" t="str">
        <f>VLOOKUP(Table2[[#This Row],[product]],Ref[#All],4,FALSE)</f>
        <v>Import</v>
      </c>
      <c r="I225" s="1">
        <v>45929</v>
      </c>
      <c r="J225" t="s">
        <v>53</v>
      </c>
      <c r="K225" t="s">
        <v>2675</v>
      </c>
      <c r="L225" t="s">
        <v>2719</v>
      </c>
      <c r="M225" t="s">
        <v>1586</v>
      </c>
      <c r="N225" t="s">
        <v>784</v>
      </c>
      <c r="O225" t="s">
        <v>1680</v>
      </c>
      <c r="P225" t="s">
        <v>788</v>
      </c>
      <c r="Q225" s="38" t="s">
        <v>55</v>
      </c>
      <c r="R225">
        <v>-17</v>
      </c>
      <c r="S225" s="15">
        <f>Table2[[#This Row],[movement_quantity]]/VLOOKUP(Table2[[#This Row],[product]],Ref[#All],5,FALSE)</f>
        <v>-0.85</v>
      </c>
      <c r="T225">
        <v>87806.150020000001</v>
      </c>
      <c r="U225" t="s">
        <v>17</v>
      </c>
      <c r="V225" t="s">
        <v>18</v>
      </c>
      <c r="W225" t="s">
        <v>2700</v>
      </c>
      <c r="X225" t="s">
        <v>17</v>
      </c>
      <c r="Y225" s="2" t="s">
        <v>2701</v>
      </c>
      <c r="Z225">
        <v>0</v>
      </c>
      <c r="AA225" s="2">
        <v>-1492704.5503400001</v>
      </c>
      <c r="AB225" t="str">
        <f>VLOOKUP(Table2[[#This Row],[product]],Ref[#All],6,FALSE)</f>
        <v>BAG50</v>
      </c>
    </row>
    <row r="226" spans="1:28" x14ac:dyDescent="0.25">
      <c r="A226" t="str">
        <f>TEXT(Table2[[#This Row],[dated]],"mmm")</f>
        <v>Sep</v>
      </c>
      <c r="B226" t="s">
        <v>40</v>
      </c>
      <c r="C226" s="1" t="s">
        <v>539</v>
      </c>
      <c r="D226" t="str">
        <f>VLOOKUP(Table2[[#This Row],[product]],Ref[#All],7,FALSE)</f>
        <v>Sugar</v>
      </c>
      <c r="E226" s="28" t="s">
        <v>549</v>
      </c>
      <c r="F226" t="str">
        <f>VLOOKUP(Table2[[#This Row],[product]],Ref[#All],2,FALSE)</f>
        <v>White Sugar - Damaged</v>
      </c>
      <c r="G226" t="str">
        <f>VLOOKUP(Table2[[#This Row],[product]],Ref[#All],3,FALSE)</f>
        <v>White Sugar - Damaged</v>
      </c>
      <c r="H226" t="str">
        <f>VLOOKUP(Table2[[#This Row],[product]],Ref[#All],4,FALSE)</f>
        <v>Import</v>
      </c>
      <c r="I226" s="1">
        <v>45929</v>
      </c>
      <c r="J226" t="s">
        <v>127</v>
      </c>
      <c r="K226" t="s">
        <v>2675</v>
      </c>
      <c r="L226" t="s">
        <v>2719</v>
      </c>
      <c r="M226" t="s">
        <v>1593</v>
      </c>
      <c r="N226" t="s">
        <v>784</v>
      </c>
      <c r="O226" t="s">
        <v>1680</v>
      </c>
      <c r="P226" t="s">
        <v>788</v>
      </c>
      <c r="Q226" t="s">
        <v>55</v>
      </c>
      <c r="R226">
        <v>17</v>
      </c>
      <c r="S226" s="15">
        <f>Table2[[#This Row],[movement_quantity]]/VLOOKUP(Table2[[#This Row],[product]],Ref[#All],5,FALSE)</f>
        <v>0.85</v>
      </c>
      <c r="T226">
        <v>0</v>
      </c>
      <c r="U226" t="s">
        <v>122</v>
      </c>
      <c r="V226" t="s">
        <v>18</v>
      </c>
      <c r="W226" t="s">
        <v>2710</v>
      </c>
      <c r="X226" t="s">
        <v>2711</v>
      </c>
      <c r="Y226" s="2" t="s">
        <v>17</v>
      </c>
      <c r="Z226">
        <v>0</v>
      </c>
      <c r="AA226" s="4">
        <v>700000</v>
      </c>
      <c r="AB226" t="str">
        <f>VLOOKUP(Table2[[#This Row],[product]],Ref[#All],6,FALSE)</f>
        <v>BAG50</v>
      </c>
    </row>
    <row r="227" spans="1:28" x14ac:dyDescent="0.25">
      <c r="A227" t="str">
        <f>TEXT(Table2[[#This Row],[dated]],"mmm")</f>
        <v>Apr</v>
      </c>
      <c r="B227" t="s">
        <v>138</v>
      </c>
      <c r="C227" s="1" t="s">
        <v>538</v>
      </c>
      <c r="D227" t="str">
        <f>VLOOKUP(Table2[[#This Row],[product]],Ref[#All],7,FALSE)</f>
        <v>Sesame Non Gadarif</v>
      </c>
      <c r="E227" s="1" t="s">
        <v>77</v>
      </c>
      <c r="F227" t="str">
        <f>VLOOKUP(Table2[[#This Row],[product]],Ref[#All],2,FALSE)</f>
        <v xml:space="preserve">White Sesame Non Gadarif - FG </v>
      </c>
      <c r="G227" t="str">
        <f>VLOOKUP(Table2[[#This Row],[product]],Ref[#All],3,FALSE)</f>
        <v xml:space="preserve">White Sesame Non Gadarif - FG </v>
      </c>
      <c r="H227" t="str">
        <f>VLOOKUP(Table2[[#This Row],[product]],Ref[#All],4,FALSE)</f>
        <v>Export</v>
      </c>
      <c r="I227" s="1">
        <v>45776</v>
      </c>
      <c r="J227" t="s">
        <v>53</v>
      </c>
      <c r="K227" t="s">
        <v>796</v>
      </c>
      <c r="L227" t="s">
        <v>1620</v>
      </c>
      <c r="M227" t="s">
        <v>1586</v>
      </c>
      <c r="N227" t="s">
        <v>784</v>
      </c>
      <c r="O227" t="s">
        <v>1680</v>
      </c>
      <c r="P227" t="s">
        <v>788</v>
      </c>
      <c r="Q227" t="s">
        <v>55</v>
      </c>
      <c r="R227">
        <v>-1</v>
      </c>
      <c r="S227" s="15">
        <f>Table2[[#This Row],[movement_quantity]]/VLOOKUP(Table2[[#This Row],[product]],Ref[#All],5,FALSE)</f>
        <v>-0.05</v>
      </c>
      <c r="T227">
        <v>188251.76316</v>
      </c>
      <c r="U227" t="s">
        <v>17</v>
      </c>
      <c r="V227" t="s">
        <v>18</v>
      </c>
      <c r="W227" t="s">
        <v>797</v>
      </c>
      <c r="X227" t="s">
        <v>17</v>
      </c>
      <c r="Y227" t="s">
        <v>795</v>
      </c>
      <c r="Z227">
        <v>0</v>
      </c>
      <c r="AA227" s="2">
        <v>-188251.76316</v>
      </c>
      <c r="AB227" t="str">
        <f>VLOOKUP(Table2[[#This Row],[product]],Ref[#All],6,FALSE)</f>
        <v>BAG50</v>
      </c>
    </row>
    <row r="228" spans="1:28" x14ac:dyDescent="0.25">
      <c r="A228" t="str">
        <f>TEXT(Table2[[#This Row],[dated]],"mmm")</f>
        <v>Jan</v>
      </c>
      <c r="B228" t="s">
        <v>138</v>
      </c>
      <c r="C228" s="1" t="s">
        <v>538</v>
      </c>
      <c r="D228" t="str">
        <f>VLOOKUP(Table2[[#This Row],[product]],Ref[#All],7,FALSE)</f>
        <v>Sesame Non Gadarif</v>
      </c>
      <c r="E228" t="s">
        <v>77</v>
      </c>
      <c r="F228" t="str">
        <f>VLOOKUP(Table2[[#This Row],[product]],Ref[#All],2,FALSE)</f>
        <v xml:space="preserve">White Sesame Non Gadarif - FG </v>
      </c>
      <c r="G228" t="str">
        <f>VLOOKUP(Table2[[#This Row],[product]],Ref[#All],3,FALSE)</f>
        <v xml:space="preserve">White Sesame Non Gadarif - FG </v>
      </c>
      <c r="H228" t="str">
        <f>VLOOKUP(Table2[[#This Row],[product]],Ref[#All],4,FALSE)</f>
        <v>Export</v>
      </c>
      <c r="I228" s="1">
        <v>45680</v>
      </c>
      <c r="J228" t="s">
        <v>53</v>
      </c>
      <c r="K228" t="s">
        <v>285</v>
      </c>
      <c r="L228" t="s">
        <v>1630</v>
      </c>
      <c r="M228" t="s">
        <v>1586</v>
      </c>
      <c r="N228" t="s">
        <v>784</v>
      </c>
      <c r="O228" t="s">
        <v>1680</v>
      </c>
      <c r="P228" t="s">
        <v>788</v>
      </c>
      <c r="Q228" t="s">
        <v>55</v>
      </c>
      <c r="R228">
        <v>-5</v>
      </c>
      <c r="S228" s="15">
        <f>Table2[[#This Row],[movement_quantity]]/VLOOKUP(Table2[[#This Row],[product]],Ref[#All],5,FALSE)</f>
        <v>-0.25</v>
      </c>
      <c r="T228">
        <v>177205.68421000001</v>
      </c>
      <c r="U228" t="s">
        <v>17</v>
      </c>
      <c r="V228" t="s">
        <v>27</v>
      </c>
      <c r="W228" t="s">
        <v>286</v>
      </c>
      <c r="X228" t="s">
        <v>17</v>
      </c>
      <c r="Y228" t="s">
        <v>80</v>
      </c>
      <c r="Z228">
        <v>0</v>
      </c>
      <c r="AA228" s="2">
        <v>-886028.42105</v>
      </c>
      <c r="AB228" t="str">
        <f>VLOOKUP(Table2[[#This Row],[product]],Ref[#All],6,FALSE)</f>
        <v>BAG50</v>
      </c>
    </row>
    <row r="229" spans="1:28" x14ac:dyDescent="0.25">
      <c r="A229" t="str">
        <f>TEXT(Table2[[#This Row],[dated]],"mmm")</f>
        <v>Jan</v>
      </c>
      <c r="B229" t="s">
        <v>138</v>
      </c>
      <c r="C229" s="1" t="s">
        <v>538</v>
      </c>
      <c r="D229" t="str">
        <f>VLOOKUP(Table2[[#This Row],[product]],Ref[#All],7,FALSE)</f>
        <v>Sesame Non Gadarif</v>
      </c>
      <c r="E229" t="s">
        <v>281</v>
      </c>
      <c r="F229" t="str">
        <f>VLOOKUP(Table2[[#This Row],[product]],Ref[#All],2,FALSE)</f>
        <v>White Sesame Non Gadarif Damage NC 50K</v>
      </c>
      <c r="G229" t="str">
        <f>VLOOKUP(Table2[[#This Row],[product]],Ref[#All],3,FALSE)</f>
        <v>Non Gadarif Sesame - Damage</v>
      </c>
      <c r="H229" t="str">
        <f>VLOOKUP(Table2[[#This Row],[product]],Ref[#All],4,FALSE)</f>
        <v>Export</v>
      </c>
      <c r="I229" s="1">
        <v>45680</v>
      </c>
      <c r="J229" t="s">
        <v>127</v>
      </c>
      <c r="K229" t="s">
        <v>287</v>
      </c>
      <c r="L229" t="s">
        <v>1630</v>
      </c>
      <c r="M229" t="s">
        <v>1593</v>
      </c>
      <c r="N229" t="s">
        <v>784</v>
      </c>
      <c r="O229" t="s">
        <v>1680</v>
      </c>
      <c r="P229" t="s">
        <v>788</v>
      </c>
      <c r="Q229" t="s">
        <v>55</v>
      </c>
      <c r="R229">
        <v>3</v>
      </c>
      <c r="S229" s="15">
        <f>Table2[[#This Row],[movement_quantity]]/VLOOKUP(Table2[[#This Row],[product]],Ref[#All],5,FALSE)</f>
        <v>0.15</v>
      </c>
      <c r="T229">
        <v>0</v>
      </c>
      <c r="U229" t="s">
        <v>163</v>
      </c>
      <c r="V229" t="s">
        <v>21</v>
      </c>
      <c r="W229" t="s">
        <v>288</v>
      </c>
      <c r="X229" t="s">
        <v>289</v>
      </c>
      <c r="Y229" t="s">
        <v>17</v>
      </c>
      <c r="Z229">
        <v>0</v>
      </c>
      <c r="AA229" s="4">
        <v>108000</v>
      </c>
      <c r="AB229" t="str">
        <f>VLOOKUP(Table2[[#This Row],[product]],Ref[#All],6,FALSE)</f>
        <v>BAG50</v>
      </c>
    </row>
    <row r="230" spans="1:28" x14ac:dyDescent="0.25">
      <c r="A230" t="str">
        <f>TEXT(Table2[[#This Row],[dated]],"mmm")</f>
        <v>Jan</v>
      </c>
      <c r="B230" t="s">
        <v>138</v>
      </c>
      <c r="C230" s="1" t="s">
        <v>538</v>
      </c>
      <c r="D230" t="str">
        <f>VLOOKUP(Table2[[#This Row],[product]],Ref[#All],7,FALSE)</f>
        <v>Sesame Non Gadarif</v>
      </c>
      <c r="E230" t="s">
        <v>77</v>
      </c>
      <c r="F230" t="str">
        <f>VLOOKUP(Table2[[#This Row],[product]],Ref[#All],2,FALSE)</f>
        <v xml:space="preserve">White Sesame Non Gadarif - FG </v>
      </c>
      <c r="G230" t="str">
        <f>VLOOKUP(Table2[[#This Row],[product]],Ref[#All],3,FALSE)</f>
        <v xml:space="preserve">White Sesame Non Gadarif - FG </v>
      </c>
      <c r="H230" t="str">
        <f>VLOOKUP(Table2[[#This Row],[product]],Ref[#All],4,FALSE)</f>
        <v>Export</v>
      </c>
      <c r="I230" s="1">
        <v>45680</v>
      </c>
      <c r="J230" t="s">
        <v>53</v>
      </c>
      <c r="K230" t="s">
        <v>301</v>
      </c>
      <c r="L230" t="s">
        <v>1629</v>
      </c>
      <c r="M230" t="s">
        <v>1586</v>
      </c>
      <c r="N230" t="s">
        <v>784</v>
      </c>
      <c r="O230" t="s">
        <v>1680</v>
      </c>
      <c r="P230" t="s">
        <v>788</v>
      </c>
      <c r="Q230" t="s">
        <v>55</v>
      </c>
      <c r="R230">
        <v>-4</v>
      </c>
      <c r="S230" s="15">
        <f>Table2[[#This Row],[movement_quantity]]/VLOOKUP(Table2[[#This Row],[product]],Ref[#All],5,FALSE)</f>
        <v>-0.2</v>
      </c>
      <c r="T230">
        <v>177205.68421000001</v>
      </c>
      <c r="U230" t="s">
        <v>17</v>
      </c>
      <c r="V230" t="s">
        <v>28</v>
      </c>
      <c r="W230" t="s">
        <v>302</v>
      </c>
      <c r="X230" t="s">
        <v>17</v>
      </c>
      <c r="Y230" t="s">
        <v>80</v>
      </c>
      <c r="Z230">
        <v>0</v>
      </c>
      <c r="AA230" s="2">
        <v>-708822.73684000003</v>
      </c>
      <c r="AB230" t="str">
        <f>VLOOKUP(Table2[[#This Row],[product]],Ref[#All],6,FALSE)</f>
        <v>BAG50</v>
      </c>
    </row>
    <row r="231" spans="1:28" x14ac:dyDescent="0.25">
      <c r="A231" t="str">
        <f>TEXT(Table2[[#This Row],[dated]],"mmm")</f>
        <v>Jan</v>
      </c>
      <c r="B231" t="s">
        <v>138</v>
      </c>
      <c r="C231" s="1" t="s">
        <v>538</v>
      </c>
      <c r="D231" t="str">
        <f>VLOOKUP(Table2[[#This Row],[product]],Ref[#All],7,FALSE)</f>
        <v>Sesame Non Gadarif</v>
      </c>
      <c r="E231" t="s">
        <v>281</v>
      </c>
      <c r="F231" t="str">
        <f>VLOOKUP(Table2[[#This Row],[product]],Ref[#All],2,FALSE)</f>
        <v>White Sesame Non Gadarif Damage NC 50K</v>
      </c>
      <c r="G231" t="str">
        <f>VLOOKUP(Table2[[#This Row],[product]],Ref[#All],3,FALSE)</f>
        <v>Non Gadarif Sesame - Damage</v>
      </c>
      <c r="H231" t="str">
        <f>VLOOKUP(Table2[[#This Row],[product]],Ref[#All],4,FALSE)</f>
        <v>Export</v>
      </c>
      <c r="I231" s="1">
        <v>45680</v>
      </c>
      <c r="J231" t="s">
        <v>127</v>
      </c>
      <c r="K231" t="s">
        <v>306</v>
      </c>
      <c r="L231" t="s">
        <v>1629</v>
      </c>
      <c r="M231" t="s">
        <v>1593</v>
      </c>
      <c r="N231" t="s">
        <v>784</v>
      </c>
      <c r="O231" t="s">
        <v>1680</v>
      </c>
      <c r="P231" t="s">
        <v>788</v>
      </c>
      <c r="Q231" t="s">
        <v>55</v>
      </c>
      <c r="R231">
        <v>4</v>
      </c>
      <c r="S231" s="15">
        <f>Table2[[#This Row],[movement_quantity]]/VLOOKUP(Table2[[#This Row],[product]],Ref[#All],5,FALSE)</f>
        <v>0.2</v>
      </c>
      <c r="T231">
        <v>0</v>
      </c>
      <c r="U231" t="s">
        <v>163</v>
      </c>
      <c r="V231" t="s">
        <v>22</v>
      </c>
      <c r="W231" t="s">
        <v>307</v>
      </c>
      <c r="X231" t="s">
        <v>308</v>
      </c>
      <c r="Y231" t="s">
        <v>17</v>
      </c>
      <c r="Z231">
        <v>0</v>
      </c>
      <c r="AA231" s="4">
        <v>144000</v>
      </c>
      <c r="AB231" t="str">
        <f>VLOOKUP(Table2[[#This Row],[product]],Ref[#All],6,FALSE)</f>
        <v>BAG50</v>
      </c>
    </row>
    <row r="232" spans="1:28" x14ac:dyDescent="0.25">
      <c r="A232" t="str">
        <f>TEXT(Table2[[#This Row],[dated]],"mmm")</f>
        <v>Jan</v>
      </c>
      <c r="B232" t="s">
        <v>138</v>
      </c>
      <c r="C232" s="1" t="s">
        <v>538</v>
      </c>
      <c r="D232" t="str">
        <f>VLOOKUP(Table2[[#This Row],[product]],Ref[#All],7,FALSE)</f>
        <v>Sesame Gadarif</v>
      </c>
      <c r="E232" t="s">
        <v>131</v>
      </c>
      <c r="F232" t="str">
        <f>VLOOKUP(Table2[[#This Row],[product]],Ref[#All],2,FALSE)</f>
        <v>Gadarif Sesame - FG</v>
      </c>
      <c r="G232" t="str">
        <f>VLOOKUP(Table2[[#This Row],[product]],Ref[#All],3,FALSE)</f>
        <v>Gadarif Sesame - FG</v>
      </c>
      <c r="H232" t="str">
        <f>VLOOKUP(Table2[[#This Row],[product]],Ref[#All],4,FALSE)</f>
        <v>Export</v>
      </c>
      <c r="I232" s="1">
        <v>45680</v>
      </c>
      <c r="J232" t="s">
        <v>53</v>
      </c>
      <c r="K232" t="s">
        <v>275</v>
      </c>
      <c r="L232" t="s">
        <v>1640</v>
      </c>
      <c r="M232" t="s">
        <v>1586</v>
      </c>
      <c r="N232" t="s">
        <v>784</v>
      </c>
      <c r="O232" t="s">
        <v>1680</v>
      </c>
      <c r="P232" t="s">
        <v>788</v>
      </c>
      <c r="Q232" t="s">
        <v>55</v>
      </c>
      <c r="R232">
        <v>-20</v>
      </c>
      <c r="S232" s="15">
        <f>Table2[[#This Row],[movement_quantity]]/VLOOKUP(Table2[[#This Row],[product]],Ref[#All],5,FALSE)</f>
        <v>-1</v>
      </c>
      <c r="T232">
        <v>187339.86842000001</v>
      </c>
      <c r="U232" t="s">
        <v>17</v>
      </c>
      <c r="V232" t="s">
        <v>23</v>
      </c>
      <c r="W232" t="s">
        <v>276</v>
      </c>
      <c r="X232" t="s">
        <v>17</v>
      </c>
      <c r="Y232" t="s">
        <v>250</v>
      </c>
      <c r="Z232">
        <v>0</v>
      </c>
      <c r="AA232" s="2">
        <v>-3746797.3684</v>
      </c>
      <c r="AB232" t="str">
        <f>VLOOKUP(Table2[[#This Row],[product]],Ref[#All],6,FALSE)</f>
        <v>BAG50</v>
      </c>
    </row>
    <row r="233" spans="1:28" x14ac:dyDescent="0.25">
      <c r="A233" t="str">
        <f>TEXT(Table2[[#This Row],[dated]],"mmm")</f>
        <v>Jan</v>
      </c>
      <c r="B233" t="s">
        <v>138</v>
      </c>
      <c r="C233" s="1" t="s">
        <v>538</v>
      </c>
      <c r="D233" t="str">
        <f>VLOOKUP(Table2[[#This Row],[product]],Ref[#All],7,FALSE)</f>
        <v>Sesame Gadarif</v>
      </c>
      <c r="E233" t="s">
        <v>277</v>
      </c>
      <c r="F233" t="str">
        <f>VLOOKUP(Table2[[#This Row],[product]],Ref[#All],2,FALSE)</f>
        <v>White Sesame Gadarif Damage NC 50K</v>
      </c>
      <c r="G233" t="str">
        <f>VLOOKUP(Table2[[#This Row],[product]],Ref[#All],3,FALSE)</f>
        <v>White Sesame Gadarif - Damage</v>
      </c>
      <c r="H233" t="str">
        <f>VLOOKUP(Table2[[#This Row],[product]],Ref[#All],4,FALSE)</f>
        <v>Export</v>
      </c>
      <c r="I233" s="1">
        <v>45680</v>
      </c>
      <c r="J233" t="s">
        <v>127</v>
      </c>
      <c r="K233" t="s">
        <v>278</v>
      </c>
      <c r="L233" t="s">
        <v>1640</v>
      </c>
      <c r="M233" t="s">
        <v>1593</v>
      </c>
      <c r="N233" t="s">
        <v>784</v>
      </c>
      <c r="O233" t="s">
        <v>1680</v>
      </c>
      <c r="P233" t="s">
        <v>788</v>
      </c>
      <c r="Q233" t="s">
        <v>55</v>
      </c>
      <c r="R233">
        <v>4</v>
      </c>
      <c r="S233" s="15">
        <f>Table2[[#This Row],[movement_quantity]]/VLOOKUP(Table2[[#This Row],[product]],Ref[#All],5,FALSE)</f>
        <v>0.2</v>
      </c>
      <c r="T233">
        <v>0</v>
      </c>
      <c r="U233" t="s">
        <v>163</v>
      </c>
      <c r="V233" t="s">
        <v>18</v>
      </c>
      <c r="W233" t="s">
        <v>279</v>
      </c>
      <c r="X233" t="s">
        <v>280</v>
      </c>
      <c r="Y233" t="s">
        <v>17</v>
      </c>
      <c r="Z233">
        <v>0</v>
      </c>
      <c r="AA233" s="2">
        <v>144000</v>
      </c>
      <c r="AB233" t="str">
        <f>VLOOKUP(Table2[[#This Row],[product]],Ref[#All],6,FALSE)</f>
        <v>BAG50</v>
      </c>
    </row>
    <row r="234" spans="1:28" x14ac:dyDescent="0.25">
      <c r="A234" t="str">
        <f>TEXT(Table2[[#This Row],[dated]],"mmm")</f>
        <v>Jan</v>
      </c>
      <c r="B234" t="s">
        <v>138</v>
      </c>
      <c r="C234" s="1" t="s">
        <v>538</v>
      </c>
      <c r="D234" t="str">
        <f>VLOOKUP(Table2[[#This Row],[product]],Ref[#All],7,FALSE)</f>
        <v>Sesame Gadarif</v>
      </c>
      <c r="E234" t="s">
        <v>131</v>
      </c>
      <c r="F234" t="str">
        <f>VLOOKUP(Table2[[#This Row],[product]],Ref[#All],2,FALSE)</f>
        <v>Gadarif Sesame - FG</v>
      </c>
      <c r="G234" t="str">
        <f>VLOOKUP(Table2[[#This Row],[product]],Ref[#All],3,FALSE)</f>
        <v>Gadarif Sesame - FG</v>
      </c>
      <c r="H234" t="str">
        <f>VLOOKUP(Table2[[#This Row],[product]],Ref[#All],4,FALSE)</f>
        <v>Export</v>
      </c>
      <c r="I234" s="1">
        <v>45680</v>
      </c>
      <c r="J234" t="s">
        <v>53</v>
      </c>
      <c r="K234" t="s">
        <v>299</v>
      </c>
      <c r="L234" t="s">
        <v>1643</v>
      </c>
      <c r="M234" t="s">
        <v>1586</v>
      </c>
      <c r="N234" t="s">
        <v>784</v>
      </c>
      <c r="O234" t="s">
        <v>1680</v>
      </c>
      <c r="P234" t="s">
        <v>788</v>
      </c>
      <c r="Q234" t="s">
        <v>55</v>
      </c>
      <c r="R234">
        <v>-9</v>
      </c>
      <c r="S234" s="15">
        <f>Table2[[#This Row],[movement_quantity]]/VLOOKUP(Table2[[#This Row],[product]],Ref[#All],5,FALSE)</f>
        <v>-0.45</v>
      </c>
      <c r="T234">
        <v>187339.86842000001</v>
      </c>
      <c r="U234" t="s">
        <v>17</v>
      </c>
      <c r="V234" t="s">
        <v>25</v>
      </c>
      <c r="W234" t="s">
        <v>300</v>
      </c>
      <c r="X234" t="s">
        <v>17</v>
      </c>
      <c r="Y234" t="s">
        <v>250</v>
      </c>
      <c r="Z234">
        <v>0</v>
      </c>
      <c r="AA234" s="2">
        <v>-1686058.8157800001</v>
      </c>
      <c r="AB234" t="str">
        <f>VLOOKUP(Table2[[#This Row],[product]],Ref[#All],6,FALSE)</f>
        <v>BAG50</v>
      </c>
    </row>
    <row r="235" spans="1:28" x14ac:dyDescent="0.25">
      <c r="A235" t="str">
        <f>TEXT(Table2[[#This Row],[dated]],"mmm")</f>
        <v>Jan</v>
      </c>
      <c r="B235" t="s">
        <v>138</v>
      </c>
      <c r="C235" s="1" t="s">
        <v>538</v>
      </c>
      <c r="D235" t="str">
        <f>VLOOKUP(Table2[[#This Row],[product]],Ref[#All],7,FALSE)</f>
        <v>Sesame Gadarif</v>
      </c>
      <c r="E235" t="s">
        <v>277</v>
      </c>
      <c r="F235" t="str">
        <f>VLOOKUP(Table2[[#This Row],[product]],Ref[#All],2,FALSE)</f>
        <v>White Sesame Gadarif Damage NC 50K</v>
      </c>
      <c r="G235" t="str">
        <f>VLOOKUP(Table2[[#This Row],[product]],Ref[#All],3,FALSE)</f>
        <v>White Sesame Gadarif - Damage</v>
      </c>
      <c r="H235" t="str">
        <f>VLOOKUP(Table2[[#This Row],[product]],Ref[#All],4,FALSE)</f>
        <v>Export</v>
      </c>
      <c r="I235" s="1">
        <v>45680</v>
      </c>
      <c r="J235" t="s">
        <v>127</v>
      </c>
      <c r="K235" t="s">
        <v>303</v>
      </c>
      <c r="L235" t="s">
        <v>1643</v>
      </c>
      <c r="M235" t="s">
        <v>1593</v>
      </c>
      <c r="N235" t="s">
        <v>784</v>
      </c>
      <c r="O235" t="s">
        <v>1680</v>
      </c>
      <c r="P235" t="s">
        <v>788</v>
      </c>
      <c r="Q235" t="s">
        <v>55</v>
      </c>
      <c r="R235">
        <v>9</v>
      </c>
      <c r="S235" s="15">
        <f>Table2[[#This Row],[movement_quantity]]/VLOOKUP(Table2[[#This Row],[product]],Ref[#All],5,FALSE)</f>
        <v>0.45</v>
      </c>
      <c r="T235">
        <v>0</v>
      </c>
      <c r="U235" t="s">
        <v>163</v>
      </c>
      <c r="V235" t="s">
        <v>22</v>
      </c>
      <c r="W235" t="s">
        <v>304</v>
      </c>
      <c r="X235" t="s">
        <v>305</v>
      </c>
      <c r="Y235" t="s">
        <v>17</v>
      </c>
      <c r="Z235">
        <v>0</v>
      </c>
      <c r="AA235" s="2">
        <v>324000</v>
      </c>
      <c r="AB235" t="str">
        <f>VLOOKUP(Table2[[#This Row],[product]],Ref[#All],6,FALSE)</f>
        <v>BAG50</v>
      </c>
    </row>
    <row r="236" spans="1:28" x14ac:dyDescent="0.25">
      <c r="A236" t="str">
        <f>TEXT(Table2[[#This Row],[dated]],"mmm")</f>
        <v>Apr</v>
      </c>
      <c r="B236" t="s">
        <v>138</v>
      </c>
      <c r="C236" s="1" t="s">
        <v>538</v>
      </c>
      <c r="D236" t="str">
        <f>VLOOKUP(Table2[[#This Row],[product]],Ref[#All],7,FALSE)</f>
        <v>Sesame Gadarif</v>
      </c>
      <c r="E236" s="1" t="s">
        <v>131</v>
      </c>
      <c r="F236" t="str">
        <f>VLOOKUP(Table2[[#This Row],[product]],Ref[#All],2,FALSE)</f>
        <v>Gadarif Sesame - FG</v>
      </c>
      <c r="G236" t="str">
        <f>VLOOKUP(Table2[[#This Row],[product]],Ref[#All],3,FALSE)</f>
        <v>Gadarif Sesame - FG</v>
      </c>
      <c r="H236" t="str">
        <f>VLOOKUP(Table2[[#This Row],[product]],Ref[#All],4,FALSE)</f>
        <v>Export</v>
      </c>
      <c r="I236" s="1">
        <v>45776</v>
      </c>
      <c r="J236" t="s">
        <v>53</v>
      </c>
      <c r="K236" t="s">
        <v>793</v>
      </c>
      <c r="L236" t="s">
        <v>1619</v>
      </c>
      <c r="M236" t="s">
        <v>1586</v>
      </c>
      <c r="N236" t="s">
        <v>784</v>
      </c>
      <c r="O236" t="s">
        <v>1680</v>
      </c>
      <c r="P236" t="s">
        <v>788</v>
      </c>
      <c r="Q236" t="s">
        <v>55</v>
      </c>
      <c r="R236">
        <v>-9</v>
      </c>
      <c r="S236" s="15">
        <f>Table2[[#This Row],[movement_quantity]]/VLOOKUP(Table2[[#This Row],[product]],Ref[#All],5,FALSE)</f>
        <v>-0.45</v>
      </c>
      <c r="T236">
        <v>199389.76316</v>
      </c>
      <c r="U236" t="s">
        <v>17</v>
      </c>
      <c r="V236" t="s">
        <v>18</v>
      </c>
      <c r="W236" t="s">
        <v>794</v>
      </c>
      <c r="X236" t="s">
        <v>17</v>
      </c>
      <c r="Y236" t="s">
        <v>795</v>
      </c>
      <c r="Z236">
        <v>0</v>
      </c>
      <c r="AA236" s="2">
        <v>-1794507.8684400001</v>
      </c>
      <c r="AB236" t="str">
        <f>VLOOKUP(Table2[[#This Row],[product]],Ref[#All],6,FALSE)</f>
        <v>BAG50</v>
      </c>
    </row>
    <row r="237" spans="1:28" x14ac:dyDescent="0.25">
      <c r="A237" t="str">
        <f>TEXT(Table2[[#This Row],[dated]],"mmm")</f>
        <v>Apr</v>
      </c>
      <c r="B237" t="s">
        <v>138</v>
      </c>
      <c r="C237" s="1" t="s">
        <v>538</v>
      </c>
      <c r="D237" t="str">
        <f>VLOOKUP(Table2[[#This Row],[product]],Ref[#All],7,FALSE)</f>
        <v>Sesame Gadarif</v>
      </c>
      <c r="E237" s="1" t="s">
        <v>277</v>
      </c>
      <c r="F237" t="str">
        <f>VLOOKUP(Table2[[#This Row],[product]],Ref[#All],2,FALSE)</f>
        <v>White Sesame Gadarif Damage NC 50K</v>
      </c>
      <c r="G237" t="str">
        <f>VLOOKUP(Table2[[#This Row],[product]],Ref[#All],3,FALSE)</f>
        <v>White Sesame Gadarif - Damage</v>
      </c>
      <c r="H237" t="str">
        <f>VLOOKUP(Table2[[#This Row],[product]],Ref[#All],4,FALSE)</f>
        <v>Export</v>
      </c>
      <c r="I237" s="1">
        <v>45776</v>
      </c>
      <c r="J237" t="s">
        <v>127</v>
      </c>
      <c r="K237" t="s">
        <v>798</v>
      </c>
      <c r="L237" t="s">
        <v>1619</v>
      </c>
      <c r="M237" t="s">
        <v>1593</v>
      </c>
      <c r="N237" t="s">
        <v>784</v>
      </c>
      <c r="O237" t="s">
        <v>1680</v>
      </c>
      <c r="P237" t="s">
        <v>788</v>
      </c>
      <c r="Q237" t="s">
        <v>55</v>
      </c>
      <c r="R237">
        <v>9</v>
      </c>
      <c r="S237" s="15">
        <f>Table2[[#This Row],[movement_quantity]]/VLOOKUP(Table2[[#This Row],[product]],Ref[#All],5,FALSE)</f>
        <v>0.45</v>
      </c>
      <c r="T237">
        <v>0</v>
      </c>
      <c r="U237" t="s">
        <v>163</v>
      </c>
      <c r="V237" t="s">
        <v>18</v>
      </c>
      <c r="W237" t="s">
        <v>799</v>
      </c>
      <c r="X237" t="s">
        <v>800</v>
      </c>
      <c r="Y237" t="s">
        <v>17</v>
      </c>
      <c r="Z237">
        <v>0</v>
      </c>
      <c r="AA237" s="2">
        <v>0</v>
      </c>
      <c r="AB237" t="str">
        <f>VLOOKUP(Table2[[#This Row],[product]],Ref[#All],6,FALSE)</f>
        <v>BAG50</v>
      </c>
    </row>
    <row r="238" spans="1:28" x14ac:dyDescent="0.25">
      <c r="A238" t="str">
        <f>TEXT(Table2[[#This Row],[dated]],"mmm")</f>
        <v>Jan</v>
      </c>
      <c r="B238" t="s">
        <v>40</v>
      </c>
      <c r="C238" s="1" t="s">
        <v>538</v>
      </c>
      <c r="D238" t="str">
        <f>VLOOKUP(Table2[[#This Row],[product]],Ref[#All],7,FALSE)</f>
        <v>Rice</v>
      </c>
      <c r="E238" t="s">
        <v>176</v>
      </c>
      <c r="F238" t="str">
        <f>VLOOKUP(Table2[[#This Row],[product]],Ref[#All],2,FALSE)</f>
        <v>Rice Long Grade 1 Elngm 20Kg</v>
      </c>
      <c r="G238" t="str">
        <f>VLOOKUP(Table2[[#This Row],[product]],Ref[#All],3,FALSE)</f>
        <v>Rice Long Grain</v>
      </c>
      <c r="H238" t="str">
        <f>VLOOKUP(Table2[[#This Row],[product]],Ref[#All],4,FALSE)</f>
        <v>Import</v>
      </c>
      <c r="I238" s="1">
        <v>45677</v>
      </c>
      <c r="J238" t="s">
        <v>53</v>
      </c>
      <c r="K238" t="s">
        <v>259</v>
      </c>
      <c r="L238" t="s">
        <v>1634</v>
      </c>
      <c r="M238" t="s">
        <v>1586</v>
      </c>
      <c r="N238" t="s">
        <v>784</v>
      </c>
      <c r="O238" t="s">
        <v>1680</v>
      </c>
      <c r="P238" t="s">
        <v>788</v>
      </c>
      <c r="Q238" t="s">
        <v>55</v>
      </c>
      <c r="R238">
        <v>-26</v>
      </c>
      <c r="S238" s="15">
        <f>Table2[[#This Row],[movement_quantity]]/VLOOKUP(Table2[[#This Row],[product]],Ref[#All],5,FALSE)</f>
        <v>-0.52</v>
      </c>
      <c r="T238">
        <v>30148.652330000001</v>
      </c>
      <c r="U238" t="s">
        <v>17</v>
      </c>
      <c r="V238" t="s">
        <v>18</v>
      </c>
      <c r="W238" t="s">
        <v>260</v>
      </c>
      <c r="X238" t="s">
        <v>17</v>
      </c>
      <c r="Y238" t="s">
        <v>261</v>
      </c>
      <c r="Z238">
        <v>0</v>
      </c>
      <c r="AA238" s="2">
        <v>-783864.96058000007</v>
      </c>
      <c r="AB238" t="str">
        <f>VLOOKUP(Table2[[#This Row],[product]],Ref[#All],6,FALSE)</f>
        <v>BAG20</v>
      </c>
    </row>
    <row r="239" spans="1:28" x14ac:dyDescent="0.25">
      <c r="A239" t="str">
        <f>TEXT(Table2[[#This Row],[dated]],"mmm")</f>
        <v>Jan</v>
      </c>
      <c r="B239" t="s">
        <v>40</v>
      </c>
      <c r="C239" s="1" t="s">
        <v>538</v>
      </c>
      <c r="D239" t="str">
        <f>VLOOKUP(Table2[[#This Row],[product]],Ref[#All],7,FALSE)</f>
        <v>Rice</v>
      </c>
      <c r="E239" t="s">
        <v>176</v>
      </c>
      <c r="F239" t="str">
        <f>VLOOKUP(Table2[[#This Row],[product]],Ref[#All],2,FALSE)</f>
        <v>Rice Long Grade 1 Elngm 20Kg</v>
      </c>
      <c r="G239" t="str">
        <f>VLOOKUP(Table2[[#This Row],[product]],Ref[#All],3,FALSE)</f>
        <v>Rice Long Grain</v>
      </c>
      <c r="H239" t="str">
        <f>VLOOKUP(Table2[[#This Row],[product]],Ref[#All],4,FALSE)</f>
        <v>Import</v>
      </c>
      <c r="I239" s="1">
        <v>45677</v>
      </c>
      <c r="J239" t="s">
        <v>53</v>
      </c>
      <c r="K239" t="s">
        <v>262</v>
      </c>
      <c r="L239" t="s">
        <v>1635</v>
      </c>
      <c r="M239" t="s">
        <v>1586</v>
      </c>
      <c r="N239" t="s">
        <v>784</v>
      </c>
      <c r="O239" t="s">
        <v>1680</v>
      </c>
      <c r="P239" t="s">
        <v>788</v>
      </c>
      <c r="Q239" t="s">
        <v>55</v>
      </c>
      <c r="R239">
        <v>-3</v>
      </c>
      <c r="S239" s="15">
        <f>Table2[[#This Row],[movement_quantity]]/VLOOKUP(Table2[[#This Row],[product]],Ref[#All],5,FALSE)</f>
        <v>-0.06</v>
      </c>
      <c r="T239">
        <v>30148.652330000001</v>
      </c>
      <c r="U239" t="s">
        <v>17</v>
      </c>
      <c r="V239" t="s">
        <v>21</v>
      </c>
      <c r="W239" t="s">
        <v>263</v>
      </c>
      <c r="X239" t="s">
        <v>17</v>
      </c>
      <c r="Y239" t="s">
        <v>261</v>
      </c>
      <c r="Z239">
        <v>0</v>
      </c>
      <c r="AA239" s="2">
        <v>-90445.956990000006</v>
      </c>
      <c r="AB239" t="str">
        <f>VLOOKUP(Table2[[#This Row],[product]],Ref[#All],6,FALSE)</f>
        <v>BAG20</v>
      </c>
    </row>
    <row r="240" spans="1:28" x14ac:dyDescent="0.25">
      <c r="A240" t="str">
        <f>TEXT(Table2[[#This Row],[dated]],"mmm")</f>
        <v>Jan</v>
      </c>
      <c r="B240" t="s">
        <v>40</v>
      </c>
      <c r="C240" s="1" t="s">
        <v>538</v>
      </c>
      <c r="D240" t="str">
        <f>VLOOKUP(Table2[[#This Row],[product]],Ref[#All],7,FALSE)</f>
        <v>Rice</v>
      </c>
      <c r="E240" t="s">
        <v>341</v>
      </c>
      <c r="F240" t="str">
        <f>VLOOKUP(Table2[[#This Row],[product]],Ref[#All],2,FALSE)</f>
        <v>Rice Damaged 25KG</v>
      </c>
      <c r="G240" t="str">
        <f>VLOOKUP(Table2[[#This Row],[product]],Ref[#All],3,FALSE)</f>
        <v>Rice - Damaged</v>
      </c>
      <c r="H240" t="str">
        <f>VLOOKUP(Table2[[#This Row],[product]],Ref[#All],4,FALSE)</f>
        <v>Import</v>
      </c>
      <c r="I240" s="1">
        <v>45686</v>
      </c>
      <c r="J240" t="s">
        <v>127</v>
      </c>
      <c r="K240" t="s">
        <v>342</v>
      </c>
      <c r="L240" t="s">
        <v>1636</v>
      </c>
      <c r="M240" t="s">
        <v>1593</v>
      </c>
      <c r="N240" t="s">
        <v>784</v>
      </c>
      <c r="O240" t="s">
        <v>1680</v>
      </c>
      <c r="P240" t="s">
        <v>788</v>
      </c>
      <c r="Q240" t="s">
        <v>55</v>
      </c>
      <c r="R240">
        <v>9</v>
      </c>
      <c r="S240" s="15">
        <f>Table2[[#This Row],[movement_quantity]]/VLOOKUP(Table2[[#This Row],[product]],Ref[#All],5,FALSE)</f>
        <v>0.22500000000000001</v>
      </c>
      <c r="T240">
        <v>0</v>
      </c>
      <c r="U240" t="s">
        <v>122</v>
      </c>
      <c r="V240" t="s">
        <v>18</v>
      </c>
      <c r="W240" t="s">
        <v>343</v>
      </c>
      <c r="X240" t="s">
        <v>344</v>
      </c>
      <c r="Y240" t="s">
        <v>17</v>
      </c>
      <c r="Z240">
        <v>0</v>
      </c>
      <c r="AA240" s="2">
        <v>0</v>
      </c>
      <c r="AB240" t="str">
        <f>VLOOKUP(Table2[[#This Row],[product]],Ref[#All],6,FALSE)</f>
        <v>BAG25</v>
      </c>
    </row>
    <row r="241" spans="1:28" x14ac:dyDescent="0.25">
      <c r="A241" t="str">
        <f>TEXT(Table2[[#This Row],[dated]],"mmm")</f>
        <v>Jan</v>
      </c>
      <c r="B241" t="s">
        <v>40</v>
      </c>
      <c r="C241" s="1" t="s">
        <v>538</v>
      </c>
      <c r="D241" t="str">
        <f>VLOOKUP(Table2[[#This Row],[product]],Ref[#All],7,FALSE)</f>
        <v>Rice</v>
      </c>
      <c r="E241" t="s">
        <v>47</v>
      </c>
      <c r="F241" t="str">
        <f>VLOOKUP(Table2[[#This Row],[product]],Ref[#All],2,FALSE)</f>
        <v>Rice Long Grade 2 Elngm 20Kg</v>
      </c>
      <c r="G241" t="str">
        <f>VLOOKUP(Table2[[#This Row],[product]],Ref[#All],3,FALSE)</f>
        <v>Rice Long Grain</v>
      </c>
      <c r="H241" t="str">
        <f>VLOOKUP(Table2[[#This Row],[product]],Ref[#All],4,FALSE)</f>
        <v>Import</v>
      </c>
      <c r="I241" s="1">
        <v>45686</v>
      </c>
      <c r="J241" t="s">
        <v>53</v>
      </c>
      <c r="K241" t="s">
        <v>391</v>
      </c>
      <c r="L241" t="s">
        <v>1636</v>
      </c>
      <c r="M241" t="s">
        <v>1586</v>
      </c>
      <c r="N241" t="s">
        <v>784</v>
      </c>
      <c r="O241" t="s">
        <v>1680</v>
      </c>
      <c r="P241" t="s">
        <v>788</v>
      </c>
      <c r="Q241" t="s">
        <v>55</v>
      </c>
      <c r="R241">
        <v>-37</v>
      </c>
      <c r="S241" s="15">
        <f>Table2[[#This Row],[movement_quantity]]/VLOOKUP(Table2[[#This Row],[product]],Ref[#All],5,FALSE)</f>
        <v>-0.74</v>
      </c>
      <c r="T241">
        <v>30148.652330000001</v>
      </c>
      <c r="U241" t="s">
        <v>17</v>
      </c>
      <c r="V241" t="s">
        <v>18</v>
      </c>
      <c r="W241" t="s">
        <v>392</v>
      </c>
      <c r="X241" t="s">
        <v>17</v>
      </c>
      <c r="Y241" t="s">
        <v>160</v>
      </c>
      <c r="Z241">
        <v>0</v>
      </c>
      <c r="AA241" s="2">
        <v>-1115500.1362100001</v>
      </c>
      <c r="AB241" t="str">
        <f>VLOOKUP(Table2[[#This Row],[product]],Ref[#All],6,FALSE)</f>
        <v>BAG20</v>
      </c>
    </row>
    <row r="242" spans="1:28" x14ac:dyDescent="0.25">
      <c r="A242" t="str">
        <f>TEXT(Table2[[#This Row],[dated]],"mmm")</f>
        <v>Jan</v>
      </c>
      <c r="B242" t="s">
        <v>123</v>
      </c>
      <c r="C242" s="1" t="s">
        <v>538</v>
      </c>
      <c r="D242" t="str">
        <f>VLOOKUP(Table2[[#This Row],[product]],Ref[#All],7,FALSE)</f>
        <v>Rice</v>
      </c>
      <c r="E242" t="s">
        <v>47</v>
      </c>
      <c r="F242" t="str">
        <f>VLOOKUP(Table2[[#This Row],[product]],Ref[#All],2,FALSE)</f>
        <v>Rice Long Grade 2 Elngm 20Kg</v>
      </c>
      <c r="G242" t="str">
        <f>VLOOKUP(Table2[[#This Row],[product]],Ref[#All],3,FALSE)</f>
        <v>Rice Long Grain</v>
      </c>
      <c r="H242" t="str">
        <f>VLOOKUP(Table2[[#This Row],[product]],Ref[#All],4,FALSE)</f>
        <v>Import</v>
      </c>
      <c r="I242" s="1">
        <v>45686</v>
      </c>
      <c r="J242" t="s">
        <v>53</v>
      </c>
      <c r="K242" t="s">
        <v>393</v>
      </c>
      <c r="L242" t="s">
        <v>1636</v>
      </c>
      <c r="M242" t="s">
        <v>1586</v>
      </c>
      <c r="N242" t="s">
        <v>784</v>
      </c>
      <c r="O242" t="s">
        <v>1680</v>
      </c>
      <c r="P242" t="s">
        <v>788</v>
      </c>
      <c r="Q242" t="s">
        <v>55</v>
      </c>
      <c r="R242">
        <v>-11</v>
      </c>
      <c r="S242" s="15">
        <f>Table2[[#This Row],[movement_quantity]]/VLOOKUP(Table2[[#This Row],[product]],Ref[#All],5,FALSE)</f>
        <v>-0.22</v>
      </c>
      <c r="T242">
        <v>30148.652330000001</v>
      </c>
      <c r="U242" t="s">
        <v>17</v>
      </c>
      <c r="V242" t="s">
        <v>18</v>
      </c>
      <c r="W242" t="s">
        <v>394</v>
      </c>
      <c r="X242" t="s">
        <v>17</v>
      </c>
      <c r="Y242" t="s">
        <v>395</v>
      </c>
      <c r="Z242">
        <v>0</v>
      </c>
      <c r="AA242" s="2">
        <v>-331635.17563000001</v>
      </c>
      <c r="AB242" t="str">
        <f>VLOOKUP(Table2[[#This Row],[product]],Ref[#All],6,FALSE)</f>
        <v>BAG20</v>
      </c>
    </row>
    <row r="243" spans="1:28" x14ac:dyDescent="0.25">
      <c r="A243" t="str">
        <f>TEXT(Table2[[#This Row],[dated]],"mmm")</f>
        <v>Mar</v>
      </c>
      <c r="B243" t="s">
        <v>40</v>
      </c>
      <c r="C243" s="1" t="s">
        <v>538</v>
      </c>
      <c r="D243" t="str">
        <f>VLOOKUP(Table2[[#This Row],[product]],Ref[#All],7,FALSE)</f>
        <v>Lentils</v>
      </c>
      <c r="E243" t="s">
        <v>39</v>
      </c>
      <c r="F243" t="str">
        <f>VLOOKUP(Table2[[#This Row],[product]],Ref[#All],2,FALSE)</f>
        <v>Lentil TAT 20KG</v>
      </c>
      <c r="G243" t="str">
        <f>VLOOKUP(Table2[[#This Row],[product]],Ref[#All],3,FALSE)</f>
        <v>Lentils</v>
      </c>
      <c r="H243" t="str">
        <f>VLOOKUP(Table2[[#This Row],[product]],Ref[#All],4,FALSE)</f>
        <v>Import</v>
      </c>
      <c r="I243" s="1">
        <v>45735</v>
      </c>
      <c r="J243" t="s">
        <v>53</v>
      </c>
      <c r="K243" t="s">
        <v>647</v>
      </c>
      <c r="L243" t="s">
        <v>1929</v>
      </c>
      <c r="M243" t="s">
        <v>1586</v>
      </c>
      <c r="N243" t="s">
        <v>784</v>
      </c>
      <c r="O243" t="s">
        <v>1680</v>
      </c>
      <c r="P243" t="s">
        <v>788</v>
      </c>
      <c r="Q243" t="s">
        <v>55</v>
      </c>
      <c r="R243">
        <v>-24</v>
      </c>
      <c r="S243" s="15">
        <f>Table2[[#This Row],[movement_quantity]]/VLOOKUP(Table2[[#This Row],[product]],Ref[#All],5,FALSE)</f>
        <v>-0.48</v>
      </c>
      <c r="T243">
        <v>50018.234799999998</v>
      </c>
      <c r="U243" t="s">
        <v>17</v>
      </c>
      <c r="V243" t="s">
        <v>24</v>
      </c>
      <c r="W243" t="s">
        <v>648</v>
      </c>
      <c r="X243" t="s">
        <v>17</v>
      </c>
      <c r="Y243" t="s">
        <v>649</v>
      </c>
      <c r="Z243">
        <v>0</v>
      </c>
      <c r="AA243" s="2">
        <v>-1200437.6351999999</v>
      </c>
      <c r="AB243" t="str">
        <f>VLOOKUP(Table2[[#This Row],[product]],Ref[#All],6,FALSE)</f>
        <v>BAG20</v>
      </c>
    </row>
    <row r="244" spans="1:28" x14ac:dyDescent="0.25">
      <c r="A244" t="str">
        <f>TEXT(Table2[[#This Row],[dated]],"mmm")</f>
        <v>Mar</v>
      </c>
      <c r="B244" t="s">
        <v>40</v>
      </c>
      <c r="C244" s="1" t="s">
        <v>538</v>
      </c>
      <c r="D244" t="str">
        <f>VLOOKUP(Table2[[#This Row],[product]],Ref[#All],7,FALSE)</f>
        <v>Lentils</v>
      </c>
      <c r="E244" t="s">
        <v>39</v>
      </c>
      <c r="F244" t="str">
        <f>VLOOKUP(Table2[[#This Row],[product]],Ref[#All],2,FALSE)</f>
        <v>Lentil TAT 20KG</v>
      </c>
      <c r="G244" t="str">
        <f>VLOOKUP(Table2[[#This Row],[product]],Ref[#All],3,FALSE)</f>
        <v>Lentils</v>
      </c>
      <c r="H244" t="str">
        <f>VLOOKUP(Table2[[#This Row],[product]],Ref[#All],4,FALSE)</f>
        <v>Import</v>
      </c>
      <c r="I244" s="1">
        <v>45735</v>
      </c>
      <c r="J244" t="s">
        <v>53</v>
      </c>
      <c r="K244" t="s">
        <v>650</v>
      </c>
      <c r="L244" t="s">
        <v>1929</v>
      </c>
      <c r="M244" t="s">
        <v>1586</v>
      </c>
      <c r="N244" t="s">
        <v>784</v>
      </c>
      <c r="O244" t="s">
        <v>1680</v>
      </c>
      <c r="P244" t="s">
        <v>788</v>
      </c>
      <c r="Q244" t="s">
        <v>55</v>
      </c>
      <c r="R244">
        <v>-21</v>
      </c>
      <c r="S244" s="15">
        <f>Table2[[#This Row],[movement_quantity]]/VLOOKUP(Table2[[#This Row],[product]],Ref[#All],5,FALSE)</f>
        <v>-0.42</v>
      </c>
      <c r="T244">
        <v>50018.234799999998</v>
      </c>
      <c r="U244" t="s">
        <v>17</v>
      </c>
      <c r="V244" t="s">
        <v>25</v>
      </c>
      <c r="W244" t="s">
        <v>651</v>
      </c>
      <c r="X244" t="s">
        <v>17</v>
      </c>
      <c r="Y244" t="s">
        <v>649</v>
      </c>
      <c r="Z244">
        <v>0</v>
      </c>
      <c r="AA244" s="2">
        <v>-1050382.9308</v>
      </c>
      <c r="AB244" t="str">
        <f>VLOOKUP(Table2[[#This Row],[product]],Ref[#All],6,FALSE)</f>
        <v>BAG20</v>
      </c>
    </row>
    <row r="245" spans="1:28" x14ac:dyDescent="0.25">
      <c r="A245" t="str">
        <f>TEXT(Table2[[#This Row],[dated]],"mmm")</f>
        <v>Mar</v>
      </c>
      <c r="B245" t="s">
        <v>40</v>
      </c>
      <c r="C245" s="1" t="s">
        <v>538</v>
      </c>
      <c r="D245" t="str">
        <f>VLOOKUP(Table2[[#This Row],[product]],Ref[#All],7,FALSE)</f>
        <v>Lentils</v>
      </c>
      <c r="E245" t="s">
        <v>39</v>
      </c>
      <c r="F245" t="str">
        <f>VLOOKUP(Table2[[#This Row],[product]],Ref[#All],2,FALSE)</f>
        <v>Lentil TAT 20KG</v>
      </c>
      <c r="G245" t="str">
        <f>VLOOKUP(Table2[[#This Row],[product]],Ref[#All],3,FALSE)</f>
        <v>Lentils</v>
      </c>
      <c r="H245" t="str">
        <f>VLOOKUP(Table2[[#This Row],[product]],Ref[#All],4,FALSE)</f>
        <v>Import</v>
      </c>
      <c r="I245" s="1">
        <v>45735</v>
      </c>
      <c r="J245" t="s">
        <v>53</v>
      </c>
      <c r="K245" t="s">
        <v>652</v>
      </c>
      <c r="L245" t="s">
        <v>1929</v>
      </c>
      <c r="M245" t="s">
        <v>1586</v>
      </c>
      <c r="N245" t="s">
        <v>784</v>
      </c>
      <c r="O245" t="s">
        <v>1680</v>
      </c>
      <c r="P245" t="s">
        <v>788</v>
      </c>
      <c r="Q245" t="s">
        <v>55</v>
      </c>
      <c r="R245">
        <v>-1</v>
      </c>
      <c r="S245" s="15">
        <f>Table2[[#This Row],[movement_quantity]]/VLOOKUP(Table2[[#This Row],[product]],Ref[#All],5,FALSE)</f>
        <v>-0.02</v>
      </c>
      <c r="T245">
        <v>50018.234799999998</v>
      </c>
      <c r="U245" t="s">
        <v>17</v>
      </c>
      <c r="V245" t="s">
        <v>26</v>
      </c>
      <c r="W245" t="s">
        <v>653</v>
      </c>
      <c r="X245" t="s">
        <v>17</v>
      </c>
      <c r="Y245" t="s">
        <v>649</v>
      </c>
      <c r="Z245">
        <v>0</v>
      </c>
      <c r="AA245" s="2">
        <v>-50018.234799999998</v>
      </c>
      <c r="AB245" t="str">
        <f>VLOOKUP(Table2[[#This Row],[product]],Ref[#All],6,FALSE)</f>
        <v>BAG20</v>
      </c>
    </row>
    <row r="246" spans="1:28" x14ac:dyDescent="0.25">
      <c r="A246" t="str">
        <f>TEXT(Table2[[#This Row],[dated]],"mmm")</f>
        <v>Mar</v>
      </c>
      <c r="B246" t="s">
        <v>40</v>
      </c>
      <c r="C246" s="1" t="s">
        <v>538</v>
      </c>
      <c r="D246" t="str">
        <f>VLOOKUP(Table2[[#This Row],[product]],Ref[#All],7,FALSE)</f>
        <v>Lentils</v>
      </c>
      <c r="E246" t="s">
        <v>39</v>
      </c>
      <c r="F246" t="str">
        <f>VLOOKUP(Table2[[#This Row],[product]],Ref[#All],2,FALSE)</f>
        <v>Lentil TAT 20KG</v>
      </c>
      <c r="G246" t="str">
        <f>VLOOKUP(Table2[[#This Row],[product]],Ref[#All],3,FALSE)</f>
        <v>Lentils</v>
      </c>
      <c r="H246" t="str">
        <f>VLOOKUP(Table2[[#This Row],[product]],Ref[#All],4,FALSE)</f>
        <v>Import</v>
      </c>
      <c r="I246" s="1">
        <v>45735</v>
      </c>
      <c r="J246" t="s">
        <v>53</v>
      </c>
      <c r="K246" t="s">
        <v>654</v>
      </c>
      <c r="L246" t="s">
        <v>1929</v>
      </c>
      <c r="M246" t="s">
        <v>1586</v>
      </c>
      <c r="N246" t="s">
        <v>784</v>
      </c>
      <c r="O246" t="s">
        <v>1680</v>
      </c>
      <c r="P246" t="s">
        <v>788</v>
      </c>
      <c r="Q246" t="s">
        <v>55</v>
      </c>
      <c r="R246">
        <v>-5</v>
      </c>
      <c r="S246" s="15">
        <f>Table2[[#This Row],[movement_quantity]]/VLOOKUP(Table2[[#This Row],[product]],Ref[#All],5,FALSE)</f>
        <v>-0.1</v>
      </c>
      <c r="T246">
        <v>50018.234799999998</v>
      </c>
      <c r="U246" t="s">
        <v>17</v>
      </c>
      <c r="V246" t="s">
        <v>27</v>
      </c>
      <c r="W246" t="s">
        <v>655</v>
      </c>
      <c r="X246" t="s">
        <v>17</v>
      </c>
      <c r="Y246" t="s">
        <v>649</v>
      </c>
      <c r="Z246">
        <v>0</v>
      </c>
      <c r="AA246" s="2">
        <v>-250091.174</v>
      </c>
      <c r="AB246" t="str">
        <f>VLOOKUP(Table2[[#This Row],[product]],Ref[#All],6,FALSE)</f>
        <v>BAG20</v>
      </c>
    </row>
    <row r="247" spans="1:28" x14ac:dyDescent="0.25">
      <c r="A247" t="str">
        <f>TEXT(Table2[[#This Row],[dated]],"mmm")</f>
        <v>Mar</v>
      </c>
      <c r="B247" t="s">
        <v>40</v>
      </c>
      <c r="C247" s="1" t="s">
        <v>538</v>
      </c>
      <c r="D247" t="str">
        <f>VLOOKUP(Table2[[#This Row],[product]],Ref[#All],7,FALSE)</f>
        <v>Lentils</v>
      </c>
      <c r="E247" t="s">
        <v>39</v>
      </c>
      <c r="F247" t="str">
        <f>VLOOKUP(Table2[[#This Row],[product]],Ref[#All],2,FALSE)</f>
        <v>Lentil TAT 20KG</v>
      </c>
      <c r="G247" t="str">
        <f>VLOOKUP(Table2[[#This Row],[product]],Ref[#All],3,FALSE)</f>
        <v>Lentils</v>
      </c>
      <c r="H247" t="str">
        <f>VLOOKUP(Table2[[#This Row],[product]],Ref[#All],4,FALSE)</f>
        <v>Import</v>
      </c>
      <c r="I247" s="1">
        <v>45735</v>
      </c>
      <c r="J247" t="s">
        <v>53</v>
      </c>
      <c r="K247" t="s">
        <v>656</v>
      </c>
      <c r="L247" t="s">
        <v>1929</v>
      </c>
      <c r="M247" t="s">
        <v>1586</v>
      </c>
      <c r="N247" t="s">
        <v>784</v>
      </c>
      <c r="O247" t="s">
        <v>1680</v>
      </c>
      <c r="P247" t="s">
        <v>788</v>
      </c>
      <c r="Q247" t="s">
        <v>55</v>
      </c>
      <c r="R247">
        <v>-3</v>
      </c>
      <c r="S247" s="15">
        <f>Table2[[#This Row],[movement_quantity]]/VLOOKUP(Table2[[#This Row],[product]],Ref[#All],5,FALSE)</f>
        <v>-0.06</v>
      </c>
      <c r="T247">
        <v>50018.234799999998</v>
      </c>
      <c r="U247" t="s">
        <v>17</v>
      </c>
      <c r="V247" t="s">
        <v>28</v>
      </c>
      <c r="W247" t="s">
        <v>657</v>
      </c>
      <c r="X247" t="s">
        <v>17</v>
      </c>
      <c r="Y247" t="s">
        <v>649</v>
      </c>
      <c r="Z247">
        <v>0</v>
      </c>
      <c r="AA247" s="2">
        <v>-150054.70439999999</v>
      </c>
      <c r="AB247" t="str">
        <f>VLOOKUP(Table2[[#This Row],[product]],Ref[#All],6,FALSE)</f>
        <v>BAG20</v>
      </c>
    </row>
    <row r="248" spans="1:28" x14ac:dyDescent="0.25">
      <c r="A248" t="str">
        <f>TEXT(Table2[[#This Row],[dated]],"mmm")</f>
        <v>Mar</v>
      </c>
      <c r="B248" t="s">
        <v>40</v>
      </c>
      <c r="C248" s="1" t="s">
        <v>538</v>
      </c>
      <c r="D248" t="str">
        <f>VLOOKUP(Table2[[#This Row],[product]],Ref[#All],7,FALSE)</f>
        <v>Lentils</v>
      </c>
      <c r="E248" t="s">
        <v>39</v>
      </c>
      <c r="F248" t="str">
        <f>VLOOKUP(Table2[[#This Row],[product]],Ref[#All],2,FALSE)</f>
        <v>Lentil TAT 20KG</v>
      </c>
      <c r="G248" t="str">
        <f>VLOOKUP(Table2[[#This Row],[product]],Ref[#All],3,FALSE)</f>
        <v>Lentils</v>
      </c>
      <c r="H248" t="str">
        <f>VLOOKUP(Table2[[#This Row],[product]],Ref[#All],4,FALSE)</f>
        <v>Import</v>
      </c>
      <c r="I248" s="1">
        <v>45735</v>
      </c>
      <c r="J248" t="s">
        <v>53</v>
      </c>
      <c r="K248" t="s">
        <v>658</v>
      </c>
      <c r="L248" t="s">
        <v>1929</v>
      </c>
      <c r="M248" t="s">
        <v>1586</v>
      </c>
      <c r="N248" t="s">
        <v>784</v>
      </c>
      <c r="O248" t="s">
        <v>1680</v>
      </c>
      <c r="P248" t="s">
        <v>788</v>
      </c>
      <c r="Q248" t="s">
        <v>55</v>
      </c>
      <c r="R248">
        <v>-21</v>
      </c>
      <c r="S248" s="15">
        <f>Table2[[#This Row],[movement_quantity]]/VLOOKUP(Table2[[#This Row],[product]],Ref[#All],5,FALSE)</f>
        <v>-0.42</v>
      </c>
      <c r="T248">
        <v>50018.234799999998</v>
      </c>
      <c r="U248" t="s">
        <v>17</v>
      </c>
      <c r="V248" t="s">
        <v>29</v>
      </c>
      <c r="W248" t="s">
        <v>659</v>
      </c>
      <c r="X248" t="s">
        <v>17</v>
      </c>
      <c r="Y248" t="s">
        <v>649</v>
      </c>
      <c r="Z248">
        <v>0</v>
      </c>
      <c r="AA248" s="2">
        <v>-1050382.9308</v>
      </c>
      <c r="AB248" t="str">
        <f>VLOOKUP(Table2[[#This Row],[product]],Ref[#All],6,FALSE)</f>
        <v>BAG20</v>
      </c>
    </row>
    <row r="249" spans="1:28" x14ac:dyDescent="0.25">
      <c r="A249" t="str">
        <f>TEXT(Table2[[#This Row],[dated]],"mmm")</f>
        <v>Mar</v>
      </c>
      <c r="B249" t="s">
        <v>40</v>
      </c>
      <c r="C249" s="1" t="s">
        <v>538</v>
      </c>
      <c r="D249" t="str">
        <f>VLOOKUP(Table2[[#This Row],[product]],Ref[#All],7,FALSE)</f>
        <v>Lentils</v>
      </c>
      <c r="E249" t="s">
        <v>39</v>
      </c>
      <c r="F249" t="str">
        <f>VLOOKUP(Table2[[#This Row],[product]],Ref[#All],2,FALSE)</f>
        <v>Lentil TAT 20KG</v>
      </c>
      <c r="G249" t="str">
        <f>VLOOKUP(Table2[[#This Row],[product]],Ref[#All],3,FALSE)</f>
        <v>Lentils</v>
      </c>
      <c r="H249" t="str">
        <f>VLOOKUP(Table2[[#This Row],[product]],Ref[#All],4,FALSE)</f>
        <v>Import</v>
      </c>
      <c r="I249" s="1">
        <v>45735</v>
      </c>
      <c r="J249" t="s">
        <v>53</v>
      </c>
      <c r="K249" t="s">
        <v>660</v>
      </c>
      <c r="L249" t="s">
        <v>1929</v>
      </c>
      <c r="M249" t="s">
        <v>1586</v>
      </c>
      <c r="N249" t="s">
        <v>784</v>
      </c>
      <c r="O249" t="s">
        <v>1680</v>
      </c>
      <c r="P249" t="s">
        <v>788</v>
      </c>
      <c r="Q249" t="s">
        <v>55</v>
      </c>
      <c r="R249">
        <v>-4</v>
      </c>
      <c r="S249" s="15">
        <f>Table2[[#This Row],[movement_quantity]]/VLOOKUP(Table2[[#This Row],[product]],Ref[#All],5,FALSE)</f>
        <v>-0.08</v>
      </c>
      <c r="T249">
        <v>50018.234799999998</v>
      </c>
      <c r="U249" t="s">
        <v>17</v>
      </c>
      <c r="V249" t="s">
        <v>31</v>
      </c>
      <c r="W249" t="s">
        <v>661</v>
      </c>
      <c r="X249" t="s">
        <v>17</v>
      </c>
      <c r="Y249" t="s">
        <v>649</v>
      </c>
      <c r="Z249">
        <v>0</v>
      </c>
      <c r="AA249" s="2">
        <v>-200072.93919999999</v>
      </c>
      <c r="AB249" t="str">
        <f>VLOOKUP(Table2[[#This Row],[product]],Ref[#All],6,FALSE)</f>
        <v>BAG20</v>
      </c>
    </row>
    <row r="250" spans="1:28" x14ac:dyDescent="0.25">
      <c r="A250" t="str">
        <f>TEXT(Table2[[#This Row],[dated]],"mmm")</f>
        <v>Mar</v>
      </c>
      <c r="B250" t="s">
        <v>123</v>
      </c>
      <c r="C250" s="1" t="s">
        <v>538</v>
      </c>
      <c r="D250" t="str">
        <f>VLOOKUP(Table2[[#This Row],[product]],Ref[#All],7,FALSE)</f>
        <v>Lentils</v>
      </c>
      <c r="E250" t="s">
        <v>39</v>
      </c>
      <c r="F250" t="str">
        <f>VLOOKUP(Table2[[#This Row],[product]],Ref[#All],2,FALSE)</f>
        <v>Lentil TAT 20KG</v>
      </c>
      <c r="G250" t="str">
        <f>VLOOKUP(Table2[[#This Row],[product]],Ref[#All],3,FALSE)</f>
        <v>Lentils</v>
      </c>
      <c r="H250" t="str">
        <f>VLOOKUP(Table2[[#This Row],[product]],Ref[#All],4,FALSE)</f>
        <v>Import</v>
      </c>
      <c r="I250" s="1">
        <v>45735</v>
      </c>
      <c r="J250" t="s">
        <v>53</v>
      </c>
      <c r="K250" t="s">
        <v>680</v>
      </c>
      <c r="L250" t="s">
        <v>1641</v>
      </c>
      <c r="M250" t="s">
        <v>1586</v>
      </c>
      <c r="N250" t="s">
        <v>784</v>
      </c>
      <c r="O250" t="s">
        <v>1680</v>
      </c>
      <c r="P250" t="s">
        <v>788</v>
      </c>
      <c r="Q250" t="s">
        <v>55</v>
      </c>
      <c r="R250">
        <v>-5</v>
      </c>
      <c r="S250" s="15">
        <f>Table2[[#This Row],[movement_quantity]]/VLOOKUP(Table2[[#This Row],[product]],Ref[#All],5,FALSE)</f>
        <v>-0.1</v>
      </c>
      <c r="T250">
        <v>50018.234799999998</v>
      </c>
      <c r="U250" t="s">
        <v>17</v>
      </c>
      <c r="V250" t="s">
        <v>18</v>
      </c>
      <c r="W250" t="s">
        <v>681</v>
      </c>
      <c r="X250" t="s">
        <v>17</v>
      </c>
      <c r="Y250" t="s">
        <v>682</v>
      </c>
      <c r="Z250">
        <v>0</v>
      </c>
      <c r="AA250" s="2">
        <v>-250091.174</v>
      </c>
      <c r="AB250" t="str">
        <f>VLOOKUP(Table2[[#This Row],[product]],Ref[#All],6,FALSE)</f>
        <v>BAG20</v>
      </c>
    </row>
    <row r="251" spans="1:28" x14ac:dyDescent="0.25">
      <c r="A251" t="str">
        <f>TEXT(Table2[[#This Row],[dated]],"mmm")</f>
        <v>Apr</v>
      </c>
      <c r="B251" t="s">
        <v>850</v>
      </c>
      <c r="C251" s="1" t="s">
        <v>538</v>
      </c>
      <c r="D251" t="str">
        <f>VLOOKUP(Table2[[#This Row],[product]],Ref[#All],7,FALSE)</f>
        <v>Lentils</v>
      </c>
      <c r="E251" s="1" t="s">
        <v>853</v>
      </c>
      <c r="F251" t="str">
        <f>VLOOKUP(Table2[[#This Row],[product]],Ref[#All],2,FALSE)</f>
        <v>Lentil Elngm 20KG</v>
      </c>
      <c r="G251" t="str">
        <f>VLOOKUP(Table2[[#This Row],[product]],Ref[#All],3,FALSE)</f>
        <v>Lentils</v>
      </c>
      <c r="H251" t="str">
        <f>VLOOKUP(Table2[[#This Row],[product]],Ref[#All],4,FALSE)</f>
        <v>Import</v>
      </c>
      <c r="I251" s="1">
        <v>45768</v>
      </c>
      <c r="J251" t="s">
        <v>53</v>
      </c>
      <c r="K251" t="s">
        <v>984</v>
      </c>
      <c r="L251" t="s">
        <v>1642</v>
      </c>
      <c r="M251" t="s">
        <v>1586</v>
      </c>
      <c r="N251" t="s">
        <v>784</v>
      </c>
      <c r="O251" t="s">
        <v>1680</v>
      </c>
      <c r="P251" t="s">
        <v>788</v>
      </c>
      <c r="Q251" t="s">
        <v>55</v>
      </c>
      <c r="R251">
        <v>-1</v>
      </c>
      <c r="S251" s="15">
        <f>Table2[[#This Row],[movement_quantity]]/VLOOKUP(Table2[[#This Row],[product]],Ref[#All],5,FALSE)</f>
        <v>-0.02</v>
      </c>
      <c r="T251">
        <v>48291.345670000002</v>
      </c>
      <c r="U251" t="s">
        <v>17</v>
      </c>
      <c r="V251" t="s">
        <v>18</v>
      </c>
      <c r="W251" t="s">
        <v>985</v>
      </c>
      <c r="X251" t="s">
        <v>17</v>
      </c>
      <c r="Y251" t="s">
        <v>856</v>
      </c>
      <c r="Z251">
        <v>0</v>
      </c>
      <c r="AA251" s="2">
        <v>-48291.345670000002</v>
      </c>
      <c r="AB251" t="str">
        <f>VLOOKUP(Table2[[#This Row],[product]],Ref[#All],6,FALSE)</f>
        <v>BAG20</v>
      </c>
    </row>
    <row r="252" spans="1:28" x14ac:dyDescent="0.25">
      <c r="A252" t="str">
        <f>TEXT(Table2[[#This Row],[dated]],"mmm")</f>
        <v>Apr</v>
      </c>
      <c r="B252" t="s">
        <v>850</v>
      </c>
      <c r="C252" s="1" t="s">
        <v>538</v>
      </c>
      <c r="D252" t="str">
        <f>VLOOKUP(Table2[[#This Row],[product]],Ref[#All],7,FALSE)</f>
        <v>Rice</v>
      </c>
      <c r="E252" s="1" t="s">
        <v>45</v>
      </c>
      <c r="F252" t="str">
        <f>VLOOKUP(Table2[[#This Row],[product]],Ref[#All],2,FALSE)</f>
        <v>Rice Short Grain Elngm 25Kg</v>
      </c>
      <c r="G252" t="str">
        <f>VLOOKUP(Table2[[#This Row],[product]],Ref[#All],3,FALSE)</f>
        <v>Rice Short Grain</v>
      </c>
      <c r="H252" t="str">
        <f>VLOOKUP(Table2[[#This Row],[product]],Ref[#All],4,FALSE)</f>
        <v>Import</v>
      </c>
      <c r="I252" s="1">
        <v>45768</v>
      </c>
      <c r="J252" t="s">
        <v>53</v>
      </c>
      <c r="K252" t="s">
        <v>986</v>
      </c>
      <c r="L252" t="s">
        <v>1926</v>
      </c>
      <c r="M252" t="s">
        <v>1586</v>
      </c>
      <c r="N252" t="s">
        <v>784</v>
      </c>
      <c r="O252" t="s">
        <v>1680</v>
      </c>
      <c r="P252" t="s">
        <v>788</v>
      </c>
      <c r="Q252" t="s">
        <v>55</v>
      </c>
      <c r="R252">
        <v>-4</v>
      </c>
      <c r="S252" s="15">
        <f>Table2[[#This Row],[movement_quantity]]/VLOOKUP(Table2[[#This Row],[product]],Ref[#All],5,FALSE)</f>
        <v>-0.1</v>
      </c>
      <c r="T252">
        <v>49550.962500000001</v>
      </c>
      <c r="U252" t="s">
        <v>17</v>
      </c>
      <c r="V252" t="s">
        <v>23</v>
      </c>
      <c r="W252" t="s">
        <v>987</v>
      </c>
      <c r="X252" t="s">
        <v>17</v>
      </c>
      <c r="Y252" t="s">
        <v>849</v>
      </c>
      <c r="Z252">
        <v>0</v>
      </c>
      <c r="AA252" s="2">
        <v>-198203.85</v>
      </c>
      <c r="AB252" t="str">
        <f>VLOOKUP(Table2[[#This Row],[product]],Ref[#All],6,FALSE)</f>
        <v>BAG25</v>
      </c>
    </row>
    <row r="253" spans="1:28" x14ac:dyDescent="0.25">
      <c r="A253" t="str">
        <f>TEXT(Table2[[#This Row],[dated]],"mmm")</f>
        <v>May</v>
      </c>
      <c r="B253" t="s">
        <v>138</v>
      </c>
      <c r="C253" s="1" t="s">
        <v>538</v>
      </c>
      <c r="D253" t="str">
        <f>VLOOKUP(Table2[[#This Row],[product]],Ref[#All],7,FALSE)</f>
        <v>Cotton</v>
      </c>
      <c r="E253" s="1" t="s">
        <v>412</v>
      </c>
      <c r="F253" t="str">
        <f>VLOOKUP(Table2[[#This Row],[product]],Ref[#All],2,FALSE)</f>
        <v xml:space="preserve">Cotton - FG </v>
      </c>
      <c r="G253" t="str">
        <f>VLOOKUP(Table2[[#This Row],[product]],Ref[#All],3,FALSE)</f>
        <v xml:space="preserve">Cotton - FG </v>
      </c>
      <c r="H253" t="str">
        <f>VLOOKUP(Table2[[#This Row],[product]],Ref[#All],4,FALSE)</f>
        <v>Export</v>
      </c>
      <c r="I253" s="1">
        <v>45804</v>
      </c>
      <c r="J253" t="s">
        <v>53</v>
      </c>
      <c r="K253" t="s">
        <v>1498</v>
      </c>
      <c r="L253" t="s">
        <v>2725</v>
      </c>
      <c r="M253" t="s">
        <v>1586</v>
      </c>
      <c r="N253" t="s">
        <v>784</v>
      </c>
      <c r="O253" t="s">
        <v>1680</v>
      </c>
      <c r="P253" t="s">
        <v>788</v>
      </c>
      <c r="Q253" t="s">
        <v>55</v>
      </c>
      <c r="R253">
        <v>-5.3869999999999996</v>
      </c>
      <c r="S253" s="15">
        <f>Table2[[#This Row],[movement_quantity]]/VLOOKUP(Table2[[#This Row],[product]],Ref[#All],5,FALSE)</f>
        <v>-5.3869999999999996</v>
      </c>
      <c r="T253">
        <v>4325522.7759699998</v>
      </c>
      <c r="U253" t="s">
        <v>17</v>
      </c>
      <c r="V253" t="s">
        <v>18</v>
      </c>
      <c r="W253" t="s">
        <v>1499</v>
      </c>
      <c r="X253" t="s">
        <v>17</v>
      </c>
      <c r="Y253" t="s">
        <v>608</v>
      </c>
      <c r="Z253" s="2">
        <v>0</v>
      </c>
      <c r="AA253" s="2">
        <v>-23301591.194150388</v>
      </c>
      <c r="AB253" t="str">
        <f>VLOOKUP(Table2[[#This Row],[product]],Ref[#All],6,FALSE)</f>
        <v>TON</v>
      </c>
    </row>
    <row r="254" spans="1:28" x14ac:dyDescent="0.25">
      <c r="A254" t="str">
        <f>TEXT(Table2[[#This Row],[dated]],"mmm")</f>
        <v>May</v>
      </c>
      <c r="B254" t="s">
        <v>138</v>
      </c>
      <c r="C254" s="1" t="s">
        <v>538</v>
      </c>
      <c r="D254" t="str">
        <f>VLOOKUP(Table2[[#This Row],[product]],Ref[#All],7,FALSE)</f>
        <v>Cotton</v>
      </c>
      <c r="E254" s="1" t="s">
        <v>412</v>
      </c>
      <c r="F254" t="str">
        <f>VLOOKUP(Table2[[#This Row],[product]],Ref[#All],2,FALSE)</f>
        <v xml:space="preserve">Cotton - FG </v>
      </c>
      <c r="G254" t="str">
        <f>VLOOKUP(Table2[[#This Row],[product]],Ref[#All],3,FALSE)</f>
        <v xml:space="preserve">Cotton - FG </v>
      </c>
      <c r="H254" t="str">
        <f>VLOOKUP(Table2[[#This Row],[product]],Ref[#All],4,FALSE)</f>
        <v>Export</v>
      </c>
      <c r="I254" s="1">
        <v>45804</v>
      </c>
      <c r="J254" t="s">
        <v>53</v>
      </c>
      <c r="K254" t="s">
        <v>1498</v>
      </c>
      <c r="L254" t="s">
        <v>2725</v>
      </c>
      <c r="M254" t="s">
        <v>1586</v>
      </c>
      <c r="N254" t="s">
        <v>784</v>
      </c>
      <c r="O254" t="s">
        <v>1680</v>
      </c>
      <c r="P254" t="s">
        <v>788</v>
      </c>
      <c r="Q254" t="s">
        <v>55</v>
      </c>
      <c r="R254">
        <v>-23.36</v>
      </c>
      <c r="S254" s="15">
        <f>Table2[[#This Row],[movement_quantity]]/VLOOKUP(Table2[[#This Row],[product]],Ref[#All],5,FALSE)</f>
        <v>-23.36</v>
      </c>
      <c r="T254">
        <v>4325522.7759699998</v>
      </c>
      <c r="U254" t="s">
        <v>17</v>
      </c>
      <c r="V254" t="s">
        <v>21</v>
      </c>
      <c r="W254" t="s">
        <v>1499</v>
      </c>
      <c r="X254" t="s">
        <v>17</v>
      </c>
      <c r="Y254" t="s">
        <v>1500</v>
      </c>
      <c r="Z254" s="2">
        <v>0</v>
      </c>
      <c r="AA254" s="2">
        <v>-101044212.04665919</v>
      </c>
      <c r="AB254" t="str">
        <f>VLOOKUP(Table2[[#This Row],[product]],Ref[#All],6,FALSE)</f>
        <v>TON</v>
      </c>
    </row>
    <row r="255" spans="1:28" x14ac:dyDescent="0.25">
      <c r="A255" t="str">
        <f>TEXT(Table2[[#This Row],[dated]],"mmm")</f>
        <v>May</v>
      </c>
      <c r="B255" t="s">
        <v>138</v>
      </c>
      <c r="C255" s="1" t="s">
        <v>538</v>
      </c>
      <c r="D255" t="str">
        <f>VLOOKUP(Table2[[#This Row],[product]],Ref[#All],7,FALSE)</f>
        <v>Cotton</v>
      </c>
      <c r="E255" s="1" t="s">
        <v>412</v>
      </c>
      <c r="F255" t="str">
        <f>VLOOKUP(Table2[[#This Row],[product]],Ref[#All],2,FALSE)</f>
        <v xml:space="preserve">Cotton - FG </v>
      </c>
      <c r="G255" t="str">
        <f>VLOOKUP(Table2[[#This Row],[product]],Ref[#All],3,FALSE)</f>
        <v xml:space="preserve">Cotton - FG </v>
      </c>
      <c r="H255" t="str">
        <f>VLOOKUP(Table2[[#This Row],[product]],Ref[#All],4,FALSE)</f>
        <v>Export</v>
      </c>
      <c r="I255" s="1">
        <v>45804</v>
      </c>
      <c r="J255" t="s">
        <v>53</v>
      </c>
      <c r="K255" t="s">
        <v>1498</v>
      </c>
      <c r="L255" t="s">
        <v>2725</v>
      </c>
      <c r="M255" t="s">
        <v>1586</v>
      </c>
      <c r="N255" t="s">
        <v>784</v>
      </c>
      <c r="O255" t="s">
        <v>1680</v>
      </c>
      <c r="P255" t="s">
        <v>788</v>
      </c>
      <c r="Q255" t="s">
        <v>55</v>
      </c>
      <c r="R255">
        <v>-0.1</v>
      </c>
      <c r="S255" s="15">
        <f>Table2[[#This Row],[movement_quantity]]/VLOOKUP(Table2[[#This Row],[product]],Ref[#All],5,FALSE)</f>
        <v>-0.1</v>
      </c>
      <c r="T255">
        <v>4325522.7759699998</v>
      </c>
      <c r="U255" t="s">
        <v>17</v>
      </c>
      <c r="V255" t="s">
        <v>22</v>
      </c>
      <c r="W255" t="s">
        <v>1499</v>
      </c>
      <c r="X255" t="s">
        <v>17</v>
      </c>
      <c r="Y255" t="s">
        <v>454</v>
      </c>
      <c r="Z255" s="2">
        <v>0</v>
      </c>
      <c r="AA255" s="2">
        <v>-432552.27759700001</v>
      </c>
      <c r="AB255" t="str">
        <f>VLOOKUP(Table2[[#This Row],[product]],Ref[#All],6,FALSE)</f>
        <v>TON</v>
      </c>
    </row>
    <row r="256" spans="1:28" x14ac:dyDescent="0.25">
      <c r="A256" t="str">
        <f>TEXT(Table2[[#This Row],[dated]],"mmm")</f>
        <v>May</v>
      </c>
      <c r="B256" t="s">
        <v>138</v>
      </c>
      <c r="C256" s="1" t="s">
        <v>538</v>
      </c>
      <c r="D256" t="str">
        <f>VLOOKUP(Table2[[#This Row],[product]],Ref[#All],7,FALSE)</f>
        <v>Cotton</v>
      </c>
      <c r="E256" s="1" t="s">
        <v>412</v>
      </c>
      <c r="F256" t="str">
        <f>VLOOKUP(Table2[[#This Row],[product]],Ref[#All],2,FALSE)</f>
        <v xml:space="preserve">Cotton - FG </v>
      </c>
      <c r="G256" t="str">
        <f>VLOOKUP(Table2[[#This Row],[product]],Ref[#All],3,FALSE)</f>
        <v xml:space="preserve">Cotton - FG </v>
      </c>
      <c r="H256" t="str">
        <f>VLOOKUP(Table2[[#This Row],[product]],Ref[#All],4,FALSE)</f>
        <v>Export</v>
      </c>
      <c r="I256" s="1">
        <v>45804</v>
      </c>
      <c r="J256" t="s">
        <v>53</v>
      </c>
      <c r="K256" t="s">
        <v>1498</v>
      </c>
      <c r="L256" t="s">
        <v>2725</v>
      </c>
      <c r="M256" t="s">
        <v>1586</v>
      </c>
      <c r="N256" t="s">
        <v>784</v>
      </c>
      <c r="O256" t="s">
        <v>1680</v>
      </c>
      <c r="P256" t="s">
        <v>788</v>
      </c>
      <c r="Q256" t="s">
        <v>55</v>
      </c>
      <c r="R256">
        <v>-7.2999999999999995E-2</v>
      </c>
      <c r="S256" s="15">
        <f>Table2[[#This Row],[movement_quantity]]/VLOOKUP(Table2[[#This Row],[product]],Ref[#All],5,FALSE)</f>
        <v>-7.2999999999999995E-2</v>
      </c>
      <c r="T256">
        <v>4325522.7759699998</v>
      </c>
      <c r="U256" t="s">
        <v>17</v>
      </c>
      <c r="V256" t="s">
        <v>23</v>
      </c>
      <c r="W256" t="s">
        <v>1499</v>
      </c>
      <c r="X256" t="s">
        <v>17</v>
      </c>
      <c r="Y256" t="s">
        <v>611</v>
      </c>
      <c r="Z256" s="2">
        <v>0</v>
      </c>
      <c r="AA256" s="2">
        <v>-315763.16264580999</v>
      </c>
      <c r="AB256" t="str">
        <f>VLOOKUP(Table2[[#This Row],[product]],Ref[#All],6,FALSE)</f>
        <v>TON</v>
      </c>
    </row>
    <row r="257" spans="1:28" x14ac:dyDescent="0.25">
      <c r="A257" t="str">
        <f>TEXT(Table2[[#This Row],[dated]],"mmm")</f>
        <v>May</v>
      </c>
      <c r="B257" t="s">
        <v>138</v>
      </c>
      <c r="C257" s="1" t="s">
        <v>538</v>
      </c>
      <c r="D257" t="str">
        <f>VLOOKUP(Table2[[#This Row],[product]],Ref[#All],7,FALSE)</f>
        <v>Cotton</v>
      </c>
      <c r="E257" s="1" t="s">
        <v>1501</v>
      </c>
      <c r="F257" t="str">
        <f>VLOOKUP(Table2[[#This Row],[product]],Ref[#All],2,FALSE)</f>
        <v>Cotton Waste</v>
      </c>
      <c r="G257" t="str">
        <f>VLOOKUP(Table2[[#This Row],[product]],Ref[#All],3,FALSE)</f>
        <v>Cotton - Waste</v>
      </c>
      <c r="H257" t="str">
        <f>VLOOKUP(Table2[[#This Row],[product]],Ref[#All],4,FALSE)</f>
        <v>Export</v>
      </c>
      <c r="I257" s="1">
        <v>45804</v>
      </c>
      <c r="J257" t="s">
        <v>127</v>
      </c>
      <c r="K257" t="s">
        <v>1502</v>
      </c>
      <c r="L257" t="s">
        <v>2725</v>
      </c>
      <c r="M257" t="s">
        <v>1593</v>
      </c>
      <c r="N257" t="s">
        <v>784</v>
      </c>
      <c r="O257" t="s">
        <v>1680</v>
      </c>
      <c r="P257" t="s">
        <v>788</v>
      </c>
      <c r="Q257" t="s">
        <v>55</v>
      </c>
      <c r="R257">
        <v>28.92</v>
      </c>
      <c r="S257" s="15">
        <f>Table2[[#This Row],[movement_quantity]]/VLOOKUP(Table2[[#This Row],[product]],Ref[#All],5,FALSE)</f>
        <v>28.92</v>
      </c>
      <c r="T257">
        <v>0</v>
      </c>
      <c r="U257" t="s">
        <v>163</v>
      </c>
      <c r="V257" t="s">
        <v>18</v>
      </c>
      <c r="W257" t="s">
        <v>1503</v>
      </c>
      <c r="X257" t="s">
        <v>1504</v>
      </c>
      <c r="Y257" t="s">
        <v>17</v>
      </c>
      <c r="Z257" s="2">
        <v>0</v>
      </c>
      <c r="AA257" s="4">
        <v>46850400</v>
      </c>
      <c r="AB257" t="str">
        <f>VLOOKUP(Table2[[#This Row],[product]],Ref[#All],6,FALSE)</f>
        <v>TON</v>
      </c>
    </row>
    <row r="258" spans="1:28" x14ac:dyDescent="0.25">
      <c r="A258" t="str">
        <f>TEXT(Table2[[#This Row],[dated]],"mmm")</f>
        <v>Jun</v>
      </c>
      <c r="B258" t="s">
        <v>1130</v>
      </c>
      <c r="C258" s="1" t="s">
        <v>538</v>
      </c>
      <c r="D258" t="str">
        <f>VLOOKUP(Table2[[#This Row],[product]],Ref[#All],7,FALSE)</f>
        <v>Sugar</v>
      </c>
      <c r="E258" s="1" t="s">
        <v>16</v>
      </c>
      <c r="F258" t="str">
        <f>VLOOKUP(Table2[[#This Row],[product]],Ref[#All],2,FALSE)</f>
        <v>White Sugar</v>
      </c>
      <c r="G258" t="str">
        <f>VLOOKUP(Table2[[#This Row],[product]],Ref[#All],3,FALSE)</f>
        <v>White Sugar</v>
      </c>
      <c r="H258" t="str">
        <f>VLOOKUP(Table2[[#This Row],[product]],Ref[#All],4,FALSE)</f>
        <v>Import</v>
      </c>
      <c r="I258" s="1">
        <v>45823</v>
      </c>
      <c r="J258" t="s">
        <v>53</v>
      </c>
      <c r="K258" t="s">
        <v>1131</v>
      </c>
      <c r="L258" t="s">
        <v>1610</v>
      </c>
      <c r="M258" t="s">
        <v>1586</v>
      </c>
      <c r="N258" t="s">
        <v>784</v>
      </c>
      <c r="O258" t="s">
        <v>1680</v>
      </c>
      <c r="P258" t="s">
        <v>788</v>
      </c>
      <c r="Q258" t="s">
        <v>55</v>
      </c>
      <c r="R258">
        <v>-1</v>
      </c>
      <c r="S258" s="15">
        <f>Table2[[#This Row],[movement_quantity]]/VLOOKUP(Table2[[#This Row],[product]],Ref[#All],5,FALSE)</f>
        <v>-0.05</v>
      </c>
      <c r="T258">
        <v>83521.151800000007</v>
      </c>
      <c r="U258" t="s">
        <v>17</v>
      </c>
      <c r="V258" t="s">
        <v>18</v>
      </c>
      <c r="W258" t="s">
        <v>1132</v>
      </c>
      <c r="X258" t="s">
        <v>17</v>
      </c>
      <c r="Y258" t="s">
        <v>48</v>
      </c>
      <c r="Z258" s="2">
        <v>0</v>
      </c>
      <c r="AA258" s="2">
        <v>-83521.151800000007</v>
      </c>
      <c r="AB258" t="str">
        <f>VLOOKUP(Table2[[#This Row],[product]],Ref[#All],6,FALSE)</f>
        <v>BAG50</v>
      </c>
    </row>
    <row r="259" spans="1:28" x14ac:dyDescent="0.25">
      <c r="A259" t="str">
        <f>TEXT(Table2[[#This Row],[dated]],"mmm")</f>
        <v>Jul</v>
      </c>
      <c r="B259" t="s">
        <v>138</v>
      </c>
      <c r="C259" s="1" t="s">
        <v>538</v>
      </c>
      <c r="D259" t="str">
        <f>VLOOKUP(Table2[[#This Row],[product]],Ref[#All],7,FALSE)</f>
        <v>Sorghum</v>
      </c>
      <c r="E259" s="1" t="s">
        <v>137</v>
      </c>
      <c r="F259" t="str">
        <f>VLOOKUP(Table2[[#This Row],[product]],Ref[#All],2,FALSE)</f>
        <v>Sorghum Raw</v>
      </c>
      <c r="G259" t="str">
        <f>VLOOKUP(Table2[[#This Row],[product]],Ref[#All],3,FALSE)</f>
        <v>Sorghum Raw</v>
      </c>
      <c r="H259" t="str">
        <f>VLOOKUP(Table2[[#This Row],[product]],Ref[#All],4,FALSE)</f>
        <v>Export</v>
      </c>
      <c r="I259" s="1">
        <v>45854</v>
      </c>
      <c r="J259" t="s">
        <v>53</v>
      </c>
      <c r="K259" t="s">
        <v>1956</v>
      </c>
      <c r="L259" t="s">
        <v>2298</v>
      </c>
      <c r="M259" t="s">
        <v>1586</v>
      </c>
      <c r="N259" t="s">
        <v>784</v>
      </c>
      <c r="O259" t="s">
        <v>1680</v>
      </c>
      <c r="P259" t="s">
        <v>788</v>
      </c>
      <c r="Q259" t="s">
        <v>55</v>
      </c>
      <c r="R259">
        <v>-6.6</v>
      </c>
      <c r="S259" s="15">
        <f>Table2[[#This Row],[movement_quantity]]/VLOOKUP(Table2[[#This Row],[product]],Ref[#All],5,FALSE)</f>
        <v>-6.6</v>
      </c>
      <c r="T259">
        <v>947797.31544000003</v>
      </c>
      <c r="U259" t="s">
        <v>17</v>
      </c>
      <c r="V259" t="s">
        <v>18</v>
      </c>
      <c r="W259" t="s">
        <v>1957</v>
      </c>
      <c r="X259" t="s">
        <v>17</v>
      </c>
      <c r="Y259" s="2" t="s">
        <v>1958</v>
      </c>
      <c r="Z259">
        <v>0</v>
      </c>
      <c r="AA259" s="2">
        <v>-6255462.2819039999</v>
      </c>
      <c r="AB259" t="str">
        <f>VLOOKUP(Table2[[#This Row],[product]],Ref[#All],6,FALSE)</f>
        <v>TON</v>
      </c>
    </row>
    <row r="260" spans="1:28" x14ac:dyDescent="0.25">
      <c r="A260" t="str">
        <f>TEXT(Table2[[#This Row],[dated]],"mmm")</f>
        <v>Sep</v>
      </c>
      <c r="B260" t="s">
        <v>40</v>
      </c>
      <c r="C260" s="1" t="s">
        <v>538</v>
      </c>
      <c r="D260" t="str">
        <f>VLOOKUP(Table2[[#This Row],[product]],Ref[#All],7,FALSE)</f>
        <v>Sugar</v>
      </c>
      <c r="E260" s="28" t="s">
        <v>72</v>
      </c>
      <c r="F260" t="str">
        <f>VLOOKUP(Table2[[#This Row],[product]],Ref[#All],2,FALSE)</f>
        <v>White Sugar</v>
      </c>
      <c r="G260" t="str">
        <f>VLOOKUP(Table2[[#This Row],[product]],Ref[#All],3,FALSE)</f>
        <v>White Sugar</v>
      </c>
      <c r="H260" t="str">
        <f>VLOOKUP(Table2[[#This Row],[product]],Ref[#All],4,FALSE)</f>
        <v>Import</v>
      </c>
      <c r="I260" s="1">
        <v>45907</v>
      </c>
      <c r="J260" s="28" t="s">
        <v>53</v>
      </c>
      <c r="K260" t="s">
        <v>2562</v>
      </c>
      <c r="L260" t="s">
        <v>2714</v>
      </c>
      <c r="M260" t="s">
        <v>1586</v>
      </c>
      <c r="N260" t="s">
        <v>784</v>
      </c>
      <c r="O260" t="s">
        <v>1680</v>
      </c>
      <c r="P260" t="s">
        <v>788</v>
      </c>
      <c r="Q260" s="38" t="s">
        <v>55</v>
      </c>
      <c r="R260">
        <v>-36</v>
      </c>
      <c r="S260" s="15">
        <f>Table2[[#This Row],[movement_quantity]]/VLOOKUP(Table2[[#This Row],[product]],Ref[#All],5,FALSE)</f>
        <v>-1.8</v>
      </c>
      <c r="T260">
        <v>87806.150020000001</v>
      </c>
      <c r="U260" t="s">
        <v>17</v>
      </c>
      <c r="V260" t="s">
        <v>18</v>
      </c>
      <c r="W260" t="s">
        <v>2604</v>
      </c>
      <c r="X260" t="s">
        <v>17</v>
      </c>
      <c r="Y260" s="2" t="s">
        <v>1320</v>
      </c>
      <c r="Z260">
        <v>0</v>
      </c>
      <c r="AA260" s="2">
        <v>-3161021.4007200003</v>
      </c>
      <c r="AB260" t="str">
        <f>VLOOKUP(Table2[[#This Row],[product]],Ref[#All],6,FALSE)</f>
        <v>BAG50</v>
      </c>
    </row>
    <row r="261" spans="1:28" x14ac:dyDescent="0.25">
      <c r="A261" t="str">
        <f>TEXT(Table2[[#This Row],[dated]],"mmm")</f>
        <v>Sep</v>
      </c>
      <c r="B261" t="s">
        <v>40</v>
      </c>
      <c r="C261" s="1" t="s">
        <v>538</v>
      </c>
      <c r="D261" t="str">
        <f>VLOOKUP(Table2[[#This Row],[product]],Ref[#All],7,FALSE)</f>
        <v>Sugar</v>
      </c>
      <c r="E261" s="28" t="s">
        <v>72</v>
      </c>
      <c r="F261" t="str">
        <f>VLOOKUP(Table2[[#This Row],[product]],Ref[#All],2,FALSE)</f>
        <v>White Sugar</v>
      </c>
      <c r="G261" t="str">
        <f>VLOOKUP(Table2[[#This Row],[product]],Ref[#All],3,FALSE)</f>
        <v>White Sugar</v>
      </c>
      <c r="H261" t="str">
        <f>VLOOKUP(Table2[[#This Row],[product]],Ref[#All],4,FALSE)</f>
        <v>Import</v>
      </c>
      <c r="I261" s="1">
        <v>45907</v>
      </c>
      <c r="J261" s="28" t="s">
        <v>53</v>
      </c>
      <c r="K261" t="s">
        <v>2562</v>
      </c>
      <c r="L261" t="s">
        <v>2714</v>
      </c>
      <c r="M261" t="s">
        <v>1586</v>
      </c>
      <c r="N261" t="s">
        <v>784</v>
      </c>
      <c r="O261" t="s">
        <v>1680</v>
      </c>
      <c r="P261" t="s">
        <v>788</v>
      </c>
      <c r="Q261" s="38" t="s">
        <v>55</v>
      </c>
      <c r="R261">
        <v>-41</v>
      </c>
      <c r="S261" s="15">
        <f>Table2[[#This Row],[movement_quantity]]/VLOOKUP(Table2[[#This Row],[product]],Ref[#All],5,FALSE)</f>
        <v>-2.0499999999999998</v>
      </c>
      <c r="T261">
        <v>87806.150020000001</v>
      </c>
      <c r="U261" t="s">
        <v>17</v>
      </c>
      <c r="V261" t="s">
        <v>21</v>
      </c>
      <c r="W261" t="s">
        <v>2604</v>
      </c>
      <c r="X261" t="s">
        <v>17</v>
      </c>
      <c r="Y261" s="2" t="s">
        <v>1320</v>
      </c>
      <c r="Z261">
        <v>0</v>
      </c>
      <c r="AA261" s="2">
        <v>-3600052.1508200001</v>
      </c>
      <c r="AB261" t="str">
        <f>VLOOKUP(Table2[[#This Row],[product]],Ref[#All],6,FALSE)</f>
        <v>BAG50</v>
      </c>
    </row>
    <row r="262" spans="1:28" x14ac:dyDescent="0.25">
      <c r="A262" t="str">
        <f>TEXT(Table2[[#This Row],[dated]],"mmm")</f>
        <v>Sep</v>
      </c>
      <c r="B262" t="s">
        <v>40</v>
      </c>
      <c r="C262" s="1" t="s">
        <v>538</v>
      </c>
      <c r="D262" t="str">
        <f>VLOOKUP(Table2[[#This Row],[product]],Ref[#All],7,FALSE)</f>
        <v>Sugar</v>
      </c>
      <c r="E262" s="28" t="s">
        <v>16</v>
      </c>
      <c r="F262" t="str">
        <f>VLOOKUP(Table2[[#This Row],[product]],Ref[#All],2,FALSE)</f>
        <v>White Sugar</v>
      </c>
      <c r="G262" t="str">
        <f>VLOOKUP(Table2[[#This Row],[product]],Ref[#All],3,FALSE)</f>
        <v>White Sugar</v>
      </c>
      <c r="H262" t="str">
        <f>VLOOKUP(Table2[[#This Row],[product]],Ref[#All],4,FALSE)</f>
        <v>Import</v>
      </c>
      <c r="I262" s="1">
        <v>45907</v>
      </c>
      <c r="J262" s="28" t="s">
        <v>53</v>
      </c>
      <c r="K262" t="s">
        <v>2563</v>
      </c>
      <c r="L262" t="s">
        <v>2713</v>
      </c>
      <c r="M262" t="s">
        <v>1586</v>
      </c>
      <c r="N262" t="s">
        <v>784</v>
      </c>
      <c r="O262" t="s">
        <v>1680</v>
      </c>
      <c r="P262" t="s">
        <v>788</v>
      </c>
      <c r="Q262" s="38" t="s">
        <v>55</v>
      </c>
      <c r="R262">
        <v>-37</v>
      </c>
      <c r="S262" s="15">
        <f>Table2[[#This Row],[movement_quantity]]/VLOOKUP(Table2[[#This Row],[product]],Ref[#All],5,FALSE)</f>
        <v>-1.85</v>
      </c>
      <c r="T262">
        <v>87806.150020000001</v>
      </c>
      <c r="U262" t="s">
        <v>17</v>
      </c>
      <c r="V262" t="s">
        <v>18</v>
      </c>
      <c r="W262" t="s">
        <v>2605</v>
      </c>
      <c r="X262" t="s">
        <v>17</v>
      </c>
      <c r="Y262" s="2" t="s">
        <v>669</v>
      </c>
      <c r="Z262">
        <v>0</v>
      </c>
      <c r="AA262" s="2">
        <v>-3248827.5507399999</v>
      </c>
      <c r="AB262" t="str">
        <f>VLOOKUP(Table2[[#This Row],[product]],Ref[#All],6,FALSE)</f>
        <v>BAG50</v>
      </c>
    </row>
    <row r="263" spans="1:28" x14ac:dyDescent="0.25">
      <c r="A263" t="str">
        <f>TEXT(Table2[[#This Row],[dated]],"mmm")</f>
        <v>Sep</v>
      </c>
      <c r="B263" t="s">
        <v>40</v>
      </c>
      <c r="C263" s="1" t="s">
        <v>538</v>
      </c>
      <c r="D263" t="str">
        <f>VLOOKUP(Table2[[#This Row],[product]],Ref[#All],7,FALSE)</f>
        <v>Sugar</v>
      </c>
      <c r="E263" s="28" t="s">
        <v>549</v>
      </c>
      <c r="F263" t="str">
        <f>VLOOKUP(Table2[[#This Row],[product]],Ref[#All],2,FALSE)</f>
        <v>White Sugar - Damaged</v>
      </c>
      <c r="G263" t="str">
        <f>VLOOKUP(Table2[[#This Row],[product]],Ref[#All],3,FALSE)</f>
        <v>White Sugar - Damaged</v>
      </c>
      <c r="H263" t="str">
        <f>VLOOKUP(Table2[[#This Row],[product]],Ref[#All],4,FALSE)</f>
        <v>Import</v>
      </c>
      <c r="I263" s="1">
        <v>45907</v>
      </c>
      <c r="J263" s="28" t="s">
        <v>127</v>
      </c>
      <c r="K263" t="s">
        <v>2564</v>
      </c>
      <c r="L263" t="s">
        <v>2714</v>
      </c>
      <c r="M263" t="s">
        <v>1593</v>
      </c>
      <c r="N263" t="s">
        <v>784</v>
      </c>
      <c r="O263" t="s">
        <v>1680</v>
      </c>
      <c r="P263" t="s">
        <v>788</v>
      </c>
      <c r="Q263" s="38" t="s">
        <v>55</v>
      </c>
      <c r="R263">
        <v>23</v>
      </c>
      <c r="S263" s="15">
        <f>Table2[[#This Row],[movement_quantity]]/VLOOKUP(Table2[[#This Row],[product]],Ref[#All],5,FALSE)</f>
        <v>1.1499999999999999</v>
      </c>
      <c r="T263">
        <v>0</v>
      </c>
      <c r="U263" t="s">
        <v>122</v>
      </c>
      <c r="V263" t="s">
        <v>18</v>
      </c>
      <c r="W263" t="s">
        <v>2606</v>
      </c>
      <c r="X263" t="s">
        <v>2607</v>
      </c>
      <c r="Y263" s="2" t="s">
        <v>17</v>
      </c>
      <c r="Z263">
        <v>0</v>
      </c>
      <c r="AA263" s="4">
        <v>947058.82</v>
      </c>
      <c r="AB263" t="str">
        <f>VLOOKUP(Table2[[#This Row],[product]],Ref[#All],6,FALSE)</f>
        <v>BAG50</v>
      </c>
    </row>
    <row r="264" spans="1:28" x14ac:dyDescent="0.25">
      <c r="A264" t="str">
        <f>TEXT(Table2[[#This Row],[dated]],"mmm")</f>
        <v>Sep</v>
      </c>
      <c r="B264" t="s">
        <v>40</v>
      </c>
      <c r="C264" s="1" t="s">
        <v>538</v>
      </c>
      <c r="D264" t="str">
        <f>VLOOKUP(Table2[[#This Row],[product]],Ref[#All],7,FALSE)</f>
        <v>Sugar</v>
      </c>
      <c r="E264" s="28" t="s">
        <v>549</v>
      </c>
      <c r="F264" t="str">
        <f>VLOOKUP(Table2[[#This Row],[product]],Ref[#All],2,FALSE)</f>
        <v>White Sugar - Damaged</v>
      </c>
      <c r="G264" t="str">
        <f>VLOOKUP(Table2[[#This Row],[product]],Ref[#All],3,FALSE)</f>
        <v>White Sugar - Damaged</v>
      </c>
      <c r="H264" t="str">
        <f>VLOOKUP(Table2[[#This Row],[product]],Ref[#All],4,FALSE)</f>
        <v>Import</v>
      </c>
      <c r="I264" s="1">
        <v>45907</v>
      </c>
      <c r="J264" s="28" t="s">
        <v>127</v>
      </c>
      <c r="K264" t="s">
        <v>2565</v>
      </c>
      <c r="L264" t="s">
        <v>2713</v>
      </c>
      <c r="M264" t="s">
        <v>1593</v>
      </c>
      <c r="N264" t="s">
        <v>784</v>
      </c>
      <c r="O264" t="s">
        <v>1680</v>
      </c>
      <c r="P264" t="s">
        <v>788</v>
      </c>
      <c r="Q264" s="38" t="s">
        <v>55</v>
      </c>
      <c r="R264">
        <v>28</v>
      </c>
      <c r="S264" s="15">
        <f>Table2[[#This Row],[movement_quantity]]/VLOOKUP(Table2[[#This Row],[product]],Ref[#All],5,FALSE)</f>
        <v>1.4</v>
      </c>
      <c r="T264">
        <v>0</v>
      </c>
      <c r="U264" t="s">
        <v>122</v>
      </c>
      <c r="V264" t="s">
        <v>21</v>
      </c>
      <c r="W264" t="s">
        <v>2608</v>
      </c>
      <c r="X264" t="s">
        <v>2609</v>
      </c>
      <c r="Y264" s="2" t="s">
        <v>17</v>
      </c>
      <c r="Z264">
        <v>0</v>
      </c>
      <c r="AA264" s="4">
        <v>1152941.176</v>
      </c>
      <c r="AB264" t="str">
        <f>VLOOKUP(Table2[[#This Row],[product]],Ref[#All],6,FALSE)</f>
        <v>BAG50</v>
      </c>
    </row>
    <row r="265" spans="1:28" x14ac:dyDescent="0.25">
      <c r="A265" t="str">
        <f>TEXT(Table2[[#This Row],[dated]],"mmm")</f>
        <v>Sep</v>
      </c>
      <c r="B265" t="s">
        <v>40</v>
      </c>
      <c r="C265" s="1" t="s">
        <v>538</v>
      </c>
      <c r="D265" t="str">
        <f>VLOOKUP(Table2[[#This Row],[product]],Ref[#All],7,FALSE)</f>
        <v>Lentils</v>
      </c>
      <c r="E265" s="28" t="s">
        <v>39</v>
      </c>
      <c r="F265" t="str">
        <f>VLOOKUP(Table2[[#This Row],[product]],Ref[#All],2,FALSE)</f>
        <v>Lentil TAT 20KG</v>
      </c>
      <c r="G265" t="str">
        <f>VLOOKUP(Table2[[#This Row],[product]],Ref[#All],3,FALSE)</f>
        <v>Lentils</v>
      </c>
      <c r="H265" t="str">
        <f>VLOOKUP(Table2[[#This Row],[product]],Ref[#All],4,FALSE)</f>
        <v>Import</v>
      </c>
      <c r="I265" s="1">
        <v>45917</v>
      </c>
      <c r="J265" s="28" t="s">
        <v>53</v>
      </c>
      <c r="K265" s="33" t="s">
        <v>2582</v>
      </c>
      <c r="L265" t="s">
        <v>2717</v>
      </c>
      <c r="M265" t="s">
        <v>1586</v>
      </c>
      <c r="N265" t="s">
        <v>784</v>
      </c>
      <c r="O265" t="s">
        <v>1680</v>
      </c>
      <c r="P265" t="s">
        <v>788</v>
      </c>
      <c r="Q265" s="38" t="s">
        <v>55</v>
      </c>
      <c r="R265">
        <v>-68</v>
      </c>
      <c r="S265" s="15">
        <f>Table2[[#This Row],[movement_quantity]]/VLOOKUP(Table2[[#This Row],[product]],Ref[#All],5,FALSE)</f>
        <v>-1.36</v>
      </c>
      <c r="T265">
        <v>45680.80154</v>
      </c>
      <c r="U265" t="s">
        <v>17</v>
      </c>
      <c r="V265" t="s">
        <v>18</v>
      </c>
      <c r="W265" t="s">
        <v>2629</v>
      </c>
      <c r="X265" t="s">
        <v>17</v>
      </c>
      <c r="Y265" s="2" t="s">
        <v>2630</v>
      </c>
      <c r="Z265">
        <v>0</v>
      </c>
      <c r="AA265" s="2">
        <v>-3106294.5047200001</v>
      </c>
      <c r="AB265" t="str">
        <f>VLOOKUP(Table2[[#This Row],[product]],Ref[#All],6,FALSE)</f>
        <v>BAG20</v>
      </c>
    </row>
    <row r="266" spans="1:28" x14ac:dyDescent="0.25">
      <c r="A266" t="str">
        <f>TEXT(Table2[[#This Row],[dated]],"mmm")</f>
        <v>Sep</v>
      </c>
      <c r="B266" t="s">
        <v>40</v>
      </c>
      <c r="C266" s="1" t="s">
        <v>538</v>
      </c>
      <c r="D266" t="str">
        <f>VLOOKUP(Table2[[#This Row],[product]],Ref[#All],7,FALSE)</f>
        <v>Lentils</v>
      </c>
      <c r="E266" s="28" t="s">
        <v>2600</v>
      </c>
      <c r="F266" t="str">
        <f>VLOOKUP(Table2[[#This Row],[product]],Ref[#All],2,FALSE)</f>
        <v>Lentil Damage/waste 50KG</v>
      </c>
      <c r="G266" t="str">
        <f>VLOOKUP(Table2[[#This Row],[product]],Ref[#All],3,FALSE)</f>
        <v>Lentil - Damaged</v>
      </c>
      <c r="H266" t="str">
        <f>VLOOKUP(Table2[[#This Row],[product]],Ref[#All],4,FALSE)</f>
        <v>Import</v>
      </c>
      <c r="I266" s="1">
        <v>45917</v>
      </c>
      <c r="J266" s="28" t="s">
        <v>127</v>
      </c>
      <c r="K266" s="33" t="s">
        <v>2583</v>
      </c>
      <c r="L266" t="s">
        <v>2717</v>
      </c>
      <c r="M266" t="s">
        <v>1593</v>
      </c>
      <c r="N266" t="s">
        <v>784</v>
      </c>
      <c r="O266" t="s">
        <v>1680</v>
      </c>
      <c r="P266" t="s">
        <v>788</v>
      </c>
      <c r="Q266" s="38" t="s">
        <v>55</v>
      </c>
      <c r="R266">
        <v>4</v>
      </c>
      <c r="S266" s="15">
        <f>Table2[[#This Row],[movement_quantity]]/VLOOKUP(Table2[[#This Row],[product]],Ref[#All],5,FALSE)</f>
        <v>0.08</v>
      </c>
      <c r="T266">
        <v>0</v>
      </c>
      <c r="U266" t="s">
        <v>122</v>
      </c>
      <c r="V266" t="s">
        <v>18</v>
      </c>
      <c r="W266" t="s">
        <v>2631</v>
      </c>
      <c r="X266" t="s">
        <v>2632</v>
      </c>
      <c r="Y266" s="2" t="s">
        <v>17</v>
      </c>
      <c r="Z266">
        <v>0</v>
      </c>
      <c r="AA266" s="4">
        <v>60000</v>
      </c>
      <c r="AB266" t="str">
        <f>VLOOKUP(Table2[[#This Row],[product]],Ref[#All],6,FALSE)</f>
        <v>BAG50</v>
      </c>
    </row>
    <row r="267" spans="1:28" x14ac:dyDescent="0.25">
      <c r="A267" t="str">
        <f>TEXT(Table2[[#This Row],[dated]],"mmm")</f>
        <v>Sep</v>
      </c>
      <c r="B267" t="s">
        <v>138</v>
      </c>
      <c r="C267" s="1" t="s">
        <v>538</v>
      </c>
      <c r="D267" t="str">
        <f>VLOOKUP(Table2[[#This Row],[product]],Ref[#All],7,FALSE)</f>
        <v>Sesame Gadarif</v>
      </c>
      <c r="E267" s="28" t="s">
        <v>131</v>
      </c>
      <c r="F267" t="str">
        <f>VLOOKUP(Table2[[#This Row],[product]],Ref[#All],2,FALSE)</f>
        <v>Gadarif Sesame - FG</v>
      </c>
      <c r="G267" t="str">
        <f>VLOOKUP(Table2[[#This Row],[product]],Ref[#All],3,FALSE)</f>
        <v>Gadarif Sesame - FG</v>
      </c>
      <c r="H267" t="str">
        <f>VLOOKUP(Table2[[#This Row],[product]],Ref[#All],4,FALSE)</f>
        <v>Export</v>
      </c>
      <c r="I267" s="1">
        <v>45917</v>
      </c>
      <c r="J267" s="28" t="s">
        <v>53</v>
      </c>
      <c r="K267" s="33" t="s">
        <v>2584</v>
      </c>
      <c r="L267" t="s">
        <v>2718</v>
      </c>
      <c r="M267" t="s">
        <v>1586</v>
      </c>
      <c r="N267" t="s">
        <v>784</v>
      </c>
      <c r="O267" t="s">
        <v>1680</v>
      </c>
      <c r="P267" t="s">
        <v>788</v>
      </c>
      <c r="Q267" s="38" t="s">
        <v>55</v>
      </c>
      <c r="R267">
        <v>-8</v>
      </c>
      <c r="S267" s="15">
        <f>Table2[[#This Row],[movement_quantity]]/VLOOKUP(Table2[[#This Row],[product]],Ref[#All],5,FALSE)</f>
        <v>-0.4</v>
      </c>
      <c r="T267">
        <v>189125.99895000001</v>
      </c>
      <c r="U267" t="s">
        <v>17</v>
      </c>
      <c r="V267" t="s">
        <v>18</v>
      </c>
      <c r="W267" t="s">
        <v>2633</v>
      </c>
      <c r="X267" t="s">
        <v>17</v>
      </c>
      <c r="Y267" s="2" t="s">
        <v>2634</v>
      </c>
      <c r="Z267">
        <v>0</v>
      </c>
      <c r="AA267" s="2">
        <v>-1513007.9916000001</v>
      </c>
      <c r="AB267" t="str">
        <f>VLOOKUP(Table2[[#This Row],[product]],Ref[#All],6,FALSE)</f>
        <v>BAG50</v>
      </c>
    </row>
    <row r="268" spans="1:28" x14ac:dyDescent="0.25">
      <c r="A268" t="str">
        <f>TEXT(Table2[[#This Row],[dated]],"mmm")</f>
        <v>Sep</v>
      </c>
      <c r="B268" t="s">
        <v>138</v>
      </c>
      <c r="C268" s="1" t="s">
        <v>538</v>
      </c>
      <c r="D268" t="str">
        <f>VLOOKUP(Table2[[#This Row],[product]],Ref[#All],7,FALSE)</f>
        <v>Sesame Gadarif</v>
      </c>
      <c r="E268" s="28" t="s">
        <v>277</v>
      </c>
      <c r="F268" t="str">
        <f>VLOOKUP(Table2[[#This Row],[product]],Ref[#All],2,FALSE)</f>
        <v>White Sesame Gadarif Damage NC 50K</v>
      </c>
      <c r="G268" t="str">
        <f>VLOOKUP(Table2[[#This Row],[product]],Ref[#All],3,FALSE)</f>
        <v>White Sesame Gadarif - Damage</v>
      </c>
      <c r="H268" t="str">
        <f>VLOOKUP(Table2[[#This Row],[product]],Ref[#All],4,FALSE)</f>
        <v>Export</v>
      </c>
      <c r="I268" s="1">
        <v>45917</v>
      </c>
      <c r="J268" s="28" t="s">
        <v>127</v>
      </c>
      <c r="K268" s="33" t="s">
        <v>2585</v>
      </c>
      <c r="L268" t="s">
        <v>2718</v>
      </c>
      <c r="M268" t="s">
        <v>1593</v>
      </c>
      <c r="N268" t="s">
        <v>784</v>
      </c>
      <c r="O268" t="s">
        <v>1680</v>
      </c>
      <c r="P268" t="s">
        <v>788</v>
      </c>
      <c r="Q268" s="38" t="s">
        <v>55</v>
      </c>
      <c r="R268">
        <v>8</v>
      </c>
      <c r="S268" s="15">
        <f>Table2[[#This Row],[movement_quantity]]/VLOOKUP(Table2[[#This Row],[product]],Ref[#All],5,FALSE)</f>
        <v>0.4</v>
      </c>
      <c r="T268">
        <v>0</v>
      </c>
      <c r="U268" t="s">
        <v>163</v>
      </c>
      <c r="V268" t="s">
        <v>18</v>
      </c>
      <c r="W268" t="s">
        <v>2635</v>
      </c>
      <c r="X268" t="s">
        <v>2636</v>
      </c>
      <c r="Y268" s="2" t="s">
        <v>17</v>
      </c>
      <c r="Z268">
        <v>0</v>
      </c>
      <c r="AA268" s="4">
        <v>480000</v>
      </c>
      <c r="AB268" t="str">
        <f>VLOOKUP(Table2[[#This Row],[product]],Ref[#All],6,FALSE)</f>
        <v>BAG50</v>
      </c>
    </row>
    <row r="269" spans="1:28" x14ac:dyDescent="0.25">
      <c r="A269" t="str">
        <f>TEXT(Table2[[#This Row],[dated]],"mmm")</f>
        <v>Sep</v>
      </c>
      <c r="B269" t="s">
        <v>138</v>
      </c>
      <c r="C269" s="1" t="s">
        <v>538</v>
      </c>
      <c r="D269" t="str">
        <f>VLOOKUP(Table2[[#This Row],[product]],Ref[#All],7,FALSE)</f>
        <v>Cotton</v>
      </c>
      <c r="E269" s="28" t="s">
        <v>1501</v>
      </c>
      <c r="F269" t="str">
        <f>VLOOKUP(Table2[[#This Row],[product]],Ref[#All],2,FALSE)</f>
        <v>Cotton Waste</v>
      </c>
      <c r="G269" t="str">
        <f>VLOOKUP(Table2[[#This Row],[product]],Ref[#All],3,FALSE)</f>
        <v>Cotton - Waste</v>
      </c>
      <c r="H269" t="str">
        <f>VLOOKUP(Table2[[#This Row],[product]],Ref[#All],4,FALSE)</f>
        <v>Export</v>
      </c>
      <c r="I269" s="1">
        <v>45917</v>
      </c>
      <c r="J269" s="28" t="s">
        <v>127</v>
      </c>
      <c r="K269" s="33" t="s">
        <v>2586</v>
      </c>
      <c r="L269" t="s">
        <v>2725</v>
      </c>
      <c r="M269" t="s">
        <v>1593</v>
      </c>
      <c r="N269" t="s">
        <v>784</v>
      </c>
      <c r="O269" t="s">
        <v>1680</v>
      </c>
      <c r="P269" t="s">
        <v>788</v>
      </c>
      <c r="Q269" s="38" t="s">
        <v>55</v>
      </c>
      <c r="R269">
        <v>1.36</v>
      </c>
      <c r="S269" s="15">
        <f>Table2[[#This Row],[movement_quantity]]/VLOOKUP(Table2[[#This Row],[product]],Ref[#All],5,FALSE)</f>
        <v>1.36</v>
      </c>
      <c r="T269">
        <v>0</v>
      </c>
      <c r="U269" t="s">
        <v>163</v>
      </c>
      <c r="V269" t="s">
        <v>18</v>
      </c>
      <c r="W269" t="s">
        <v>2637</v>
      </c>
      <c r="X269" t="s">
        <v>2638</v>
      </c>
      <c r="Y269" s="2" t="s">
        <v>17</v>
      </c>
      <c r="Z269">
        <v>0</v>
      </c>
      <c r="AA269" s="4">
        <v>2203200</v>
      </c>
      <c r="AB269" t="str">
        <f>VLOOKUP(Table2[[#This Row],[product]],Ref[#All],6,FALSE)</f>
        <v>TON</v>
      </c>
    </row>
    <row r="270" spans="1:28" x14ac:dyDescent="0.25">
      <c r="A270" t="str">
        <f>TEXT(Table2[[#This Row],[dated]],"mmm")</f>
        <v>Sep</v>
      </c>
      <c r="B270" t="s">
        <v>40</v>
      </c>
      <c r="C270" s="1" t="s">
        <v>538</v>
      </c>
      <c r="D270" t="str">
        <f>VLOOKUP(Table2[[#This Row],[product]],Ref[#All],7,FALSE)</f>
        <v>Rice</v>
      </c>
      <c r="E270" s="28" t="s">
        <v>45</v>
      </c>
      <c r="F270" t="str">
        <f>VLOOKUP(Table2[[#This Row],[product]],Ref[#All],2,FALSE)</f>
        <v>Rice Short Grain Elngm 25Kg</v>
      </c>
      <c r="G270" t="str">
        <f>VLOOKUP(Table2[[#This Row],[product]],Ref[#All],3,FALSE)</f>
        <v>Rice Short Grain</v>
      </c>
      <c r="H270" t="str">
        <f>VLOOKUP(Table2[[#This Row],[product]],Ref[#All],4,FALSE)</f>
        <v>Import</v>
      </c>
      <c r="I270" s="1">
        <v>45917</v>
      </c>
      <c r="J270" s="28" t="s">
        <v>53</v>
      </c>
      <c r="K270" s="33" t="s">
        <v>2592</v>
      </c>
      <c r="L270" t="s">
        <v>2665</v>
      </c>
      <c r="M270" t="s">
        <v>1586</v>
      </c>
      <c r="N270" t="s">
        <v>784</v>
      </c>
      <c r="O270" t="s">
        <v>1680</v>
      </c>
      <c r="P270" t="s">
        <v>788</v>
      </c>
      <c r="Q270" s="38" t="s">
        <v>55</v>
      </c>
      <c r="R270">
        <v>-7</v>
      </c>
      <c r="S270" s="15">
        <f>Table2[[#This Row],[movement_quantity]]/VLOOKUP(Table2[[#This Row],[product]],Ref[#All],5,FALSE)</f>
        <v>-0.17499999999999999</v>
      </c>
      <c r="T270">
        <v>48871.565979999999</v>
      </c>
      <c r="U270" t="s">
        <v>17</v>
      </c>
      <c r="V270" t="s">
        <v>18</v>
      </c>
      <c r="W270" t="s">
        <v>2649</v>
      </c>
      <c r="X270" t="s">
        <v>17</v>
      </c>
      <c r="Y270" s="2" t="s">
        <v>2650</v>
      </c>
      <c r="Z270">
        <v>0</v>
      </c>
      <c r="AA270" s="2">
        <v>-342100.96185999998</v>
      </c>
      <c r="AB270" t="str">
        <f>VLOOKUP(Table2[[#This Row],[product]],Ref[#All],6,FALSE)</f>
        <v>BAG25</v>
      </c>
    </row>
    <row r="271" spans="1:28" x14ac:dyDescent="0.25">
      <c r="A271" t="str">
        <f>TEXT(Table2[[#This Row],[dated]],"mmm")</f>
        <v>Sep</v>
      </c>
      <c r="B271" t="s">
        <v>40</v>
      </c>
      <c r="C271" s="1" t="s">
        <v>538</v>
      </c>
      <c r="D271" t="str">
        <f>VLOOKUP(Table2[[#This Row],[product]],Ref[#All],7,FALSE)</f>
        <v>Rice</v>
      </c>
      <c r="E271" s="28" t="s">
        <v>2197</v>
      </c>
      <c r="F271" t="str">
        <f>VLOOKUP(Table2[[#This Row],[product]],Ref[#All],2,FALSE)</f>
        <v>Rice Waste 50KG</v>
      </c>
      <c r="G271" t="str">
        <f>VLOOKUP(Table2[[#This Row],[product]],Ref[#All],3,FALSE)</f>
        <v>Rice - Waste</v>
      </c>
      <c r="H271" t="str">
        <f>VLOOKUP(Table2[[#This Row],[product]],Ref[#All],4,FALSE)</f>
        <v>Import</v>
      </c>
      <c r="I271" s="1">
        <v>45917</v>
      </c>
      <c r="J271" s="28" t="s">
        <v>127</v>
      </c>
      <c r="K271" s="33" t="s">
        <v>2593</v>
      </c>
      <c r="L271" t="s">
        <v>2665</v>
      </c>
      <c r="M271" t="s">
        <v>1593</v>
      </c>
      <c r="N271" t="s">
        <v>784</v>
      </c>
      <c r="O271" t="s">
        <v>1680</v>
      </c>
      <c r="P271" t="s">
        <v>788</v>
      </c>
      <c r="Q271" s="38" t="s">
        <v>55</v>
      </c>
      <c r="R271">
        <v>2</v>
      </c>
      <c r="S271" s="15">
        <f>Table2[[#This Row],[movement_quantity]]/VLOOKUP(Table2[[#This Row],[product]],Ref[#All],5,FALSE)</f>
        <v>0.1</v>
      </c>
      <c r="T271">
        <v>0</v>
      </c>
      <c r="U271" t="s">
        <v>122</v>
      </c>
      <c r="V271" t="s">
        <v>18</v>
      </c>
      <c r="W271" t="s">
        <v>2651</v>
      </c>
      <c r="X271" t="s">
        <v>2652</v>
      </c>
      <c r="Y271" s="2" t="s">
        <v>17</v>
      </c>
      <c r="Z271">
        <v>0</v>
      </c>
      <c r="AA271" s="4">
        <v>72000</v>
      </c>
      <c r="AB271" t="str">
        <f>VLOOKUP(Table2[[#This Row],[product]],Ref[#All],6,FALSE)</f>
        <v>BAG50</v>
      </c>
    </row>
    <row r="272" spans="1:28" x14ac:dyDescent="0.25">
      <c r="A272" t="str">
        <f>TEXT(Table2[[#This Row],[dated]],"mmm")</f>
        <v>Sep</v>
      </c>
      <c r="B272" t="s">
        <v>138</v>
      </c>
      <c r="C272" s="1" t="s">
        <v>538</v>
      </c>
      <c r="D272" t="str">
        <f>VLOOKUP(Table2[[#This Row],[product]],Ref[#All],7,FALSE)</f>
        <v>Cotton</v>
      </c>
      <c r="E272" s="28" t="s">
        <v>412</v>
      </c>
      <c r="F272" t="str">
        <f>VLOOKUP(Table2[[#This Row],[product]],Ref[#All],2,FALSE)</f>
        <v xml:space="preserve">Cotton - FG </v>
      </c>
      <c r="G272" t="str">
        <f>VLOOKUP(Table2[[#This Row],[product]],Ref[#All],3,FALSE)</f>
        <v xml:space="preserve">Cotton - FG </v>
      </c>
      <c r="H272" t="str">
        <f>VLOOKUP(Table2[[#This Row],[product]],Ref[#All],4,FALSE)</f>
        <v>Export</v>
      </c>
      <c r="I272" s="1">
        <v>45917</v>
      </c>
      <c r="J272" s="28" t="s">
        <v>53</v>
      </c>
      <c r="K272" t="s">
        <v>2594</v>
      </c>
      <c r="L272" t="s">
        <v>2725</v>
      </c>
      <c r="M272" t="s">
        <v>1586</v>
      </c>
      <c r="N272" t="s">
        <v>784</v>
      </c>
      <c r="O272" t="s">
        <v>1680</v>
      </c>
      <c r="P272" t="s">
        <v>788</v>
      </c>
      <c r="Q272" s="38" t="s">
        <v>55</v>
      </c>
      <c r="R272">
        <v>-1.5880000000000001</v>
      </c>
      <c r="S272" s="15">
        <f>Table2[[#This Row],[movement_quantity]]/VLOOKUP(Table2[[#This Row],[product]],Ref[#All],5,FALSE)</f>
        <v>-1.5880000000000001</v>
      </c>
      <c r="T272">
        <v>4024676.7759699998</v>
      </c>
      <c r="U272" t="s">
        <v>17</v>
      </c>
      <c r="V272" t="s">
        <v>18</v>
      </c>
      <c r="W272" t="s">
        <v>2653</v>
      </c>
      <c r="X272" t="s">
        <v>17</v>
      </c>
      <c r="Y272" s="2" t="s">
        <v>1915</v>
      </c>
      <c r="Z272">
        <v>0</v>
      </c>
      <c r="AA272" s="2">
        <v>-6391186.7202403601</v>
      </c>
      <c r="AB272" t="str">
        <f>VLOOKUP(Table2[[#This Row],[product]],Ref[#All],6,FALSE)</f>
        <v>TON</v>
      </c>
    </row>
    <row r="273" spans="1:28" x14ac:dyDescent="0.25">
      <c r="A273" t="str">
        <f>TEXT(Table2[[#This Row],[dated]],"mmm")</f>
        <v>Sep</v>
      </c>
      <c r="B273" t="s">
        <v>138</v>
      </c>
      <c r="C273" s="1" t="s">
        <v>538</v>
      </c>
      <c r="D273" t="str">
        <f>VLOOKUP(Table2[[#This Row],[product]],Ref[#All],7,FALSE)</f>
        <v>Sorghum</v>
      </c>
      <c r="E273" s="28" t="s">
        <v>137</v>
      </c>
      <c r="F273" t="str">
        <f>VLOOKUP(Table2[[#This Row],[product]],Ref[#All],2,FALSE)</f>
        <v>Sorghum Raw</v>
      </c>
      <c r="G273" t="str">
        <f>VLOOKUP(Table2[[#This Row],[product]],Ref[#All],3,FALSE)</f>
        <v>Sorghum Raw</v>
      </c>
      <c r="H273" t="str">
        <f>VLOOKUP(Table2[[#This Row],[product]],Ref[#All],4,FALSE)</f>
        <v>Export</v>
      </c>
      <c r="I273" s="1">
        <v>45917</v>
      </c>
      <c r="J273" s="28" t="s">
        <v>53</v>
      </c>
      <c r="K273" t="s">
        <v>2595</v>
      </c>
      <c r="L273" t="s">
        <v>2724</v>
      </c>
      <c r="M273" t="s">
        <v>1586</v>
      </c>
      <c r="N273" t="s">
        <v>784</v>
      </c>
      <c r="O273" t="s">
        <v>1680</v>
      </c>
      <c r="P273" t="s">
        <v>788</v>
      </c>
      <c r="Q273" s="38" t="s">
        <v>55</v>
      </c>
      <c r="R273">
        <v>-0.25</v>
      </c>
      <c r="S273" s="15">
        <f>Table2[[#This Row],[movement_quantity]]/VLOOKUP(Table2[[#This Row],[product]],Ref[#All],5,FALSE)</f>
        <v>-0.25</v>
      </c>
      <c r="T273">
        <v>947797.31544000003</v>
      </c>
      <c r="U273" t="s">
        <v>17</v>
      </c>
      <c r="V273" t="s">
        <v>18</v>
      </c>
      <c r="W273" t="s">
        <v>2654</v>
      </c>
      <c r="X273" t="s">
        <v>17</v>
      </c>
      <c r="Y273" s="2" t="s">
        <v>2655</v>
      </c>
      <c r="Z273">
        <v>0</v>
      </c>
      <c r="AA273" s="2">
        <v>-236949.32886000001</v>
      </c>
      <c r="AB273" t="str">
        <f>VLOOKUP(Table2[[#This Row],[product]],Ref[#All],6,FALSE)</f>
        <v>TON</v>
      </c>
    </row>
    <row r="274" spans="1:28" x14ac:dyDescent="0.25">
      <c r="A274" t="str">
        <f>TEXT(Table2[[#This Row],[dated]],"mmm")</f>
        <v>Sep</v>
      </c>
      <c r="B274" t="s">
        <v>138</v>
      </c>
      <c r="C274" s="1" t="s">
        <v>538</v>
      </c>
      <c r="D274" t="str">
        <f>VLOOKUP(Table2[[#This Row],[product]],Ref[#All],7,FALSE)</f>
        <v>Sorghum</v>
      </c>
      <c r="E274" s="28" t="s">
        <v>1546</v>
      </c>
      <c r="F274" t="str">
        <f>VLOOKUP(Table2[[#This Row],[product]],Ref[#All],2,FALSE)</f>
        <v>Sorghum Waste</v>
      </c>
      <c r="G274" t="str">
        <f>VLOOKUP(Table2[[#This Row],[product]],Ref[#All],3,FALSE)</f>
        <v>Sorghum - Waste</v>
      </c>
      <c r="H274" t="str">
        <f>VLOOKUP(Table2[[#This Row],[product]],Ref[#All],4,FALSE)</f>
        <v>Export</v>
      </c>
      <c r="I274" s="1">
        <v>45917</v>
      </c>
      <c r="J274" s="28" t="s">
        <v>127</v>
      </c>
      <c r="K274" t="s">
        <v>2596</v>
      </c>
      <c r="L274" t="s">
        <v>2724</v>
      </c>
      <c r="M274" t="s">
        <v>1593</v>
      </c>
      <c r="N274" t="s">
        <v>784</v>
      </c>
      <c r="O274" t="s">
        <v>1680</v>
      </c>
      <c r="P274" t="s">
        <v>788</v>
      </c>
      <c r="Q274" s="38" t="s">
        <v>55</v>
      </c>
      <c r="R274">
        <v>0.05</v>
      </c>
      <c r="S274" s="15">
        <f>Table2[[#This Row],[movement_quantity]]/VLOOKUP(Table2[[#This Row],[product]],Ref[#All],5,FALSE)</f>
        <v>0.05</v>
      </c>
      <c r="T274">
        <v>0</v>
      </c>
      <c r="U274" t="s">
        <v>163</v>
      </c>
      <c r="V274" t="s">
        <v>18</v>
      </c>
      <c r="W274" t="s">
        <v>2656</v>
      </c>
      <c r="X274" t="s">
        <v>2657</v>
      </c>
      <c r="Y274" s="2" t="s">
        <v>17</v>
      </c>
      <c r="Z274">
        <v>0</v>
      </c>
      <c r="AA274" s="4">
        <v>30000</v>
      </c>
      <c r="AB274" t="str">
        <f>VLOOKUP(Table2[[#This Row],[product]],Ref[#All],6,FALSE)</f>
        <v>TON</v>
      </c>
    </row>
    <row r="275" spans="1:28" x14ac:dyDescent="0.25">
      <c r="A275" t="str">
        <f>TEXT(Table2[[#This Row],[dated]],"mmm")</f>
        <v>Sep</v>
      </c>
      <c r="B275" t="s">
        <v>811</v>
      </c>
      <c r="C275" s="1" t="s">
        <v>538</v>
      </c>
      <c r="D275" t="str">
        <f>VLOOKUP(Table2[[#This Row],[product]],Ref[#All],7,FALSE)</f>
        <v>Flour</v>
      </c>
      <c r="E275" s="28" t="s">
        <v>36</v>
      </c>
      <c r="F275" t="str">
        <f>VLOOKUP(Table2[[#This Row],[product]],Ref[#All],2,FALSE)</f>
        <v>Flour Import Elngm 25Kg</v>
      </c>
      <c r="G275" t="str">
        <f>VLOOKUP(Table2[[#This Row],[product]],Ref[#All],3,FALSE)</f>
        <v>Flour Al-Nagm (Imported)</v>
      </c>
      <c r="H275" t="str">
        <f>VLOOKUP(Table2[[#This Row],[product]],Ref[#All],4,FALSE)</f>
        <v>Import</v>
      </c>
      <c r="I275" s="1">
        <v>45917</v>
      </c>
      <c r="J275" s="28" t="s">
        <v>53</v>
      </c>
      <c r="K275" t="s">
        <v>2597</v>
      </c>
      <c r="L275" s="40" t="s">
        <v>2722</v>
      </c>
      <c r="M275" t="s">
        <v>1586</v>
      </c>
      <c r="N275" t="s">
        <v>784</v>
      </c>
      <c r="O275" t="s">
        <v>1680</v>
      </c>
      <c r="P275" t="s">
        <v>788</v>
      </c>
      <c r="Q275" s="38" t="s">
        <v>55</v>
      </c>
      <c r="R275">
        <v>-30</v>
      </c>
      <c r="S275" s="15">
        <f>Table2[[#This Row],[movement_quantity]]/VLOOKUP(Table2[[#This Row],[product]],Ref[#All],5,FALSE)</f>
        <v>-0.75</v>
      </c>
      <c r="T275">
        <v>32432.643329999999</v>
      </c>
      <c r="U275" t="s">
        <v>17</v>
      </c>
      <c r="V275" t="s">
        <v>18</v>
      </c>
      <c r="W275" t="s">
        <v>2658</v>
      </c>
      <c r="X275" t="s">
        <v>17</v>
      </c>
      <c r="Y275" s="2" t="s">
        <v>2408</v>
      </c>
      <c r="Z275">
        <v>0</v>
      </c>
      <c r="AA275" s="2">
        <f>-12000078.0321+11027098.73</f>
        <v>-972979.30209999904</v>
      </c>
      <c r="AB275" t="str">
        <f>VLOOKUP(Table2[[#This Row],[product]],Ref[#All],6,FALSE)</f>
        <v>BAG25</v>
      </c>
    </row>
    <row r="276" spans="1:28" x14ac:dyDescent="0.25">
      <c r="A276" t="str">
        <f>TEXT(Table2[[#This Row],[dated]],"mmm")</f>
        <v>Sep</v>
      </c>
      <c r="B276" t="s">
        <v>811</v>
      </c>
      <c r="C276" s="1" t="s">
        <v>538</v>
      </c>
      <c r="D276" t="str">
        <f>VLOOKUP(Table2[[#This Row],[product]],Ref[#All],7,FALSE)</f>
        <v>Flour</v>
      </c>
      <c r="E276" s="28" t="s">
        <v>2601</v>
      </c>
      <c r="F276" t="str">
        <f>VLOOKUP(Table2[[#This Row],[product]],Ref[#All],2,FALSE)</f>
        <v>WHEAT FLOUR DAMAGED 25KG</v>
      </c>
      <c r="G276" t="str">
        <f>VLOOKUP(Table2[[#This Row],[product]],Ref[#All],3,FALSE)</f>
        <v>Flour Damaged 25KG</v>
      </c>
      <c r="H276" t="str">
        <f>VLOOKUP(Table2[[#This Row],[product]],Ref[#All],4,FALSE)</f>
        <v>Import</v>
      </c>
      <c r="I276" s="1">
        <v>45917</v>
      </c>
      <c r="J276" s="28" t="s">
        <v>127</v>
      </c>
      <c r="K276" t="s">
        <v>2598</v>
      </c>
      <c r="L276" s="40" t="s">
        <v>2722</v>
      </c>
      <c r="M276" t="s">
        <v>1593</v>
      </c>
      <c r="N276" t="s">
        <v>784</v>
      </c>
      <c r="O276" t="s">
        <v>1680</v>
      </c>
      <c r="P276" t="s">
        <v>788</v>
      </c>
      <c r="Q276" s="38" t="s">
        <v>55</v>
      </c>
      <c r="R276">
        <v>21</v>
      </c>
      <c r="S276" s="15">
        <f>Table2[[#This Row],[movement_quantity]]/VLOOKUP(Table2[[#This Row],[product]],Ref[#All],5,FALSE)</f>
        <v>0.52500000000000002</v>
      </c>
      <c r="T276">
        <v>0</v>
      </c>
      <c r="U276" t="s">
        <v>813</v>
      </c>
      <c r="V276" t="s">
        <v>18</v>
      </c>
      <c r="W276" t="s">
        <v>2659</v>
      </c>
      <c r="X276" t="s">
        <v>2660</v>
      </c>
      <c r="Y276" s="2" t="s">
        <v>17</v>
      </c>
      <c r="Z276">
        <v>0</v>
      </c>
      <c r="AA276" s="4">
        <v>252000</v>
      </c>
      <c r="AB276" t="str">
        <f>VLOOKUP(Table2[[#This Row],[product]],Ref[#All],6,FALSE)</f>
        <v>BAG25</v>
      </c>
    </row>
    <row r="277" spans="1:28" x14ac:dyDescent="0.25">
      <c r="A277" t="str">
        <f>TEXT(Table2[[#This Row],[dated]],"mmm")</f>
        <v>Sep</v>
      </c>
      <c r="B277" t="s">
        <v>40</v>
      </c>
      <c r="C277" s="1" t="s">
        <v>538</v>
      </c>
      <c r="D277" t="str">
        <f>VLOOKUP(Table2[[#This Row],[product]],Ref[#All],7,FALSE)</f>
        <v>Rice</v>
      </c>
      <c r="E277" s="28" t="s">
        <v>2680</v>
      </c>
      <c r="F277" t="str">
        <f>VLOOKUP(Table2[[#This Row],[product]],Ref[#All],2,FALSE)</f>
        <v>Rice Long Damaged20</v>
      </c>
      <c r="G277" t="str">
        <f>VLOOKUP(Table2[[#This Row],[product]],Ref[#All],3,FALSE)</f>
        <v>Rice Long Grain</v>
      </c>
      <c r="H277" t="str">
        <f>VLOOKUP(Table2[[#This Row],[product]],Ref[#All],4,FALSE)</f>
        <v>Import</v>
      </c>
      <c r="I277" s="1">
        <v>45924</v>
      </c>
      <c r="J277" t="s">
        <v>127</v>
      </c>
      <c r="K277" t="s">
        <v>2671</v>
      </c>
      <c r="L277" t="s">
        <v>1636</v>
      </c>
      <c r="M277" t="s">
        <v>1593</v>
      </c>
      <c r="N277" t="s">
        <v>784</v>
      </c>
      <c r="O277" t="s">
        <v>1680</v>
      </c>
      <c r="P277" t="s">
        <v>788</v>
      </c>
      <c r="Q277" t="s">
        <v>55</v>
      </c>
      <c r="R277">
        <v>9</v>
      </c>
      <c r="S277" s="15">
        <f>Table2[[#This Row],[movement_quantity]]/VLOOKUP(Table2[[#This Row],[product]],Ref[#All],5,FALSE)</f>
        <v>0.18</v>
      </c>
      <c r="T277">
        <v>0</v>
      </c>
      <c r="U277" t="s">
        <v>122</v>
      </c>
      <c r="V277" t="s">
        <v>18</v>
      </c>
      <c r="W277" t="s">
        <v>2694</v>
      </c>
      <c r="X277" t="s">
        <v>2695</v>
      </c>
      <c r="Y277" s="2" t="s">
        <v>17</v>
      </c>
      <c r="Z277">
        <v>0</v>
      </c>
      <c r="AA277" s="2">
        <v>0</v>
      </c>
      <c r="AB277" t="str">
        <f>VLOOKUP(Table2[[#This Row],[product]],Ref[#All],6,FALSE)</f>
        <v>BAG20</v>
      </c>
    </row>
    <row r="278" spans="1:28" x14ac:dyDescent="0.25">
      <c r="A278" t="str">
        <f>TEXT(Table2[[#This Row],[dated]],"mmm")</f>
        <v>Sep</v>
      </c>
      <c r="B278" t="s">
        <v>40</v>
      </c>
      <c r="C278" s="1" t="s">
        <v>538</v>
      </c>
      <c r="D278" t="str">
        <f>VLOOKUP(Table2[[#This Row],[product]],Ref[#All],7,FALSE)</f>
        <v>Rice</v>
      </c>
      <c r="E278" s="28" t="s">
        <v>341</v>
      </c>
      <c r="F278" t="str">
        <f>VLOOKUP(Table2[[#This Row],[product]],Ref[#All],2,FALSE)</f>
        <v>Rice Damaged 25KG</v>
      </c>
      <c r="G278" t="str">
        <f>VLOOKUP(Table2[[#This Row],[product]],Ref[#All],3,FALSE)</f>
        <v>Rice - Damaged</v>
      </c>
      <c r="H278" t="str">
        <f>VLOOKUP(Table2[[#This Row],[product]],Ref[#All],4,FALSE)</f>
        <v>Import</v>
      </c>
      <c r="I278" s="1">
        <v>45924</v>
      </c>
      <c r="J278" t="s">
        <v>53</v>
      </c>
      <c r="K278" t="s">
        <v>2671</v>
      </c>
      <c r="L278" t="s">
        <v>1636</v>
      </c>
      <c r="M278" t="s">
        <v>1586</v>
      </c>
      <c r="N278" t="s">
        <v>784</v>
      </c>
      <c r="O278" t="s">
        <v>1680</v>
      </c>
      <c r="P278" t="s">
        <v>788</v>
      </c>
      <c r="Q278" t="s">
        <v>55</v>
      </c>
      <c r="R278">
        <v>-9</v>
      </c>
      <c r="S278" s="15">
        <f>Table2[[#This Row],[movement_quantity]]/VLOOKUP(Table2[[#This Row],[product]],Ref[#All],5,FALSE)</f>
        <v>-0.22500000000000001</v>
      </c>
      <c r="T278">
        <v>0</v>
      </c>
      <c r="U278" t="s">
        <v>17</v>
      </c>
      <c r="V278" t="s">
        <v>18</v>
      </c>
      <c r="W278" t="s">
        <v>2696</v>
      </c>
      <c r="X278" t="s">
        <v>17</v>
      </c>
      <c r="Y278" s="2" t="s">
        <v>1430</v>
      </c>
      <c r="Z278">
        <v>0</v>
      </c>
      <c r="AA278" s="2">
        <v>0</v>
      </c>
      <c r="AB278" t="str">
        <f>VLOOKUP(Table2[[#This Row],[product]],Ref[#All],6,FALSE)</f>
        <v>BAG25</v>
      </c>
    </row>
    <row r="279" spans="1:28" x14ac:dyDescent="0.25">
      <c r="A279" t="str">
        <f>TEXT(Table2[[#This Row],[dated]],"mmm")</f>
        <v>Sep</v>
      </c>
      <c r="B279" t="s">
        <v>40</v>
      </c>
      <c r="C279" s="1" t="s">
        <v>538</v>
      </c>
      <c r="D279" t="str">
        <f>VLOOKUP(Table2[[#This Row],[product]],Ref[#All],7,FALSE)</f>
        <v>Rice</v>
      </c>
      <c r="E279" s="28" t="s">
        <v>176</v>
      </c>
      <c r="F279" t="str">
        <f>VLOOKUP(Table2[[#This Row],[product]],Ref[#All],2,FALSE)</f>
        <v>Rice Long Grade 1 Elngm 20Kg</v>
      </c>
      <c r="G279" t="str">
        <f>VLOOKUP(Table2[[#This Row],[product]],Ref[#All],3,FALSE)</f>
        <v>Rice Long Grain</v>
      </c>
      <c r="H279" t="str">
        <f>VLOOKUP(Table2[[#This Row],[product]],Ref[#All],4,FALSE)</f>
        <v>Import</v>
      </c>
      <c r="I279" s="1">
        <v>45929</v>
      </c>
      <c r="J279" t="s">
        <v>53</v>
      </c>
      <c r="K279" t="s">
        <v>2672</v>
      </c>
      <c r="L279" t="s">
        <v>2715</v>
      </c>
      <c r="M279" t="s">
        <v>1586</v>
      </c>
      <c r="N279" t="s">
        <v>784</v>
      </c>
      <c r="O279" t="s">
        <v>1680</v>
      </c>
      <c r="P279" t="s">
        <v>788</v>
      </c>
      <c r="Q279" t="s">
        <v>55</v>
      </c>
      <c r="R279">
        <v>-13</v>
      </c>
      <c r="S279" s="15">
        <f>Table2[[#This Row],[movement_quantity]]/VLOOKUP(Table2[[#This Row],[product]],Ref[#All],5,FALSE)</f>
        <v>-0.26</v>
      </c>
      <c r="T279">
        <v>31022.75345</v>
      </c>
      <c r="U279" t="s">
        <v>17</v>
      </c>
      <c r="V279" t="s">
        <v>18</v>
      </c>
      <c r="W279" t="s">
        <v>2697</v>
      </c>
      <c r="X279" t="s">
        <v>17</v>
      </c>
      <c r="Y279" s="2" t="s">
        <v>2245</v>
      </c>
      <c r="Z279">
        <v>0</v>
      </c>
      <c r="AA279" s="2">
        <v>-403295.79485000001</v>
      </c>
      <c r="AB279" t="str">
        <f>VLOOKUP(Table2[[#This Row],[product]],Ref[#All],6,FALSE)</f>
        <v>BAG20</v>
      </c>
    </row>
    <row r="280" spans="1:28" x14ac:dyDescent="0.25">
      <c r="A280" t="str">
        <f>TEXT(Table2[[#This Row],[dated]],"mmm")</f>
        <v>Sep</v>
      </c>
      <c r="B280" t="s">
        <v>40</v>
      </c>
      <c r="C280" s="1" t="s">
        <v>538</v>
      </c>
      <c r="D280" t="str">
        <f>VLOOKUP(Table2[[#This Row],[product]],Ref[#All],7,FALSE)</f>
        <v>Lentils</v>
      </c>
      <c r="E280" s="28" t="s">
        <v>39</v>
      </c>
      <c r="F280" t="str">
        <f>VLOOKUP(Table2[[#This Row],[product]],Ref[#All],2,FALSE)</f>
        <v>Lentil TAT 20KG</v>
      </c>
      <c r="G280" t="str">
        <f>VLOOKUP(Table2[[#This Row],[product]],Ref[#All],3,FALSE)</f>
        <v>Lentils</v>
      </c>
      <c r="H280" t="str">
        <f>VLOOKUP(Table2[[#This Row],[product]],Ref[#All],4,FALSE)</f>
        <v>Import</v>
      </c>
      <c r="I280" s="1">
        <v>45929</v>
      </c>
      <c r="J280" t="s">
        <v>53</v>
      </c>
      <c r="K280" t="s">
        <v>2673</v>
      </c>
      <c r="L280" t="s">
        <v>2716</v>
      </c>
      <c r="M280" t="s">
        <v>1586</v>
      </c>
      <c r="N280" t="s">
        <v>784</v>
      </c>
      <c r="O280" t="s">
        <v>1680</v>
      </c>
      <c r="P280" t="s">
        <v>788</v>
      </c>
      <c r="Q280" s="38" t="s">
        <v>55</v>
      </c>
      <c r="R280">
        <v>-32</v>
      </c>
      <c r="S280" s="15">
        <f>Table2[[#This Row],[movement_quantity]]/VLOOKUP(Table2[[#This Row],[product]],Ref[#All],5,FALSE)</f>
        <v>-0.64</v>
      </c>
      <c r="T280">
        <v>45680.80154</v>
      </c>
      <c r="U280" t="s">
        <v>17</v>
      </c>
      <c r="V280" t="s">
        <v>18</v>
      </c>
      <c r="W280" t="s">
        <v>2698</v>
      </c>
      <c r="X280" t="s">
        <v>17</v>
      </c>
      <c r="Y280" s="2" t="s">
        <v>2630</v>
      </c>
      <c r="Z280">
        <v>0</v>
      </c>
      <c r="AA280" s="2">
        <v>-1461785.64928</v>
      </c>
      <c r="AB280" t="str">
        <f>VLOOKUP(Table2[[#This Row],[product]],Ref[#All],6,FALSE)</f>
        <v>BAG20</v>
      </c>
    </row>
    <row r="281" spans="1:28" x14ac:dyDescent="0.25">
      <c r="A281" t="str">
        <f>TEXT(Table2[[#This Row],[dated]],"mmm")</f>
        <v>Sep</v>
      </c>
      <c r="B281" t="s">
        <v>40</v>
      </c>
      <c r="C281" s="1" t="s">
        <v>538</v>
      </c>
      <c r="D281" t="str">
        <f>VLOOKUP(Table2[[#This Row],[product]],Ref[#All],7,FALSE)</f>
        <v>Lentils</v>
      </c>
      <c r="E281" s="28" t="s">
        <v>39</v>
      </c>
      <c r="F281" t="str">
        <f>VLOOKUP(Table2[[#This Row],[product]],Ref[#All],2,FALSE)</f>
        <v>Lentil TAT 20KG</v>
      </c>
      <c r="G281" t="str">
        <f>VLOOKUP(Table2[[#This Row],[product]],Ref[#All],3,FALSE)</f>
        <v>Lentils</v>
      </c>
      <c r="H281" t="str">
        <f>VLOOKUP(Table2[[#This Row],[product]],Ref[#All],4,FALSE)</f>
        <v>Import</v>
      </c>
      <c r="I281" s="1">
        <v>45929</v>
      </c>
      <c r="J281" t="s">
        <v>53</v>
      </c>
      <c r="K281" t="s">
        <v>2674</v>
      </c>
      <c r="L281" t="s">
        <v>2712</v>
      </c>
      <c r="M281" t="s">
        <v>1586</v>
      </c>
      <c r="N281" t="s">
        <v>784</v>
      </c>
      <c r="O281" t="s">
        <v>1680</v>
      </c>
      <c r="P281" t="s">
        <v>788</v>
      </c>
      <c r="Q281" s="38" t="s">
        <v>55</v>
      </c>
      <c r="R281">
        <v>-7</v>
      </c>
      <c r="S281" s="15">
        <f>Table2[[#This Row],[movement_quantity]]/VLOOKUP(Table2[[#This Row],[product]],Ref[#All],5,FALSE)</f>
        <v>-0.14000000000000001</v>
      </c>
      <c r="T281">
        <v>45680.80154</v>
      </c>
      <c r="U281" t="s">
        <v>17</v>
      </c>
      <c r="V281" t="s">
        <v>21</v>
      </c>
      <c r="W281" t="s">
        <v>2699</v>
      </c>
      <c r="X281" t="s">
        <v>17</v>
      </c>
      <c r="Y281" s="2" t="s">
        <v>2630</v>
      </c>
      <c r="Z281">
        <v>0</v>
      </c>
      <c r="AA281" s="2">
        <v>-319765.61077999999</v>
      </c>
      <c r="AB281" t="str">
        <f>VLOOKUP(Table2[[#This Row],[product]],Ref[#All],6,FALSE)</f>
        <v>BAG20</v>
      </c>
    </row>
    <row r="282" spans="1:28" x14ac:dyDescent="0.25">
      <c r="A282" t="str">
        <f>TEXT(Table2[[#This Row],[dated]],"mmm")</f>
        <v>Sep</v>
      </c>
      <c r="B282" t="s">
        <v>40</v>
      </c>
      <c r="C282" s="1" t="s">
        <v>538</v>
      </c>
      <c r="D282" t="str">
        <f>VLOOKUP(Table2[[#This Row],[product]],Ref[#All],7,FALSE)</f>
        <v>Rice</v>
      </c>
      <c r="E282" s="28" t="s">
        <v>2681</v>
      </c>
      <c r="F282" t="str">
        <f>VLOOKUP(Table2[[#This Row],[product]],Ref[#All],2,FALSE)</f>
        <v>Rice Long Damaged50</v>
      </c>
      <c r="G282" t="str">
        <f>VLOOKUP(Table2[[#This Row],[product]],Ref[#All],3,FALSE)</f>
        <v>Rice Long Grain</v>
      </c>
      <c r="H282" t="str">
        <f>VLOOKUP(Table2[[#This Row],[product]],Ref[#All],4,FALSE)</f>
        <v>Import</v>
      </c>
      <c r="I282" s="1">
        <v>45929</v>
      </c>
      <c r="J282" t="s">
        <v>127</v>
      </c>
      <c r="K282" t="s">
        <v>2678</v>
      </c>
      <c r="L282" t="s">
        <v>2715</v>
      </c>
      <c r="M282" t="s">
        <v>1593</v>
      </c>
      <c r="N282" t="s">
        <v>784</v>
      </c>
      <c r="O282" t="s">
        <v>1680</v>
      </c>
      <c r="P282" t="s">
        <v>788</v>
      </c>
      <c r="Q282" s="38" t="s">
        <v>55</v>
      </c>
      <c r="R282">
        <v>2</v>
      </c>
      <c r="S282" s="15">
        <f>Table2[[#This Row],[movement_quantity]]/VLOOKUP(Table2[[#This Row],[product]],Ref[#All],5,FALSE)</f>
        <v>0.1</v>
      </c>
      <c r="T282">
        <v>0</v>
      </c>
      <c r="U282" t="s">
        <v>122</v>
      </c>
      <c r="V282" t="s">
        <v>18</v>
      </c>
      <c r="W282" t="s">
        <v>2706</v>
      </c>
      <c r="X282" t="s">
        <v>2707</v>
      </c>
      <c r="Y282" s="2" t="s">
        <v>17</v>
      </c>
      <c r="Z282">
        <v>0</v>
      </c>
      <c r="AA282" s="4">
        <v>90000</v>
      </c>
      <c r="AB282" t="str">
        <f>VLOOKUP(Table2[[#This Row],[product]],Ref[#All],6,FALSE)</f>
        <v>BAG50</v>
      </c>
    </row>
    <row r="283" spans="1:28" x14ac:dyDescent="0.25">
      <c r="A283" t="str">
        <f>TEXT(Table2[[#This Row],[dated]],"mmm")</f>
        <v>Sep</v>
      </c>
      <c r="B283" t="s">
        <v>40</v>
      </c>
      <c r="C283" s="1" t="s">
        <v>538</v>
      </c>
      <c r="D283" t="str">
        <f>VLOOKUP(Table2[[#This Row],[product]],Ref[#All],7,FALSE)</f>
        <v>Lentils</v>
      </c>
      <c r="E283" s="28" t="s">
        <v>2600</v>
      </c>
      <c r="F283" t="str">
        <f>VLOOKUP(Table2[[#This Row],[product]],Ref[#All],2,FALSE)</f>
        <v>Lentil Damage/waste 50KG</v>
      </c>
      <c r="G283" t="str">
        <f>VLOOKUP(Table2[[#This Row],[product]],Ref[#All],3,FALSE)</f>
        <v>Lentil - Damaged</v>
      </c>
      <c r="H283" t="str">
        <f>VLOOKUP(Table2[[#This Row],[product]],Ref[#All],4,FALSE)</f>
        <v>Import</v>
      </c>
      <c r="I283" s="1">
        <v>45929</v>
      </c>
      <c r="J283" t="s">
        <v>127</v>
      </c>
      <c r="K283" t="s">
        <v>2679</v>
      </c>
      <c r="L283" t="s">
        <v>2716</v>
      </c>
      <c r="M283" t="s">
        <v>1593</v>
      </c>
      <c r="N283" t="s">
        <v>784</v>
      </c>
      <c r="O283" t="s">
        <v>1680</v>
      </c>
      <c r="P283" t="s">
        <v>788</v>
      </c>
      <c r="Q283" s="38" t="s">
        <v>55</v>
      </c>
      <c r="R283">
        <v>8</v>
      </c>
      <c r="S283" s="15">
        <f>Table2[[#This Row],[movement_quantity]]/VLOOKUP(Table2[[#This Row],[product]],Ref[#All],5,FALSE)</f>
        <v>0.16</v>
      </c>
      <c r="T283">
        <v>0</v>
      </c>
      <c r="U283" t="s">
        <v>122</v>
      </c>
      <c r="V283" t="s">
        <v>18</v>
      </c>
      <c r="W283" t="s">
        <v>2708</v>
      </c>
      <c r="X283" t="s">
        <v>2709</v>
      </c>
      <c r="Y283" s="2" t="s">
        <v>17</v>
      </c>
      <c r="Z283">
        <v>0</v>
      </c>
      <c r="AA283" s="4">
        <v>200000</v>
      </c>
      <c r="AB283" t="str">
        <f>VLOOKUP(Table2[[#This Row],[product]],Ref[#All],6,FALSE)</f>
        <v>BAG50</v>
      </c>
    </row>
    <row r="284" spans="1:28" x14ac:dyDescent="0.25">
      <c r="A284" t="str">
        <f>TEXT(Table2[[#This Row],[dated]],"mmm")</f>
        <v>Jan</v>
      </c>
      <c r="B284" t="s">
        <v>52</v>
      </c>
      <c r="C284" s="1" t="s">
        <v>2726</v>
      </c>
      <c r="D284" t="str">
        <f>VLOOKUP(Table2[[#This Row],[product]],Ref[#All],7,FALSE)</f>
        <v>Sugar</v>
      </c>
      <c r="E284" t="s">
        <v>72</v>
      </c>
      <c r="F284" t="str">
        <f>VLOOKUP(Table2[[#This Row],[product]],Ref[#All],2,FALSE)</f>
        <v>White Sugar</v>
      </c>
      <c r="G284" t="str">
        <f>VLOOKUP(Table2[[#This Row],[product]],Ref[#All],3,FALSE)</f>
        <v>White Sugar</v>
      </c>
      <c r="H284" t="str">
        <f>VLOOKUP(Table2[[#This Row],[product]],Ref[#All],4,FALSE)</f>
        <v>Import</v>
      </c>
      <c r="I284" s="1">
        <v>45686</v>
      </c>
      <c r="J284" t="s">
        <v>127</v>
      </c>
      <c r="K284" t="s">
        <v>345</v>
      </c>
      <c r="L284" t="s">
        <v>1652</v>
      </c>
      <c r="M284" t="s">
        <v>1593</v>
      </c>
      <c r="N284" t="s">
        <v>784</v>
      </c>
      <c r="O284" t="s">
        <v>1593</v>
      </c>
      <c r="P284" t="s">
        <v>788</v>
      </c>
      <c r="Q284" t="s">
        <v>55</v>
      </c>
      <c r="R284">
        <v>1</v>
      </c>
      <c r="S284" s="15">
        <f>Table2[[#This Row],[movement_quantity]]/VLOOKUP(Table2[[#This Row],[product]],Ref[#All],5,FALSE)</f>
        <v>0.05</v>
      </c>
      <c r="T284">
        <v>80496.589399999997</v>
      </c>
      <c r="U284" t="s">
        <v>17</v>
      </c>
      <c r="V284" t="s">
        <v>23</v>
      </c>
      <c r="W284" t="s">
        <v>346</v>
      </c>
      <c r="X284" t="s">
        <v>347</v>
      </c>
      <c r="Y284" t="s">
        <v>17</v>
      </c>
      <c r="Z284">
        <v>0</v>
      </c>
      <c r="AA284" s="2">
        <v>80496.589399999997</v>
      </c>
      <c r="AB284" t="str">
        <f>VLOOKUP(Table2[[#This Row],[product]],Ref[#All],6,FALSE)</f>
        <v>BAG50</v>
      </c>
    </row>
    <row r="285" spans="1:28" x14ac:dyDescent="0.25">
      <c r="A285" t="str">
        <f>TEXT(Table2[[#This Row],[dated]],"mmm")</f>
        <v>Jan</v>
      </c>
      <c r="B285" t="s">
        <v>52</v>
      </c>
      <c r="C285" s="1" t="s">
        <v>2726</v>
      </c>
      <c r="D285" t="str">
        <f>VLOOKUP(Table2[[#This Row],[product]],Ref[#All],7,FALSE)</f>
        <v>Sugar</v>
      </c>
      <c r="E285" t="s">
        <v>72</v>
      </c>
      <c r="F285" t="str">
        <f>VLOOKUP(Table2[[#This Row],[product]],Ref[#All],2,FALSE)</f>
        <v>White Sugar</v>
      </c>
      <c r="G285" t="str">
        <f>VLOOKUP(Table2[[#This Row],[product]],Ref[#All],3,FALSE)</f>
        <v>White Sugar</v>
      </c>
      <c r="H285" t="str">
        <f>VLOOKUP(Table2[[#This Row],[product]],Ref[#All],4,FALSE)</f>
        <v>Import</v>
      </c>
      <c r="I285" s="1">
        <v>45686</v>
      </c>
      <c r="J285" t="s">
        <v>127</v>
      </c>
      <c r="K285" t="s">
        <v>348</v>
      </c>
      <c r="L285" t="s">
        <v>1652</v>
      </c>
      <c r="M285" t="s">
        <v>1593</v>
      </c>
      <c r="N285" t="s">
        <v>784</v>
      </c>
      <c r="O285" t="s">
        <v>1593</v>
      </c>
      <c r="P285" t="s">
        <v>788</v>
      </c>
      <c r="Q285" t="s">
        <v>55</v>
      </c>
      <c r="R285">
        <v>3</v>
      </c>
      <c r="S285" s="15">
        <f>Table2[[#This Row],[movement_quantity]]/VLOOKUP(Table2[[#This Row],[product]],Ref[#All],5,FALSE)</f>
        <v>0.15</v>
      </c>
      <c r="T285">
        <v>80496.589399999997</v>
      </c>
      <c r="U285" t="s">
        <v>153</v>
      </c>
      <c r="V285" t="s">
        <v>24</v>
      </c>
      <c r="W285" t="s">
        <v>349</v>
      </c>
      <c r="X285" t="s">
        <v>350</v>
      </c>
      <c r="Y285" t="s">
        <v>17</v>
      </c>
      <c r="Z285">
        <v>0</v>
      </c>
      <c r="AA285" s="2">
        <v>241489.76819999999</v>
      </c>
      <c r="AB285" t="str">
        <f>VLOOKUP(Table2[[#This Row],[product]],Ref[#All],6,FALSE)</f>
        <v>BAG50</v>
      </c>
    </row>
    <row r="286" spans="1:28" x14ac:dyDescent="0.25">
      <c r="A286" t="str">
        <f>TEXT(Table2[[#This Row],[dated]],"mmm")</f>
        <v>Jan</v>
      </c>
      <c r="B286" t="s">
        <v>52</v>
      </c>
      <c r="C286" s="1" t="s">
        <v>2726</v>
      </c>
      <c r="D286" t="str">
        <f>VLOOKUP(Table2[[#This Row],[product]],Ref[#All],7,FALSE)</f>
        <v>Flour</v>
      </c>
      <c r="E286" t="s">
        <v>36</v>
      </c>
      <c r="F286" t="str">
        <f>VLOOKUP(Table2[[#This Row],[product]],Ref[#All],2,FALSE)</f>
        <v>Flour Import Elngm 25Kg</v>
      </c>
      <c r="G286" t="str">
        <f>VLOOKUP(Table2[[#This Row],[product]],Ref[#All],3,FALSE)</f>
        <v>Flour Al-Nagm (Imported)</v>
      </c>
      <c r="H286" t="str">
        <f>VLOOKUP(Table2[[#This Row],[product]],Ref[#All],4,FALSE)</f>
        <v>Import</v>
      </c>
      <c r="I286" s="1">
        <v>45686</v>
      </c>
      <c r="J286" t="s">
        <v>127</v>
      </c>
      <c r="K286" t="s">
        <v>351</v>
      </c>
      <c r="L286" t="s">
        <v>1652</v>
      </c>
      <c r="M286" t="s">
        <v>1593</v>
      </c>
      <c r="N286" t="s">
        <v>784</v>
      </c>
      <c r="O286" t="s">
        <v>1593</v>
      </c>
      <c r="P286" t="s">
        <v>788</v>
      </c>
      <c r="Q286" t="s">
        <v>55</v>
      </c>
      <c r="R286">
        <v>1</v>
      </c>
      <c r="S286" s="15">
        <f>Table2[[#This Row],[movement_quantity]]/VLOOKUP(Table2[[#This Row],[product]],Ref[#All],5,FALSE)</f>
        <v>2.5000000000000001E-2</v>
      </c>
      <c r="T286">
        <v>29239.17352</v>
      </c>
      <c r="U286" t="s">
        <v>153</v>
      </c>
      <c r="V286" t="s">
        <v>34</v>
      </c>
      <c r="W286" t="s">
        <v>352</v>
      </c>
      <c r="X286" t="s">
        <v>353</v>
      </c>
      <c r="Y286" t="s">
        <v>17</v>
      </c>
      <c r="Z286">
        <v>0</v>
      </c>
      <c r="AA286" s="2">
        <v>29239.17352</v>
      </c>
      <c r="AB286" t="str">
        <f>VLOOKUP(Table2[[#This Row],[product]],Ref[#All],6,FALSE)</f>
        <v>BAG25</v>
      </c>
    </row>
    <row r="287" spans="1:28" x14ac:dyDescent="0.25">
      <c r="A287" t="str">
        <f>TEXT(Table2[[#This Row],[dated]],"mmm")</f>
        <v>Jan</v>
      </c>
      <c r="B287" t="s">
        <v>30</v>
      </c>
      <c r="C287" s="1" t="s">
        <v>2726</v>
      </c>
      <c r="D287" t="str">
        <f>VLOOKUP(Table2[[#This Row],[product]],Ref[#All],7,FALSE)</f>
        <v>Flour</v>
      </c>
      <c r="E287" t="s">
        <v>36</v>
      </c>
      <c r="F287" t="str">
        <f>VLOOKUP(Table2[[#This Row],[product]],Ref[#All],2,FALSE)</f>
        <v>Flour Import Elngm 25Kg</v>
      </c>
      <c r="G287" t="str">
        <f>VLOOKUP(Table2[[#This Row],[product]],Ref[#All],3,FALSE)</f>
        <v>Flour Al-Nagm (Imported)</v>
      </c>
      <c r="H287" t="str">
        <f>VLOOKUP(Table2[[#This Row],[product]],Ref[#All],4,FALSE)</f>
        <v>Import</v>
      </c>
      <c r="I287" s="1">
        <v>45686</v>
      </c>
      <c r="J287" t="s">
        <v>127</v>
      </c>
      <c r="K287" t="s">
        <v>354</v>
      </c>
      <c r="L287" t="s">
        <v>1652</v>
      </c>
      <c r="M287" t="s">
        <v>1593</v>
      </c>
      <c r="N287" t="s">
        <v>784</v>
      </c>
      <c r="O287" t="s">
        <v>1593</v>
      </c>
      <c r="P287" t="s">
        <v>788</v>
      </c>
      <c r="Q287" t="s">
        <v>55</v>
      </c>
      <c r="R287">
        <v>1</v>
      </c>
      <c r="S287" s="15">
        <f>Table2[[#This Row],[movement_quantity]]/VLOOKUP(Table2[[#This Row],[product]],Ref[#All],5,FALSE)</f>
        <v>2.5000000000000001E-2</v>
      </c>
      <c r="T287">
        <v>29239.17352</v>
      </c>
      <c r="U287" t="s">
        <v>41</v>
      </c>
      <c r="V287" t="s">
        <v>33</v>
      </c>
      <c r="W287" t="s">
        <v>355</v>
      </c>
      <c r="X287" t="s">
        <v>356</v>
      </c>
      <c r="Y287" t="s">
        <v>17</v>
      </c>
      <c r="Z287">
        <v>0</v>
      </c>
      <c r="AA287" s="2">
        <v>29239.17352</v>
      </c>
      <c r="AB287" t="str">
        <f>VLOOKUP(Table2[[#This Row],[product]],Ref[#All],6,FALSE)</f>
        <v>BAG25</v>
      </c>
    </row>
    <row r="288" spans="1:28" x14ac:dyDescent="0.25">
      <c r="A288" t="str">
        <f>TEXT(Table2[[#This Row],[dated]],"mmm")</f>
        <v>Mar</v>
      </c>
      <c r="B288" t="s">
        <v>52</v>
      </c>
      <c r="C288" s="1" t="s">
        <v>2726</v>
      </c>
      <c r="D288" t="str">
        <f>VLOOKUP(Table2[[#This Row],[product]],Ref[#All],7,FALSE)</f>
        <v>Lentils</v>
      </c>
      <c r="E288" t="s">
        <v>39</v>
      </c>
      <c r="F288" t="str">
        <f>VLOOKUP(Table2[[#This Row],[product]],Ref[#All],2,FALSE)</f>
        <v>Lentil TAT 20KG</v>
      </c>
      <c r="G288" t="str">
        <f>VLOOKUP(Table2[[#This Row],[product]],Ref[#All],3,FALSE)</f>
        <v>Lentils</v>
      </c>
      <c r="H288" t="str">
        <f>VLOOKUP(Table2[[#This Row],[product]],Ref[#All],4,FALSE)</f>
        <v>Import</v>
      </c>
      <c r="I288" s="1">
        <v>45720</v>
      </c>
      <c r="J288" t="s">
        <v>127</v>
      </c>
      <c r="K288" t="s">
        <v>470</v>
      </c>
      <c r="L288" t="s">
        <v>1652</v>
      </c>
      <c r="M288" t="s">
        <v>1593</v>
      </c>
      <c r="N288" t="s">
        <v>784</v>
      </c>
      <c r="O288" t="s">
        <v>1593</v>
      </c>
      <c r="P288" t="s">
        <v>788</v>
      </c>
      <c r="Q288" t="s">
        <v>55</v>
      </c>
      <c r="R288">
        <v>2</v>
      </c>
      <c r="S288" s="15">
        <f>Table2[[#This Row],[movement_quantity]]/VLOOKUP(Table2[[#This Row],[product]],Ref[#All],5,FALSE)</f>
        <v>0.04</v>
      </c>
      <c r="T288">
        <v>50018.234799999998</v>
      </c>
      <c r="U288" t="s">
        <v>153</v>
      </c>
      <c r="V288" t="s">
        <v>18</v>
      </c>
      <c r="W288" t="s">
        <v>471</v>
      </c>
      <c r="X288" t="s">
        <v>472</v>
      </c>
      <c r="Y288" t="s">
        <v>17</v>
      </c>
      <c r="Z288">
        <v>0</v>
      </c>
      <c r="AA288" s="2">
        <v>100036.4696</v>
      </c>
      <c r="AB288" t="str">
        <f>VLOOKUP(Table2[[#This Row],[product]],Ref[#All],6,FALSE)</f>
        <v>BAG20</v>
      </c>
    </row>
    <row r="289" spans="1:28" x14ac:dyDescent="0.25">
      <c r="A289" t="str">
        <f>TEXT(Table2[[#This Row],[dated]],"mmm")</f>
        <v>Mar</v>
      </c>
      <c r="B289" t="s">
        <v>52</v>
      </c>
      <c r="C289" s="1" t="s">
        <v>2726</v>
      </c>
      <c r="D289" t="str">
        <f>VLOOKUP(Table2[[#This Row],[product]],Ref[#All],7,FALSE)</f>
        <v>Lentils</v>
      </c>
      <c r="E289" t="s">
        <v>39</v>
      </c>
      <c r="F289" t="str">
        <f>VLOOKUP(Table2[[#This Row],[product]],Ref[#All],2,FALSE)</f>
        <v>Lentil TAT 20KG</v>
      </c>
      <c r="G289" t="str">
        <f>VLOOKUP(Table2[[#This Row],[product]],Ref[#All],3,FALSE)</f>
        <v>Lentils</v>
      </c>
      <c r="H289" t="str">
        <f>VLOOKUP(Table2[[#This Row],[product]],Ref[#All],4,FALSE)</f>
        <v>Import</v>
      </c>
      <c r="I289" s="1">
        <v>45720</v>
      </c>
      <c r="J289" t="s">
        <v>127</v>
      </c>
      <c r="K289" t="s">
        <v>473</v>
      </c>
      <c r="L289" t="s">
        <v>1652</v>
      </c>
      <c r="M289" t="s">
        <v>1593</v>
      </c>
      <c r="N289" t="s">
        <v>784</v>
      </c>
      <c r="O289" t="s">
        <v>1593</v>
      </c>
      <c r="P289" t="s">
        <v>788</v>
      </c>
      <c r="Q289" t="s">
        <v>55</v>
      </c>
      <c r="R289">
        <v>2</v>
      </c>
      <c r="S289" s="15">
        <f>Table2[[#This Row],[movement_quantity]]/VLOOKUP(Table2[[#This Row],[product]],Ref[#All],5,FALSE)</f>
        <v>0.04</v>
      </c>
      <c r="T289">
        <v>50018.234799999998</v>
      </c>
      <c r="U289" t="s">
        <v>153</v>
      </c>
      <c r="V289" t="s">
        <v>21</v>
      </c>
      <c r="W289" t="s">
        <v>474</v>
      </c>
      <c r="X289" t="s">
        <v>475</v>
      </c>
      <c r="Y289" t="s">
        <v>17</v>
      </c>
      <c r="Z289">
        <v>0</v>
      </c>
      <c r="AA289" s="2">
        <v>100036.4696</v>
      </c>
      <c r="AB289" t="str">
        <f>VLOOKUP(Table2[[#This Row],[product]],Ref[#All],6,FALSE)</f>
        <v>BAG20</v>
      </c>
    </row>
    <row r="290" spans="1:28" x14ac:dyDescent="0.25">
      <c r="A290" t="str">
        <f>TEXT(Table2[[#This Row],[dated]],"mmm")</f>
        <v>Mar</v>
      </c>
      <c r="B290" t="s">
        <v>96</v>
      </c>
      <c r="C290" s="1" t="s">
        <v>2726</v>
      </c>
      <c r="D290" t="str">
        <f>VLOOKUP(Table2[[#This Row],[product]],Ref[#All],7,FALSE)</f>
        <v>Flour</v>
      </c>
      <c r="E290" t="s">
        <v>36</v>
      </c>
      <c r="F290" t="str">
        <f>VLOOKUP(Table2[[#This Row],[product]],Ref[#All],2,FALSE)</f>
        <v>Flour Import Elngm 25Kg</v>
      </c>
      <c r="G290" t="str">
        <f>VLOOKUP(Table2[[#This Row],[product]],Ref[#All],3,FALSE)</f>
        <v>Flour Al-Nagm (Imported)</v>
      </c>
      <c r="H290" t="str">
        <f>VLOOKUP(Table2[[#This Row],[product]],Ref[#All],4,FALSE)</f>
        <v>Import</v>
      </c>
      <c r="I290" s="1">
        <v>45720</v>
      </c>
      <c r="J290" t="s">
        <v>127</v>
      </c>
      <c r="K290" t="s">
        <v>476</v>
      </c>
      <c r="L290" t="s">
        <v>1652</v>
      </c>
      <c r="M290" t="s">
        <v>1593</v>
      </c>
      <c r="N290" t="s">
        <v>784</v>
      </c>
      <c r="O290" t="s">
        <v>1593</v>
      </c>
      <c r="P290" t="s">
        <v>788</v>
      </c>
      <c r="Q290" t="s">
        <v>55</v>
      </c>
      <c r="R290">
        <v>1</v>
      </c>
      <c r="S290" s="15">
        <f>Table2[[#This Row],[movement_quantity]]/VLOOKUP(Table2[[#This Row],[product]],Ref[#All],5,FALSE)</f>
        <v>2.5000000000000001E-2</v>
      </c>
      <c r="T290">
        <v>31777.27522</v>
      </c>
      <c r="U290" t="s">
        <v>143</v>
      </c>
      <c r="V290" t="s">
        <v>18</v>
      </c>
      <c r="W290" t="s">
        <v>477</v>
      </c>
      <c r="X290" t="s">
        <v>478</v>
      </c>
      <c r="Y290" t="s">
        <v>17</v>
      </c>
      <c r="Z290">
        <v>0</v>
      </c>
      <c r="AA290" s="2">
        <v>31777.27522</v>
      </c>
      <c r="AB290" t="str">
        <f>VLOOKUP(Table2[[#This Row],[product]],Ref[#All],6,FALSE)</f>
        <v>BAG25</v>
      </c>
    </row>
    <row r="291" spans="1:28" x14ac:dyDescent="0.25">
      <c r="A291" t="str">
        <f>TEXT(Table2[[#This Row],[dated]],"mmm")</f>
        <v>Mar</v>
      </c>
      <c r="B291" t="s">
        <v>96</v>
      </c>
      <c r="C291" s="1" t="s">
        <v>2726</v>
      </c>
      <c r="D291" t="str">
        <f>VLOOKUP(Table2[[#This Row],[product]],Ref[#All],7,FALSE)</f>
        <v>Flour</v>
      </c>
      <c r="E291" t="s">
        <v>36</v>
      </c>
      <c r="F291" t="str">
        <f>VLOOKUP(Table2[[#This Row],[product]],Ref[#All],2,FALSE)</f>
        <v>Flour Import Elngm 25Kg</v>
      </c>
      <c r="G291" t="str">
        <f>VLOOKUP(Table2[[#This Row],[product]],Ref[#All],3,FALSE)</f>
        <v>Flour Al-Nagm (Imported)</v>
      </c>
      <c r="H291" t="str">
        <f>VLOOKUP(Table2[[#This Row],[product]],Ref[#All],4,FALSE)</f>
        <v>Import</v>
      </c>
      <c r="I291" s="1">
        <v>45720</v>
      </c>
      <c r="J291" t="s">
        <v>127</v>
      </c>
      <c r="K291" t="s">
        <v>479</v>
      </c>
      <c r="L291" t="s">
        <v>1652</v>
      </c>
      <c r="M291" t="s">
        <v>1593</v>
      </c>
      <c r="N291" t="s">
        <v>784</v>
      </c>
      <c r="O291" t="s">
        <v>1593</v>
      </c>
      <c r="P291" t="s">
        <v>788</v>
      </c>
      <c r="Q291" t="s">
        <v>55</v>
      </c>
      <c r="R291">
        <v>4</v>
      </c>
      <c r="S291" s="15">
        <f>Table2[[#This Row],[movement_quantity]]/VLOOKUP(Table2[[#This Row],[product]],Ref[#All],5,FALSE)</f>
        <v>0.1</v>
      </c>
      <c r="T291">
        <v>31777.27522</v>
      </c>
      <c r="U291" t="s">
        <v>143</v>
      </c>
      <c r="V291" t="s">
        <v>21</v>
      </c>
      <c r="W291" t="s">
        <v>480</v>
      </c>
      <c r="X291" t="s">
        <v>481</v>
      </c>
      <c r="Y291" t="s">
        <v>17</v>
      </c>
      <c r="Z291">
        <v>0</v>
      </c>
      <c r="AA291" s="2">
        <v>127109.10088</v>
      </c>
      <c r="AB291" t="str">
        <f>VLOOKUP(Table2[[#This Row],[product]],Ref[#All],6,FALSE)</f>
        <v>BAG25</v>
      </c>
    </row>
    <row r="292" spans="1:28" x14ac:dyDescent="0.25">
      <c r="A292" t="str">
        <f>TEXT(Table2[[#This Row],[dated]],"mmm")</f>
        <v>Mar</v>
      </c>
      <c r="B292" t="s">
        <v>96</v>
      </c>
      <c r="C292" s="1" t="s">
        <v>2726</v>
      </c>
      <c r="D292" t="str">
        <f>VLOOKUP(Table2[[#This Row],[product]],Ref[#All],7,FALSE)</f>
        <v>Flour</v>
      </c>
      <c r="E292" t="s">
        <v>36</v>
      </c>
      <c r="F292" t="str">
        <f>VLOOKUP(Table2[[#This Row],[product]],Ref[#All],2,FALSE)</f>
        <v>Flour Import Elngm 25Kg</v>
      </c>
      <c r="G292" t="str">
        <f>VLOOKUP(Table2[[#This Row],[product]],Ref[#All],3,FALSE)</f>
        <v>Flour Al-Nagm (Imported)</v>
      </c>
      <c r="H292" t="str">
        <f>VLOOKUP(Table2[[#This Row],[product]],Ref[#All],4,FALSE)</f>
        <v>Import</v>
      </c>
      <c r="I292" s="1">
        <v>45720</v>
      </c>
      <c r="J292" t="s">
        <v>127</v>
      </c>
      <c r="K292" t="s">
        <v>482</v>
      </c>
      <c r="L292" t="s">
        <v>1652</v>
      </c>
      <c r="M292" t="s">
        <v>1593</v>
      </c>
      <c r="N292" t="s">
        <v>784</v>
      </c>
      <c r="O292" t="s">
        <v>1593</v>
      </c>
      <c r="P292" t="s">
        <v>788</v>
      </c>
      <c r="Q292" t="s">
        <v>55</v>
      </c>
      <c r="R292">
        <v>1</v>
      </c>
      <c r="S292" s="15">
        <f>Table2[[#This Row],[movement_quantity]]/VLOOKUP(Table2[[#This Row],[product]],Ref[#All],5,FALSE)</f>
        <v>2.5000000000000001E-2</v>
      </c>
      <c r="T292">
        <v>31777.27522</v>
      </c>
      <c r="U292" t="s">
        <v>143</v>
      </c>
      <c r="V292" t="s">
        <v>22</v>
      </c>
      <c r="W292" t="s">
        <v>483</v>
      </c>
      <c r="X292" t="s">
        <v>484</v>
      </c>
      <c r="Y292" t="s">
        <v>17</v>
      </c>
      <c r="Z292">
        <v>0</v>
      </c>
      <c r="AA292" s="2">
        <v>31777.27522</v>
      </c>
      <c r="AB292" t="str">
        <f>VLOOKUP(Table2[[#This Row],[product]],Ref[#All],6,FALSE)</f>
        <v>BAG25</v>
      </c>
    </row>
    <row r="293" spans="1:28" x14ac:dyDescent="0.25">
      <c r="A293" t="str">
        <f>TEXT(Table2[[#This Row],[dated]],"mmm")</f>
        <v>Mar</v>
      </c>
      <c r="B293" t="s">
        <v>96</v>
      </c>
      <c r="C293" s="1" t="s">
        <v>2726</v>
      </c>
      <c r="D293" t="str">
        <f>VLOOKUP(Table2[[#This Row],[product]],Ref[#All],7,FALSE)</f>
        <v>Flour</v>
      </c>
      <c r="E293" t="s">
        <v>36</v>
      </c>
      <c r="F293" t="str">
        <f>VLOOKUP(Table2[[#This Row],[product]],Ref[#All],2,FALSE)</f>
        <v>Flour Import Elngm 25Kg</v>
      </c>
      <c r="G293" t="str">
        <f>VLOOKUP(Table2[[#This Row],[product]],Ref[#All],3,FALSE)</f>
        <v>Flour Al-Nagm (Imported)</v>
      </c>
      <c r="H293" t="str">
        <f>VLOOKUP(Table2[[#This Row],[product]],Ref[#All],4,FALSE)</f>
        <v>Import</v>
      </c>
      <c r="I293" s="1">
        <v>45720</v>
      </c>
      <c r="J293" t="s">
        <v>127</v>
      </c>
      <c r="K293" t="s">
        <v>485</v>
      </c>
      <c r="L293" t="s">
        <v>1652</v>
      </c>
      <c r="M293" t="s">
        <v>1593</v>
      </c>
      <c r="N293" t="s">
        <v>784</v>
      </c>
      <c r="O293" t="s">
        <v>1593</v>
      </c>
      <c r="P293" t="s">
        <v>788</v>
      </c>
      <c r="Q293" t="s">
        <v>55</v>
      </c>
      <c r="R293">
        <v>1</v>
      </c>
      <c r="S293" s="15">
        <f>Table2[[#This Row],[movement_quantity]]/VLOOKUP(Table2[[#This Row],[product]],Ref[#All],5,FALSE)</f>
        <v>2.5000000000000001E-2</v>
      </c>
      <c r="T293">
        <v>31777.27522</v>
      </c>
      <c r="U293" t="s">
        <v>143</v>
      </c>
      <c r="V293" t="s">
        <v>23</v>
      </c>
      <c r="W293" t="s">
        <v>486</v>
      </c>
      <c r="X293" t="s">
        <v>487</v>
      </c>
      <c r="Y293" t="s">
        <v>17</v>
      </c>
      <c r="Z293">
        <v>0</v>
      </c>
      <c r="AA293" s="2">
        <v>31777.27522</v>
      </c>
      <c r="AB293" t="str">
        <f>VLOOKUP(Table2[[#This Row],[product]],Ref[#All],6,FALSE)</f>
        <v>BAG25</v>
      </c>
    </row>
    <row r="294" spans="1:28" x14ac:dyDescent="0.25">
      <c r="A294" t="str">
        <f>TEXT(Table2[[#This Row],[dated]],"mmm")</f>
        <v>Apr</v>
      </c>
      <c r="B294" t="s">
        <v>46</v>
      </c>
      <c r="C294" s="1" t="s">
        <v>2726</v>
      </c>
      <c r="D294" t="str">
        <f>VLOOKUP(Table2[[#This Row],[product]],Ref[#All],7,FALSE)</f>
        <v>Rice</v>
      </c>
      <c r="E294" t="s">
        <v>45</v>
      </c>
      <c r="F294" t="str">
        <f>VLOOKUP(Table2[[#This Row],[product]],Ref[#All],2,FALSE)</f>
        <v>Rice Short Grain Elngm 25Kg</v>
      </c>
      <c r="G294" t="str">
        <f>VLOOKUP(Table2[[#This Row],[product]],Ref[#All],3,FALSE)</f>
        <v>Rice Short Grain</v>
      </c>
      <c r="H294" t="str">
        <f>VLOOKUP(Table2[[#This Row],[product]],Ref[#All],4,FALSE)</f>
        <v>Import</v>
      </c>
      <c r="I294" s="1">
        <v>45763</v>
      </c>
      <c r="J294" t="s">
        <v>127</v>
      </c>
      <c r="K294" t="s">
        <v>554</v>
      </c>
      <c r="L294" t="s">
        <v>1652</v>
      </c>
      <c r="M294" t="s">
        <v>1593</v>
      </c>
      <c r="N294" t="s">
        <v>784</v>
      </c>
      <c r="O294" t="s">
        <v>1593</v>
      </c>
      <c r="P294" t="s">
        <v>788</v>
      </c>
      <c r="Q294" t="s">
        <v>55</v>
      </c>
      <c r="R294">
        <v>1</v>
      </c>
      <c r="S294" s="15">
        <f>Table2[[#This Row],[movement_quantity]]/VLOOKUP(Table2[[#This Row],[product]],Ref[#All],5,FALSE)</f>
        <v>2.5000000000000001E-2</v>
      </c>
      <c r="T294">
        <v>49550.962500000001</v>
      </c>
      <c r="U294" t="s">
        <v>555</v>
      </c>
      <c r="V294" t="s">
        <v>18</v>
      </c>
      <c r="W294" t="s">
        <v>556</v>
      </c>
      <c r="X294" t="s">
        <v>557</v>
      </c>
      <c r="Y294" t="s">
        <v>17</v>
      </c>
      <c r="Z294">
        <v>0</v>
      </c>
      <c r="AA294" s="2">
        <v>49550.962500000001</v>
      </c>
      <c r="AB294" t="str">
        <f>VLOOKUP(Table2[[#This Row],[product]],Ref[#All],6,FALSE)</f>
        <v>BAG25</v>
      </c>
    </row>
    <row r="295" spans="1:28" x14ac:dyDescent="0.25">
      <c r="A295" t="str">
        <f>TEXT(Table2[[#This Row],[dated]],"mmm")</f>
        <v>May</v>
      </c>
      <c r="B295" t="s">
        <v>52</v>
      </c>
      <c r="C295" s="1" t="s">
        <v>2726</v>
      </c>
      <c r="D295" t="str">
        <f>VLOOKUP(Table2[[#This Row],[product]],Ref[#All],7,FALSE)</f>
        <v>Sugar</v>
      </c>
      <c r="E295" s="1" t="s">
        <v>72</v>
      </c>
      <c r="F295" t="str">
        <f>VLOOKUP(Table2[[#This Row],[product]],Ref[#All],2,FALSE)</f>
        <v>White Sugar</v>
      </c>
      <c r="G295" t="str">
        <f>VLOOKUP(Table2[[#This Row],[product]],Ref[#All],3,FALSE)</f>
        <v>White Sugar</v>
      </c>
      <c r="H295" t="str">
        <f>VLOOKUP(Table2[[#This Row],[product]],Ref[#All],4,FALSE)</f>
        <v>Import</v>
      </c>
      <c r="I295" s="1">
        <v>45788</v>
      </c>
      <c r="J295" t="s">
        <v>127</v>
      </c>
      <c r="K295" t="s">
        <v>898</v>
      </c>
      <c r="L295" t="s">
        <v>1652</v>
      </c>
      <c r="M295" t="s">
        <v>1593</v>
      </c>
      <c r="N295" t="s">
        <v>784</v>
      </c>
      <c r="O295" t="s">
        <v>1593</v>
      </c>
      <c r="P295" t="s">
        <v>788</v>
      </c>
      <c r="Q295" t="s">
        <v>55</v>
      </c>
      <c r="R295">
        <v>2</v>
      </c>
      <c r="S295" s="15">
        <f>Table2[[#This Row],[movement_quantity]]/VLOOKUP(Table2[[#This Row],[product]],Ref[#All],5,FALSE)</f>
        <v>0.1</v>
      </c>
      <c r="T295">
        <v>96566.186310000005</v>
      </c>
      <c r="U295" t="s">
        <v>153</v>
      </c>
      <c r="V295" t="s">
        <v>18</v>
      </c>
      <c r="W295" t="s">
        <v>899</v>
      </c>
      <c r="X295" t="s">
        <v>900</v>
      </c>
      <c r="Y295" t="s">
        <v>17</v>
      </c>
      <c r="Z295">
        <v>0</v>
      </c>
      <c r="AA295" s="2">
        <v>193132.37262000001</v>
      </c>
      <c r="AB295" t="str">
        <f>VLOOKUP(Table2[[#This Row],[product]],Ref[#All],6,FALSE)</f>
        <v>BAG50</v>
      </c>
    </row>
    <row r="296" spans="1:28" x14ac:dyDescent="0.25">
      <c r="A296" t="str">
        <f>TEXT(Table2[[#This Row],[dated]],"mmm")</f>
        <v>May</v>
      </c>
      <c r="B296" t="s">
        <v>52</v>
      </c>
      <c r="C296" s="1" t="s">
        <v>2726</v>
      </c>
      <c r="D296" t="str">
        <f>VLOOKUP(Table2[[#This Row],[product]],Ref[#All],7,FALSE)</f>
        <v>Sugar</v>
      </c>
      <c r="E296" s="1" t="s">
        <v>72</v>
      </c>
      <c r="F296" t="str">
        <f>VLOOKUP(Table2[[#This Row],[product]],Ref[#All],2,FALSE)</f>
        <v>White Sugar</v>
      </c>
      <c r="G296" t="str">
        <f>VLOOKUP(Table2[[#This Row],[product]],Ref[#All],3,FALSE)</f>
        <v>White Sugar</v>
      </c>
      <c r="H296" t="str">
        <f>VLOOKUP(Table2[[#This Row],[product]],Ref[#All],4,FALSE)</f>
        <v>Import</v>
      </c>
      <c r="I296" s="1">
        <v>45788</v>
      </c>
      <c r="J296" t="s">
        <v>127</v>
      </c>
      <c r="K296" t="s">
        <v>901</v>
      </c>
      <c r="L296" t="s">
        <v>1652</v>
      </c>
      <c r="M296" t="s">
        <v>1593</v>
      </c>
      <c r="N296" t="s">
        <v>784</v>
      </c>
      <c r="O296" t="s">
        <v>1593</v>
      </c>
      <c r="P296" t="s">
        <v>788</v>
      </c>
      <c r="Q296" t="s">
        <v>55</v>
      </c>
      <c r="R296">
        <v>1</v>
      </c>
      <c r="S296" s="15">
        <f>Table2[[#This Row],[movement_quantity]]/VLOOKUP(Table2[[#This Row],[product]],Ref[#All],5,FALSE)</f>
        <v>0.05</v>
      </c>
      <c r="T296">
        <v>96566.186310000005</v>
      </c>
      <c r="U296" t="s">
        <v>153</v>
      </c>
      <c r="V296" t="s">
        <v>21</v>
      </c>
      <c r="W296" t="s">
        <v>902</v>
      </c>
      <c r="X296" t="s">
        <v>903</v>
      </c>
      <c r="Y296" t="s">
        <v>17</v>
      </c>
      <c r="Z296">
        <v>0</v>
      </c>
      <c r="AA296" s="2">
        <v>96566.186310000005</v>
      </c>
      <c r="AB296" t="str">
        <f>VLOOKUP(Table2[[#This Row],[product]],Ref[#All],6,FALSE)</f>
        <v>BAG50</v>
      </c>
    </row>
    <row r="297" spans="1:28" x14ac:dyDescent="0.25">
      <c r="A297" t="str">
        <f>TEXT(Table2[[#This Row],[dated]],"mmm")</f>
        <v>May</v>
      </c>
      <c r="B297" t="s">
        <v>52</v>
      </c>
      <c r="C297" s="1" t="s">
        <v>2726</v>
      </c>
      <c r="D297" t="str">
        <f>VLOOKUP(Table2[[#This Row],[product]],Ref[#All],7,FALSE)</f>
        <v>Flour</v>
      </c>
      <c r="E297" s="1" t="s">
        <v>36</v>
      </c>
      <c r="F297" t="str">
        <f>VLOOKUP(Table2[[#This Row],[product]],Ref[#All],2,FALSE)</f>
        <v>Flour Import Elngm 25Kg</v>
      </c>
      <c r="G297" t="str">
        <f>VLOOKUP(Table2[[#This Row],[product]],Ref[#All],3,FALSE)</f>
        <v>Flour Al-Nagm (Imported)</v>
      </c>
      <c r="H297" t="str">
        <f>VLOOKUP(Table2[[#This Row],[product]],Ref[#All],4,FALSE)</f>
        <v>Import</v>
      </c>
      <c r="I297" s="1">
        <v>45790</v>
      </c>
      <c r="J297" t="s">
        <v>127</v>
      </c>
      <c r="K297" t="s">
        <v>904</v>
      </c>
      <c r="L297" t="s">
        <v>1652</v>
      </c>
      <c r="M297" t="s">
        <v>1593</v>
      </c>
      <c r="N297" t="s">
        <v>784</v>
      </c>
      <c r="O297" t="s">
        <v>1593</v>
      </c>
      <c r="P297" t="s">
        <v>788</v>
      </c>
      <c r="Q297" t="s">
        <v>55</v>
      </c>
      <c r="R297">
        <v>6</v>
      </c>
      <c r="S297" s="15">
        <f>Table2[[#This Row],[movement_quantity]]/VLOOKUP(Table2[[#This Row],[product]],Ref[#All],5,FALSE)</f>
        <v>0.15</v>
      </c>
      <c r="T297">
        <v>31301.811430000002</v>
      </c>
      <c r="U297" t="s">
        <v>153</v>
      </c>
      <c r="V297" t="s">
        <v>18</v>
      </c>
      <c r="W297" t="s">
        <v>905</v>
      </c>
      <c r="X297" t="s">
        <v>906</v>
      </c>
      <c r="Y297" t="s">
        <v>17</v>
      </c>
      <c r="Z297">
        <v>0</v>
      </c>
      <c r="AA297" s="2">
        <v>187810.86858000001</v>
      </c>
      <c r="AB297" t="str">
        <f>VLOOKUP(Table2[[#This Row],[product]],Ref[#All],6,FALSE)</f>
        <v>BAG25</v>
      </c>
    </row>
    <row r="298" spans="1:28" x14ac:dyDescent="0.25">
      <c r="A298" t="str">
        <f>TEXT(Table2[[#This Row],[dated]],"mmm")</f>
        <v>May</v>
      </c>
      <c r="B298" t="s">
        <v>52</v>
      </c>
      <c r="C298" s="1" t="s">
        <v>2726</v>
      </c>
      <c r="D298" t="str">
        <f>VLOOKUP(Table2[[#This Row],[product]],Ref[#All],7,FALSE)</f>
        <v>Flour</v>
      </c>
      <c r="E298" s="1" t="s">
        <v>36</v>
      </c>
      <c r="F298" t="str">
        <f>VLOOKUP(Table2[[#This Row],[product]],Ref[#All],2,FALSE)</f>
        <v>Flour Import Elngm 25Kg</v>
      </c>
      <c r="G298" t="str">
        <f>VLOOKUP(Table2[[#This Row],[product]],Ref[#All],3,FALSE)</f>
        <v>Flour Al-Nagm (Imported)</v>
      </c>
      <c r="H298" t="str">
        <f>VLOOKUP(Table2[[#This Row],[product]],Ref[#All],4,FALSE)</f>
        <v>Import</v>
      </c>
      <c r="I298" s="1">
        <v>45790</v>
      </c>
      <c r="J298" t="s">
        <v>127</v>
      </c>
      <c r="K298" t="s">
        <v>907</v>
      </c>
      <c r="L298" t="s">
        <v>1652</v>
      </c>
      <c r="M298" t="s">
        <v>1593</v>
      </c>
      <c r="N298" t="s">
        <v>784</v>
      </c>
      <c r="O298" t="s">
        <v>1593</v>
      </c>
      <c r="P298" t="s">
        <v>788</v>
      </c>
      <c r="Q298" t="s">
        <v>55</v>
      </c>
      <c r="R298">
        <v>6</v>
      </c>
      <c r="S298" s="15">
        <f>Table2[[#This Row],[movement_quantity]]/VLOOKUP(Table2[[#This Row],[product]],Ref[#All],5,FALSE)</f>
        <v>0.15</v>
      </c>
      <c r="T298">
        <v>31301.811430000002</v>
      </c>
      <c r="U298" t="s">
        <v>153</v>
      </c>
      <c r="V298" t="s">
        <v>21</v>
      </c>
      <c r="W298" t="s">
        <v>908</v>
      </c>
      <c r="X298" t="s">
        <v>909</v>
      </c>
      <c r="Y298" t="s">
        <v>17</v>
      </c>
      <c r="Z298">
        <v>0</v>
      </c>
      <c r="AA298" s="2">
        <v>187810.86858000001</v>
      </c>
      <c r="AB298" t="str">
        <f>VLOOKUP(Table2[[#This Row],[product]],Ref[#All],6,FALSE)</f>
        <v>BAG25</v>
      </c>
    </row>
    <row r="299" spans="1:28" x14ac:dyDescent="0.25">
      <c r="A299" t="str">
        <f>TEXT(Table2[[#This Row],[dated]],"mmm")</f>
        <v>May</v>
      </c>
      <c r="B299" t="s">
        <v>52</v>
      </c>
      <c r="C299" s="1" t="s">
        <v>2726</v>
      </c>
      <c r="D299" t="str">
        <f>VLOOKUP(Table2[[#This Row],[product]],Ref[#All],7,FALSE)</f>
        <v>Flour</v>
      </c>
      <c r="E299" s="1" t="s">
        <v>36</v>
      </c>
      <c r="F299" t="str">
        <f>VLOOKUP(Table2[[#This Row],[product]],Ref[#All],2,FALSE)</f>
        <v>Flour Import Elngm 25Kg</v>
      </c>
      <c r="G299" t="str">
        <f>VLOOKUP(Table2[[#This Row],[product]],Ref[#All],3,FALSE)</f>
        <v>Flour Al-Nagm (Imported)</v>
      </c>
      <c r="H299" t="str">
        <f>VLOOKUP(Table2[[#This Row],[product]],Ref[#All],4,FALSE)</f>
        <v>Import</v>
      </c>
      <c r="I299" s="1">
        <v>45790</v>
      </c>
      <c r="J299" t="s">
        <v>127</v>
      </c>
      <c r="K299" t="s">
        <v>910</v>
      </c>
      <c r="L299" t="s">
        <v>1652</v>
      </c>
      <c r="M299" t="s">
        <v>1593</v>
      </c>
      <c r="N299" t="s">
        <v>784</v>
      </c>
      <c r="O299" t="s">
        <v>1593</v>
      </c>
      <c r="P299" t="s">
        <v>788</v>
      </c>
      <c r="Q299" t="s">
        <v>55</v>
      </c>
      <c r="R299">
        <v>31</v>
      </c>
      <c r="S299" s="15">
        <f>Table2[[#This Row],[movement_quantity]]/VLOOKUP(Table2[[#This Row],[product]],Ref[#All],5,FALSE)</f>
        <v>0.77500000000000002</v>
      </c>
      <c r="T299">
        <v>31301.811430000002</v>
      </c>
      <c r="U299" t="s">
        <v>153</v>
      </c>
      <c r="V299" t="s">
        <v>22</v>
      </c>
      <c r="W299" t="s">
        <v>911</v>
      </c>
      <c r="X299" t="s">
        <v>912</v>
      </c>
      <c r="Y299" t="s">
        <v>17</v>
      </c>
      <c r="Z299">
        <v>0</v>
      </c>
      <c r="AA299" s="2">
        <v>970356.15433000005</v>
      </c>
      <c r="AB299" t="str">
        <f>VLOOKUP(Table2[[#This Row],[product]],Ref[#All],6,FALSE)</f>
        <v>BAG25</v>
      </c>
    </row>
    <row r="300" spans="1:28" x14ac:dyDescent="0.25">
      <c r="A300" t="str">
        <f>TEXT(Table2[[#This Row],[dated]],"mmm")</f>
        <v>May</v>
      </c>
      <c r="B300" t="s">
        <v>52</v>
      </c>
      <c r="C300" s="1" t="s">
        <v>2726</v>
      </c>
      <c r="D300" t="str">
        <f>VLOOKUP(Table2[[#This Row],[product]],Ref[#All],7,FALSE)</f>
        <v>Flour</v>
      </c>
      <c r="E300" s="1" t="s">
        <v>36</v>
      </c>
      <c r="F300" t="str">
        <f>VLOOKUP(Table2[[#This Row],[product]],Ref[#All],2,FALSE)</f>
        <v>Flour Import Elngm 25Kg</v>
      </c>
      <c r="G300" t="str">
        <f>VLOOKUP(Table2[[#This Row],[product]],Ref[#All],3,FALSE)</f>
        <v>Flour Al-Nagm (Imported)</v>
      </c>
      <c r="H300" t="str">
        <f>VLOOKUP(Table2[[#This Row],[product]],Ref[#All],4,FALSE)</f>
        <v>Import</v>
      </c>
      <c r="I300" s="1">
        <v>45790</v>
      </c>
      <c r="J300" t="s">
        <v>127</v>
      </c>
      <c r="K300" t="s">
        <v>913</v>
      </c>
      <c r="L300" t="s">
        <v>1652</v>
      </c>
      <c r="M300" t="s">
        <v>1593</v>
      </c>
      <c r="N300" t="s">
        <v>784</v>
      </c>
      <c r="O300" t="s">
        <v>1593</v>
      </c>
      <c r="P300" t="s">
        <v>788</v>
      </c>
      <c r="Q300" t="s">
        <v>55</v>
      </c>
      <c r="R300">
        <v>1</v>
      </c>
      <c r="S300" s="15">
        <f>Table2[[#This Row],[movement_quantity]]/VLOOKUP(Table2[[#This Row],[product]],Ref[#All],5,FALSE)</f>
        <v>2.5000000000000001E-2</v>
      </c>
      <c r="T300">
        <v>31301.811430000002</v>
      </c>
      <c r="U300" t="s">
        <v>153</v>
      </c>
      <c r="V300" t="s">
        <v>23</v>
      </c>
      <c r="W300" t="s">
        <v>914</v>
      </c>
      <c r="X300" t="s">
        <v>915</v>
      </c>
      <c r="Y300" t="s">
        <v>17</v>
      </c>
      <c r="Z300">
        <v>0</v>
      </c>
      <c r="AA300" s="2">
        <v>31301.811430000002</v>
      </c>
      <c r="AB300" t="str">
        <f>VLOOKUP(Table2[[#This Row],[product]],Ref[#All],6,FALSE)</f>
        <v>BAG25</v>
      </c>
    </row>
    <row r="301" spans="1:28" x14ac:dyDescent="0.25">
      <c r="A301" t="str">
        <f>TEXT(Table2[[#This Row],[dated]],"mmm")</f>
        <v>May</v>
      </c>
      <c r="B301" t="s">
        <v>52</v>
      </c>
      <c r="C301" s="1" t="s">
        <v>2726</v>
      </c>
      <c r="D301" t="str">
        <f>VLOOKUP(Table2[[#This Row],[product]],Ref[#All],7,FALSE)</f>
        <v>Flour</v>
      </c>
      <c r="E301" s="1" t="s">
        <v>36</v>
      </c>
      <c r="F301" t="str">
        <f>VLOOKUP(Table2[[#This Row],[product]],Ref[#All],2,FALSE)</f>
        <v>Flour Import Elngm 25Kg</v>
      </c>
      <c r="G301" t="str">
        <f>VLOOKUP(Table2[[#This Row],[product]],Ref[#All],3,FALSE)</f>
        <v>Flour Al-Nagm (Imported)</v>
      </c>
      <c r="H301" t="str">
        <f>VLOOKUP(Table2[[#This Row],[product]],Ref[#All],4,FALSE)</f>
        <v>Import</v>
      </c>
      <c r="I301" s="1">
        <v>45790</v>
      </c>
      <c r="J301" t="s">
        <v>127</v>
      </c>
      <c r="K301" t="s">
        <v>916</v>
      </c>
      <c r="L301" t="s">
        <v>1652</v>
      </c>
      <c r="M301" t="s">
        <v>1593</v>
      </c>
      <c r="N301" t="s">
        <v>784</v>
      </c>
      <c r="O301" t="s">
        <v>1593</v>
      </c>
      <c r="P301" t="s">
        <v>788</v>
      </c>
      <c r="Q301" t="s">
        <v>55</v>
      </c>
      <c r="R301">
        <v>1</v>
      </c>
      <c r="S301" s="15">
        <f>Table2[[#This Row],[movement_quantity]]/VLOOKUP(Table2[[#This Row],[product]],Ref[#All],5,FALSE)</f>
        <v>2.5000000000000001E-2</v>
      </c>
      <c r="T301">
        <v>31301.811430000002</v>
      </c>
      <c r="U301" t="s">
        <v>153</v>
      </c>
      <c r="V301" t="s">
        <v>24</v>
      </c>
      <c r="W301" t="s">
        <v>917</v>
      </c>
      <c r="X301" t="s">
        <v>918</v>
      </c>
      <c r="Y301" t="s">
        <v>17</v>
      </c>
      <c r="Z301">
        <v>0</v>
      </c>
      <c r="AA301" s="2">
        <v>31301.811430000002</v>
      </c>
      <c r="AB301" t="str">
        <f>VLOOKUP(Table2[[#This Row],[product]],Ref[#All],6,FALSE)</f>
        <v>BAG25</v>
      </c>
    </row>
    <row r="302" spans="1:28" x14ac:dyDescent="0.25">
      <c r="A302" t="str">
        <f>TEXT(Table2[[#This Row],[dated]],"mmm")</f>
        <v>May</v>
      </c>
      <c r="B302" t="s">
        <v>52</v>
      </c>
      <c r="C302" s="1" t="s">
        <v>2726</v>
      </c>
      <c r="D302" t="str">
        <f>VLOOKUP(Table2[[#This Row],[product]],Ref[#All],7,FALSE)</f>
        <v>Flour</v>
      </c>
      <c r="E302" s="1" t="s">
        <v>36</v>
      </c>
      <c r="F302" t="str">
        <f>VLOOKUP(Table2[[#This Row],[product]],Ref[#All],2,FALSE)</f>
        <v>Flour Import Elngm 25Kg</v>
      </c>
      <c r="G302" t="str">
        <f>VLOOKUP(Table2[[#This Row],[product]],Ref[#All],3,FALSE)</f>
        <v>Flour Al-Nagm (Imported)</v>
      </c>
      <c r="H302" t="str">
        <f>VLOOKUP(Table2[[#This Row],[product]],Ref[#All],4,FALSE)</f>
        <v>Import</v>
      </c>
      <c r="I302" s="1">
        <v>45790</v>
      </c>
      <c r="J302" t="s">
        <v>127</v>
      </c>
      <c r="K302" t="s">
        <v>919</v>
      </c>
      <c r="L302" t="s">
        <v>1652</v>
      </c>
      <c r="M302" t="s">
        <v>1593</v>
      </c>
      <c r="N302" t="s">
        <v>784</v>
      </c>
      <c r="O302" t="s">
        <v>1593</v>
      </c>
      <c r="P302" t="s">
        <v>788</v>
      </c>
      <c r="Q302" t="s">
        <v>55</v>
      </c>
      <c r="R302">
        <v>1</v>
      </c>
      <c r="S302" s="15">
        <f>Table2[[#This Row],[movement_quantity]]/VLOOKUP(Table2[[#This Row],[product]],Ref[#All],5,FALSE)</f>
        <v>2.5000000000000001E-2</v>
      </c>
      <c r="T302">
        <v>31301.811430000002</v>
      </c>
      <c r="U302" t="s">
        <v>153</v>
      </c>
      <c r="V302" t="s">
        <v>25</v>
      </c>
      <c r="W302" t="s">
        <v>920</v>
      </c>
      <c r="X302" t="s">
        <v>921</v>
      </c>
      <c r="Y302" t="s">
        <v>17</v>
      </c>
      <c r="Z302">
        <v>0</v>
      </c>
      <c r="AA302" s="2">
        <v>31301.811430000002</v>
      </c>
      <c r="AB302" t="str">
        <f>VLOOKUP(Table2[[#This Row],[product]],Ref[#All],6,FALSE)</f>
        <v>BAG25</v>
      </c>
    </row>
    <row r="303" spans="1:28" x14ac:dyDescent="0.25">
      <c r="A303" t="str">
        <f>TEXT(Table2[[#This Row],[dated]],"mmm")</f>
        <v>May</v>
      </c>
      <c r="B303" t="s">
        <v>52</v>
      </c>
      <c r="C303" s="1" t="s">
        <v>2726</v>
      </c>
      <c r="D303" t="str">
        <f>VLOOKUP(Table2[[#This Row],[product]],Ref[#All],7,FALSE)</f>
        <v>Flour</v>
      </c>
      <c r="E303" s="1" t="s">
        <v>36</v>
      </c>
      <c r="F303" t="str">
        <f>VLOOKUP(Table2[[#This Row],[product]],Ref[#All],2,FALSE)</f>
        <v>Flour Import Elngm 25Kg</v>
      </c>
      <c r="G303" t="str">
        <f>VLOOKUP(Table2[[#This Row],[product]],Ref[#All],3,FALSE)</f>
        <v>Flour Al-Nagm (Imported)</v>
      </c>
      <c r="H303" t="str">
        <f>VLOOKUP(Table2[[#This Row],[product]],Ref[#All],4,FALSE)</f>
        <v>Import</v>
      </c>
      <c r="I303" s="1">
        <v>45790</v>
      </c>
      <c r="J303" t="s">
        <v>127</v>
      </c>
      <c r="K303" t="s">
        <v>922</v>
      </c>
      <c r="L303" t="s">
        <v>1652</v>
      </c>
      <c r="M303" t="s">
        <v>1593</v>
      </c>
      <c r="N303" t="s">
        <v>784</v>
      </c>
      <c r="O303" t="s">
        <v>1593</v>
      </c>
      <c r="P303" t="s">
        <v>788</v>
      </c>
      <c r="Q303" t="s">
        <v>55</v>
      </c>
      <c r="R303">
        <v>3</v>
      </c>
      <c r="S303" s="15">
        <f>Table2[[#This Row],[movement_quantity]]/VLOOKUP(Table2[[#This Row],[product]],Ref[#All],5,FALSE)</f>
        <v>7.4999999999999997E-2</v>
      </c>
      <c r="T303">
        <v>31301.811430000002</v>
      </c>
      <c r="U303" t="s">
        <v>153</v>
      </c>
      <c r="V303" t="s">
        <v>26</v>
      </c>
      <c r="W303" t="s">
        <v>923</v>
      </c>
      <c r="X303" t="s">
        <v>924</v>
      </c>
      <c r="Y303" t="s">
        <v>17</v>
      </c>
      <c r="Z303">
        <v>0</v>
      </c>
      <c r="AA303" s="2">
        <v>93905.434290000005</v>
      </c>
      <c r="AB303" t="str">
        <f>VLOOKUP(Table2[[#This Row],[product]],Ref[#All],6,FALSE)</f>
        <v>BAG25</v>
      </c>
    </row>
    <row r="304" spans="1:28" x14ac:dyDescent="0.25">
      <c r="A304" t="str">
        <f>TEXT(Table2[[#This Row],[dated]],"mmm")</f>
        <v>May</v>
      </c>
      <c r="B304" t="s">
        <v>52</v>
      </c>
      <c r="C304" s="1" t="s">
        <v>2726</v>
      </c>
      <c r="D304" t="str">
        <f>VLOOKUP(Table2[[#This Row],[product]],Ref[#All],7,FALSE)</f>
        <v>Flour</v>
      </c>
      <c r="E304" s="1" t="s">
        <v>36</v>
      </c>
      <c r="F304" t="str">
        <f>VLOOKUP(Table2[[#This Row],[product]],Ref[#All],2,FALSE)</f>
        <v>Flour Import Elngm 25Kg</v>
      </c>
      <c r="G304" t="str">
        <f>VLOOKUP(Table2[[#This Row],[product]],Ref[#All],3,FALSE)</f>
        <v>Flour Al-Nagm (Imported)</v>
      </c>
      <c r="H304" t="str">
        <f>VLOOKUP(Table2[[#This Row],[product]],Ref[#All],4,FALSE)</f>
        <v>Import</v>
      </c>
      <c r="I304" s="1">
        <v>45790</v>
      </c>
      <c r="J304" t="s">
        <v>127</v>
      </c>
      <c r="K304" t="s">
        <v>925</v>
      </c>
      <c r="L304" t="s">
        <v>1652</v>
      </c>
      <c r="M304" t="s">
        <v>1593</v>
      </c>
      <c r="N304" t="s">
        <v>784</v>
      </c>
      <c r="O304" t="s">
        <v>1593</v>
      </c>
      <c r="P304" t="s">
        <v>788</v>
      </c>
      <c r="Q304" t="s">
        <v>55</v>
      </c>
      <c r="R304">
        <v>1</v>
      </c>
      <c r="S304" s="15">
        <f>Table2[[#This Row],[movement_quantity]]/VLOOKUP(Table2[[#This Row],[product]],Ref[#All],5,FALSE)</f>
        <v>2.5000000000000001E-2</v>
      </c>
      <c r="T304">
        <v>31301.811430000002</v>
      </c>
      <c r="U304" t="s">
        <v>153</v>
      </c>
      <c r="V304" t="s">
        <v>27</v>
      </c>
      <c r="W304" t="s">
        <v>926</v>
      </c>
      <c r="X304" t="s">
        <v>927</v>
      </c>
      <c r="Y304" t="s">
        <v>17</v>
      </c>
      <c r="Z304">
        <v>0</v>
      </c>
      <c r="AA304" s="2">
        <v>31301.811430000002</v>
      </c>
      <c r="AB304" t="str">
        <f>VLOOKUP(Table2[[#This Row],[product]],Ref[#All],6,FALSE)</f>
        <v>BAG25</v>
      </c>
    </row>
    <row r="305" spans="1:28" x14ac:dyDescent="0.25">
      <c r="A305" t="str">
        <f>TEXT(Table2[[#This Row],[dated]],"mmm")</f>
        <v>May</v>
      </c>
      <c r="B305" t="s">
        <v>52</v>
      </c>
      <c r="C305" s="1" t="s">
        <v>2726</v>
      </c>
      <c r="D305" t="str">
        <f>VLOOKUP(Table2[[#This Row],[product]],Ref[#All],7,FALSE)</f>
        <v>Flour</v>
      </c>
      <c r="E305" s="1" t="s">
        <v>36</v>
      </c>
      <c r="F305" t="str">
        <f>VLOOKUP(Table2[[#This Row],[product]],Ref[#All],2,FALSE)</f>
        <v>Flour Import Elngm 25Kg</v>
      </c>
      <c r="G305" t="str">
        <f>VLOOKUP(Table2[[#This Row],[product]],Ref[#All],3,FALSE)</f>
        <v>Flour Al-Nagm (Imported)</v>
      </c>
      <c r="H305" t="str">
        <f>VLOOKUP(Table2[[#This Row],[product]],Ref[#All],4,FALSE)</f>
        <v>Import</v>
      </c>
      <c r="I305" s="1">
        <v>45790</v>
      </c>
      <c r="J305" t="s">
        <v>127</v>
      </c>
      <c r="K305" t="s">
        <v>928</v>
      </c>
      <c r="L305" t="s">
        <v>1652</v>
      </c>
      <c r="M305" t="s">
        <v>1593</v>
      </c>
      <c r="N305" t="s">
        <v>784</v>
      </c>
      <c r="O305" t="s">
        <v>1593</v>
      </c>
      <c r="P305" t="s">
        <v>788</v>
      </c>
      <c r="Q305" t="s">
        <v>55</v>
      </c>
      <c r="R305">
        <v>5</v>
      </c>
      <c r="S305" s="15">
        <f>Table2[[#This Row],[movement_quantity]]/VLOOKUP(Table2[[#This Row],[product]],Ref[#All],5,FALSE)</f>
        <v>0.125</v>
      </c>
      <c r="T305">
        <v>31301.811430000002</v>
      </c>
      <c r="U305" t="s">
        <v>153</v>
      </c>
      <c r="V305" t="s">
        <v>28</v>
      </c>
      <c r="W305" t="s">
        <v>929</v>
      </c>
      <c r="X305" t="s">
        <v>930</v>
      </c>
      <c r="Y305" t="s">
        <v>17</v>
      </c>
      <c r="Z305">
        <v>0</v>
      </c>
      <c r="AA305" s="2">
        <v>156509.05715000001</v>
      </c>
      <c r="AB305" t="str">
        <f>VLOOKUP(Table2[[#This Row],[product]],Ref[#All],6,FALSE)</f>
        <v>BAG25</v>
      </c>
    </row>
    <row r="306" spans="1:28" x14ac:dyDescent="0.25">
      <c r="A306" t="str">
        <f>TEXT(Table2[[#This Row],[dated]],"mmm")</f>
        <v>May</v>
      </c>
      <c r="B306" t="s">
        <v>52</v>
      </c>
      <c r="C306" s="1" t="s">
        <v>2726</v>
      </c>
      <c r="D306" t="str">
        <f>VLOOKUP(Table2[[#This Row],[product]],Ref[#All],7,FALSE)</f>
        <v>Flour</v>
      </c>
      <c r="E306" s="1" t="s">
        <v>36</v>
      </c>
      <c r="F306" t="str">
        <f>VLOOKUP(Table2[[#This Row],[product]],Ref[#All],2,FALSE)</f>
        <v>Flour Import Elngm 25Kg</v>
      </c>
      <c r="G306" t="str">
        <f>VLOOKUP(Table2[[#This Row],[product]],Ref[#All],3,FALSE)</f>
        <v>Flour Al-Nagm (Imported)</v>
      </c>
      <c r="H306" t="str">
        <f>VLOOKUP(Table2[[#This Row],[product]],Ref[#All],4,FALSE)</f>
        <v>Import</v>
      </c>
      <c r="I306" s="1">
        <v>45790</v>
      </c>
      <c r="J306" t="s">
        <v>127</v>
      </c>
      <c r="K306" t="s">
        <v>931</v>
      </c>
      <c r="L306" t="s">
        <v>1652</v>
      </c>
      <c r="M306" t="s">
        <v>1593</v>
      </c>
      <c r="N306" t="s">
        <v>784</v>
      </c>
      <c r="O306" t="s">
        <v>1593</v>
      </c>
      <c r="P306" t="s">
        <v>788</v>
      </c>
      <c r="Q306" t="s">
        <v>55</v>
      </c>
      <c r="R306">
        <v>2</v>
      </c>
      <c r="S306" s="15">
        <f>Table2[[#This Row],[movement_quantity]]/VLOOKUP(Table2[[#This Row],[product]],Ref[#All],5,FALSE)</f>
        <v>0.05</v>
      </c>
      <c r="T306">
        <v>31301.811430000002</v>
      </c>
      <c r="U306" t="s">
        <v>153</v>
      </c>
      <c r="V306" t="s">
        <v>29</v>
      </c>
      <c r="W306" t="s">
        <v>932</v>
      </c>
      <c r="X306" t="s">
        <v>933</v>
      </c>
      <c r="Y306" t="s">
        <v>17</v>
      </c>
      <c r="Z306">
        <v>0</v>
      </c>
      <c r="AA306" s="2">
        <v>62603.622860000003</v>
      </c>
      <c r="AB306" t="str">
        <f>VLOOKUP(Table2[[#This Row],[product]],Ref[#All],6,FALSE)</f>
        <v>BAG25</v>
      </c>
    </row>
    <row r="307" spans="1:28" x14ac:dyDescent="0.25">
      <c r="A307" t="str">
        <f>TEXT(Table2[[#This Row],[dated]],"mmm")</f>
        <v>May</v>
      </c>
      <c r="B307" t="s">
        <v>52</v>
      </c>
      <c r="C307" s="1" t="s">
        <v>2726</v>
      </c>
      <c r="D307" t="str">
        <f>VLOOKUP(Table2[[#This Row],[product]],Ref[#All],7,FALSE)</f>
        <v>Flour</v>
      </c>
      <c r="E307" s="1" t="s">
        <v>36</v>
      </c>
      <c r="F307" t="str">
        <f>VLOOKUP(Table2[[#This Row],[product]],Ref[#All],2,FALSE)</f>
        <v>Flour Import Elngm 25Kg</v>
      </c>
      <c r="G307" t="str">
        <f>VLOOKUP(Table2[[#This Row],[product]],Ref[#All],3,FALSE)</f>
        <v>Flour Al-Nagm (Imported)</v>
      </c>
      <c r="H307" t="str">
        <f>VLOOKUP(Table2[[#This Row],[product]],Ref[#All],4,FALSE)</f>
        <v>Import</v>
      </c>
      <c r="I307" s="1">
        <v>45790</v>
      </c>
      <c r="J307" t="s">
        <v>127</v>
      </c>
      <c r="K307" t="s">
        <v>934</v>
      </c>
      <c r="L307" t="s">
        <v>1652</v>
      </c>
      <c r="M307" t="s">
        <v>1593</v>
      </c>
      <c r="N307" t="s">
        <v>784</v>
      </c>
      <c r="O307" t="s">
        <v>1593</v>
      </c>
      <c r="P307" t="s">
        <v>788</v>
      </c>
      <c r="Q307" t="s">
        <v>55</v>
      </c>
      <c r="R307">
        <v>1</v>
      </c>
      <c r="S307" s="15">
        <f>Table2[[#This Row],[movement_quantity]]/VLOOKUP(Table2[[#This Row],[product]],Ref[#All],5,FALSE)</f>
        <v>2.5000000000000001E-2</v>
      </c>
      <c r="T307">
        <v>31301.811430000002</v>
      </c>
      <c r="U307" t="s">
        <v>153</v>
      </c>
      <c r="V307" t="s">
        <v>31</v>
      </c>
      <c r="W307" t="s">
        <v>935</v>
      </c>
      <c r="X307" t="s">
        <v>936</v>
      </c>
      <c r="Y307" t="s">
        <v>17</v>
      </c>
      <c r="Z307">
        <v>0</v>
      </c>
      <c r="AA307" s="2">
        <v>31301.811430000002</v>
      </c>
      <c r="AB307" t="str">
        <f>VLOOKUP(Table2[[#This Row],[product]],Ref[#All],6,FALSE)</f>
        <v>BAG25</v>
      </c>
    </row>
    <row r="308" spans="1:28" x14ac:dyDescent="0.25">
      <c r="A308" t="str">
        <f>TEXT(Table2[[#This Row],[dated]],"mmm")</f>
        <v>May</v>
      </c>
      <c r="B308" t="s">
        <v>52</v>
      </c>
      <c r="C308" s="1" t="s">
        <v>2726</v>
      </c>
      <c r="D308" t="str">
        <f>VLOOKUP(Table2[[#This Row],[product]],Ref[#All],7,FALSE)</f>
        <v>Flour</v>
      </c>
      <c r="E308" s="1" t="s">
        <v>36</v>
      </c>
      <c r="F308" t="str">
        <f>VLOOKUP(Table2[[#This Row],[product]],Ref[#All],2,FALSE)</f>
        <v>Flour Import Elngm 25Kg</v>
      </c>
      <c r="G308" t="str">
        <f>VLOOKUP(Table2[[#This Row],[product]],Ref[#All],3,FALSE)</f>
        <v>Flour Al-Nagm (Imported)</v>
      </c>
      <c r="H308" t="str">
        <f>VLOOKUP(Table2[[#This Row],[product]],Ref[#All],4,FALSE)</f>
        <v>Import</v>
      </c>
      <c r="I308" s="1">
        <v>45790</v>
      </c>
      <c r="J308" t="s">
        <v>127</v>
      </c>
      <c r="K308" t="s">
        <v>937</v>
      </c>
      <c r="L308" t="s">
        <v>1652</v>
      </c>
      <c r="M308" t="s">
        <v>1593</v>
      </c>
      <c r="N308" t="s">
        <v>784</v>
      </c>
      <c r="O308" t="s">
        <v>1593</v>
      </c>
      <c r="P308" t="s">
        <v>788</v>
      </c>
      <c r="Q308" t="s">
        <v>55</v>
      </c>
      <c r="R308">
        <v>5</v>
      </c>
      <c r="S308" s="15">
        <f>Table2[[#This Row],[movement_quantity]]/VLOOKUP(Table2[[#This Row],[product]],Ref[#All],5,FALSE)</f>
        <v>0.125</v>
      </c>
      <c r="T308">
        <v>31301.811430000002</v>
      </c>
      <c r="U308" t="s">
        <v>153</v>
      </c>
      <c r="V308" t="s">
        <v>32</v>
      </c>
      <c r="W308" t="s">
        <v>938</v>
      </c>
      <c r="X308" t="s">
        <v>939</v>
      </c>
      <c r="Y308" t="s">
        <v>17</v>
      </c>
      <c r="Z308">
        <v>0</v>
      </c>
      <c r="AA308" s="2">
        <v>156509.05715000001</v>
      </c>
      <c r="AB308" t="str">
        <f>VLOOKUP(Table2[[#This Row],[product]],Ref[#All],6,FALSE)</f>
        <v>BAG25</v>
      </c>
    </row>
    <row r="309" spans="1:28" x14ac:dyDescent="0.25">
      <c r="A309" t="str">
        <f>TEXT(Table2[[#This Row],[dated]],"mmm")</f>
        <v>May</v>
      </c>
      <c r="B309" t="s">
        <v>52</v>
      </c>
      <c r="C309" s="1" t="s">
        <v>2726</v>
      </c>
      <c r="D309" t="str">
        <f>VLOOKUP(Table2[[#This Row],[product]],Ref[#All],7,FALSE)</f>
        <v>Flour</v>
      </c>
      <c r="E309" s="1" t="s">
        <v>36</v>
      </c>
      <c r="F309" t="str">
        <f>VLOOKUP(Table2[[#This Row],[product]],Ref[#All],2,FALSE)</f>
        <v>Flour Import Elngm 25Kg</v>
      </c>
      <c r="G309" t="str">
        <f>VLOOKUP(Table2[[#This Row],[product]],Ref[#All],3,FALSE)</f>
        <v>Flour Al-Nagm (Imported)</v>
      </c>
      <c r="H309" t="str">
        <f>VLOOKUP(Table2[[#This Row],[product]],Ref[#All],4,FALSE)</f>
        <v>Import</v>
      </c>
      <c r="I309" s="1">
        <v>45790</v>
      </c>
      <c r="J309" t="s">
        <v>127</v>
      </c>
      <c r="K309" t="s">
        <v>940</v>
      </c>
      <c r="L309" t="s">
        <v>1652</v>
      </c>
      <c r="M309" t="s">
        <v>1593</v>
      </c>
      <c r="N309" t="s">
        <v>784</v>
      </c>
      <c r="O309" t="s">
        <v>1593</v>
      </c>
      <c r="P309" t="s">
        <v>788</v>
      </c>
      <c r="Q309" t="s">
        <v>55</v>
      </c>
      <c r="R309">
        <v>1</v>
      </c>
      <c r="S309" s="15">
        <f>Table2[[#This Row],[movement_quantity]]/VLOOKUP(Table2[[#This Row],[product]],Ref[#All],5,FALSE)</f>
        <v>2.5000000000000001E-2</v>
      </c>
      <c r="T309">
        <v>31301.811430000002</v>
      </c>
      <c r="U309" t="s">
        <v>153</v>
      </c>
      <c r="V309" t="s">
        <v>44</v>
      </c>
      <c r="W309" t="s">
        <v>941</v>
      </c>
      <c r="X309" t="s">
        <v>942</v>
      </c>
      <c r="Y309" t="s">
        <v>17</v>
      </c>
      <c r="Z309">
        <v>0</v>
      </c>
      <c r="AA309" s="2">
        <v>31301.811430000002</v>
      </c>
      <c r="AB309" t="str">
        <f>VLOOKUP(Table2[[#This Row],[product]],Ref[#All],6,FALSE)</f>
        <v>BAG25</v>
      </c>
    </row>
    <row r="310" spans="1:28" x14ac:dyDescent="0.25">
      <c r="A310" t="str">
        <f>TEXT(Table2[[#This Row],[dated]],"mmm")</f>
        <v>May</v>
      </c>
      <c r="B310" t="s">
        <v>52</v>
      </c>
      <c r="C310" s="1" t="s">
        <v>2726</v>
      </c>
      <c r="D310" t="str">
        <f>VLOOKUP(Table2[[#This Row],[product]],Ref[#All],7,FALSE)</f>
        <v>Flour</v>
      </c>
      <c r="E310" s="1" t="s">
        <v>36</v>
      </c>
      <c r="F310" t="str">
        <f>VLOOKUP(Table2[[#This Row],[product]],Ref[#All],2,FALSE)</f>
        <v>Flour Import Elngm 25Kg</v>
      </c>
      <c r="G310" t="str">
        <f>VLOOKUP(Table2[[#This Row],[product]],Ref[#All],3,FALSE)</f>
        <v>Flour Al-Nagm (Imported)</v>
      </c>
      <c r="H310" t="str">
        <f>VLOOKUP(Table2[[#This Row],[product]],Ref[#All],4,FALSE)</f>
        <v>Import</v>
      </c>
      <c r="I310" s="1">
        <v>45790</v>
      </c>
      <c r="J310" t="s">
        <v>127</v>
      </c>
      <c r="K310" t="s">
        <v>943</v>
      </c>
      <c r="L310" t="s">
        <v>1652</v>
      </c>
      <c r="M310" t="s">
        <v>1593</v>
      </c>
      <c r="N310" t="s">
        <v>784</v>
      </c>
      <c r="O310" t="s">
        <v>1593</v>
      </c>
      <c r="P310" t="s">
        <v>788</v>
      </c>
      <c r="Q310" t="s">
        <v>55</v>
      </c>
      <c r="R310">
        <v>1</v>
      </c>
      <c r="S310" s="15">
        <f>Table2[[#This Row],[movement_quantity]]/VLOOKUP(Table2[[#This Row],[product]],Ref[#All],5,FALSE)</f>
        <v>2.5000000000000001E-2</v>
      </c>
      <c r="T310">
        <v>31301.811430000002</v>
      </c>
      <c r="U310" t="s">
        <v>153</v>
      </c>
      <c r="V310" t="s">
        <v>33</v>
      </c>
      <c r="W310" t="s">
        <v>944</v>
      </c>
      <c r="X310" t="s">
        <v>945</v>
      </c>
      <c r="Y310" t="s">
        <v>17</v>
      </c>
      <c r="Z310">
        <v>0</v>
      </c>
      <c r="AA310" s="2">
        <v>31301.811430000002</v>
      </c>
      <c r="AB310" t="str">
        <f>VLOOKUP(Table2[[#This Row],[product]],Ref[#All],6,FALSE)</f>
        <v>BAG25</v>
      </c>
    </row>
    <row r="311" spans="1:28" x14ac:dyDescent="0.25">
      <c r="A311" t="str">
        <f>TEXT(Table2[[#This Row],[dated]],"mmm")</f>
        <v>May</v>
      </c>
      <c r="B311" t="s">
        <v>52</v>
      </c>
      <c r="C311" s="1" t="s">
        <v>2726</v>
      </c>
      <c r="D311" t="str">
        <f>VLOOKUP(Table2[[#This Row],[product]],Ref[#All],7,FALSE)</f>
        <v>Lentils</v>
      </c>
      <c r="E311" s="1" t="s">
        <v>39</v>
      </c>
      <c r="F311" t="str">
        <f>VLOOKUP(Table2[[#This Row],[product]],Ref[#All],2,FALSE)</f>
        <v>Lentil TAT 20KG</v>
      </c>
      <c r="G311" t="str">
        <f>VLOOKUP(Table2[[#This Row],[product]],Ref[#All],3,FALSE)</f>
        <v>Lentils</v>
      </c>
      <c r="H311" t="str">
        <f>VLOOKUP(Table2[[#This Row],[product]],Ref[#All],4,FALSE)</f>
        <v>Import</v>
      </c>
      <c r="I311" s="1">
        <v>45790</v>
      </c>
      <c r="J311" t="s">
        <v>127</v>
      </c>
      <c r="K311" t="s">
        <v>946</v>
      </c>
      <c r="L311" t="s">
        <v>1652</v>
      </c>
      <c r="M311" t="s">
        <v>1593</v>
      </c>
      <c r="N311" t="s">
        <v>784</v>
      </c>
      <c r="O311" t="s">
        <v>1593</v>
      </c>
      <c r="P311" t="s">
        <v>788</v>
      </c>
      <c r="Q311" t="s">
        <v>55</v>
      </c>
      <c r="R311">
        <v>1</v>
      </c>
      <c r="S311" s="15">
        <f>Table2[[#This Row],[movement_quantity]]/VLOOKUP(Table2[[#This Row],[product]],Ref[#All],5,FALSE)</f>
        <v>0.02</v>
      </c>
      <c r="T311">
        <v>49211.972889999997</v>
      </c>
      <c r="U311" t="s">
        <v>153</v>
      </c>
      <c r="V311" t="s">
        <v>18</v>
      </c>
      <c r="W311" t="s">
        <v>947</v>
      </c>
      <c r="X311" t="s">
        <v>948</v>
      </c>
      <c r="Y311" t="s">
        <v>17</v>
      </c>
      <c r="Z311">
        <v>0</v>
      </c>
      <c r="AA311" s="2">
        <v>49211.972889999997</v>
      </c>
      <c r="AB311" t="str">
        <f>VLOOKUP(Table2[[#This Row],[product]],Ref[#All],6,FALSE)</f>
        <v>BAG20</v>
      </c>
    </row>
    <row r="312" spans="1:28" x14ac:dyDescent="0.25">
      <c r="A312" t="str">
        <f>TEXT(Table2[[#This Row],[dated]],"mmm")</f>
        <v>May</v>
      </c>
      <c r="B312" t="s">
        <v>52</v>
      </c>
      <c r="C312" s="1" t="s">
        <v>2726</v>
      </c>
      <c r="D312" t="str">
        <f>VLOOKUP(Table2[[#This Row],[product]],Ref[#All],7,FALSE)</f>
        <v>Lentils</v>
      </c>
      <c r="E312" s="1" t="s">
        <v>39</v>
      </c>
      <c r="F312" t="str">
        <f>VLOOKUP(Table2[[#This Row],[product]],Ref[#All],2,FALSE)</f>
        <v>Lentil TAT 20KG</v>
      </c>
      <c r="G312" t="str">
        <f>VLOOKUP(Table2[[#This Row],[product]],Ref[#All],3,FALSE)</f>
        <v>Lentils</v>
      </c>
      <c r="H312" t="str">
        <f>VLOOKUP(Table2[[#This Row],[product]],Ref[#All],4,FALSE)</f>
        <v>Import</v>
      </c>
      <c r="I312" s="1">
        <v>45790</v>
      </c>
      <c r="J312" t="s">
        <v>127</v>
      </c>
      <c r="K312" t="s">
        <v>949</v>
      </c>
      <c r="L312" t="s">
        <v>1652</v>
      </c>
      <c r="M312" t="s">
        <v>1593</v>
      </c>
      <c r="N312" t="s">
        <v>784</v>
      </c>
      <c r="O312" t="s">
        <v>1593</v>
      </c>
      <c r="P312" t="s">
        <v>788</v>
      </c>
      <c r="Q312" t="s">
        <v>55</v>
      </c>
      <c r="R312">
        <v>1</v>
      </c>
      <c r="S312" s="15">
        <f>Table2[[#This Row],[movement_quantity]]/VLOOKUP(Table2[[#This Row],[product]],Ref[#All],5,FALSE)</f>
        <v>0.02</v>
      </c>
      <c r="T312">
        <v>49211.972889999997</v>
      </c>
      <c r="U312" t="s">
        <v>153</v>
      </c>
      <c r="V312" t="s">
        <v>21</v>
      </c>
      <c r="W312" t="s">
        <v>950</v>
      </c>
      <c r="X312" t="s">
        <v>951</v>
      </c>
      <c r="Y312" t="s">
        <v>17</v>
      </c>
      <c r="Z312">
        <v>0</v>
      </c>
      <c r="AA312" s="2">
        <v>49211.972889999997</v>
      </c>
      <c r="AB312" t="str">
        <f>VLOOKUP(Table2[[#This Row],[product]],Ref[#All],6,FALSE)</f>
        <v>BAG20</v>
      </c>
    </row>
    <row r="313" spans="1:28" x14ac:dyDescent="0.25">
      <c r="A313" t="str">
        <f>TEXT(Table2[[#This Row],[dated]],"mmm")</f>
        <v>May</v>
      </c>
      <c r="B313" t="s">
        <v>52</v>
      </c>
      <c r="C313" s="1" t="s">
        <v>2726</v>
      </c>
      <c r="D313" t="str">
        <f>VLOOKUP(Table2[[#This Row],[product]],Ref[#All],7,FALSE)</f>
        <v>Lentils</v>
      </c>
      <c r="E313" s="1" t="s">
        <v>39</v>
      </c>
      <c r="F313" t="str">
        <f>VLOOKUP(Table2[[#This Row],[product]],Ref[#All],2,FALSE)</f>
        <v>Lentil TAT 20KG</v>
      </c>
      <c r="G313" t="str">
        <f>VLOOKUP(Table2[[#This Row],[product]],Ref[#All],3,FALSE)</f>
        <v>Lentils</v>
      </c>
      <c r="H313" t="str">
        <f>VLOOKUP(Table2[[#This Row],[product]],Ref[#All],4,FALSE)</f>
        <v>Import</v>
      </c>
      <c r="I313" s="1">
        <v>45790</v>
      </c>
      <c r="J313" t="s">
        <v>127</v>
      </c>
      <c r="K313" t="s">
        <v>952</v>
      </c>
      <c r="L313" t="s">
        <v>1652</v>
      </c>
      <c r="M313" t="s">
        <v>1593</v>
      </c>
      <c r="N313" t="s">
        <v>784</v>
      </c>
      <c r="O313" t="s">
        <v>1593</v>
      </c>
      <c r="P313" t="s">
        <v>788</v>
      </c>
      <c r="Q313" t="s">
        <v>55</v>
      </c>
      <c r="R313">
        <v>2</v>
      </c>
      <c r="S313" s="15">
        <f>Table2[[#This Row],[movement_quantity]]/VLOOKUP(Table2[[#This Row],[product]],Ref[#All],5,FALSE)</f>
        <v>0.04</v>
      </c>
      <c r="T313">
        <v>49211.972889999997</v>
      </c>
      <c r="U313" t="s">
        <v>153</v>
      </c>
      <c r="V313" t="s">
        <v>22</v>
      </c>
      <c r="W313" t="s">
        <v>953</v>
      </c>
      <c r="X313" t="s">
        <v>954</v>
      </c>
      <c r="Y313" t="s">
        <v>17</v>
      </c>
      <c r="Z313">
        <v>0</v>
      </c>
      <c r="AA313" s="2">
        <v>98423.945779999995</v>
      </c>
      <c r="AB313" t="str">
        <f>VLOOKUP(Table2[[#This Row],[product]],Ref[#All],6,FALSE)</f>
        <v>BAG20</v>
      </c>
    </row>
    <row r="314" spans="1:28" x14ac:dyDescent="0.25">
      <c r="A314" t="str">
        <f>TEXT(Table2[[#This Row],[dated]],"mmm")</f>
        <v>May</v>
      </c>
      <c r="B314" t="s">
        <v>52</v>
      </c>
      <c r="C314" s="1" t="s">
        <v>2726</v>
      </c>
      <c r="D314" t="str">
        <f>VLOOKUP(Table2[[#This Row],[product]],Ref[#All],7,FALSE)</f>
        <v>Lentils</v>
      </c>
      <c r="E314" s="1" t="s">
        <v>39</v>
      </c>
      <c r="F314" t="str">
        <f>VLOOKUP(Table2[[#This Row],[product]],Ref[#All],2,FALSE)</f>
        <v>Lentil TAT 20KG</v>
      </c>
      <c r="G314" t="str">
        <f>VLOOKUP(Table2[[#This Row],[product]],Ref[#All],3,FALSE)</f>
        <v>Lentils</v>
      </c>
      <c r="H314" t="str">
        <f>VLOOKUP(Table2[[#This Row],[product]],Ref[#All],4,FALSE)</f>
        <v>Import</v>
      </c>
      <c r="I314" s="1">
        <v>45790</v>
      </c>
      <c r="J314" t="s">
        <v>127</v>
      </c>
      <c r="K314" t="s">
        <v>955</v>
      </c>
      <c r="L314" t="s">
        <v>1652</v>
      </c>
      <c r="M314" t="s">
        <v>1593</v>
      </c>
      <c r="N314" t="s">
        <v>784</v>
      </c>
      <c r="O314" t="s">
        <v>1593</v>
      </c>
      <c r="P314" t="s">
        <v>788</v>
      </c>
      <c r="Q314" t="s">
        <v>55</v>
      </c>
      <c r="R314">
        <v>4</v>
      </c>
      <c r="S314" s="15">
        <f>Table2[[#This Row],[movement_quantity]]/VLOOKUP(Table2[[#This Row],[product]],Ref[#All],5,FALSE)</f>
        <v>0.08</v>
      </c>
      <c r="T314">
        <v>49211.972889999997</v>
      </c>
      <c r="U314" t="s">
        <v>153</v>
      </c>
      <c r="V314" t="s">
        <v>23</v>
      </c>
      <c r="W314" t="s">
        <v>956</v>
      </c>
      <c r="X314" t="s">
        <v>957</v>
      </c>
      <c r="Y314" t="s">
        <v>17</v>
      </c>
      <c r="Z314">
        <v>0</v>
      </c>
      <c r="AA314" s="2">
        <v>196847.89155999999</v>
      </c>
      <c r="AB314" t="str">
        <f>VLOOKUP(Table2[[#This Row],[product]],Ref[#All],6,FALSE)</f>
        <v>BAG20</v>
      </c>
    </row>
    <row r="315" spans="1:28" x14ac:dyDescent="0.25">
      <c r="A315" t="str">
        <f>TEXT(Table2[[#This Row],[dated]],"mmm")</f>
        <v>May</v>
      </c>
      <c r="B315" t="s">
        <v>52</v>
      </c>
      <c r="C315" s="1" t="s">
        <v>2726</v>
      </c>
      <c r="D315" t="str">
        <f>VLOOKUP(Table2[[#This Row],[product]],Ref[#All],7,FALSE)</f>
        <v>Lentils</v>
      </c>
      <c r="E315" s="1" t="s">
        <v>39</v>
      </c>
      <c r="F315" t="str">
        <f>VLOOKUP(Table2[[#This Row],[product]],Ref[#All],2,FALSE)</f>
        <v>Lentil TAT 20KG</v>
      </c>
      <c r="G315" t="str">
        <f>VLOOKUP(Table2[[#This Row],[product]],Ref[#All],3,FALSE)</f>
        <v>Lentils</v>
      </c>
      <c r="H315" t="str">
        <f>VLOOKUP(Table2[[#This Row],[product]],Ref[#All],4,FALSE)</f>
        <v>Import</v>
      </c>
      <c r="I315" s="1">
        <v>45790</v>
      </c>
      <c r="J315" t="s">
        <v>127</v>
      </c>
      <c r="K315" t="s">
        <v>958</v>
      </c>
      <c r="L315" t="s">
        <v>1652</v>
      </c>
      <c r="M315" t="s">
        <v>1593</v>
      </c>
      <c r="N315" t="s">
        <v>784</v>
      </c>
      <c r="O315" t="s">
        <v>1593</v>
      </c>
      <c r="P315" t="s">
        <v>788</v>
      </c>
      <c r="Q315" t="s">
        <v>55</v>
      </c>
      <c r="R315">
        <v>2</v>
      </c>
      <c r="S315" s="15">
        <f>Table2[[#This Row],[movement_quantity]]/VLOOKUP(Table2[[#This Row],[product]],Ref[#All],5,FALSE)</f>
        <v>0.04</v>
      </c>
      <c r="T315">
        <v>49211.972889999997</v>
      </c>
      <c r="U315" t="s">
        <v>153</v>
      </c>
      <c r="V315" t="s">
        <v>24</v>
      </c>
      <c r="W315" t="s">
        <v>959</v>
      </c>
      <c r="X315" t="s">
        <v>960</v>
      </c>
      <c r="Y315" t="s">
        <v>17</v>
      </c>
      <c r="Z315">
        <v>0</v>
      </c>
      <c r="AA315" s="2">
        <v>98423.945779999995</v>
      </c>
      <c r="AB315" t="str">
        <f>VLOOKUP(Table2[[#This Row],[product]],Ref[#All],6,FALSE)</f>
        <v>BAG20</v>
      </c>
    </row>
    <row r="316" spans="1:28" x14ac:dyDescent="0.25">
      <c r="A316" t="str">
        <f>TEXT(Table2[[#This Row],[dated]],"mmm")</f>
        <v>May</v>
      </c>
      <c r="B316" t="s">
        <v>52</v>
      </c>
      <c r="C316" s="1" t="s">
        <v>2726</v>
      </c>
      <c r="D316" t="str">
        <f>VLOOKUP(Table2[[#This Row],[product]],Ref[#All],7,FALSE)</f>
        <v>Sugar</v>
      </c>
      <c r="E316" s="1" t="s">
        <v>16</v>
      </c>
      <c r="F316" t="str">
        <f>VLOOKUP(Table2[[#This Row],[product]],Ref[#All],2,FALSE)</f>
        <v>White Sugar</v>
      </c>
      <c r="G316" t="str">
        <f>VLOOKUP(Table2[[#This Row],[product]],Ref[#All],3,FALSE)</f>
        <v>White Sugar</v>
      </c>
      <c r="H316" t="str">
        <f>VLOOKUP(Table2[[#This Row],[product]],Ref[#All],4,FALSE)</f>
        <v>Import</v>
      </c>
      <c r="I316" s="1">
        <v>45790</v>
      </c>
      <c r="J316" t="s">
        <v>127</v>
      </c>
      <c r="K316" t="s">
        <v>961</v>
      </c>
      <c r="L316" t="s">
        <v>1652</v>
      </c>
      <c r="M316" t="s">
        <v>1593</v>
      </c>
      <c r="N316" t="s">
        <v>784</v>
      </c>
      <c r="O316" t="s">
        <v>1593</v>
      </c>
      <c r="P316" t="s">
        <v>788</v>
      </c>
      <c r="Q316" t="s">
        <v>55</v>
      </c>
      <c r="R316">
        <v>3</v>
      </c>
      <c r="S316" s="15">
        <f>Table2[[#This Row],[movement_quantity]]/VLOOKUP(Table2[[#This Row],[product]],Ref[#All],5,FALSE)</f>
        <v>0.15</v>
      </c>
      <c r="T316">
        <v>96566.186310000005</v>
      </c>
      <c r="U316" t="s">
        <v>153</v>
      </c>
      <c r="V316" t="s">
        <v>18</v>
      </c>
      <c r="W316" t="s">
        <v>962</v>
      </c>
      <c r="X316" t="s">
        <v>963</v>
      </c>
      <c r="Y316" t="s">
        <v>17</v>
      </c>
      <c r="Z316">
        <v>0</v>
      </c>
      <c r="AA316" s="2">
        <v>289698.55893</v>
      </c>
      <c r="AB316" t="str">
        <f>VLOOKUP(Table2[[#This Row],[product]],Ref[#All],6,FALSE)</f>
        <v>BAG50</v>
      </c>
    </row>
    <row r="317" spans="1:28" x14ac:dyDescent="0.25">
      <c r="A317" t="str">
        <f>TEXT(Table2[[#This Row],[dated]],"mmm")</f>
        <v>May</v>
      </c>
      <c r="B317" t="s">
        <v>15</v>
      </c>
      <c r="C317" s="1" t="s">
        <v>2726</v>
      </c>
      <c r="D317" t="str">
        <f>VLOOKUP(Table2[[#This Row],[product]],Ref[#All],7,FALSE)</f>
        <v>Lentils</v>
      </c>
      <c r="E317" s="1" t="s">
        <v>39</v>
      </c>
      <c r="F317" t="str">
        <f>VLOOKUP(Table2[[#This Row],[product]],Ref[#All],2,FALSE)</f>
        <v>Lentil TAT 20KG</v>
      </c>
      <c r="G317" t="str">
        <f>VLOOKUP(Table2[[#This Row],[product]],Ref[#All],3,FALSE)</f>
        <v>Lentils</v>
      </c>
      <c r="H317" t="str">
        <f>VLOOKUP(Table2[[#This Row],[product]],Ref[#All],4,FALSE)</f>
        <v>Import</v>
      </c>
      <c r="I317" s="1">
        <v>45790</v>
      </c>
      <c r="J317" t="s">
        <v>127</v>
      </c>
      <c r="K317" t="s">
        <v>964</v>
      </c>
      <c r="L317" t="s">
        <v>1652</v>
      </c>
      <c r="M317" t="s">
        <v>1593</v>
      </c>
      <c r="N317" t="s">
        <v>784</v>
      </c>
      <c r="O317" t="s">
        <v>1593</v>
      </c>
      <c r="P317" t="s">
        <v>788</v>
      </c>
      <c r="Q317" t="s">
        <v>55</v>
      </c>
      <c r="R317">
        <v>3</v>
      </c>
      <c r="S317" s="15">
        <f>Table2[[#This Row],[movement_quantity]]/VLOOKUP(Table2[[#This Row],[product]],Ref[#All],5,FALSE)</f>
        <v>0.06</v>
      </c>
      <c r="T317">
        <v>49211.972889999997</v>
      </c>
      <c r="U317" t="s">
        <v>965</v>
      </c>
      <c r="V317" t="s">
        <v>18</v>
      </c>
      <c r="W317" t="s">
        <v>966</v>
      </c>
      <c r="X317" t="s">
        <v>967</v>
      </c>
      <c r="Y317" t="s">
        <v>17</v>
      </c>
      <c r="Z317">
        <v>0</v>
      </c>
      <c r="AA317" s="2">
        <v>147635.91866999998</v>
      </c>
      <c r="AB317" t="str">
        <f>VLOOKUP(Table2[[#This Row],[product]],Ref[#All],6,FALSE)</f>
        <v>BAG20</v>
      </c>
    </row>
    <row r="318" spans="1:28" x14ac:dyDescent="0.25">
      <c r="A318" t="str">
        <f>TEXT(Table2[[#This Row],[dated]],"mmm")</f>
        <v>May</v>
      </c>
      <c r="B318" t="s">
        <v>15</v>
      </c>
      <c r="C318" s="1" t="s">
        <v>2726</v>
      </c>
      <c r="D318" t="str">
        <f>VLOOKUP(Table2[[#This Row],[product]],Ref[#All],7,FALSE)</f>
        <v>Sugar</v>
      </c>
      <c r="E318" s="1" t="s">
        <v>16</v>
      </c>
      <c r="F318" t="str">
        <f>VLOOKUP(Table2[[#This Row],[product]],Ref[#All],2,FALSE)</f>
        <v>White Sugar</v>
      </c>
      <c r="G318" t="str">
        <f>VLOOKUP(Table2[[#This Row],[product]],Ref[#All],3,FALSE)</f>
        <v>White Sugar</v>
      </c>
      <c r="H318" t="str">
        <f>VLOOKUP(Table2[[#This Row],[product]],Ref[#All],4,FALSE)</f>
        <v>Import</v>
      </c>
      <c r="I318" s="1">
        <v>45790</v>
      </c>
      <c r="J318" t="s">
        <v>127</v>
      </c>
      <c r="K318" t="s">
        <v>968</v>
      </c>
      <c r="L318" t="s">
        <v>1652</v>
      </c>
      <c r="M318" t="s">
        <v>1593</v>
      </c>
      <c r="N318" t="s">
        <v>784</v>
      </c>
      <c r="O318" t="s">
        <v>1593</v>
      </c>
      <c r="P318" t="s">
        <v>788</v>
      </c>
      <c r="Q318" t="s">
        <v>55</v>
      </c>
      <c r="R318">
        <v>1</v>
      </c>
      <c r="S318" s="15">
        <f>Table2[[#This Row],[movement_quantity]]/VLOOKUP(Table2[[#This Row],[product]],Ref[#All],5,FALSE)</f>
        <v>0.05</v>
      </c>
      <c r="T318">
        <v>96566.186310000005</v>
      </c>
      <c r="U318" t="s">
        <v>965</v>
      </c>
      <c r="V318" t="s">
        <v>18</v>
      </c>
      <c r="W318" t="s">
        <v>969</v>
      </c>
      <c r="X318" t="s">
        <v>970</v>
      </c>
      <c r="Y318" t="s">
        <v>17</v>
      </c>
      <c r="Z318">
        <v>0</v>
      </c>
      <c r="AA318" s="2">
        <v>96566.186310000005</v>
      </c>
      <c r="AB318" t="str">
        <f>VLOOKUP(Table2[[#This Row],[product]],Ref[#All],6,FALSE)</f>
        <v>BAG50</v>
      </c>
    </row>
    <row r="319" spans="1:28" x14ac:dyDescent="0.25">
      <c r="A319" t="str">
        <f>TEXT(Table2[[#This Row],[dated]],"mmm")</f>
        <v>May</v>
      </c>
      <c r="B319" t="s">
        <v>46</v>
      </c>
      <c r="C319" s="1" t="s">
        <v>2726</v>
      </c>
      <c r="D319" t="str">
        <f>VLOOKUP(Table2[[#This Row],[product]],Ref[#All],7,FALSE)</f>
        <v>Flour</v>
      </c>
      <c r="E319" s="1" t="s">
        <v>42</v>
      </c>
      <c r="F319" t="str">
        <f>VLOOKUP(Table2[[#This Row],[product]],Ref[#All],2,FALSE)</f>
        <v>Alnajm Flour from Mill 25KG</v>
      </c>
      <c r="G319" t="str">
        <f>VLOOKUP(Table2[[#This Row],[product]],Ref[#All],3,FALSE)</f>
        <v>Flour Al-Nagm (Mill)</v>
      </c>
      <c r="H319" t="str">
        <f>VLOOKUP(Table2[[#This Row],[product]],Ref[#All],4,FALSE)</f>
        <v>Import</v>
      </c>
      <c r="I319" s="1">
        <v>45790</v>
      </c>
      <c r="J319" t="s">
        <v>127</v>
      </c>
      <c r="K319" t="s">
        <v>971</v>
      </c>
      <c r="L319" t="s">
        <v>1652</v>
      </c>
      <c r="M319" t="s">
        <v>1593</v>
      </c>
      <c r="N319" t="s">
        <v>784</v>
      </c>
      <c r="O319" t="s">
        <v>1593</v>
      </c>
      <c r="P319" t="s">
        <v>788</v>
      </c>
      <c r="Q319" t="s">
        <v>55</v>
      </c>
      <c r="R319">
        <v>1</v>
      </c>
      <c r="S319" s="15">
        <f>Table2[[#This Row],[movement_quantity]]/VLOOKUP(Table2[[#This Row],[product]],Ref[#All],5,FALSE)</f>
        <v>2.5000000000000001E-2</v>
      </c>
      <c r="T319">
        <v>31301.811430000002</v>
      </c>
      <c r="U319" t="s">
        <v>555</v>
      </c>
      <c r="V319" t="s">
        <v>18</v>
      </c>
      <c r="W319" t="s">
        <v>972</v>
      </c>
      <c r="X319" t="s">
        <v>973</v>
      </c>
      <c r="Y319" t="s">
        <v>17</v>
      </c>
      <c r="Z319">
        <v>0</v>
      </c>
      <c r="AA319" s="2">
        <v>31301.811430000002</v>
      </c>
      <c r="AB319" t="str">
        <f>VLOOKUP(Table2[[#This Row],[product]],Ref[#All],6,FALSE)</f>
        <v>BAG25</v>
      </c>
    </row>
    <row r="320" spans="1:28" x14ac:dyDescent="0.25">
      <c r="A320" t="str">
        <f>TEXT(Table2[[#This Row],[dated]],"mmm")</f>
        <v>May</v>
      </c>
      <c r="B320" t="s">
        <v>46</v>
      </c>
      <c r="C320" s="1" t="s">
        <v>2726</v>
      </c>
      <c r="D320" t="str">
        <f>VLOOKUP(Table2[[#This Row],[product]],Ref[#All],7,FALSE)</f>
        <v>Flour</v>
      </c>
      <c r="E320" s="1" t="s">
        <v>36</v>
      </c>
      <c r="F320" t="str">
        <f>VLOOKUP(Table2[[#This Row],[product]],Ref[#All],2,FALSE)</f>
        <v>Flour Import Elngm 25Kg</v>
      </c>
      <c r="G320" t="str">
        <f>VLOOKUP(Table2[[#This Row],[product]],Ref[#All],3,FALSE)</f>
        <v>Flour Al-Nagm (Imported)</v>
      </c>
      <c r="H320" t="str">
        <f>VLOOKUP(Table2[[#This Row],[product]],Ref[#All],4,FALSE)</f>
        <v>Import</v>
      </c>
      <c r="I320" s="1">
        <v>45790</v>
      </c>
      <c r="J320" t="s">
        <v>127</v>
      </c>
      <c r="K320" t="s">
        <v>974</v>
      </c>
      <c r="L320" t="s">
        <v>1652</v>
      </c>
      <c r="M320" t="s">
        <v>1593</v>
      </c>
      <c r="N320" t="s">
        <v>784</v>
      </c>
      <c r="O320" t="s">
        <v>1593</v>
      </c>
      <c r="P320" t="s">
        <v>788</v>
      </c>
      <c r="Q320" t="s">
        <v>55</v>
      </c>
      <c r="R320">
        <v>2</v>
      </c>
      <c r="S320" s="15">
        <f>Table2[[#This Row],[movement_quantity]]/VLOOKUP(Table2[[#This Row],[product]],Ref[#All],5,FALSE)</f>
        <v>0.05</v>
      </c>
      <c r="T320">
        <v>31301.811430000002</v>
      </c>
      <c r="U320" t="s">
        <v>555</v>
      </c>
      <c r="V320" t="s">
        <v>18</v>
      </c>
      <c r="W320" t="s">
        <v>975</v>
      </c>
      <c r="X320" t="s">
        <v>976</v>
      </c>
      <c r="Y320" t="s">
        <v>17</v>
      </c>
      <c r="Z320">
        <v>0</v>
      </c>
      <c r="AA320" s="2">
        <v>62603.622860000003</v>
      </c>
      <c r="AB320" t="str">
        <f>VLOOKUP(Table2[[#This Row],[product]],Ref[#All],6,FALSE)</f>
        <v>BAG25</v>
      </c>
    </row>
    <row r="321" spans="1:28" x14ac:dyDescent="0.25">
      <c r="A321" t="str">
        <f>TEXT(Table2[[#This Row],[dated]],"mmm")</f>
        <v>May</v>
      </c>
      <c r="B321" t="s">
        <v>52</v>
      </c>
      <c r="C321" s="1" t="s">
        <v>2726</v>
      </c>
      <c r="D321" t="str">
        <f>VLOOKUP(Table2[[#This Row],[product]],Ref[#All],7,FALSE)</f>
        <v>Flour</v>
      </c>
      <c r="E321" s="1" t="s">
        <v>36</v>
      </c>
      <c r="F321" t="str">
        <f>VLOOKUP(Table2[[#This Row],[product]],Ref[#All],2,FALSE)</f>
        <v>Flour Import Elngm 25Kg</v>
      </c>
      <c r="G321" t="str">
        <f>VLOOKUP(Table2[[#This Row],[product]],Ref[#All],3,FALSE)</f>
        <v>Flour Al-Nagm (Imported)</v>
      </c>
      <c r="H321" t="str">
        <f>VLOOKUP(Table2[[#This Row],[product]],Ref[#All],4,FALSE)</f>
        <v>Import</v>
      </c>
      <c r="I321" s="1">
        <v>45796</v>
      </c>
      <c r="J321" t="s">
        <v>127</v>
      </c>
      <c r="K321" t="s">
        <v>1153</v>
      </c>
      <c r="L321" t="s">
        <v>1652</v>
      </c>
      <c r="M321" t="s">
        <v>1593</v>
      </c>
      <c r="N321" t="s">
        <v>784</v>
      </c>
      <c r="O321" t="s">
        <v>1593</v>
      </c>
      <c r="P321" t="s">
        <v>788</v>
      </c>
      <c r="Q321" t="s">
        <v>55</v>
      </c>
      <c r="R321">
        <v>1</v>
      </c>
      <c r="S321" s="15">
        <f>Table2[[#This Row],[movement_quantity]]/VLOOKUP(Table2[[#This Row],[product]],Ref[#All],5,FALSE)</f>
        <v>2.5000000000000001E-2</v>
      </c>
      <c r="T321">
        <v>31301.811430000002</v>
      </c>
      <c r="U321" t="s">
        <v>153</v>
      </c>
      <c r="V321" t="s">
        <v>18</v>
      </c>
      <c r="W321" t="s">
        <v>1154</v>
      </c>
      <c r="X321" t="s">
        <v>1155</v>
      </c>
      <c r="Y321" t="s">
        <v>17</v>
      </c>
      <c r="Z321" s="2">
        <v>0</v>
      </c>
      <c r="AA321" s="2">
        <v>31301.811430000002</v>
      </c>
      <c r="AB321" t="str">
        <f>VLOOKUP(Table2[[#This Row],[product]],Ref[#All],6,FALSE)</f>
        <v>BAG25</v>
      </c>
    </row>
    <row r="322" spans="1:28" x14ac:dyDescent="0.25">
      <c r="A322" t="str">
        <f>TEXT(Table2[[#This Row],[dated]],"mmm")</f>
        <v>May</v>
      </c>
      <c r="B322" t="s">
        <v>52</v>
      </c>
      <c r="C322" s="1" t="s">
        <v>2726</v>
      </c>
      <c r="D322" t="str">
        <f>VLOOKUP(Table2[[#This Row],[product]],Ref[#All],7,FALSE)</f>
        <v>Sugar</v>
      </c>
      <c r="E322" s="1" t="s">
        <v>72</v>
      </c>
      <c r="F322" t="str">
        <f>VLOOKUP(Table2[[#This Row],[product]],Ref[#All],2,FALSE)</f>
        <v>White Sugar</v>
      </c>
      <c r="G322" t="str">
        <f>VLOOKUP(Table2[[#This Row],[product]],Ref[#All],3,FALSE)</f>
        <v>White Sugar</v>
      </c>
      <c r="H322" t="str">
        <f>VLOOKUP(Table2[[#This Row],[product]],Ref[#All],4,FALSE)</f>
        <v>Import</v>
      </c>
      <c r="I322" s="1">
        <v>45804</v>
      </c>
      <c r="J322" t="s">
        <v>127</v>
      </c>
      <c r="K322" t="s">
        <v>1284</v>
      </c>
      <c r="L322" t="s">
        <v>1652</v>
      </c>
      <c r="M322" t="s">
        <v>1593</v>
      </c>
      <c r="N322" t="s">
        <v>784</v>
      </c>
      <c r="O322" t="s">
        <v>1593</v>
      </c>
      <c r="P322" t="s">
        <v>788</v>
      </c>
      <c r="Q322" t="s">
        <v>55</v>
      </c>
      <c r="R322">
        <v>2</v>
      </c>
      <c r="S322" s="15">
        <f>Table2[[#This Row],[movement_quantity]]/VLOOKUP(Table2[[#This Row],[product]],Ref[#All],5,FALSE)</f>
        <v>0.1</v>
      </c>
      <c r="T322">
        <v>96566.186310000005</v>
      </c>
      <c r="U322" t="s">
        <v>153</v>
      </c>
      <c r="V322" t="s">
        <v>18</v>
      </c>
      <c r="W322" t="s">
        <v>1285</v>
      </c>
      <c r="X322" t="s">
        <v>1286</v>
      </c>
      <c r="Y322" t="s">
        <v>17</v>
      </c>
      <c r="Z322" s="2">
        <v>0</v>
      </c>
      <c r="AA322" s="2">
        <v>193132.37262000001</v>
      </c>
      <c r="AB322" t="str">
        <f>VLOOKUP(Table2[[#This Row],[product]],Ref[#All],6,FALSE)</f>
        <v>BAG50</v>
      </c>
    </row>
    <row r="323" spans="1:28" x14ac:dyDescent="0.25">
      <c r="A323" t="str">
        <f>TEXT(Table2[[#This Row],[dated]],"mmm")</f>
        <v>Jun</v>
      </c>
      <c r="B323" t="s">
        <v>96</v>
      </c>
      <c r="C323" s="1" t="s">
        <v>2726</v>
      </c>
      <c r="D323" t="str">
        <f>VLOOKUP(Table2[[#This Row],[product]],Ref[#All],7,FALSE)</f>
        <v>Flour</v>
      </c>
      <c r="E323" s="1" t="s">
        <v>36</v>
      </c>
      <c r="F323" t="str">
        <f>VLOOKUP(Table2[[#This Row],[product]],Ref[#All],2,FALSE)</f>
        <v>Flour Import Elngm 25Kg</v>
      </c>
      <c r="G323" t="str">
        <f>VLOOKUP(Table2[[#This Row],[product]],Ref[#All],3,FALSE)</f>
        <v>Flour Al-Nagm (Imported)</v>
      </c>
      <c r="H323" t="str">
        <f>VLOOKUP(Table2[[#This Row],[product]],Ref[#All],4,FALSE)</f>
        <v>Import</v>
      </c>
      <c r="I323" s="1">
        <v>45823</v>
      </c>
      <c r="J323" t="s">
        <v>127</v>
      </c>
      <c r="K323" t="s">
        <v>1387</v>
      </c>
      <c r="L323" t="s">
        <v>1652</v>
      </c>
      <c r="M323" t="s">
        <v>1593</v>
      </c>
      <c r="N323" t="s">
        <v>784</v>
      </c>
      <c r="O323" t="s">
        <v>1593</v>
      </c>
      <c r="P323" t="s">
        <v>788</v>
      </c>
      <c r="Q323" t="s">
        <v>55</v>
      </c>
      <c r="R323">
        <v>1</v>
      </c>
      <c r="S323" s="15">
        <f>Table2[[#This Row],[movement_quantity]]/VLOOKUP(Table2[[#This Row],[product]],Ref[#All],5,FALSE)</f>
        <v>2.5000000000000001E-2</v>
      </c>
      <c r="T323">
        <v>24758.555840000001</v>
      </c>
      <c r="U323" t="s">
        <v>143</v>
      </c>
      <c r="V323" t="s">
        <v>22</v>
      </c>
      <c r="W323" t="s">
        <v>1388</v>
      </c>
      <c r="X323" t="s">
        <v>1389</v>
      </c>
      <c r="Y323" t="s">
        <v>17</v>
      </c>
      <c r="Z323" s="2">
        <v>0</v>
      </c>
      <c r="AA323" s="2">
        <v>24758.555840000001</v>
      </c>
      <c r="AB323" t="str">
        <f>VLOOKUP(Table2[[#This Row],[product]],Ref[#All],6,FALSE)</f>
        <v>BAG25</v>
      </c>
    </row>
    <row r="324" spans="1:28" x14ac:dyDescent="0.25">
      <c r="A324" t="str">
        <f>TEXT(Table2[[#This Row],[dated]],"mmm")</f>
        <v>Jun</v>
      </c>
      <c r="B324" t="s">
        <v>96</v>
      </c>
      <c r="C324" s="1" t="s">
        <v>2726</v>
      </c>
      <c r="D324" t="str">
        <f>VLOOKUP(Table2[[#This Row],[product]],Ref[#All],7,FALSE)</f>
        <v>Flour</v>
      </c>
      <c r="E324" s="1" t="s">
        <v>36</v>
      </c>
      <c r="F324" t="str">
        <f>VLOOKUP(Table2[[#This Row],[product]],Ref[#All],2,FALSE)</f>
        <v>Flour Import Elngm 25Kg</v>
      </c>
      <c r="G324" t="str">
        <f>VLOOKUP(Table2[[#This Row],[product]],Ref[#All],3,FALSE)</f>
        <v>Flour Al-Nagm (Imported)</v>
      </c>
      <c r="H324" t="str">
        <f>VLOOKUP(Table2[[#This Row],[product]],Ref[#All],4,FALSE)</f>
        <v>Import</v>
      </c>
      <c r="I324" s="1">
        <v>45823</v>
      </c>
      <c r="J324" t="s">
        <v>127</v>
      </c>
      <c r="K324" t="s">
        <v>1390</v>
      </c>
      <c r="L324" t="s">
        <v>1652</v>
      </c>
      <c r="M324" t="s">
        <v>1593</v>
      </c>
      <c r="N324" t="s">
        <v>784</v>
      </c>
      <c r="O324" t="s">
        <v>1593</v>
      </c>
      <c r="P324" t="s">
        <v>788</v>
      </c>
      <c r="Q324" t="s">
        <v>55</v>
      </c>
      <c r="R324">
        <v>2</v>
      </c>
      <c r="S324" s="15">
        <f>Table2[[#This Row],[movement_quantity]]/VLOOKUP(Table2[[#This Row],[product]],Ref[#All],5,FALSE)</f>
        <v>0.05</v>
      </c>
      <c r="T324">
        <v>24758.555840000001</v>
      </c>
      <c r="U324" t="s">
        <v>143</v>
      </c>
      <c r="V324" t="s">
        <v>23</v>
      </c>
      <c r="W324" t="s">
        <v>1391</v>
      </c>
      <c r="X324" t="s">
        <v>1392</v>
      </c>
      <c r="Y324" t="s">
        <v>17</v>
      </c>
      <c r="Z324" s="2">
        <v>0</v>
      </c>
      <c r="AA324" s="2">
        <v>49517.111680000002</v>
      </c>
      <c r="AB324" t="str">
        <f>VLOOKUP(Table2[[#This Row],[product]],Ref[#All],6,FALSE)</f>
        <v>BAG25</v>
      </c>
    </row>
    <row r="325" spans="1:28" x14ac:dyDescent="0.25">
      <c r="A325" t="str">
        <f>TEXT(Table2[[#This Row],[dated]],"mmm")</f>
        <v>May</v>
      </c>
      <c r="B325" t="s">
        <v>15</v>
      </c>
      <c r="C325" s="1" t="s">
        <v>2726</v>
      </c>
      <c r="D325" t="str">
        <f>VLOOKUP(Table2[[#This Row],[product]],Ref[#All],7,FALSE)</f>
        <v>Sugar</v>
      </c>
      <c r="E325" s="1" t="s">
        <v>72</v>
      </c>
      <c r="F325" t="str">
        <f>VLOOKUP(Table2[[#This Row],[product]],Ref[#All],2,FALSE)</f>
        <v>White Sugar</v>
      </c>
      <c r="G325" t="str">
        <f>VLOOKUP(Table2[[#This Row],[product]],Ref[#All],3,FALSE)</f>
        <v>White Sugar</v>
      </c>
      <c r="H325" t="str">
        <f>VLOOKUP(Table2[[#This Row],[product]],Ref[#All],4,FALSE)</f>
        <v>Import</v>
      </c>
      <c r="I325" s="1">
        <v>45796</v>
      </c>
      <c r="J325" t="s">
        <v>127</v>
      </c>
      <c r="K325" t="s">
        <v>1408</v>
      </c>
      <c r="L325" t="s">
        <v>1652</v>
      </c>
      <c r="M325" t="s">
        <v>1593</v>
      </c>
      <c r="N325" t="s">
        <v>784</v>
      </c>
      <c r="O325" t="s">
        <v>1593</v>
      </c>
      <c r="P325" t="s">
        <v>788</v>
      </c>
      <c r="Q325" t="s">
        <v>55</v>
      </c>
      <c r="R325">
        <v>2</v>
      </c>
      <c r="S325" s="15">
        <f>Table2[[#This Row],[movement_quantity]]/VLOOKUP(Table2[[#This Row],[product]],Ref[#All],5,FALSE)</f>
        <v>0.1</v>
      </c>
      <c r="T325">
        <v>96566.186310000005</v>
      </c>
      <c r="U325" t="s">
        <v>965</v>
      </c>
      <c r="V325" t="s">
        <v>23</v>
      </c>
      <c r="W325" t="s">
        <v>1409</v>
      </c>
      <c r="X325" t="s">
        <v>1410</v>
      </c>
      <c r="Y325" t="s">
        <v>17</v>
      </c>
      <c r="Z325" s="2">
        <v>0</v>
      </c>
      <c r="AA325" s="2">
        <v>193132.37262000001</v>
      </c>
      <c r="AB325" t="str">
        <f>VLOOKUP(Table2[[#This Row],[product]],Ref[#All],6,FALSE)</f>
        <v>BAG50</v>
      </c>
    </row>
    <row r="326" spans="1:28" x14ac:dyDescent="0.25">
      <c r="A326" t="str">
        <f>TEXT(Table2[[#This Row],[dated]],"mmm")</f>
        <v>May</v>
      </c>
      <c r="B326" t="s">
        <v>15</v>
      </c>
      <c r="C326" s="1" t="s">
        <v>2726</v>
      </c>
      <c r="D326" t="str">
        <f>VLOOKUP(Table2[[#This Row],[product]],Ref[#All],7,FALSE)</f>
        <v>Sugar</v>
      </c>
      <c r="E326" s="1" t="s">
        <v>72</v>
      </c>
      <c r="F326" t="str">
        <f>VLOOKUP(Table2[[#This Row],[product]],Ref[#All],2,FALSE)</f>
        <v>White Sugar</v>
      </c>
      <c r="G326" t="str">
        <f>VLOOKUP(Table2[[#This Row],[product]],Ref[#All],3,FALSE)</f>
        <v>White Sugar</v>
      </c>
      <c r="H326" t="str">
        <f>VLOOKUP(Table2[[#This Row],[product]],Ref[#All],4,FALSE)</f>
        <v>Import</v>
      </c>
      <c r="I326" s="1">
        <v>45796</v>
      </c>
      <c r="J326" t="s">
        <v>127</v>
      </c>
      <c r="K326" t="s">
        <v>1411</v>
      </c>
      <c r="L326" t="s">
        <v>1652</v>
      </c>
      <c r="M326" t="s">
        <v>1593</v>
      </c>
      <c r="N326" t="s">
        <v>784</v>
      </c>
      <c r="O326" t="s">
        <v>1593</v>
      </c>
      <c r="P326" t="s">
        <v>788</v>
      </c>
      <c r="Q326" t="s">
        <v>55</v>
      </c>
      <c r="R326">
        <v>2</v>
      </c>
      <c r="S326" s="15">
        <f>Table2[[#This Row],[movement_quantity]]/VLOOKUP(Table2[[#This Row],[product]],Ref[#All],5,FALSE)</f>
        <v>0.1</v>
      </c>
      <c r="T326">
        <v>96566.186310000005</v>
      </c>
      <c r="U326" t="s">
        <v>965</v>
      </c>
      <c r="V326" t="s">
        <v>24</v>
      </c>
      <c r="W326" t="s">
        <v>1412</v>
      </c>
      <c r="X326" t="s">
        <v>1413</v>
      </c>
      <c r="Y326" t="s">
        <v>17</v>
      </c>
      <c r="Z326" s="2">
        <v>0</v>
      </c>
      <c r="AA326" s="2">
        <v>193132.37262000001</v>
      </c>
      <c r="AB326" t="str">
        <f>VLOOKUP(Table2[[#This Row],[product]],Ref[#All],6,FALSE)</f>
        <v>BAG50</v>
      </c>
    </row>
    <row r="327" spans="1:28" x14ac:dyDescent="0.25">
      <c r="A327" t="str">
        <f>TEXT(Table2[[#This Row],[dated]],"mmm")</f>
        <v>May</v>
      </c>
      <c r="B327" t="s">
        <v>15</v>
      </c>
      <c r="C327" s="1" t="s">
        <v>2726</v>
      </c>
      <c r="D327" t="str">
        <f>VLOOKUP(Table2[[#This Row],[product]],Ref[#All],7,FALSE)</f>
        <v>Sugar</v>
      </c>
      <c r="E327" s="1" t="s">
        <v>16</v>
      </c>
      <c r="F327" t="str">
        <f>VLOOKUP(Table2[[#This Row],[product]],Ref[#All],2,FALSE)</f>
        <v>White Sugar</v>
      </c>
      <c r="G327" t="str">
        <f>VLOOKUP(Table2[[#This Row],[product]],Ref[#All],3,FALSE)</f>
        <v>White Sugar</v>
      </c>
      <c r="H327" t="str">
        <f>VLOOKUP(Table2[[#This Row],[product]],Ref[#All],4,FALSE)</f>
        <v>Import</v>
      </c>
      <c r="I327" s="1">
        <v>45796</v>
      </c>
      <c r="J327" t="s">
        <v>127</v>
      </c>
      <c r="K327" t="s">
        <v>1414</v>
      </c>
      <c r="L327" t="s">
        <v>1652</v>
      </c>
      <c r="M327" t="s">
        <v>1593</v>
      </c>
      <c r="N327" t="s">
        <v>784</v>
      </c>
      <c r="O327" t="s">
        <v>1593</v>
      </c>
      <c r="P327" t="s">
        <v>788</v>
      </c>
      <c r="Q327" t="s">
        <v>55</v>
      </c>
      <c r="R327">
        <v>1</v>
      </c>
      <c r="S327" s="15">
        <f>Table2[[#This Row],[movement_quantity]]/VLOOKUP(Table2[[#This Row],[product]],Ref[#All],5,FALSE)</f>
        <v>0.05</v>
      </c>
      <c r="T327">
        <v>96566.186310000005</v>
      </c>
      <c r="U327" t="s">
        <v>965</v>
      </c>
      <c r="V327" t="s">
        <v>18</v>
      </c>
      <c r="W327" t="s">
        <v>1415</v>
      </c>
      <c r="X327" t="s">
        <v>1416</v>
      </c>
      <c r="Y327" t="s">
        <v>17</v>
      </c>
      <c r="Z327" s="2">
        <v>0</v>
      </c>
      <c r="AA327" s="2">
        <v>96566.186310000005</v>
      </c>
      <c r="AB327" t="str">
        <f>VLOOKUP(Table2[[#This Row],[product]],Ref[#All],6,FALSE)</f>
        <v>BAG50</v>
      </c>
    </row>
    <row r="328" spans="1:28" x14ac:dyDescent="0.25">
      <c r="A328" t="str">
        <f>TEXT(Table2[[#This Row],[dated]],"mmm")</f>
        <v>May</v>
      </c>
      <c r="B328" t="s">
        <v>596</v>
      </c>
      <c r="C328" s="1" t="s">
        <v>2726</v>
      </c>
      <c r="D328" t="str">
        <f>VLOOKUP(Table2[[#This Row],[product]],Ref[#All],7,FALSE)</f>
        <v>Flour</v>
      </c>
      <c r="E328" s="1" t="s">
        <v>36</v>
      </c>
      <c r="F328" t="str">
        <f>VLOOKUP(Table2[[#This Row],[product]],Ref[#All],2,FALSE)</f>
        <v>Flour Import Elngm 25Kg</v>
      </c>
      <c r="G328" t="str">
        <f>VLOOKUP(Table2[[#This Row],[product]],Ref[#All],3,FALSE)</f>
        <v>Flour Al-Nagm (Imported)</v>
      </c>
      <c r="H328" t="str">
        <f>VLOOKUP(Table2[[#This Row],[product]],Ref[#All],4,FALSE)</f>
        <v>Import</v>
      </c>
      <c r="I328" s="1">
        <v>45796</v>
      </c>
      <c r="J328" t="s">
        <v>127</v>
      </c>
      <c r="K328" t="s">
        <v>1419</v>
      </c>
      <c r="L328" t="s">
        <v>1652</v>
      </c>
      <c r="M328" t="s">
        <v>1593</v>
      </c>
      <c r="N328" t="s">
        <v>784</v>
      </c>
      <c r="O328" t="s">
        <v>1593</v>
      </c>
      <c r="P328" t="s">
        <v>788</v>
      </c>
      <c r="Q328" t="s">
        <v>55</v>
      </c>
      <c r="R328">
        <v>11</v>
      </c>
      <c r="S328" s="15">
        <f>Table2[[#This Row],[movement_quantity]]/VLOOKUP(Table2[[#This Row],[product]],Ref[#All],5,FALSE)</f>
        <v>0.27500000000000002</v>
      </c>
      <c r="T328">
        <v>31301.811430000002</v>
      </c>
      <c r="U328" t="s">
        <v>1420</v>
      </c>
      <c r="V328" t="s">
        <v>25</v>
      </c>
      <c r="W328" t="s">
        <v>1421</v>
      </c>
      <c r="X328" t="s">
        <v>1422</v>
      </c>
      <c r="Y328" t="s">
        <v>17</v>
      </c>
      <c r="Z328" s="2">
        <v>0</v>
      </c>
      <c r="AA328" s="2">
        <v>344319.92573000002</v>
      </c>
      <c r="AB328" t="str">
        <f>VLOOKUP(Table2[[#This Row],[product]],Ref[#All],6,FALSE)</f>
        <v>BAG25</v>
      </c>
    </row>
    <row r="329" spans="1:28" x14ac:dyDescent="0.25">
      <c r="A329" t="str">
        <f>TEXT(Table2[[#This Row],[dated]],"mmm")</f>
        <v>Jun</v>
      </c>
      <c r="B329" t="s">
        <v>52</v>
      </c>
      <c r="C329" s="1" t="s">
        <v>2726</v>
      </c>
      <c r="D329" t="str">
        <f>VLOOKUP(Table2[[#This Row],[product]],Ref[#All],7,FALSE)</f>
        <v>Flour</v>
      </c>
      <c r="E329" s="1" t="s">
        <v>36</v>
      </c>
      <c r="F329" t="str">
        <f>VLOOKUP(Table2[[#This Row],[product]],Ref[#All],2,FALSE)</f>
        <v>Flour Import Elngm 25Kg</v>
      </c>
      <c r="G329" t="str">
        <f>VLOOKUP(Table2[[#This Row],[product]],Ref[#All],3,FALSE)</f>
        <v>Flour Al-Nagm (Imported)</v>
      </c>
      <c r="H329" t="str">
        <f>VLOOKUP(Table2[[#This Row],[product]],Ref[#All],4,FALSE)</f>
        <v>Import</v>
      </c>
      <c r="I329" s="1">
        <v>45833</v>
      </c>
      <c r="J329" t="s">
        <v>127</v>
      </c>
      <c r="K329" t="s">
        <v>1746</v>
      </c>
      <c r="L329" t="s">
        <v>1652</v>
      </c>
      <c r="M329" t="s">
        <v>1593</v>
      </c>
      <c r="N329" t="s">
        <v>784</v>
      </c>
      <c r="O329" t="s">
        <v>1593</v>
      </c>
      <c r="P329" t="s">
        <v>788</v>
      </c>
      <c r="Q329" t="s">
        <v>55</v>
      </c>
      <c r="R329">
        <v>6</v>
      </c>
      <c r="S329" s="15">
        <f>Table2[[#This Row],[movement_quantity]]/VLOOKUP(Table2[[#This Row],[product]],Ref[#All],5,FALSE)</f>
        <v>0.15</v>
      </c>
      <c r="T329">
        <v>24758.555840000001</v>
      </c>
      <c r="U329" t="s">
        <v>153</v>
      </c>
      <c r="V329" t="s">
        <v>22</v>
      </c>
      <c r="W329" t="s">
        <v>1747</v>
      </c>
      <c r="X329" t="s">
        <v>1748</v>
      </c>
      <c r="Y329" s="2" t="s">
        <v>17</v>
      </c>
      <c r="Z329">
        <v>0</v>
      </c>
      <c r="AA329" s="2">
        <v>148551.33504000001</v>
      </c>
      <c r="AB329" t="str">
        <f>VLOOKUP(Table2[[#This Row],[product]],Ref[#All],6,FALSE)</f>
        <v>BAG25</v>
      </c>
    </row>
    <row r="330" spans="1:28" x14ac:dyDescent="0.25">
      <c r="A330" t="str">
        <f>TEXT(Table2[[#This Row],[dated]],"mmm")</f>
        <v>Jun</v>
      </c>
      <c r="B330" t="s">
        <v>46</v>
      </c>
      <c r="C330" s="1" t="s">
        <v>2726</v>
      </c>
      <c r="D330" t="str">
        <f>VLOOKUP(Table2[[#This Row],[product]],Ref[#All],7,FALSE)</f>
        <v>Flour</v>
      </c>
      <c r="E330" s="1" t="s">
        <v>36</v>
      </c>
      <c r="F330" t="str">
        <f>VLOOKUP(Table2[[#This Row],[product]],Ref[#All],2,FALSE)</f>
        <v>Flour Import Elngm 25Kg</v>
      </c>
      <c r="G330" t="str">
        <f>VLOOKUP(Table2[[#This Row],[product]],Ref[#All],3,FALSE)</f>
        <v>Flour Al-Nagm (Imported)</v>
      </c>
      <c r="H330" t="str">
        <f>VLOOKUP(Table2[[#This Row],[product]],Ref[#All],4,FALSE)</f>
        <v>Import</v>
      </c>
      <c r="I330" s="1">
        <v>45833</v>
      </c>
      <c r="J330" t="s">
        <v>127</v>
      </c>
      <c r="K330" t="s">
        <v>1838</v>
      </c>
      <c r="L330" t="s">
        <v>1652</v>
      </c>
      <c r="M330" t="s">
        <v>1593</v>
      </c>
      <c r="N330" t="s">
        <v>784</v>
      </c>
      <c r="O330" t="s">
        <v>1593</v>
      </c>
      <c r="P330" t="s">
        <v>788</v>
      </c>
      <c r="Q330" t="s">
        <v>55</v>
      </c>
      <c r="R330">
        <v>1</v>
      </c>
      <c r="S330" s="15">
        <f>Table2[[#This Row],[movement_quantity]]/VLOOKUP(Table2[[#This Row],[product]],Ref[#All],5,FALSE)</f>
        <v>2.5000000000000001E-2</v>
      </c>
      <c r="T330">
        <v>24758.555840000001</v>
      </c>
      <c r="U330" t="s">
        <v>555</v>
      </c>
      <c r="V330" t="s">
        <v>1355</v>
      </c>
      <c r="W330" t="s">
        <v>1839</v>
      </c>
      <c r="X330" t="s">
        <v>1840</v>
      </c>
      <c r="Y330" s="2" t="s">
        <v>17</v>
      </c>
      <c r="Z330">
        <v>0</v>
      </c>
      <c r="AA330" s="2">
        <v>24758.555840000001</v>
      </c>
      <c r="AB330" t="str">
        <f>VLOOKUP(Table2[[#This Row],[product]],Ref[#All],6,FALSE)</f>
        <v>BAG25</v>
      </c>
    </row>
    <row r="331" spans="1:28" x14ac:dyDescent="0.25">
      <c r="A331" t="str">
        <f>TEXT(Table2[[#This Row],[dated]],"mmm")</f>
        <v>Jun</v>
      </c>
      <c r="B331" t="s">
        <v>46</v>
      </c>
      <c r="C331" s="1" t="s">
        <v>2726</v>
      </c>
      <c r="D331" t="str">
        <f>VLOOKUP(Table2[[#This Row],[product]],Ref[#All],7,FALSE)</f>
        <v>Sugar</v>
      </c>
      <c r="E331" s="1" t="s">
        <v>72</v>
      </c>
      <c r="F331" t="str">
        <f>VLOOKUP(Table2[[#This Row],[product]],Ref[#All],2,FALSE)</f>
        <v>White Sugar</v>
      </c>
      <c r="G331" t="str">
        <f>VLOOKUP(Table2[[#This Row],[product]],Ref[#All],3,FALSE)</f>
        <v>White Sugar</v>
      </c>
      <c r="H331" t="str">
        <f>VLOOKUP(Table2[[#This Row],[product]],Ref[#All],4,FALSE)</f>
        <v>Import</v>
      </c>
      <c r="I331" s="1">
        <v>45833</v>
      </c>
      <c r="J331" t="s">
        <v>127</v>
      </c>
      <c r="K331" t="s">
        <v>1908</v>
      </c>
      <c r="L331" t="s">
        <v>1652</v>
      </c>
      <c r="M331" t="s">
        <v>1593</v>
      </c>
      <c r="N331" t="s">
        <v>784</v>
      </c>
      <c r="O331" t="s">
        <v>1593</v>
      </c>
      <c r="P331" t="s">
        <v>788</v>
      </c>
      <c r="Q331" t="s">
        <v>55</v>
      </c>
      <c r="R331">
        <v>2</v>
      </c>
      <c r="S331" s="15">
        <f>Table2[[#This Row],[movement_quantity]]/VLOOKUP(Table2[[#This Row],[product]],Ref[#All],5,FALSE)</f>
        <v>0.1</v>
      </c>
      <c r="T331">
        <v>83521.151800000007</v>
      </c>
      <c r="U331" t="s">
        <v>555</v>
      </c>
      <c r="V331" t="s">
        <v>22</v>
      </c>
      <c r="W331" t="s">
        <v>1909</v>
      </c>
      <c r="X331" t="s">
        <v>1910</v>
      </c>
      <c r="Y331" s="2" t="s">
        <v>17</v>
      </c>
      <c r="Z331">
        <v>0</v>
      </c>
      <c r="AA331" s="2">
        <v>167042.30360000001</v>
      </c>
      <c r="AB331" t="str">
        <f>VLOOKUP(Table2[[#This Row],[product]],Ref[#All],6,FALSE)</f>
        <v>BAG50</v>
      </c>
    </row>
    <row r="332" spans="1:28" x14ac:dyDescent="0.25">
      <c r="A332" t="str">
        <f>TEXT(Table2[[#This Row],[dated]],"mmm")</f>
        <v>Jul</v>
      </c>
      <c r="B332" s="28" t="s">
        <v>2230</v>
      </c>
      <c r="C332" s="1" t="s">
        <v>2726</v>
      </c>
      <c r="D332" t="str">
        <f>VLOOKUP(Table2[[#This Row],[product]],Ref[#All],7,FALSE)</f>
        <v>Rice</v>
      </c>
      <c r="E332" s="28" t="s">
        <v>176</v>
      </c>
      <c r="F332" t="str">
        <f>VLOOKUP(Table2[[#This Row],[product]],Ref[#All],2,FALSE)</f>
        <v>Rice Long Grade 1 Elngm 20Kg</v>
      </c>
      <c r="G332" t="str">
        <f>VLOOKUP(Table2[[#This Row],[product]],Ref[#All],3,FALSE)</f>
        <v>Rice Long Grain</v>
      </c>
      <c r="H332" t="str">
        <f>VLOOKUP(Table2[[#This Row],[product]],Ref[#All],4,FALSE)</f>
        <v>Import</v>
      </c>
      <c r="I332" s="1">
        <v>45868</v>
      </c>
      <c r="J332" s="28" t="s">
        <v>127</v>
      </c>
      <c r="K332" s="33" t="s">
        <v>2231</v>
      </c>
      <c r="L332" t="s">
        <v>1652</v>
      </c>
      <c r="M332" t="s">
        <v>1593</v>
      </c>
      <c r="N332" t="s">
        <v>784</v>
      </c>
      <c r="O332" t="s">
        <v>1593</v>
      </c>
      <c r="P332" t="s">
        <v>788</v>
      </c>
      <c r="Q332" t="s">
        <v>2213</v>
      </c>
      <c r="R332">
        <v>2</v>
      </c>
      <c r="S332" s="15">
        <f>Table2[[#This Row],[movement_quantity]]/VLOOKUP(Table2[[#This Row],[product]],Ref[#All],5,FALSE)</f>
        <v>0.04</v>
      </c>
      <c r="T332" s="33">
        <v>27661.955160000001</v>
      </c>
      <c r="U332" s="33" t="s">
        <v>2232</v>
      </c>
      <c r="V332" s="33" t="s">
        <v>18</v>
      </c>
      <c r="W332" s="33" t="s">
        <v>2233</v>
      </c>
      <c r="X332" s="33" t="s">
        <v>2234</v>
      </c>
      <c r="Y332" s="33" t="s">
        <v>17</v>
      </c>
      <c r="Z332" s="33">
        <v>0</v>
      </c>
      <c r="AA332">
        <v>55323.910320000003</v>
      </c>
      <c r="AB332" t="str">
        <f>VLOOKUP(Table2[[#This Row],[product]],Ref[#All],6,FALSE)</f>
        <v>BAG20</v>
      </c>
    </row>
    <row r="333" spans="1:28" x14ac:dyDescent="0.25">
      <c r="A333" t="str">
        <f>TEXT(Table2[[#This Row],[dated]],"mmm")</f>
        <v>Jul</v>
      </c>
      <c r="B333" s="26" t="s">
        <v>46</v>
      </c>
      <c r="C333" s="1" t="s">
        <v>2726</v>
      </c>
      <c r="D333" t="str">
        <f>VLOOKUP(Table2[[#This Row],[product]],Ref[#All],7,FALSE)</f>
        <v>Sugar</v>
      </c>
      <c r="E333" s="26" t="s">
        <v>72</v>
      </c>
      <c r="F333" t="str">
        <f>VLOOKUP(Table2[[#This Row],[product]],Ref[#All],2,FALSE)</f>
        <v>White Sugar</v>
      </c>
      <c r="G333" t="str">
        <f>VLOOKUP(Table2[[#This Row],[product]],Ref[#All],3,FALSE)</f>
        <v>White Sugar</v>
      </c>
      <c r="H333" t="str">
        <f>VLOOKUP(Table2[[#This Row],[product]],Ref[#All],4,FALSE)</f>
        <v>Import</v>
      </c>
      <c r="I333" s="29">
        <v>45862</v>
      </c>
      <c r="J333" s="26" t="s">
        <v>127</v>
      </c>
      <c r="K333" s="32" t="s">
        <v>2235</v>
      </c>
      <c r="L333" t="s">
        <v>1652</v>
      </c>
      <c r="M333" t="s">
        <v>1593</v>
      </c>
      <c r="N333" t="s">
        <v>784</v>
      </c>
      <c r="O333" t="s">
        <v>1593</v>
      </c>
      <c r="P333" t="s">
        <v>788</v>
      </c>
      <c r="Q333" t="s">
        <v>55</v>
      </c>
      <c r="R333">
        <v>2</v>
      </c>
      <c r="S333" s="15">
        <f>Table2[[#This Row],[movement_quantity]]/VLOOKUP(Table2[[#This Row],[product]],Ref[#All],5,FALSE)</f>
        <v>0.1</v>
      </c>
      <c r="T333" s="32">
        <v>78293.8171</v>
      </c>
      <c r="U333" s="32" t="s">
        <v>555</v>
      </c>
      <c r="V333" s="32" t="s">
        <v>21</v>
      </c>
      <c r="W333" s="32" t="s">
        <v>2236</v>
      </c>
      <c r="X333" s="32" t="s">
        <v>2237</v>
      </c>
      <c r="Y333" s="32" t="s">
        <v>17</v>
      </c>
      <c r="Z333" s="32">
        <v>0</v>
      </c>
      <c r="AA333" s="32">
        <v>156587.6342</v>
      </c>
      <c r="AB333" t="str">
        <f>VLOOKUP(Table2[[#This Row],[product]],Ref[#All],6,FALSE)</f>
        <v>BAG50</v>
      </c>
    </row>
    <row r="334" spans="1:28" x14ac:dyDescent="0.25">
      <c r="A334" t="str">
        <f>TEXT(Table2[[#This Row],[dated]],"mmm")</f>
        <v>Jul</v>
      </c>
      <c r="B334" s="26" t="s">
        <v>52</v>
      </c>
      <c r="C334" s="1" t="s">
        <v>2726</v>
      </c>
      <c r="D334" t="str">
        <f>VLOOKUP(Table2[[#This Row],[product]],Ref[#All],7,FALSE)</f>
        <v>Rice</v>
      </c>
      <c r="E334" s="26" t="s">
        <v>176</v>
      </c>
      <c r="F334" t="str">
        <f>VLOOKUP(Table2[[#This Row],[product]],Ref[#All],2,FALSE)</f>
        <v>Rice Long Grade 1 Elngm 20Kg</v>
      </c>
      <c r="G334" t="str">
        <f>VLOOKUP(Table2[[#This Row],[product]],Ref[#All],3,FALSE)</f>
        <v>Rice Long Grain</v>
      </c>
      <c r="H334" t="str">
        <f>VLOOKUP(Table2[[#This Row],[product]],Ref[#All],4,FALSE)</f>
        <v>Import</v>
      </c>
      <c r="I334" s="29">
        <v>45862</v>
      </c>
      <c r="J334" s="26" t="s">
        <v>127</v>
      </c>
      <c r="K334" s="32" t="s">
        <v>2239</v>
      </c>
      <c r="L334" t="s">
        <v>1652</v>
      </c>
      <c r="M334" t="s">
        <v>1593</v>
      </c>
      <c r="N334" t="s">
        <v>784</v>
      </c>
      <c r="O334" t="s">
        <v>1593</v>
      </c>
      <c r="P334" t="s">
        <v>788</v>
      </c>
      <c r="Q334" t="s">
        <v>55</v>
      </c>
      <c r="R334">
        <v>6</v>
      </c>
      <c r="S334" s="15">
        <f>Table2[[#This Row],[movement_quantity]]/VLOOKUP(Table2[[#This Row],[product]],Ref[#All],5,FALSE)</f>
        <v>0.12</v>
      </c>
      <c r="T334" s="34">
        <v>27661.955160000001</v>
      </c>
      <c r="U334" s="34" t="s">
        <v>153</v>
      </c>
      <c r="V334" s="34" t="s">
        <v>18</v>
      </c>
      <c r="W334" s="34" t="s">
        <v>2240</v>
      </c>
      <c r="X334" s="34" t="s">
        <v>2241</v>
      </c>
      <c r="Y334" s="34" t="s">
        <v>17</v>
      </c>
      <c r="Z334" s="34">
        <v>0</v>
      </c>
      <c r="AA334" s="32">
        <v>165971.73096000002</v>
      </c>
      <c r="AB334" t="str">
        <f>VLOOKUP(Table2[[#This Row],[product]],Ref[#All],6,FALSE)</f>
        <v>BAG20</v>
      </c>
    </row>
    <row r="335" spans="1:28" x14ac:dyDescent="0.25">
      <c r="A335" t="str">
        <f>TEXT(Table2[[#This Row],[dated]],"mmm")</f>
        <v>Jul</v>
      </c>
      <c r="B335" s="26" t="s">
        <v>40</v>
      </c>
      <c r="C335" s="1" t="s">
        <v>2726</v>
      </c>
      <c r="D335" t="str">
        <f>VLOOKUP(Table2[[#This Row],[product]],Ref[#All],7,FALSE)</f>
        <v>Rice</v>
      </c>
      <c r="E335" s="26" t="s">
        <v>176</v>
      </c>
      <c r="F335" t="str">
        <f>VLOOKUP(Table2[[#This Row],[product]],Ref[#All],2,FALSE)</f>
        <v>Rice Long Grade 1 Elngm 20Kg</v>
      </c>
      <c r="G335" t="str">
        <f>VLOOKUP(Table2[[#This Row],[product]],Ref[#All],3,FALSE)</f>
        <v>Rice Long Grain</v>
      </c>
      <c r="H335" t="str">
        <f>VLOOKUP(Table2[[#This Row],[product]],Ref[#All],4,FALSE)</f>
        <v>Import</v>
      </c>
      <c r="I335" s="29">
        <v>45862</v>
      </c>
      <c r="J335" s="26" t="s">
        <v>53</v>
      </c>
      <c r="K335" s="34" t="s">
        <v>2239</v>
      </c>
      <c r="L335" t="s">
        <v>1652</v>
      </c>
      <c r="M335" t="s">
        <v>1593</v>
      </c>
      <c r="N335" t="s">
        <v>784</v>
      </c>
      <c r="O335" t="s">
        <v>1593</v>
      </c>
      <c r="P335" t="s">
        <v>788</v>
      </c>
      <c r="Q335" t="s">
        <v>55</v>
      </c>
      <c r="R335">
        <v>-6</v>
      </c>
      <c r="S335" s="15">
        <f>Table2[[#This Row],[movement_quantity]]/VLOOKUP(Table2[[#This Row],[product]],Ref[#All],5,FALSE)</f>
        <v>-0.12</v>
      </c>
      <c r="T335" s="34">
        <v>27661.955160000001</v>
      </c>
      <c r="U335" s="34" t="s">
        <v>17</v>
      </c>
      <c r="V335" s="34" t="s">
        <v>18</v>
      </c>
      <c r="W335" s="34" t="s">
        <v>2244</v>
      </c>
      <c r="X335" s="34" t="s">
        <v>17</v>
      </c>
      <c r="Y335" s="34" t="s">
        <v>2245</v>
      </c>
      <c r="Z335" s="34">
        <v>0</v>
      </c>
      <c r="AA335" s="32">
        <v>-165971.73096000002</v>
      </c>
      <c r="AB335" t="str">
        <f>VLOOKUP(Table2[[#This Row],[product]],Ref[#All],6,FALSE)</f>
        <v>BAG20</v>
      </c>
    </row>
    <row r="336" spans="1:28" x14ac:dyDescent="0.25">
      <c r="A336" t="str">
        <f>TEXT(Table2[[#This Row],[dated]],"mmm")</f>
        <v>Jul</v>
      </c>
      <c r="B336" s="28" t="s">
        <v>46</v>
      </c>
      <c r="C336" s="1" t="s">
        <v>2726</v>
      </c>
      <c r="D336" t="str">
        <f>VLOOKUP(Table2[[#This Row],[product]],Ref[#All],7,FALSE)</f>
        <v>Sugar</v>
      </c>
      <c r="E336" s="28" t="s">
        <v>72</v>
      </c>
      <c r="F336" t="str">
        <f>VLOOKUP(Table2[[#This Row],[product]],Ref[#All],2,FALSE)</f>
        <v>White Sugar</v>
      </c>
      <c r="G336" t="str">
        <f>VLOOKUP(Table2[[#This Row],[product]],Ref[#All],3,FALSE)</f>
        <v>White Sugar</v>
      </c>
      <c r="H336" t="str">
        <f>VLOOKUP(Table2[[#This Row],[product]],Ref[#All],4,FALSE)</f>
        <v>Import</v>
      </c>
      <c r="I336" s="1">
        <v>45862</v>
      </c>
      <c r="J336" s="28" t="s">
        <v>127</v>
      </c>
      <c r="K336" t="s">
        <v>2250</v>
      </c>
      <c r="L336" t="s">
        <v>1652</v>
      </c>
      <c r="M336" t="s">
        <v>1593</v>
      </c>
      <c r="N336" t="s">
        <v>784</v>
      </c>
      <c r="O336" t="s">
        <v>1593</v>
      </c>
      <c r="P336" t="s">
        <v>788</v>
      </c>
      <c r="Q336" t="s">
        <v>55</v>
      </c>
      <c r="R336">
        <v>1</v>
      </c>
      <c r="S336" s="15">
        <f>Table2[[#This Row],[movement_quantity]]/VLOOKUP(Table2[[#This Row],[product]],Ref[#All],5,FALSE)</f>
        <v>0.05</v>
      </c>
      <c r="T336" s="33">
        <v>78293.8171</v>
      </c>
      <c r="U336" s="33" t="s">
        <v>555</v>
      </c>
      <c r="V336" s="33" t="s">
        <v>18</v>
      </c>
      <c r="W336" s="33" t="s">
        <v>2251</v>
      </c>
      <c r="X336" s="33" t="s">
        <v>2252</v>
      </c>
      <c r="Y336" s="33" t="s">
        <v>17</v>
      </c>
      <c r="Z336" s="33">
        <v>0</v>
      </c>
      <c r="AA336">
        <v>78293.8171</v>
      </c>
      <c r="AB336" t="str">
        <f>VLOOKUP(Table2[[#This Row],[product]],Ref[#All],6,FALSE)</f>
        <v>BAG50</v>
      </c>
    </row>
    <row r="337" spans="1:28" x14ac:dyDescent="0.25">
      <c r="A337" t="str">
        <f>TEXT(Table2[[#This Row],[dated]],"mmm")</f>
        <v>Jul</v>
      </c>
      <c r="B337" s="26" t="s">
        <v>52</v>
      </c>
      <c r="C337" s="1" t="s">
        <v>2726</v>
      </c>
      <c r="D337" t="str">
        <f>VLOOKUP(Table2[[#This Row],[product]],Ref[#All],7,FALSE)</f>
        <v>Lentils</v>
      </c>
      <c r="E337" s="26" t="s">
        <v>39</v>
      </c>
      <c r="F337" t="str">
        <f>VLOOKUP(Table2[[#This Row],[product]],Ref[#All],2,FALSE)</f>
        <v>Lentil TAT 20KG</v>
      </c>
      <c r="G337" t="str">
        <f>VLOOKUP(Table2[[#This Row],[product]],Ref[#All],3,FALSE)</f>
        <v>Lentils</v>
      </c>
      <c r="H337" t="str">
        <f>VLOOKUP(Table2[[#This Row],[product]],Ref[#All],4,FALSE)</f>
        <v>Import</v>
      </c>
      <c r="I337" s="29">
        <v>45861</v>
      </c>
      <c r="J337" s="26" t="s">
        <v>127</v>
      </c>
      <c r="K337" s="32" t="s">
        <v>2253</v>
      </c>
      <c r="L337" t="s">
        <v>1652</v>
      </c>
      <c r="M337" t="s">
        <v>1593</v>
      </c>
      <c r="N337" t="s">
        <v>784</v>
      </c>
      <c r="O337" t="s">
        <v>1593</v>
      </c>
      <c r="P337" t="s">
        <v>788</v>
      </c>
      <c r="Q337" t="s">
        <v>55</v>
      </c>
      <c r="R337">
        <v>1</v>
      </c>
      <c r="S337" s="15">
        <f>Table2[[#This Row],[movement_quantity]]/VLOOKUP(Table2[[#This Row],[product]],Ref[#All],5,FALSE)</f>
        <v>0.02</v>
      </c>
      <c r="T337" s="32">
        <v>41075.795080000004</v>
      </c>
      <c r="U337" s="32" t="s">
        <v>153</v>
      </c>
      <c r="V337" s="32" t="s">
        <v>1355</v>
      </c>
      <c r="W337" s="32" t="s">
        <v>2254</v>
      </c>
      <c r="X337" s="32" t="s">
        <v>2255</v>
      </c>
      <c r="Y337" s="32" t="s">
        <v>17</v>
      </c>
      <c r="Z337" s="32">
        <v>0</v>
      </c>
      <c r="AA337" s="32">
        <v>41075.795080000004</v>
      </c>
      <c r="AB337" t="str">
        <f>VLOOKUP(Table2[[#This Row],[product]],Ref[#All],6,FALSE)</f>
        <v>BAG20</v>
      </c>
    </row>
    <row r="338" spans="1:28" x14ac:dyDescent="0.25">
      <c r="A338" t="str">
        <f>TEXT(Table2[[#This Row],[dated]],"mmm")</f>
        <v>Jul</v>
      </c>
      <c r="B338" s="28" t="s">
        <v>52</v>
      </c>
      <c r="C338" s="1" t="s">
        <v>2726</v>
      </c>
      <c r="D338" t="str">
        <f>VLOOKUP(Table2[[#This Row],[product]],Ref[#All],7,FALSE)</f>
        <v>Lentils</v>
      </c>
      <c r="E338" s="28" t="s">
        <v>39</v>
      </c>
      <c r="F338" t="str">
        <f>VLOOKUP(Table2[[#This Row],[product]],Ref[#All],2,FALSE)</f>
        <v>Lentil TAT 20KG</v>
      </c>
      <c r="G338" t="str">
        <f>VLOOKUP(Table2[[#This Row],[product]],Ref[#All],3,FALSE)</f>
        <v>Lentils</v>
      </c>
      <c r="H338" t="str">
        <f>VLOOKUP(Table2[[#This Row],[product]],Ref[#All],4,FALSE)</f>
        <v>Import</v>
      </c>
      <c r="I338" s="1">
        <v>45861</v>
      </c>
      <c r="J338" s="28" t="s">
        <v>127</v>
      </c>
      <c r="K338" t="s">
        <v>2256</v>
      </c>
      <c r="L338" t="s">
        <v>1652</v>
      </c>
      <c r="M338" t="s">
        <v>1593</v>
      </c>
      <c r="N338" t="s">
        <v>784</v>
      </c>
      <c r="O338" t="s">
        <v>1593</v>
      </c>
      <c r="P338" t="s">
        <v>788</v>
      </c>
      <c r="Q338" t="s">
        <v>55</v>
      </c>
      <c r="R338">
        <v>1</v>
      </c>
      <c r="S338" s="15">
        <f>Table2[[#This Row],[movement_quantity]]/VLOOKUP(Table2[[#This Row],[product]],Ref[#All],5,FALSE)</f>
        <v>0.02</v>
      </c>
      <c r="T338">
        <v>41075.795080000004</v>
      </c>
      <c r="U338" t="s">
        <v>153</v>
      </c>
      <c r="V338" t="s">
        <v>1358</v>
      </c>
      <c r="W338" t="s">
        <v>2257</v>
      </c>
      <c r="X338" t="s">
        <v>2258</v>
      </c>
      <c r="Y338" t="s">
        <v>17</v>
      </c>
      <c r="Z338">
        <v>0</v>
      </c>
      <c r="AA338">
        <v>41075.795080000004</v>
      </c>
      <c r="AB338" t="str">
        <f>VLOOKUP(Table2[[#This Row],[product]],Ref[#All],6,FALSE)</f>
        <v>BAG20</v>
      </c>
    </row>
    <row r="339" spans="1:28" x14ac:dyDescent="0.25">
      <c r="A339" t="str">
        <f>TEXT(Table2[[#This Row],[dated]],"mmm")</f>
        <v>Jul</v>
      </c>
      <c r="B339" s="26" t="s">
        <v>52</v>
      </c>
      <c r="C339" s="1" t="s">
        <v>2726</v>
      </c>
      <c r="D339" t="str">
        <f>VLOOKUP(Table2[[#This Row],[product]],Ref[#All],7,FALSE)</f>
        <v>Lentils</v>
      </c>
      <c r="E339" s="26" t="s">
        <v>39</v>
      </c>
      <c r="F339" t="str">
        <f>VLOOKUP(Table2[[#This Row],[product]],Ref[#All],2,FALSE)</f>
        <v>Lentil TAT 20KG</v>
      </c>
      <c r="G339" t="str">
        <f>VLOOKUP(Table2[[#This Row],[product]],Ref[#All],3,FALSE)</f>
        <v>Lentils</v>
      </c>
      <c r="H339" t="str">
        <f>VLOOKUP(Table2[[#This Row],[product]],Ref[#All],4,FALSE)</f>
        <v>Import</v>
      </c>
      <c r="I339" s="29">
        <v>45861</v>
      </c>
      <c r="J339" s="26" t="s">
        <v>127</v>
      </c>
      <c r="K339" s="32" t="s">
        <v>2259</v>
      </c>
      <c r="L339" t="s">
        <v>1652</v>
      </c>
      <c r="M339" t="s">
        <v>1593</v>
      </c>
      <c r="N339" t="s">
        <v>784</v>
      </c>
      <c r="O339" t="s">
        <v>1593</v>
      </c>
      <c r="P339" t="s">
        <v>788</v>
      </c>
      <c r="Q339" t="s">
        <v>55</v>
      </c>
      <c r="R339">
        <v>6</v>
      </c>
      <c r="S339" s="15">
        <f>Table2[[#This Row],[movement_quantity]]/VLOOKUP(Table2[[#This Row],[product]],Ref[#All],5,FALSE)</f>
        <v>0.12</v>
      </c>
      <c r="T339" s="32">
        <v>41075.795080000004</v>
      </c>
      <c r="U339" s="32" t="s">
        <v>153</v>
      </c>
      <c r="V339" s="32" t="s">
        <v>1361</v>
      </c>
      <c r="W339" s="32" t="s">
        <v>2260</v>
      </c>
      <c r="X339" s="32" t="s">
        <v>2261</v>
      </c>
      <c r="Y339" s="32" t="s">
        <v>17</v>
      </c>
      <c r="Z339" s="32">
        <v>0</v>
      </c>
      <c r="AA339" s="32">
        <v>246454.77048000001</v>
      </c>
      <c r="AB339" t="str">
        <f>VLOOKUP(Table2[[#This Row],[product]],Ref[#All],6,FALSE)</f>
        <v>BAG20</v>
      </c>
    </row>
    <row r="340" spans="1:28" x14ac:dyDescent="0.25">
      <c r="A340" t="str">
        <f>TEXT(Table2[[#This Row],[dated]],"mmm")</f>
        <v>Jul</v>
      </c>
      <c r="B340" s="28" t="s">
        <v>52</v>
      </c>
      <c r="C340" s="1" t="s">
        <v>2726</v>
      </c>
      <c r="D340" t="str">
        <f>VLOOKUP(Table2[[#This Row],[product]],Ref[#All],7,FALSE)</f>
        <v>Flour</v>
      </c>
      <c r="E340" s="28" t="s">
        <v>42</v>
      </c>
      <c r="F340" t="str">
        <f>VLOOKUP(Table2[[#This Row],[product]],Ref[#All],2,FALSE)</f>
        <v>Alnajm Flour from Mill 25KG</v>
      </c>
      <c r="G340" t="str">
        <f>VLOOKUP(Table2[[#This Row],[product]],Ref[#All],3,FALSE)</f>
        <v>Flour Al-Nagm (Mill)</v>
      </c>
      <c r="H340" t="str">
        <f>VLOOKUP(Table2[[#This Row],[product]],Ref[#All],4,FALSE)</f>
        <v>Import</v>
      </c>
      <c r="I340" s="1">
        <v>45861</v>
      </c>
      <c r="J340" s="28" t="s">
        <v>127</v>
      </c>
      <c r="K340" t="s">
        <v>2262</v>
      </c>
      <c r="L340" t="s">
        <v>1652</v>
      </c>
      <c r="M340" t="s">
        <v>1593</v>
      </c>
      <c r="N340" t="s">
        <v>784</v>
      </c>
      <c r="O340" t="s">
        <v>1593</v>
      </c>
      <c r="P340" t="s">
        <v>788</v>
      </c>
      <c r="Q340" t="s">
        <v>55</v>
      </c>
      <c r="R340">
        <v>1</v>
      </c>
      <c r="S340" s="15">
        <f>Table2[[#This Row],[movement_quantity]]/VLOOKUP(Table2[[#This Row],[product]],Ref[#All],5,FALSE)</f>
        <v>2.5000000000000001E-2</v>
      </c>
      <c r="T340">
        <v>28919.106970000001</v>
      </c>
      <c r="U340" t="s">
        <v>153</v>
      </c>
      <c r="V340" t="s">
        <v>18</v>
      </c>
      <c r="W340" t="s">
        <v>2263</v>
      </c>
      <c r="X340" t="s">
        <v>2264</v>
      </c>
      <c r="Y340" t="s">
        <v>17</v>
      </c>
      <c r="Z340">
        <v>0</v>
      </c>
      <c r="AA340">
        <v>28919.106970000001</v>
      </c>
      <c r="AB340" t="str">
        <f>VLOOKUP(Table2[[#This Row],[product]],Ref[#All],6,FALSE)</f>
        <v>BAG25</v>
      </c>
    </row>
    <row r="341" spans="1:28" x14ac:dyDescent="0.25">
      <c r="A341" t="str">
        <f>TEXT(Table2[[#This Row],[dated]],"mmm")</f>
        <v>Jul</v>
      </c>
      <c r="B341" s="26" t="s">
        <v>545</v>
      </c>
      <c r="C341" s="1" t="s">
        <v>2726</v>
      </c>
      <c r="D341" t="str">
        <f>VLOOKUP(Table2[[#This Row],[product]],Ref[#All],7,FALSE)</f>
        <v>Flour</v>
      </c>
      <c r="E341" s="26" t="s">
        <v>42</v>
      </c>
      <c r="F341" t="str">
        <f>VLOOKUP(Table2[[#This Row],[product]],Ref[#All],2,FALSE)</f>
        <v>Alnajm Flour from Mill 25KG</v>
      </c>
      <c r="G341" t="str">
        <f>VLOOKUP(Table2[[#This Row],[product]],Ref[#All],3,FALSE)</f>
        <v>Flour Al-Nagm (Mill)</v>
      </c>
      <c r="H341" t="str">
        <f>VLOOKUP(Table2[[#This Row],[product]],Ref[#All],4,FALSE)</f>
        <v>Import</v>
      </c>
      <c r="I341" s="29">
        <v>45861</v>
      </c>
      <c r="J341" s="26" t="s">
        <v>127</v>
      </c>
      <c r="K341" s="32" t="s">
        <v>2265</v>
      </c>
      <c r="L341" t="s">
        <v>1652</v>
      </c>
      <c r="M341" t="s">
        <v>1593</v>
      </c>
      <c r="N341" t="s">
        <v>784</v>
      </c>
      <c r="O341" t="s">
        <v>1593</v>
      </c>
      <c r="P341" t="s">
        <v>788</v>
      </c>
      <c r="Q341" t="s">
        <v>55</v>
      </c>
      <c r="R341">
        <v>1</v>
      </c>
      <c r="S341" s="15">
        <f>Table2[[#This Row],[movement_quantity]]/VLOOKUP(Table2[[#This Row],[product]],Ref[#All],5,FALSE)</f>
        <v>2.5000000000000001E-2</v>
      </c>
      <c r="T341" s="32">
        <v>28919.106970000001</v>
      </c>
      <c r="U341" s="32" t="s">
        <v>1949</v>
      </c>
      <c r="V341" s="32" t="s">
        <v>18</v>
      </c>
      <c r="W341" s="32" t="s">
        <v>2266</v>
      </c>
      <c r="X341" s="32" t="s">
        <v>2267</v>
      </c>
      <c r="Y341" s="32" t="s">
        <v>17</v>
      </c>
      <c r="Z341" s="32">
        <v>0</v>
      </c>
      <c r="AA341" s="32">
        <v>28919.106970000001</v>
      </c>
      <c r="AB341" t="str">
        <f>VLOOKUP(Table2[[#This Row],[product]],Ref[#All],6,FALSE)</f>
        <v>BAG25</v>
      </c>
    </row>
    <row r="342" spans="1:28" x14ac:dyDescent="0.25">
      <c r="A342" t="str">
        <f>TEXT(Table2[[#This Row],[dated]],"mmm")</f>
        <v>Jul</v>
      </c>
      <c r="B342" s="28" t="s">
        <v>545</v>
      </c>
      <c r="C342" s="1" t="s">
        <v>2726</v>
      </c>
      <c r="D342" t="str">
        <f>VLOOKUP(Table2[[#This Row],[product]],Ref[#All],7,FALSE)</f>
        <v>Flour</v>
      </c>
      <c r="E342" s="28" t="s">
        <v>42</v>
      </c>
      <c r="F342" t="str">
        <f>VLOOKUP(Table2[[#This Row],[product]],Ref[#All],2,FALSE)</f>
        <v>Alnajm Flour from Mill 25KG</v>
      </c>
      <c r="G342" t="str">
        <f>VLOOKUP(Table2[[#This Row],[product]],Ref[#All],3,FALSE)</f>
        <v>Flour Al-Nagm (Mill)</v>
      </c>
      <c r="H342" t="str">
        <f>VLOOKUP(Table2[[#This Row],[product]],Ref[#All],4,FALSE)</f>
        <v>Import</v>
      </c>
      <c r="I342" s="1">
        <v>45861</v>
      </c>
      <c r="J342" s="28" t="s">
        <v>127</v>
      </c>
      <c r="K342" t="s">
        <v>2268</v>
      </c>
      <c r="L342" t="s">
        <v>1652</v>
      </c>
      <c r="M342" t="s">
        <v>1593</v>
      </c>
      <c r="N342" t="s">
        <v>784</v>
      </c>
      <c r="O342" t="s">
        <v>1593</v>
      </c>
      <c r="P342" t="s">
        <v>788</v>
      </c>
      <c r="Q342" t="s">
        <v>55</v>
      </c>
      <c r="R342">
        <v>1</v>
      </c>
      <c r="S342" s="15">
        <f>Table2[[#This Row],[movement_quantity]]/VLOOKUP(Table2[[#This Row],[product]],Ref[#All],5,FALSE)</f>
        <v>2.5000000000000001E-2</v>
      </c>
      <c r="T342">
        <v>28919.106970000001</v>
      </c>
      <c r="U342" t="s">
        <v>1949</v>
      </c>
      <c r="V342" t="s">
        <v>21</v>
      </c>
      <c r="W342" t="s">
        <v>2269</v>
      </c>
      <c r="X342" t="s">
        <v>2270</v>
      </c>
      <c r="Y342" t="s">
        <v>17</v>
      </c>
      <c r="Z342">
        <v>0</v>
      </c>
      <c r="AA342">
        <v>28919.106970000001</v>
      </c>
      <c r="AB342" t="str">
        <f>VLOOKUP(Table2[[#This Row],[product]],Ref[#All],6,FALSE)</f>
        <v>BAG25</v>
      </c>
    </row>
    <row r="343" spans="1:28" x14ac:dyDescent="0.25">
      <c r="A343" t="str">
        <f>TEXT(Table2[[#This Row],[dated]],"mmm")</f>
        <v>Jul</v>
      </c>
      <c r="B343" t="s">
        <v>46</v>
      </c>
      <c r="C343" s="1" t="s">
        <v>2726</v>
      </c>
      <c r="D343" t="str">
        <f>VLOOKUP(Table2[[#This Row],[product]],Ref[#All],7,FALSE)</f>
        <v>Sugar</v>
      </c>
      <c r="E343" s="1" t="s">
        <v>72</v>
      </c>
      <c r="F343" t="str">
        <f>VLOOKUP(Table2[[#This Row],[product]],Ref[#All],2,FALSE)</f>
        <v>White Sugar</v>
      </c>
      <c r="G343" t="str">
        <f>VLOOKUP(Table2[[#This Row],[product]],Ref[#All],3,FALSE)</f>
        <v>White Sugar</v>
      </c>
      <c r="H343" t="str">
        <f>VLOOKUP(Table2[[#This Row],[product]],Ref[#All],4,FALSE)</f>
        <v>Import</v>
      </c>
      <c r="I343" s="1">
        <v>45858</v>
      </c>
      <c r="J343" t="s">
        <v>127</v>
      </c>
      <c r="K343" t="s">
        <v>2046</v>
      </c>
      <c r="L343" t="s">
        <v>1652</v>
      </c>
      <c r="M343" t="s">
        <v>1593</v>
      </c>
      <c r="N343" t="s">
        <v>784</v>
      </c>
      <c r="O343" t="s">
        <v>1593</v>
      </c>
      <c r="P343" t="s">
        <v>788</v>
      </c>
      <c r="Q343" t="s">
        <v>55</v>
      </c>
      <c r="R343">
        <v>1</v>
      </c>
      <c r="S343" s="15">
        <f>Table2[[#This Row],[movement_quantity]]/VLOOKUP(Table2[[#This Row],[product]],Ref[#All],5,FALSE)</f>
        <v>0.05</v>
      </c>
      <c r="T343">
        <v>78293.8171</v>
      </c>
      <c r="U343" t="s">
        <v>555</v>
      </c>
      <c r="V343" t="s">
        <v>18</v>
      </c>
      <c r="W343" t="s">
        <v>2047</v>
      </c>
      <c r="X343" t="s">
        <v>2048</v>
      </c>
      <c r="Y343" s="2" t="s">
        <v>17</v>
      </c>
      <c r="Z343">
        <v>0</v>
      </c>
      <c r="AA343" s="2">
        <v>78293.8171</v>
      </c>
      <c r="AB343" t="str">
        <f>VLOOKUP(Table2[[#This Row],[product]],Ref[#All],6,FALSE)</f>
        <v>BAG50</v>
      </c>
    </row>
    <row r="344" spans="1:28" x14ac:dyDescent="0.25">
      <c r="A344" t="str">
        <f>TEXT(Table2[[#This Row],[dated]],"mmm")</f>
        <v>Jul</v>
      </c>
      <c r="B344" t="s">
        <v>46</v>
      </c>
      <c r="C344" s="1" t="s">
        <v>2726</v>
      </c>
      <c r="D344" t="str">
        <f>VLOOKUP(Table2[[#This Row],[product]],Ref[#All],7,FALSE)</f>
        <v>Flour</v>
      </c>
      <c r="E344" s="1" t="s">
        <v>36</v>
      </c>
      <c r="F344" t="str">
        <f>VLOOKUP(Table2[[#This Row],[product]],Ref[#All],2,FALSE)</f>
        <v>Flour Import Elngm 25Kg</v>
      </c>
      <c r="G344" t="str">
        <f>VLOOKUP(Table2[[#This Row],[product]],Ref[#All],3,FALSE)</f>
        <v>Flour Al-Nagm (Imported)</v>
      </c>
      <c r="H344" t="str">
        <f>VLOOKUP(Table2[[#This Row],[product]],Ref[#All],4,FALSE)</f>
        <v>Import</v>
      </c>
      <c r="I344" s="1">
        <v>45858</v>
      </c>
      <c r="J344" t="s">
        <v>127</v>
      </c>
      <c r="K344" t="s">
        <v>2054</v>
      </c>
      <c r="L344" t="s">
        <v>1652</v>
      </c>
      <c r="M344" t="s">
        <v>1593</v>
      </c>
      <c r="N344" t="s">
        <v>784</v>
      </c>
      <c r="O344" t="s">
        <v>1593</v>
      </c>
      <c r="P344" t="s">
        <v>788</v>
      </c>
      <c r="Q344" t="s">
        <v>55</v>
      </c>
      <c r="R344">
        <v>1</v>
      </c>
      <c r="S344" s="15">
        <f>Table2[[#This Row],[movement_quantity]]/VLOOKUP(Table2[[#This Row],[product]],Ref[#All],5,FALSE)</f>
        <v>2.5000000000000001E-2</v>
      </c>
      <c r="T344">
        <v>28919.106970000001</v>
      </c>
      <c r="U344" t="s">
        <v>555</v>
      </c>
      <c r="V344" t="s">
        <v>18</v>
      </c>
      <c r="W344" t="s">
        <v>2055</v>
      </c>
      <c r="X344" t="s">
        <v>2056</v>
      </c>
      <c r="Y344" s="2" t="s">
        <v>17</v>
      </c>
      <c r="Z344">
        <v>0</v>
      </c>
      <c r="AA344" s="2">
        <v>28919.106970000001</v>
      </c>
      <c r="AB344" t="str">
        <f>VLOOKUP(Table2[[#This Row],[product]],Ref[#All],6,FALSE)</f>
        <v>BAG25</v>
      </c>
    </row>
    <row r="345" spans="1:28" x14ac:dyDescent="0.25">
      <c r="A345" t="str">
        <f>TEXT(Table2[[#This Row],[dated]],"mmm")</f>
        <v>Jul</v>
      </c>
      <c r="B345" t="s">
        <v>46</v>
      </c>
      <c r="C345" s="1" t="s">
        <v>2726</v>
      </c>
      <c r="D345" t="str">
        <f>VLOOKUP(Table2[[#This Row],[product]],Ref[#All],7,FALSE)</f>
        <v>Sugar</v>
      </c>
      <c r="E345" s="1" t="s">
        <v>72</v>
      </c>
      <c r="F345" t="str">
        <f>VLOOKUP(Table2[[#This Row],[product]],Ref[#All],2,FALSE)</f>
        <v>White Sugar</v>
      </c>
      <c r="G345" t="str">
        <f>VLOOKUP(Table2[[#This Row],[product]],Ref[#All],3,FALSE)</f>
        <v>White Sugar</v>
      </c>
      <c r="H345" t="str">
        <f>VLOOKUP(Table2[[#This Row],[product]],Ref[#All],4,FALSE)</f>
        <v>Import</v>
      </c>
      <c r="I345" s="1">
        <v>45858</v>
      </c>
      <c r="J345" t="s">
        <v>127</v>
      </c>
      <c r="K345" t="s">
        <v>2057</v>
      </c>
      <c r="L345" t="s">
        <v>1652</v>
      </c>
      <c r="M345" t="s">
        <v>1593</v>
      </c>
      <c r="N345" t="s">
        <v>784</v>
      </c>
      <c r="O345" t="s">
        <v>1593</v>
      </c>
      <c r="P345" t="s">
        <v>788</v>
      </c>
      <c r="Q345" t="s">
        <v>55</v>
      </c>
      <c r="R345">
        <v>6</v>
      </c>
      <c r="S345" s="15">
        <f>Table2[[#This Row],[movement_quantity]]/VLOOKUP(Table2[[#This Row],[product]],Ref[#All],5,FALSE)</f>
        <v>0.3</v>
      </c>
      <c r="T345">
        <v>78293.8171</v>
      </c>
      <c r="U345" t="s">
        <v>555</v>
      </c>
      <c r="V345" t="s">
        <v>23</v>
      </c>
      <c r="W345" t="s">
        <v>2053</v>
      </c>
      <c r="X345" t="s">
        <v>2058</v>
      </c>
      <c r="Y345" s="2" t="s">
        <v>17</v>
      </c>
      <c r="Z345">
        <v>0</v>
      </c>
      <c r="AA345" s="2">
        <v>469762.90260000003</v>
      </c>
      <c r="AB345" t="str">
        <f>VLOOKUP(Table2[[#This Row],[product]],Ref[#All],6,FALSE)</f>
        <v>BAG50</v>
      </c>
    </row>
    <row r="346" spans="1:28" x14ac:dyDescent="0.25">
      <c r="A346" t="str">
        <f>TEXT(Table2[[#This Row],[dated]],"mmm")</f>
        <v>Jul</v>
      </c>
      <c r="B346" t="s">
        <v>52</v>
      </c>
      <c r="C346" s="1" t="s">
        <v>2726</v>
      </c>
      <c r="D346" t="str">
        <f>VLOOKUP(Table2[[#This Row],[product]],Ref[#All],7,FALSE)</f>
        <v>Flour</v>
      </c>
      <c r="E346" s="1" t="s">
        <v>36</v>
      </c>
      <c r="F346" t="str">
        <f>VLOOKUP(Table2[[#This Row],[product]],Ref[#All],2,FALSE)</f>
        <v>Flour Import Elngm 25Kg</v>
      </c>
      <c r="G346" t="str">
        <f>VLOOKUP(Table2[[#This Row],[product]],Ref[#All],3,FALSE)</f>
        <v>Flour Al-Nagm (Imported)</v>
      </c>
      <c r="H346" t="str">
        <f>VLOOKUP(Table2[[#This Row],[product]],Ref[#All],4,FALSE)</f>
        <v>Import</v>
      </c>
      <c r="I346" s="1">
        <v>45858</v>
      </c>
      <c r="J346" t="s">
        <v>127</v>
      </c>
      <c r="K346" t="s">
        <v>2059</v>
      </c>
      <c r="L346" t="s">
        <v>1652</v>
      </c>
      <c r="M346" t="s">
        <v>1593</v>
      </c>
      <c r="N346" t="s">
        <v>784</v>
      </c>
      <c r="O346" t="s">
        <v>1593</v>
      </c>
      <c r="P346" t="s">
        <v>788</v>
      </c>
      <c r="Q346" t="s">
        <v>55</v>
      </c>
      <c r="R346">
        <v>6</v>
      </c>
      <c r="S346" s="15">
        <f>Table2[[#This Row],[movement_quantity]]/VLOOKUP(Table2[[#This Row],[product]],Ref[#All],5,FALSE)</f>
        <v>0.15</v>
      </c>
      <c r="T346">
        <v>28919.106970000001</v>
      </c>
      <c r="U346" t="s">
        <v>153</v>
      </c>
      <c r="V346" t="s">
        <v>18</v>
      </c>
      <c r="W346" t="s">
        <v>2060</v>
      </c>
      <c r="X346" t="s">
        <v>2061</v>
      </c>
      <c r="Y346" s="2" t="s">
        <v>17</v>
      </c>
      <c r="Z346">
        <v>0</v>
      </c>
      <c r="AA346" s="2">
        <v>173514.64182000002</v>
      </c>
      <c r="AB346" t="str">
        <f>VLOOKUP(Table2[[#This Row],[product]],Ref[#All],6,FALSE)</f>
        <v>BAG25</v>
      </c>
    </row>
    <row r="347" spans="1:28" x14ac:dyDescent="0.25">
      <c r="A347" t="str">
        <f>TEXT(Table2[[#This Row],[dated]],"mmm")</f>
        <v>Jul</v>
      </c>
      <c r="B347" t="s">
        <v>46</v>
      </c>
      <c r="C347" s="1" t="s">
        <v>2726</v>
      </c>
      <c r="D347" t="str">
        <f>VLOOKUP(Table2[[#This Row],[product]],Ref[#All],7,FALSE)</f>
        <v>Flour</v>
      </c>
      <c r="E347" s="1" t="s">
        <v>36</v>
      </c>
      <c r="F347" t="str">
        <f>VLOOKUP(Table2[[#This Row],[product]],Ref[#All],2,FALSE)</f>
        <v>Flour Import Elngm 25Kg</v>
      </c>
      <c r="G347" t="str">
        <f>VLOOKUP(Table2[[#This Row],[product]],Ref[#All],3,FALSE)</f>
        <v>Flour Al-Nagm (Imported)</v>
      </c>
      <c r="H347" t="str">
        <f>VLOOKUP(Table2[[#This Row],[product]],Ref[#All],4,FALSE)</f>
        <v>Import</v>
      </c>
      <c r="I347" s="1">
        <v>45858</v>
      </c>
      <c r="J347" t="s">
        <v>53</v>
      </c>
      <c r="K347" t="s">
        <v>2062</v>
      </c>
      <c r="L347" t="s">
        <v>1652</v>
      </c>
      <c r="M347" t="s">
        <v>1593</v>
      </c>
      <c r="N347" t="s">
        <v>784</v>
      </c>
      <c r="O347" t="s">
        <v>1593</v>
      </c>
      <c r="P347" t="s">
        <v>788</v>
      </c>
      <c r="Q347" t="s">
        <v>55</v>
      </c>
      <c r="R347">
        <v>-1</v>
      </c>
      <c r="S347" s="15">
        <f>Table2[[#This Row],[movement_quantity]]/VLOOKUP(Table2[[#This Row],[product]],Ref[#All],5,FALSE)</f>
        <v>-2.5000000000000001E-2</v>
      </c>
      <c r="T347">
        <v>28919.106970000001</v>
      </c>
      <c r="U347" t="s">
        <v>17</v>
      </c>
      <c r="V347" t="s">
        <v>21</v>
      </c>
      <c r="W347" t="s">
        <v>2063</v>
      </c>
      <c r="X347" t="s">
        <v>17</v>
      </c>
      <c r="Y347" s="2" t="s">
        <v>1289</v>
      </c>
      <c r="Z347">
        <v>0</v>
      </c>
      <c r="AA347" s="2">
        <v>-28919.106970000001</v>
      </c>
      <c r="AB347" t="str">
        <f>VLOOKUP(Table2[[#This Row],[product]],Ref[#All],6,FALSE)</f>
        <v>BAG25</v>
      </c>
    </row>
    <row r="348" spans="1:28" x14ac:dyDescent="0.25">
      <c r="A348" t="str">
        <f>TEXT(Table2[[#This Row],[dated]],"mmm")</f>
        <v>Jul</v>
      </c>
      <c r="B348" t="s">
        <v>46</v>
      </c>
      <c r="C348" s="1" t="s">
        <v>2726</v>
      </c>
      <c r="D348" t="str">
        <f>VLOOKUP(Table2[[#This Row],[product]],Ref[#All],7,FALSE)</f>
        <v>Sugar</v>
      </c>
      <c r="E348" s="1" t="s">
        <v>72</v>
      </c>
      <c r="F348" t="str">
        <f>VLOOKUP(Table2[[#This Row],[product]],Ref[#All],2,FALSE)</f>
        <v>White Sugar</v>
      </c>
      <c r="G348" t="str">
        <f>VLOOKUP(Table2[[#This Row],[product]],Ref[#All],3,FALSE)</f>
        <v>White Sugar</v>
      </c>
      <c r="H348" t="str">
        <f>VLOOKUP(Table2[[#This Row],[product]],Ref[#All],4,FALSE)</f>
        <v>Import</v>
      </c>
      <c r="I348" s="1">
        <v>45858</v>
      </c>
      <c r="J348" t="s">
        <v>127</v>
      </c>
      <c r="K348" t="s">
        <v>2074</v>
      </c>
      <c r="L348" t="s">
        <v>1652</v>
      </c>
      <c r="M348" t="s">
        <v>1593</v>
      </c>
      <c r="N348" t="s">
        <v>784</v>
      </c>
      <c r="O348" t="s">
        <v>1593</v>
      </c>
      <c r="P348" t="s">
        <v>788</v>
      </c>
      <c r="Q348" t="s">
        <v>55</v>
      </c>
      <c r="R348">
        <v>1</v>
      </c>
      <c r="S348" s="15">
        <f>Table2[[#This Row],[movement_quantity]]/VLOOKUP(Table2[[#This Row],[product]],Ref[#All],5,FALSE)</f>
        <v>0.05</v>
      </c>
      <c r="T348">
        <v>78293.8171</v>
      </c>
      <c r="U348" t="s">
        <v>555</v>
      </c>
      <c r="V348" t="s">
        <v>26</v>
      </c>
      <c r="W348" t="s">
        <v>2075</v>
      </c>
      <c r="X348" t="s">
        <v>2076</v>
      </c>
      <c r="Y348" s="2" t="s">
        <v>17</v>
      </c>
      <c r="Z348">
        <v>0</v>
      </c>
      <c r="AA348" s="2">
        <v>78293.8171</v>
      </c>
      <c r="AB348" t="str">
        <f>VLOOKUP(Table2[[#This Row],[product]],Ref[#All],6,FALSE)</f>
        <v>BAG50</v>
      </c>
    </row>
    <row r="349" spans="1:28" x14ac:dyDescent="0.25">
      <c r="A349" t="str">
        <f>TEXT(Table2[[#This Row],[dated]],"mmm")</f>
        <v>Jul</v>
      </c>
      <c r="B349" t="s">
        <v>52</v>
      </c>
      <c r="C349" s="1" t="s">
        <v>2726</v>
      </c>
      <c r="D349" t="str">
        <f>VLOOKUP(Table2[[#This Row],[product]],Ref[#All],7,FALSE)</f>
        <v>Flour</v>
      </c>
      <c r="E349" s="1" t="s">
        <v>36</v>
      </c>
      <c r="F349" t="str">
        <f>VLOOKUP(Table2[[#This Row],[product]],Ref[#All],2,FALSE)</f>
        <v>Flour Import Elngm 25Kg</v>
      </c>
      <c r="G349" t="str">
        <f>VLOOKUP(Table2[[#This Row],[product]],Ref[#All],3,FALSE)</f>
        <v>Flour Al-Nagm (Imported)</v>
      </c>
      <c r="H349" t="str">
        <f>VLOOKUP(Table2[[#This Row],[product]],Ref[#All],4,FALSE)</f>
        <v>Import</v>
      </c>
      <c r="I349" s="1">
        <v>45858</v>
      </c>
      <c r="J349" t="s">
        <v>53</v>
      </c>
      <c r="K349" t="s">
        <v>2077</v>
      </c>
      <c r="L349" t="s">
        <v>1652</v>
      </c>
      <c r="M349" t="s">
        <v>1593</v>
      </c>
      <c r="N349" t="s">
        <v>784</v>
      </c>
      <c r="O349" t="s">
        <v>1593</v>
      </c>
      <c r="P349" t="s">
        <v>788</v>
      </c>
      <c r="Q349" t="s">
        <v>55</v>
      </c>
      <c r="R349">
        <v>-6</v>
      </c>
      <c r="S349" s="15">
        <f>Table2[[#This Row],[movement_quantity]]/VLOOKUP(Table2[[#This Row],[product]],Ref[#All],5,FALSE)</f>
        <v>-0.15</v>
      </c>
      <c r="T349">
        <v>28919.106970000001</v>
      </c>
      <c r="U349" t="s">
        <v>17</v>
      </c>
      <c r="V349" t="s">
        <v>21</v>
      </c>
      <c r="W349" t="s">
        <v>2078</v>
      </c>
      <c r="X349" t="s">
        <v>17</v>
      </c>
      <c r="Y349" s="2" t="s">
        <v>884</v>
      </c>
      <c r="Z349">
        <v>0</v>
      </c>
      <c r="AA349" s="2">
        <v>-173514.64182000002</v>
      </c>
      <c r="AB349" t="str">
        <f>VLOOKUP(Table2[[#This Row],[product]],Ref[#All],6,FALSE)</f>
        <v>BAG25</v>
      </c>
    </row>
    <row r="350" spans="1:28" x14ac:dyDescent="0.25">
      <c r="A350" t="str">
        <f>TEXT(Table2[[#This Row],[dated]],"mmm")</f>
        <v>Aug</v>
      </c>
      <c r="B350" s="28" t="s">
        <v>2529</v>
      </c>
      <c r="C350" s="1" t="s">
        <v>2726</v>
      </c>
      <c r="D350" t="str">
        <f>VLOOKUP(Table2[[#This Row],[product]],Ref[#All],7,FALSE)</f>
        <v>Flour</v>
      </c>
      <c r="E350" s="28" t="s">
        <v>36</v>
      </c>
      <c r="F350" t="str">
        <f>VLOOKUP(Table2[[#This Row],[product]],Ref[#All],2,FALSE)</f>
        <v>Flour Import Elngm 25Kg</v>
      </c>
      <c r="G350" t="str">
        <f>VLOOKUP(Table2[[#This Row],[product]],Ref[#All],3,FALSE)</f>
        <v>Flour Al-Nagm (Imported)</v>
      </c>
      <c r="H350" t="str">
        <f>VLOOKUP(Table2[[#This Row],[product]],Ref[#All],4,FALSE)</f>
        <v>Import</v>
      </c>
      <c r="I350" s="1">
        <v>45872</v>
      </c>
      <c r="J350" t="s">
        <v>127</v>
      </c>
      <c r="K350" t="s">
        <v>2307</v>
      </c>
      <c r="L350" t="s">
        <v>1652</v>
      </c>
      <c r="M350" t="s">
        <v>1593</v>
      </c>
      <c r="N350" t="s">
        <v>784</v>
      </c>
      <c r="O350" t="s">
        <v>1593</v>
      </c>
      <c r="P350" t="s">
        <v>788</v>
      </c>
      <c r="Q350" t="s">
        <v>2213</v>
      </c>
      <c r="R350">
        <v>2</v>
      </c>
      <c r="S350" s="15">
        <f>Table2[[#This Row],[movement_quantity]]/VLOOKUP(Table2[[#This Row],[product]],Ref[#All],5,FALSE)</f>
        <v>0.05</v>
      </c>
      <c r="T350">
        <v>37596.649819999999</v>
      </c>
      <c r="U350" t="s">
        <v>2409</v>
      </c>
      <c r="V350" t="s">
        <v>18</v>
      </c>
      <c r="W350" t="s">
        <v>2410</v>
      </c>
      <c r="X350" t="s">
        <v>2411</v>
      </c>
      <c r="Y350" s="2" t="s">
        <v>17</v>
      </c>
      <c r="Z350">
        <v>0</v>
      </c>
      <c r="AA350" s="2">
        <v>75193.299639999997</v>
      </c>
      <c r="AB350" t="str">
        <f>VLOOKUP(Table2[[#This Row],[product]],Ref[#All],6,FALSE)</f>
        <v>BAG25</v>
      </c>
    </row>
    <row r="351" spans="1:28" x14ac:dyDescent="0.25">
      <c r="A351" t="str">
        <f>TEXT(Table2[[#This Row],[dated]],"mmm")</f>
        <v>Aug</v>
      </c>
      <c r="B351" s="28" t="s">
        <v>52</v>
      </c>
      <c r="C351" s="1" t="s">
        <v>2726</v>
      </c>
      <c r="D351" t="str">
        <f>VLOOKUP(Table2[[#This Row],[product]],Ref[#All],7,FALSE)</f>
        <v>Lentils</v>
      </c>
      <c r="E351" s="28" t="s">
        <v>39</v>
      </c>
      <c r="F351" t="str">
        <f>VLOOKUP(Table2[[#This Row],[product]],Ref[#All],2,FALSE)</f>
        <v>Lentil TAT 20KG</v>
      </c>
      <c r="G351" t="str">
        <f>VLOOKUP(Table2[[#This Row],[product]],Ref[#All],3,FALSE)</f>
        <v>Lentils</v>
      </c>
      <c r="H351" t="str">
        <f>VLOOKUP(Table2[[#This Row],[product]],Ref[#All],4,FALSE)</f>
        <v>Import</v>
      </c>
      <c r="I351" s="1">
        <v>45880</v>
      </c>
      <c r="J351" t="s">
        <v>127</v>
      </c>
      <c r="K351" t="s">
        <v>2319</v>
      </c>
      <c r="L351" t="s">
        <v>1652</v>
      </c>
      <c r="M351" t="s">
        <v>1593</v>
      </c>
      <c r="N351" t="s">
        <v>784</v>
      </c>
      <c r="O351" t="s">
        <v>1593</v>
      </c>
      <c r="P351" t="s">
        <v>788</v>
      </c>
      <c r="Q351" t="s">
        <v>55</v>
      </c>
      <c r="R351">
        <v>10</v>
      </c>
      <c r="S351" s="15">
        <f>Table2[[#This Row],[movement_quantity]]/VLOOKUP(Table2[[#This Row],[product]],Ref[#All],5,FALSE)</f>
        <v>0.2</v>
      </c>
      <c r="T351">
        <v>53401.105539999997</v>
      </c>
      <c r="U351" t="s">
        <v>153</v>
      </c>
      <c r="V351" t="s">
        <v>18</v>
      </c>
      <c r="W351" t="s">
        <v>2426</v>
      </c>
      <c r="X351" t="s">
        <v>2427</v>
      </c>
      <c r="Y351" s="2" t="s">
        <v>17</v>
      </c>
      <c r="Z351">
        <v>0</v>
      </c>
      <c r="AA351" s="2">
        <v>534011.05539999995</v>
      </c>
      <c r="AB351" t="str">
        <f>VLOOKUP(Table2[[#This Row],[product]],Ref[#All],6,FALSE)</f>
        <v>BAG20</v>
      </c>
    </row>
    <row r="352" spans="1:28" x14ac:dyDescent="0.25">
      <c r="A352" t="str">
        <f>TEXT(Table2[[#This Row],[dated]],"mmm")</f>
        <v>Aug</v>
      </c>
      <c r="B352" s="28" t="s">
        <v>52</v>
      </c>
      <c r="C352" s="1" t="s">
        <v>2726</v>
      </c>
      <c r="D352" t="str">
        <f>VLOOKUP(Table2[[#This Row],[product]],Ref[#All],7,FALSE)</f>
        <v>Lentils</v>
      </c>
      <c r="E352" s="28" t="s">
        <v>39</v>
      </c>
      <c r="F352" t="str">
        <f>VLOOKUP(Table2[[#This Row],[product]],Ref[#All],2,FALSE)</f>
        <v>Lentil TAT 20KG</v>
      </c>
      <c r="G352" t="str">
        <f>VLOOKUP(Table2[[#This Row],[product]],Ref[#All],3,FALSE)</f>
        <v>Lentils</v>
      </c>
      <c r="H352" t="str">
        <f>VLOOKUP(Table2[[#This Row],[product]],Ref[#All],4,FALSE)</f>
        <v>Import</v>
      </c>
      <c r="I352" s="1">
        <v>45880</v>
      </c>
      <c r="J352" t="s">
        <v>127</v>
      </c>
      <c r="K352" t="s">
        <v>2320</v>
      </c>
      <c r="L352" t="s">
        <v>1652</v>
      </c>
      <c r="M352" t="s">
        <v>1593</v>
      </c>
      <c r="N352" t="s">
        <v>784</v>
      </c>
      <c r="O352" t="s">
        <v>1593</v>
      </c>
      <c r="P352" t="s">
        <v>788</v>
      </c>
      <c r="Q352" t="s">
        <v>55</v>
      </c>
      <c r="R352">
        <v>1</v>
      </c>
      <c r="S352" s="15">
        <f>Table2[[#This Row],[movement_quantity]]/VLOOKUP(Table2[[#This Row],[product]],Ref[#All],5,FALSE)</f>
        <v>0.02</v>
      </c>
      <c r="T352">
        <v>53401.105539999997</v>
      </c>
      <c r="U352" t="s">
        <v>153</v>
      </c>
      <c r="V352" t="s">
        <v>21</v>
      </c>
      <c r="W352" t="s">
        <v>2428</v>
      </c>
      <c r="X352" t="s">
        <v>2429</v>
      </c>
      <c r="Y352" s="2" t="s">
        <v>17</v>
      </c>
      <c r="Z352">
        <v>0</v>
      </c>
      <c r="AA352" s="2">
        <v>53401.105539999997</v>
      </c>
      <c r="AB352" t="str">
        <f>VLOOKUP(Table2[[#This Row],[product]],Ref[#All],6,FALSE)</f>
        <v>BAG20</v>
      </c>
    </row>
    <row r="353" spans="1:28" x14ac:dyDescent="0.25">
      <c r="A353" t="str">
        <f>TEXT(Table2[[#This Row],[dated]],"mmm")</f>
        <v>Aug</v>
      </c>
      <c r="B353" s="28" t="s">
        <v>596</v>
      </c>
      <c r="C353" s="1" t="s">
        <v>2726</v>
      </c>
      <c r="D353" t="str">
        <f>VLOOKUP(Table2[[#This Row],[product]],Ref[#All],7,FALSE)</f>
        <v>Flour</v>
      </c>
      <c r="E353" s="28" t="s">
        <v>36</v>
      </c>
      <c r="F353" t="str">
        <f>VLOOKUP(Table2[[#This Row],[product]],Ref[#All],2,FALSE)</f>
        <v>Flour Import Elngm 25Kg</v>
      </c>
      <c r="G353" t="str">
        <f>VLOOKUP(Table2[[#This Row],[product]],Ref[#All],3,FALSE)</f>
        <v>Flour Al-Nagm (Imported)</v>
      </c>
      <c r="H353" t="str">
        <f>VLOOKUP(Table2[[#This Row],[product]],Ref[#All],4,FALSE)</f>
        <v>Import</v>
      </c>
      <c r="I353" s="1">
        <v>45880</v>
      </c>
      <c r="J353" t="s">
        <v>127</v>
      </c>
      <c r="K353" t="s">
        <v>2330</v>
      </c>
      <c r="L353" t="s">
        <v>1652</v>
      </c>
      <c r="M353" t="s">
        <v>1593</v>
      </c>
      <c r="N353" t="s">
        <v>784</v>
      </c>
      <c r="O353" t="s">
        <v>1593</v>
      </c>
      <c r="P353" t="s">
        <v>788</v>
      </c>
      <c r="Q353" t="s">
        <v>55</v>
      </c>
      <c r="R353">
        <v>5</v>
      </c>
      <c r="S353" s="15">
        <f>Table2[[#This Row],[movement_quantity]]/VLOOKUP(Table2[[#This Row],[product]],Ref[#All],5,FALSE)</f>
        <v>0.125</v>
      </c>
      <c r="T353">
        <v>37596.649819999999</v>
      </c>
      <c r="U353" t="s">
        <v>1420</v>
      </c>
      <c r="V353" t="s">
        <v>23</v>
      </c>
      <c r="W353" t="s">
        <v>2422</v>
      </c>
      <c r="X353" t="s">
        <v>2439</v>
      </c>
      <c r="Y353" s="2" t="s">
        <v>17</v>
      </c>
      <c r="Z353">
        <v>0</v>
      </c>
      <c r="AA353" s="2">
        <v>187983.24909999999</v>
      </c>
      <c r="AB353" t="str">
        <f>VLOOKUP(Table2[[#This Row],[product]],Ref[#All],6,FALSE)</f>
        <v>BAG25</v>
      </c>
    </row>
    <row r="354" spans="1:28" x14ac:dyDescent="0.25">
      <c r="A354" t="str">
        <f>TEXT(Table2[[#This Row],[dated]],"mmm")</f>
        <v>Aug</v>
      </c>
      <c r="B354" s="28" t="s">
        <v>52</v>
      </c>
      <c r="C354" s="1" t="s">
        <v>2726</v>
      </c>
      <c r="D354" t="str">
        <f>VLOOKUP(Table2[[#This Row],[product]],Ref[#All],7,FALSE)</f>
        <v>Rice</v>
      </c>
      <c r="E354" s="28" t="s">
        <v>47</v>
      </c>
      <c r="F354" t="str">
        <f>VLOOKUP(Table2[[#This Row],[product]],Ref[#All],2,FALSE)</f>
        <v>Rice Long Grade 2 Elngm 20Kg</v>
      </c>
      <c r="G354" t="str">
        <f>VLOOKUP(Table2[[#This Row],[product]],Ref[#All],3,FALSE)</f>
        <v>Rice Long Grain</v>
      </c>
      <c r="H354" t="str">
        <f>VLOOKUP(Table2[[#This Row],[product]],Ref[#All],4,FALSE)</f>
        <v>Import</v>
      </c>
      <c r="I354" s="1">
        <v>45886</v>
      </c>
      <c r="J354" t="s">
        <v>53</v>
      </c>
      <c r="K354" t="s">
        <v>2335</v>
      </c>
      <c r="L354" t="s">
        <v>1652</v>
      </c>
      <c r="M354" t="s">
        <v>1593</v>
      </c>
      <c r="N354" t="s">
        <v>784</v>
      </c>
      <c r="O354" t="s">
        <v>1593</v>
      </c>
      <c r="P354" t="s">
        <v>788</v>
      </c>
      <c r="Q354" t="s">
        <v>55</v>
      </c>
      <c r="R354">
        <v>-2</v>
      </c>
      <c r="S354" s="15">
        <f>Table2[[#This Row],[movement_quantity]]/VLOOKUP(Table2[[#This Row],[product]],Ref[#All],5,FALSE)</f>
        <v>-0.04</v>
      </c>
      <c r="T354">
        <v>35962.273739999997</v>
      </c>
      <c r="U354" t="s">
        <v>17</v>
      </c>
      <c r="V354" t="s">
        <v>18</v>
      </c>
      <c r="W354" t="s">
        <v>2446</v>
      </c>
      <c r="X354" t="s">
        <v>17</v>
      </c>
      <c r="Y354" s="2" t="s">
        <v>810</v>
      </c>
      <c r="Z354">
        <v>0</v>
      </c>
      <c r="AA354" s="2">
        <v>-71924.547479999994</v>
      </c>
      <c r="AB354" t="str">
        <f>VLOOKUP(Table2[[#This Row],[product]],Ref[#All],6,FALSE)</f>
        <v>BAG20</v>
      </c>
    </row>
    <row r="355" spans="1:28" x14ac:dyDescent="0.25">
      <c r="A355" t="str">
        <f>TEXT(Table2[[#This Row],[dated]],"mmm")</f>
        <v>Aug</v>
      </c>
      <c r="B355" s="28" t="s">
        <v>52</v>
      </c>
      <c r="C355" s="1" t="s">
        <v>2726</v>
      </c>
      <c r="D355" t="str">
        <f>VLOOKUP(Table2[[#This Row],[product]],Ref[#All],7,FALSE)</f>
        <v>Rice</v>
      </c>
      <c r="E355" s="28" t="s">
        <v>47</v>
      </c>
      <c r="F355" t="str">
        <f>VLOOKUP(Table2[[#This Row],[product]],Ref[#All],2,FALSE)</f>
        <v>Rice Long Grade 2 Elngm 20Kg</v>
      </c>
      <c r="G355" t="str">
        <f>VLOOKUP(Table2[[#This Row],[product]],Ref[#All],3,FALSE)</f>
        <v>Rice Long Grain</v>
      </c>
      <c r="H355" t="str">
        <f>VLOOKUP(Table2[[#This Row],[product]],Ref[#All],4,FALSE)</f>
        <v>Import</v>
      </c>
      <c r="I355" s="1">
        <v>45886</v>
      </c>
      <c r="J355" t="s">
        <v>127</v>
      </c>
      <c r="K355" t="s">
        <v>2336</v>
      </c>
      <c r="L355" t="s">
        <v>1652</v>
      </c>
      <c r="M355" t="s">
        <v>1593</v>
      </c>
      <c r="N355" t="s">
        <v>784</v>
      </c>
      <c r="O355" t="s">
        <v>1593</v>
      </c>
      <c r="P355" t="s">
        <v>788</v>
      </c>
      <c r="Q355" t="s">
        <v>55</v>
      </c>
      <c r="R355">
        <v>2</v>
      </c>
      <c r="S355" s="15">
        <f>Table2[[#This Row],[movement_quantity]]/VLOOKUP(Table2[[#This Row],[product]],Ref[#All],5,FALSE)</f>
        <v>0.04</v>
      </c>
      <c r="T355">
        <v>35962.273739999997</v>
      </c>
      <c r="U355" t="s">
        <v>153</v>
      </c>
      <c r="V355" t="s">
        <v>21</v>
      </c>
      <c r="W355" t="s">
        <v>2447</v>
      </c>
      <c r="X355" t="s">
        <v>2448</v>
      </c>
      <c r="Y355" s="2" t="s">
        <v>17</v>
      </c>
      <c r="Z355">
        <v>0</v>
      </c>
      <c r="AA355" s="2">
        <v>71924.547479999994</v>
      </c>
      <c r="AB355" t="str">
        <f>VLOOKUP(Table2[[#This Row],[product]],Ref[#All],6,FALSE)</f>
        <v>BAG20</v>
      </c>
    </row>
    <row r="356" spans="1:28" x14ac:dyDescent="0.25">
      <c r="A356" t="str">
        <f>TEXT(Table2[[#This Row],[dated]],"mmm")</f>
        <v>Aug</v>
      </c>
      <c r="B356" s="28" t="s">
        <v>52</v>
      </c>
      <c r="C356" s="1" t="s">
        <v>2726</v>
      </c>
      <c r="D356" t="str">
        <f>VLOOKUP(Table2[[#This Row],[product]],Ref[#All],7,FALSE)</f>
        <v>Rice</v>
      </c>
      <c r="E356" s="28" t="s">
        <v>47</v>
      </c>
      <c r="F356" t="str">
        <f>VLOOKUP(Table2[[#This Row],[product]],Ref[#All],2,FALSE)</f>
        <v>Rice Long Grade 2 Elngm 20Kg</v>
      </c>
      <c r="G356" t="str">
        <f>VLOOKUP(Table2[[#This Row],[product]],Ref[#All],3,FALSE)</f>
        <v>Rice Long Grain</v>
      </c>
      <c r="H356" t="str">
        <f>VLOOKUP(Table2[[#This Row],[product]],Ref[#All],4,FALSE)</f>
        <v>Import</v>
      </c>
      <c r="I356" s="1">
        <v>45886</v>
      </c>
      <c r="J356" t="s">
        <v>127</v>
      </c>
      <c r="K356" t="s">
        <v>2337</v>
      </c>
      <c r="L356" t="s">
        <v>1652</v>
      </c>
      <c r="M356" t="s">
        <v>1593</v>
      </c>
      <c r="N356" t="s">
        <v>784</v>
      </c>
      <c r="O356" t="s">
        <v>1593</v>
      </c>
      <c r="P356" t="s">
        <v>788</v>
      </c>
      <c r="Q356" t="s">
        <v>55</v>
      </c>
      <c r="R356">
        <v>2</v>
      </c>
      <c r="S356" s="15">
        <f>Table2[[#This Row],[movement_quantity]]/VLOOKUP(Table2[[#This Row],[product]],Ref[#All],5,FALSE)</f>
        <v>0.04</v>
      </c>
      <c r="T356">
        <v>35962.273739999997</v>
      </c>
      <c r="U356" t="s">
        <v>153</v>
      </c>
      <c r="V356" t="s">
        <v>22</v>
      </c>
      <c r="W356" t="s">
        <v>2449</v>
      </c>
      <c r="X356" t="s">
        <v>2450</v>
      </c>
      <c r="Y356" s="2" t="s">
        <v>17</v>
      </c>
      <c r="Z356">
        <v>0</v>
      </c>
      <c r="AA356" s="2">
        <v>71924.547479999994</v>
      </c>
      <c r="AB356" t="str">
        <f>VLOOKUP(Table2[[#This Row],[product]],Ref[#All],6,FALSE)</f>
        <v>BAG20</v>
      </c>
    </row>
    <row r="357" spans="1:28" x14ac:dyDescent="0.25">
      <c r="A357" t="str">
        <f>TEXT(Table2[[#This Row],[dated]],"mmm")</f>
        <v>Aug</v>
      </c>
      <c r="B357" s="28" t="s">
        <v>20</v>
      </c>
      <c r="C357" s="1" t="s">
        <v>2726</v>
      </c>
      <c r="D357" t="str">
        <f>VLOOKUP(Table2[[#This Row],[product]],Ref[#All],7,FALSE)</f>
        <v>Lentils</v>
      </c>
      <c r="E357" s="28" t="s">
        <v>39</v>
      </c>
      <c r="F357" t="str">
        <f>VLOOKUP(Table2[[#This Row],[product]],Ref[#All],2,FALSE)</f>
        <v>Lentil TAT 20KG</v>
      </c>
      <c r="G357" t="str">
        <f>VLOOKUP(Table2[[#This Row],[product]],Ref[#All],3,FALSE)</f>
        <v>Lentils</v>
      </c>
      <c r="H357" t="str">
        <f>VLOOKUP(Table2[[#This Row],[product]],Ref[#All],4,FALSE)</f>
        <v>Import</v>
      </c>
      <c r="I357" s="1">
        <v>45896</v>
      </c>
      <c r="J357" t="s">
        <v>127</v>
      </c>
      <c r="K357" t="s">
        <v>2380</v>
      </c>
      <c r="L357" t="s">
        <v>1652</v>
      </c>
      <c r="M357" t="s">
        <v>1593</v>
      </c>
      <c r="N357" t="s">
        <v>784</v>
      </c>
      <c r="O357" t="s">
        <v>1593</v>
      </c>
      <c r="P357" t="s">
        <v>788</v>
      </c>
      <c r="Q357" t="s">
        <v>55</v>
      </c>
      <c r="R357">
        <v>30</v>
      </c>
      <c r="S357" s="15">
        <f>Table2[[#This Row],[movement_quantity]]/VLOOKUP(Table2[[#This Row],[product]],Ref[#All],5,FALSE)</f>
        <v>0.6</v>
      </c>
      <c r="T357">
        <v>53401.105539999997</v>
      </c>
      <c r="U357" t="s">
        <v>1439</v>
      </c>
      <c r="V357" t="s">
        <v>25</v>
      </c>
      <c r="W357" t="s">
        <v>2504</v>
      </c>
      <c r="X357" t="s">
        <v>2505</v>
      </c>
      <c r="Y357" s="2" t="s">
        <v>17</v>
      </c>
      <c r="Z357">
        <v>0</v>
      </c>
      <c r="AA357" s="2">
        <v>1602033.1661999999</v>
      </c>
      <c r="AB357" t="str">
        <f>VLOOKUP(Table2[[#This Row],[product]],Ref[#All],6,FALSE)</f>
        <v>BAG20</v>
      </c>
    </row>
    <row r="358" spans="1:28" x14ac:dyDescent="0.25">
      <c r="A358" t="str">
        <f>TEXT(Table2[[#This Row],[dated]],"mmm")</f>
        <v>Sep</v>
      </c>
      <c r="B358" t="s">
        <v>96</v>
      </c>
      <c r="C358" s="1" t="s">
        <v>2726</v>
      </c>
      <c r="D358" t="str">
        <f>VLOOKUP(Table2[[#This Row],[product]],Ref[#All],7,FALSE)</f>
        <v>Flour</v>
      </c>
      <c r="E358" s="28" t="s">
        <v>42</v>
      </c>
      <c r="F358" t="str">
        <f>VLOOKUP(Table2[[#This Row],[product]],Ref[#All],2,FALSE)</f>
        <v>Alnajm Flour from Mill 25KG</v>
      </c>
      <c r="G358" t="str">
        <f>VLOOKUP(Table2[[#This Row],[product]],Ref[#All],3,FALSE)</f>
        <v>Flour Al-Nagm (Mill)</v>
      </c>
      <c r="H358" t="str">
        <f>VLOOKUP(Table2[[#This Row],[product]],Ref[#All],4,FALSE)</f>
        <v>Import</v>
      </c>
      <c r="I358" s="1">
        <v>45917</v>
      </c>
      <c r="J358" s="28" t="s">
        <v>127</v>
      </c>
      <c r="K358" s="33" t="s">
        <v>2587</v>
      </c>
      <c r="L358" t="s">
        <v>1652</v>
      </c>
      <c r="M358" t="s">
        <v>1593</v>
      </c>
      <c r="N358" t="s">
        <v>784</v>
      </c>
      <c r="O358" t="s">
        <v>1593</v>
      </c>
      <c r="P358" t="s">
        <v>788</v>
      </c>
      <c r="Q358" s="38" t="s">
        <v>55</v>
      </c>
      <c r="R358">
        <v>8</v>
      </c>
      <c r="S358" s="15">
        <f>Table2[[#This Row],[movement_quantity]]/VLOOKUP(Table2[[#This Row],[product]],Ref[#All],5,FALSE)</f>
        <v>0.2</v>
      </c>
      <c r="T358">
        <v>32432.643329999999</v>
      </c>
      <c r="U358" t="s">
        <v>143</v>
      </c>
      <c r="V358" t="s">
        <v>18</v>
      </c>
      <c r="W358" t="s">
        <v>2639</v>
      </c>
      <c r="X358" t="s">
        <v>2640</v>
      </c>
      <c r="Y358" s="2" t="s">
        <v>17</v>
      </c>
      <c r="Z358">
        <v>0</v>
      </c>
      <c r="AA358" s="2">
        <v>259461.14663999999</v>
      </c>
      <c r="AB358" t="str">
        <f>VLOOKUP(Table2[[#This Row],[product]],Ref[#All],6,FALSE)</f>
        <v>BAG25</v>
      </c>
    </row>
    <row r="359" spans="1:28" x14ac:dyDescent="0.25">
      <c r="A359" t="str">
        <f>TEXT(Table2[[#This Row],[dated]],"mmm")</f>
        <v>Sep</v>
      </c>
      <c r="B359" t="s">
        <v>96</v>
      </c>
      <c r="C359" s="1" t="s">
        <v>2726</v>
      </c>
      <c r="D359" t="str">
        <f>VLOOKUP(Table2[[#This Row],[product]],Ref[#All],7,FALSE)</f>
        <v>Flour</v>
      </c>
      <c r="E359" s="28" t="s">
        <v>42</v>
      </c>
      <c r="F359" t="str">
        <f>VLOOKUP(Table2[[#This Row],[product]],Ref[#All],2,FALSE)</f>
        <v>Alnajm Flour from Mill 25KG</v>
      </c>
      <c r="G359" t="str">
        <f>VLOOKUP(Table2[[#This Row],[product]],Ref[#All],3,FALSE)</f>
        <v>Flour Al-Nagm (Mill)</v>
      </c>
      <c r="H359" t="str">
        <f>VLOOKUP(Table2[[#This Row],[product]],Ref[#All],4,FALSE)</f>
        <v>Import</v>
      </c>
      <c r="I359" s="1">
        <v>45917</v>
      </c>
      <c r="J359" s="28" t="s">
        <v>127</v>
      </c>
      <c r="K359" s="33" t="s">
        <v>2588</v>
      </c>
      <c r="L359" t="s">
        <v>1652</v>
      </c>
      <c r="M359" t="s">
        <v>1593</v>
      </c>
      <c r="N359" t="s">
        <v>784</v>
      </c>
      <c r="O359" t="s">
        <v>1593</v>
      </c>
      <c r="P359" t="s">
        <v>788</v>
      </c>
      <c r="Q359" s="38" t="s">
        <v>55</v>
      </c>
      <c r="R359">
        <v>15</v>
      </c>
      <c r="S359" s="15">
        <f>Table2[[#This Row],[movement_quantity]]/VLOOKUP(Table2[[#This Row],[product]],Ref[#All],5,FALSE)</f>
        <v>0.375</v>
      </c>
      <c r="T359">
        <v>32432.643329999999</v>
      </c>
      <c r="U359" t="s">
        <v>143</v>
      </c>
      <c r="V359" t="s">
        <v>21</v>
      </c>
      <c r="W359" t="s">
        <v>2641</v>
      </c>
      <c r="X359" t="s">
        <v>2642</v>
      </c>
      <c r="Y359" s="2" t="s">
        <v>17</v>
      </c>
      <c r="Z359">
        <v>0</v>
      </c>
      <c r="AA359" s="2">
        <v>486489.64994999999</v>
      </c>
      <c r="AB359" t="str">
        <f>VLOOKUP(Table2[[#This Row],[product]],Ref[#All],6,FALSE)</f>
        <v>BAG25</v>
      </c>
    </row>
    <row r="360" spans="1:28" x14ac:dyDescent="0.25">
      <c r="A360" t="str">
        <f>TEXT(Table2[[#This Row],[dated]],"mmm")</f>
        <v>Sep</v>
      </c>
      <c r="B360" t="s">
        <v>96</v>
      </c>
      <c r="C360" s="1" t="s">
        <v>2726</v>
      </c>
      <c r="D360" t="str">
        <f>VLOOKUP(Table2[[#This Row],[product]],Ref[#All],7,FALSE)</f>
        <v>Sugar</v>
      </c>
      <c r="E360" s="28" t="s">
        <v>72</v>
      </c>
      <c r="F360" t="str">
        <f>VLOOKUP(Table2[[#This Row],[product]],Ref[#All],2,FALSE)</f>
        <v>White Sugar</v>
      </c>
      <c r="G360" t="str">
        <f>VLOOKUP(Table2[[#This Row],[product]],Ref[#All],3,FALSE)</f>
        <v>White Sugar</v>
      </c>
      <c r="H360" t="str">
        <f>VLOOKUP(Table2[[#This Row],[product]],Ref[#All],4,FALSE)</f>
        <v>Import</v>
      </c>
      <c r="I360" s="1">
        <v>45917</v>
      </c>
      <c r="J360" s="28" t="s">
        <v>127</v>
      </c>
      <c r="K360" s="33" t="s">
        <v>2589</v>
      </c>
      <c r="L360" t="s">
        <v>1652</v>
      </c>
      <c r="M360" t="s">
        <v>1593</v>
      </c>
      <c r="N360" t="s">
        <v>784</v>
      </c>
      <c r="O360" t="s">
        <v>1593</v>
      </c>
      <c r="P360" t="s">
        <v>788</v>
      </c>
      <c r="Q360" s="38" t="s">
        <v>55</v>
      </c>
      <c r="R360">
        <v>4</v>
      </c>
      <c r="S360" s="15">
        <f>Table2[[#This Row],[movement_quantity]]/VLOOKUP(Table2[[#This Row],[product]],Ref[#All],5,FALSE)</f>
        <v>0.2</v>
      </c>
      <c r="T360">
        <v>87806.150020000001</v>
      </c>
      <c r="U360" t="s">
        <v>143</v>
      </c>
      <c r="V360" t="s">
        <v>18</v>
      </c>
      <c r="W360" t="s">
        <v>2643</v>
      </c>
      <c r="X360" t="s">
        <v>2644</v>
      </c>
      <c r="Y360" s="2" t="s">
        <v>17</v>
      </c>
      <c r="Z360">
        <v>0</v>
      </c>
      <c r="AA360" s="2">
        <v>351224.60008</v>
      </c>
      <c r="AB360" t="str">
        <f>VLOOKUP(Table2[[#This Row],[product]],Ref[#All],6,FALSE)</f>
        <v>BAG50</v>
      </c>
    </row>
    <row r="361" spans="1:28" x14ac:dyDescent="0.25">
      <c r="A361" t="str">
        <f>TEXT(Table2[[#This Row],[dated]],"mmm")</f>
        <v>Sep</v>
      </c>
      <c r="B361" t="s">
        <v>811</v>
      </c>
      <c r="C361" s="1" t="s">
        <v>2726</v>
      </c>
      <c r="D361" t="str">
        <f>VLOOKUP(Table2[[#This Row],[product]],Ref[#All],7,FALSE)</f>
        <v>Sugar</v>
      </c>
      <c r="E361" s="28" t="s">
        <v>761</v>
      </c>
      <c r="F361" t="str">
        <f>VLOOKUP(Table2[[#This Row],[product]],Ref[#All],2,FALSE)</f>
        <v>White Crystal Sugar</v>
      </c>
      <c r="G361" t="str">
        <f>VLOOKUP(Table2[[#This Row],[product]],Ref[#All],3,FALSE)</f>
        <v>White Crystal Sugar</v>
      </c>
      <c r="H361" t="str">
        <f>VLOOKUP(Table2[[#This Row],[product]],Ref[#All],4,FALSE)</f>
        <v>Import</v>
      </c>
      <c r="I361" s="1">
        <v>45917</v>
      </c>
      <c r="J361" s="28" t="s">
        <v>127</v>
      </c>
      <c r="K361" s="33" t="s">
        <v>2590</v>
      </c>
      <c r="L361" t="s">
        <v>1652</v>
      </c>
      <c r="M361" t="s">
        <v>1593</v>
      </c>
      <c r="N361" t="s">
        <v>784</v>
      </c>
      <c r="O361" t="s">
        <v>1593</v>
      </c>
      <c r="P361" t="s">
        <v>788</v>
      </c>
      <c r="Q361" s="38" t="s">
        <v>55</v>
      </c>
      <c r="R361">
        <v>10</v>
      </c>
      <c r="S361" s="15">
        <f>Table2[[#This Row],[movement_quantity]]/VLOOKUP(Table2[[#This Row],[product]],Ref[#All],5,FALSE)</f>
        <v>0.5</v>
      </c>
      <c r="T361">
        <v>87806.150020000001</v>
      </c>
      <c r="U361" t="s">
        <v>813</v>
      </c>
      <c r="V361" t="s">
        <v>18</v>
      </c>
      <c r="W361" t="s">
        <v>2645</v>
      </c>
      <c r="X361" t="s">
        <v>2646</v>
      </c>
      <c r="Y361" s="2" t="s">
        <v>17</v>
      </c>
      <c r="Z361">
        <v>0</v>
      </c>
      <c r="AA361" s="2">
        <v>878061.50020000001</v>
      </c>
      <c r="AB361" t="str">
        <f>VLOOKUP(Table2[[#This Row],[product]],Ref[#All],6,FALSE)</f>
        <v>BAG50</v>
      </c>
    </row>
    <row r="362" spans="1:28" x14ac:dyDescent="0.25">
      <c r="A362" t="str">
        <f>TEXT(Table2[[#This Row],[dated]],"mmm")</f>
        <v>Sep</v>
      </c>
      <c r="B362" t="s">
        <v>811</v>
      </c>
      <c r="C362" s="1" t="s">
        <v>2726</v>
      </c>
      <c r="D362" t="str">
        <f>VLOOKUP(Table2[[#This Row],[product]],Ref[#All],7,FALSE)</f>
        <v>Sugar</v>
      </c>
      <c r="E362" s="28" t="s">
        <v>761</v>
      </c>
      <c r="F362" t="str">
        <f>VLOOKUP(Table2[[#This Row],[product]],Ref[#All],2,FALSE)</f>
        <v>White Crystal Sugar</v>
      </c>
      <c r="G362" t="str">
        <f>VLOOKUP(Table2[[#This Row],[product]],Ref[#All],3,FALSE)</f>
        <v>White Crystal Sugar</v>
      </c>
      <c r="H362" t="str">
        <f>VLOOKUP(Table2[[#This Row],[product]],Ref[#All],4,FALSE)</f>
        <v>Import</v>
      </c>
      <c r="I362" s="1">
        <v>45917</v>
      </c>
      <c r="J362" s="28" t="s">
        <v>127</v>
      </c>
      <c r="K362" s="33" t="s">
        <v>2591</v>
      </c>
      <c r="L362" t="s">
        <v>1652</v>
      </c>
      <c r="M362" t="s">
        <v>1593</v>
      </c>
      <c r="N362" t="s">
        <v>784</v>
      </c>
      <c r="O362" t="s">
        <v>1593</v>
      </c>
      <c r="P362" t="s">
        <v>788</v>
      </c>
      <c r="Q362" s="38" t="s">
        <v>55</v>
      </c>
      <c r="R362">
        <v>6</v>
      </c>
      <c r="S362" s="15">
        <f>Table2[[#This Row],[movement_quantity]]/VLOOKUP(Table2[[#This Row],[product]],Ref[#All],5,FALSE)</f>
        <v>0.3</v>
      </c>
      <c r="T362">
        <v>87806.150020000001</v>
      </c>
      <c r="U362" t="s">
        <v>813</v>
      </c>
      <c r="V362" t="s">
        <v>21</v>
      </c>
      <c r="W362" t="s">
        <v>2647</v>
      </c>
      <c r="X362" t="s">
        <v>2648</v>
      </c>
      <c r="Y362" s="2" t="s">
        <v>17</v>
      </c>
      <c r="Z362">
        <v>0</v>
      </c>
      <c r="AA362" s="2">
        <v>526836.90012000001</v>
      </c>
      <c r="AB362" t="str">
        <f>VLOOKUP(Table2[[#This Row],[product]],Ref[#All],6,FALSE)</f>
        <v>BAG50</v>
      </c>
    </row>
    <row r="363" spans="1:28" x14ac:dyDescent="0.25">
      <c r="A363" t="str">
        <f>TEXT(Table2[[#This Row],[dated]],"mmm")</f>
        <v>Sep</v>
      </c>
      <c r="B363" t="s">
        <v>52</v>
      </c>
      <c r="C363" s="1" t="s">
        <v>2726</v>
      </c>
      <c r="D363" t="str">
        <f>VLOOKUP(Table2[[#This Row],[product]],Ref[#All],7,FALSE)</f>
        <v>Lentils</v>
      </c>
      <c r="E363" s="28" t="s">
        <v>39</v>
      </c>
      <c r="F363" t="str">
        <f>VLOOKUP(Table2[[#This Row],[product]],Ref[#All],2,FALSE)</f>
        <v>Lentil TAT 20KG</v>
      </c>
      <c r="G363" t="str">
        <f>VLOOKUP(Table2[[#This Row],[product]],Ref[#All],3,FALSE)</f>
        <v>Lentils</v>
      </c>
      <c r="H363" t="str">
        <f>VLOOKUP(Table2[[#This Row],[product]],Ref[#All],4,FALSE)</f>
        <v>Import</v>
      </c>
      <c r="I363" s="1">
        <v>45924</v>
      </c>
      <c r="J363" t="s">
        <v>127</v>
      </c>
      <c r="K363" t="s">
        <v>2667</v>
      </c>
      <c r="L363" t="s">
        <v>1652</v>
      </c>
      <c r="M363" t="s">
        <v>1593</v>
      </c>
      <c r="N363" t="s">
        <v>784</v>
      </c>
      <c r="O363" t="s">
        <v>1593</v>
      </c>
      <c r="P363" t="s">
        <v>788</v>
      </c>
      <c r="Q363" t="s">
        <v>55</v>
      </c>
      <c r="R363">
        <v>2</v>
      </c>
      <c r="S363" s="15">
        <f>Table2[[#This Row],[movement_quantity]]/VLOOKUP(Table2[[#This Row],[product]],Ref[#All],5,FALSE)</f>
        <v>0.04</v>
      </c>
      <c r="T363">
        <v>45680.80154</v>
      </c>
      <c r="U363" t="s">
        <v>153</v>
      </c>
      <c r="V363" t="s">
        <v>18</v>
      </c>
      <c r="W363" t="s">
        <v>2686</v>
      </c>
      <c r="X363" t="s">
        <v>2687</v>
      </c>
      <c r="Y363" s="2" t="s">
        <v>17</v>
      </c>
      <c r="Z363">
        <v>0</v>
      </c>
      <c r="AA363" s="2">
        <v>91361.603080000001</v>
      </c>
      <c r="AB363" t="str">
        <f>VLOOKUP(Table2[[#This Row],[product]],Ref[#All],6,FALSE)</f>
        <v>BAG20</v>
      </c>
    </row>
    <row r="364" spans="1:28" x14ac:dyDescent="0.25">
      <c r="A364" t="str">
        <f>TEXT(Table2[[#This Row],[dated]],"mmm")</f>
        <v>Sep</v>
      </c>
      <c r="B364" t="s">
        <v>52</v>
      </c>
      <c r="C364" s="1" t="s">
        <v>2726</v>
      </c>
      <c r="D364" t="str">
        <f>VLOOKUP(Table2[[#This Row],[product]],Ref[#All],7,FALSE)</f>
        <v>Lentils</v>
      </c>
      <c r="E364" s="28" t="s">
        <v>39</v>
      </c>
      <c r="F364" t="str">
        <f>VLOOKUP(Table2[[#This Row],[product]],Ref[#All],2,FALSE)</f>
        <v>Lentil TAT 20KG</v>
      </c>
      <c r="G364" t="str">
        <f>VLOOKUP(Table2[[#This Row],[product]],Ref[#All],3,FALSE)</f>
        <v>Lentils</v>
      </c>
      <c r="H364" t="str">
        <f>VLOOKUP(Table2[[#This Row],[product]],Ref[#All],4,FALSE)</f>
        <v>Import</v>
      </c>
      <c r="I364" s="1">
        <v>45924</v>
      </c>
      <c r="J364" t="s">
        <v>127</v>
      </c>
      <c r="K364" t="s">
        <v>2668</v>
      </c>
      <c r="L364" t="s">
        <v>1652</v>
      </c>
      <c r="M364" t="s">
        <v>1593</v>
      </c>
      <c r="N364" t="s">
        <v>784</v>
      </c>
      <c r="O364" t="s">
        <v>1593</v>
      </c>
      <c r="P364" t="s">
        <v>788</v>
      </c>
      <c r="Q364" t="s">
        <v>55</v>
      </c>
      <c r="R364">
        <v>2</v>
      </c>
      <c r="S364" s="15">
        <f>Table2[[#This Row],[movement_quantity]]/VLOOKUP(Table2[[#This Row],[product]],Ref[#All],5,FALSE)</f>
        <v>0.04</v>
      </c>
      <c r="T364">
        <v>45680.80154</v>
      </c>
      <c r="U364" t="s">
        <v>153</v>
      </c>
      <c r="V364" t="s">
        <v>21</v>
      </c>
      <c r="W364" t="s">
        <v>2688</v>
      </c>
      <c r="X364" t="s">
        <v>2689</v>
      </c>
      <c r="Y364" s="2" t="s">
        <v>17</v>
      </c>
      <c r="Z364">
        <v>0</v>
      </c>
      <c r="AA364" s="2">
        <v>91361.603080000001</v>
      </c>
      <c r="AB364" t="str">
        <f>VLOOKUP(Table2[[#This Row],[product]],Ref[#All],6,FALSE)</f>
        <v>BAG20</v>
      </c>
    </row>
    <row r="365" spans="1:28" x14ac:dyDescent="0.25">
      <c r="A365" t="str">
        <f>TEXT(Table2[[#This Row],[dated]],"mmm")</f>
        <v>Sep</v>
      </c>
      <c r="B365" t="s">
        <v>52</v>
      </c>
      <c r="C365" s="1" t="s">
        <v>2726</v>
      </c>
      <c r="D365" t="str">
        <f>VLOOKUP(Table2[[#This Row],[product]],Ref[#All],7,FALSE)</f>
        <v>Flour</v>
      </c>
      <c r="E365" s="28" t="s">
        <v>42</v>
      </c>
      <c r="F365" t="str">
        <f>VLOOKUP(Table2[[#This Row],[product]],Ref[#All],2,FALSE)</f>
        <v>Alnajm Flour from Mill 25KG</v>
      </c>
      <c r="G365" t="str">
        <f>VLOOKUP(Table2[[#This Row],[product]],Ref[#All],3,FALSE)</f>
        <v>Flour Al-Nagm (Mill)</v>
      </c>
      <c r="H365" t="str">
        <f>VLOOKUP(Table2[[#This Row],[product]],Ref[#All],4,FALSE)</f>
        <v>Import</v>
      </c>
      <c r="I365" s="1">
        <v>45924</v>
      </c>
      <c r="J365" t="s">
        <v>127</v>
      </c>
      <c r="K365" t="s">
        <v>2669</v>
      </c>
      <c r="L365" t="s">
        <v>1652</v>
      </c>
      <c r="M365" t="s">
        <v>1593</v>
      </c>
      <c r="N365" t="s">
        <v>784</v>
      </c>
      <c r="O365" t="s">
        <v>1593</v>
      </c>
      <c r="P365" t="s">
        <v>788</v>
      </c>
      <c r="Q365" t="s">
        <v>55</v>
      </c>
      <c r="R365">
        <v>12</v>
      </c>
      <c r="S365" s="15">
        <f>Table2[[#This Row],[movement_quantity]]/VLOOKUP(Table2[[#This Row],[product]],Ref[#All],5,FALSE)</f>
        <v>0.3</v>
      </c>
      <c r="T365">
        <v>32432.643329999999</v>
      </c>
      <c r="U365" t="s">
        <v>153</v>
      </c>
      <c r="V365" t="s">
        <v>18</v>
      </c>
      <c r="W365" t="s">
        <v>2690</v>
      </c>
      <c r="X365" t="s">
        <v>2691</v>
      </c>
      <c r="Y365" s="2" t="s">
        <v>17</v>
      </c>
      <c r="Z365">
        <v>0</v>
      </c>
      <c r="AA365" s="2">
        <v>389191.71996000002</v>
      </c>
      <c r="AB365" t="str">
        <f>VLOOKUP(Table2[[#This Row],[product]],Ref[#All],6,FALSE)</f>
        <v>BAG25</v>
      </c>
    </row>
    <row r="366" spans="1:28" x14ac:dyDescent="0.25">
      <c r="A366" t="str">
        <f>TEXT(Table2[[#This Row],[dated]],"mmm")</f>
        <v>Sep</v>
      </c>
      <c r="B366" t="s">
        <v>52</v>
      </c>
      <c r="C366" s="1" t="s">
        <v>2726</v>
      </c>
      <c r="D366" t="str">
        <f>VLOOKUP(Table2[[#This Row],[product]],Ref[#All],7,FALSE)</f>
        <v>Flour</v>
      </c>
      <c r="E366" s="28" t="s">
        <v>42</v>
      </c>
      <c r="F366" t="str">
        <f>VLOOKUP(Table2[[#This Row],[product]],Ref[#All],2,FALSE)</f>
        <v>Alnajm Flour from Mill 25KG</v>
      </c>
      <c r="G366" t="str">
        <f>VLOOKUP(Table2[[#This Row],[product]],Ref[#All],3,FALSE)</f>
        <v>Flour Al-Nagm (Mill)</v>
      </c>
      <c r="H366" t="str">
        <f>VLOOKUP(Table2[[#This Row],[product]],Ref[#All],4,FALSE)</f>
        <v>Import</v>
      </c>
      <c r="I366" s="1">
        <v>45924</v>
      </c>
      <c r="J366" t="s">
        <v>127</v>
      </c>
      <c r="K366" t="s">
        <v>2670</v>
      </c>
      <c r="L366" t="s">
        <v>1652</v>
      </c>
      <c r="M366" t="s">
        <v>1593</v>
      </c>
      <c r="N366" t="s">
        <v>784</v>
      </c>
      <c r="O366" t="s">
        <v>1593</v>
      </c>
      <c r="P366" t="s">
        <v>788</v>
      </c>
      <c r="Q366" t="s">
        <v>55</v>
      </c>
      <c r="R366">
        <v>1</v>
      </c>
      <c r="S366" s="15">
        <f>Table2[[#This Row],[movement_quantity]]/VLOOKUP(Table2[[#This Row],[product]],Ref[#All],5,FALSE)</f>
        <v>2.5000000000000001E-2</v>
      </c>
      <c r="T366">
        <v>32432.643329999999</v>
      </c>
      <c r="U366" t="s">
        <v>153</v>
      </c>
      <c r="V366" t="s">
        <v>21</v>
      </c>
      <c r="W366" t="s">
        <v>2692</v>
      </c>
      <c r="X366" t="s">
        <v>2693</v>
      </c>
      <c r="Y366" s="2" t="s">
        <v>17</v>
      </c>
      <c r="Z366">
        <v>0</v>
      </c>
      <c r="AA366" s="2">
        <v>32432.643329999999</v>
      </c>
      <c r="AB366" t="str">
        <f>VLOOKUP(Table2[[#This Row],[product]],Ref[#All],6,FALSE)</f>
        <v>BAG25</v>
      </c>
    </row>
    <row r="367" spans="1:28" x14ac:dyDescent="0.25">
      <c r="A367" t="str">
        <f>TEXT(Table2[[#This Row],[dated]],"mmm")</f>
        <v>Sep</v>
      </c>
      <c r="B367" t="s">
        <v>811</v>
      </c>
      <c r="C367" s="1" t="s">
        <v>2726</v>
      </c>
      <c r="D367" t="str">
        <f>VLOOKUP(Table2[[#This Row],[product]],Ref[#All],7,FALSE)</f>
        <v>Rice</v>
      </c>
      <c r="E367" s="28" t="s">
        <v>45</v>
      </c>
      <c r="F367" t="str">
        <f>VLOOKUP(Table2[[#This Row],[product]],Ref[#All],2,FALSE)</f>
        <v>Rice Short Grain Elngm 25Kg</v>
      </c>
      <c r="G367" t="str">
        <f>VLOOKUP(Table2[[#This Row],[product]],Ref[#All],3,FALSE)</f>
        <v>Rice Short Grain</v>
      </c>
      <c r="H367" t="str">
        <f>VLOOKUP(Table2[[#This Row],[product]],Ref[#All],4,FALSE)</f>
        <v>Import</v>
      </c>
      <c r="I367" s="1">
        <v>45929</v>
      </c>
      <c r="J367" t="s">
        <v>127</v>
      </c>
      <c r="K367" t="s">
        <v>2676</v>
      </c>
      <c r="L367" t="s">
        <v>1652</v>
      </c>
      <c r="M367" t="s">
        <v>1593</v>
      </c>
      <c r="N367" t="s">
        <v>784</v>
      </c>
      <c r="O367" t="s">
        <v>1593</v>
      </c>
      <c r="P367" t="s">
        <v>788</v>
      </c>
      <c r="Q367" s="38" t="s">
        <v>55</v>
      </c>
      <c r="R367">
        <v>4</v>
      </c>
      <c r="S367" s="15">
        <f>Table2[[#This Row],[movement_quantity]]/VLOOKUP(Table2[[#This Row],[product]],Ref[#All],5,FALSE)</f>
        <v>0.1</v>
      </c>
      <c r="T367">
        <v>48871.565979999999</v>
      </c>
      <c r="U367" t="s">
        <v>813</v>
      </c>
      <c r="V367" t="s">
        <v>18</v>
      </c>
      <c r="W367" t="s">
        <v>2702</v>
      </c>
      <c r="X367" t="s">
        <v>2703</v>
      </c>
      <c r="Y367" s="2" t="s">
        <v>17</v>
      </c>
      <c r="Z367">
        <v>0</v>
      </c>
      <c r="AA367" s="2">
        <v>195486.26392</v>
      </c>
      <c r="AB367" t="str">
        <f>VLOOKUP(Table2[[#This Row],[product]],Ref[#All],6,FALSE)</f>
        <v>BAG25</v>
      </c>
    </row>
    <row r="368" spans="1:28" x14ac:dyDescent="0.25">
      <c r="A368" t="str">
        <f>TEXT(Table2[[#This Row],[dated]],"mmm")</f>
        <v>Sep</v>
      </c>
      <c r="B368" t="s">
        <v>46</v>
      </c>
      <c r="C368" s="1" t="s">
        <v>2726</v>
      </c>
      <c r="D368" t="str">
        <f>VLOOKUP(Table2[[#This Row],[product]],Ref[#All],7,FALSE)</f>
        <v>Flour</v>
      </c>
      <c r="E368" s="28" t="s">
        <v>36</v>
      </c>
      <c r="F368" t="str">
        <f>VLOOKUP(Table2[[#This Row],[product]],Ref[#All],2,FALSE)</f>
        <v>Flour Import Elngm 25Kg</v>
      </c>
      <c r="G368" t="str">
        <f>VLOOKUP(Table2[[#This Row],[product]],Ref[#All],3,FALSE)</f>
        <v>Flour Al-Nagm (Imported)</v>
      </c>
      <c r="H368" t="str">
        <f>VLOOKUP(Table2[[#This Row],[product]],Ref[#All],4,FALSE)</f>
        <v>Import</v>
      </c>
      <c r="I368" s="1">
        <v>45929</v>
      </c>
      <c r="J368" t="s">
        <v>127</v>
      </c>
      <c r="K368" t="s">
        <v>2677</v>
      </c>
      <c r="L368" t="s">
        <v>1652</v>
      </c>
      <c r="M368" t="s">
        <v>1593</v>
      </c>
      <c r="N368" t="s">
        <v>784</v>
      </c>
      <c r="O368" t="s">
        <v>1593</v>
      </c>
      <c r="P368" t="s">
        <v>788</v>
      </c>
      <c r="Q368" s="38" t="s">
        <v>55</v>
      </c>
      <c r="R368">
        <v>2</v>
      </c>
      <c r="S368" s="15">
        <f>Table2[[#This Row],[movement_quantity]]/VLOOKUP(Table2[[#This Row],[product]],Ref[#All],5,FALSE)</f>
        <v>0.05</v>
      </c>
      <c r="T368">
        <v>32432.643329999999</v>
      </c>
      <c r="U368" t="s">
        <v>555</v>
      </c>
      <c r="V368" t="s">
        <v>18</v>
      </c>
      <c r="W368" t="s">
        <v>2704</v>
      </c>
      <c r="X368" t="s">
        <v>2705</v>
      </c>
      <c r="Y368" s="2" t="s">
        <v>17</v>
      </c>
      <c r="Z368">
        <v>0</v>
      </c>
      <c r="AA368" s="2">
        <v>64865.286659999998</v>
      </c>
      <c r="AB368" t="str">
        <f>VLOOKUP(Table2[[#This Row],[product]],Ref[#All],6,FALSE)</f>
        <v>BAG25</v>
      </c>
    </row>
    <row r="369" spans="1:28" x14ac:dyDescent="0.25">
      <c r="A369" t="str">
        <f>TEXT(Table2[[#This Row],[dated]],"mmm")</f>
        <v>Apr</v>
      </c>
      <c r="B369" t="s">
        <v>138</v>
      </c>
      <c r="C369" s="1" t="s">
        <v>537</v>
      </c>
      <c r="D369" t="str">
        <f>VLOOKUP(Table2[[#This Row],[product]],Ref[#All],7,FALSE)</f>
        <v>Cotton</v>
      </c>
      <c r="E369" s="1" t="s">
        <v>412</v>
      </c>
      <c r="F369" t="str">
        <f>VLOOKUP(Table2[[#This Row],[product]],Ref[#All],2,FALSE)</f>
        <v xml:space="preserve">Cotton - FG </v>
      </c>
      <c r="G369" t="str">
        <f>VLOOKUP(Table2[[#This Row],[product]],Ref[#All],3,FALSE)</f>
        <v xml:space="preserve">Cotton - FG </v>
      </c>
      <c r="H369" t="str">
        <f>VLOOKUP(Table2[[#This Row],[product]],Ref[#All],4,FALSE)</f>
        <v>Export</v>
      </c>
      <c r="I369" s="1">
        <v>45771</v>
      </c>
      <c r="J369" t="s">
        <v>53</v>
      </c>
      <c r="K369" t="s">
        <v>1070</v>
      </c>
      <c r="L369" t="s">
        <v>1622</v>
      </c>
      <c r="M369" t="s">
        <v>1586</v>
      </c>
      <c r="N369" t="s">
        <v>783</v>
      </c>
      <c r="O369" t="s">
        <v>1688</v>
      </c>
      <c r="P369" t="s">
        <v>788</v>
      </c>
      <c r="Q369" t="s">
        <v>55</v>
      </c>
      <c r="R369">
        <v>-0.81599999999999995</v>
      </c>
      <c r="S369" s="15">
        <f>Table2[[#This Row],[movement_quantity]]/VLOOKUP(Table2[[#This Row],[product]],Ref[#All],5,FALSE)</f>
        <v>-0.81599999999999995</v>
      </c>
      <c r="T369">
        <v>4242872.7759699998</v>
      </c>
      <c r="U369" t="s">
        <v>17</v>
      </c>
      <c r="V369" t="s">
        <v>18</v>
      </c>
      <c r="W369" t="s">
        <v>1071</v>
      </c>
      <c r="X369" t="s">
        <v>17</v>
      </c>
      <c r="Y369" t="s">
        <v>608</v>
      </c>
      <c r="Z369">
        <v>0</v>
      </c>
      <c r="AA369" s="2">
        <v>-3462184.1851915196</v>
      </c>
      <c r="AB369" t="str">
        <f>VLOOKUP(Table2[[#This Row],[product]],Ref[#All],6,FALSE)</f>
        <v>TON</v>
      </c>
    </row>
    <row r="370" spans="1:28" x14ac:dyDescent="0.25">
      <c r="A370" t="str">
        <f>TEXT(Table2[[#This Row],[dated]],"mmm")</f>
        <v>Apr</v>
      </c>
      <c r="B370" t="s">
        <v>138</v>
      </c>
      <c r="C370" s="1" t="s">
        <v>537</v>
      </c>
      <c r="D370" t="str">
        <f>VLOOKUP(Table2[[#This Row],[product]],Ref[#All],7,FALSE)</f>
        <v>Cotton</v>
      </c>
      <c r="E370" t="s">
        <v>412</v>
      </c>
      <c r="F370" t="str">
        <f>VLOOKUP(Table2[[#This Row],[product]],Ref[#All],2,FALSE)</f>
        <v xml:space="preserve">Cotton - FG </v>
      </c>
      <c r="G370" t="str">
        <f>VLOOKUP(Table2[[#This Row],[product]],Ref[#All],3,FALSE)</f>
        <v xml:space="preserve">Cotton - FG </v>
      </c>
      <c r="H370" t="str">
        <f>VLOOKUP(Table2[[#This Row],[product]],Ref[#All],4,FALSE)</f>
        <v>Export</v>
      </c>
      <c r="I370" s="1">
        <v>45756</v>
      </c>
      <c r="J370" t="s">
        <v>53</v>
      </c>
      <c r="K370" t="s">
        <v>606</v>
      </c>
      <c r="L370" t="s">
        <v>1623</v>
      </c>
      <c r="M370" t="s">
        <v>1586</v>
      </c>
      <c r="N370" t="s">
        <v>783</v>
      </c>
      <c r="O370" t="s">
        <v>1688</v>
      </c>
      <c r="P370" t="s">
        <v>788</v>
      </c>
      <c r="Q370" t="s">
        <v>55</v>
      </c>
      <c r="R370">
        <v>-0.84499999999999997</v>
      </c>
      <c r="S370" s="15">
        <f>Table2[[#This Row],[movement_quantity]]/VLOOKUP(Table2[[#This Row],[product]],Ref[#All],5,FALSE)</f>
        <v>-0.84499999999999997</v>
      </c>
      <c r="T370">
        <v>4242872.7759699998</v>
      </c>
      <c r="U370" t="s">
        <v>17</v>
      </c>
      <c r="V370" t="s">
        <v>18</v>
      </c>
      <c r="W370" t="s">
        <v>607</v>
      </c>
      <c r="X370" t="s">
        <v>17</v>
      </c>
      <c r="Y370" t="s">
        <v>608</v>
      </c>
      <c r="Z370">
        <v>0</v>
      </c>
      <c r="AA370" s="2">
        <v>-3585227.4956946499</v>
      </c>
      <c r="AB370" t="str">
        <f>VLOOKUP(Table2[[#This Row],[product]],Ref[#All],6,FALSE)</f>
        <v>TON</v>
      </c>
    </row>
    <row r="371" spans="1:28" x14ac:dyDescent="0.25">
      <c r="A371" t="str">
        <f>TEXT(Table2[[#This Row],[dated]],"mmm")</f>
        <v>Jun</v>
      </c>
      <c r="B371" t="s">
        <v>138</v>
      </c>
      <c r="C371" s="1" t="s">
        <v>537</v>
      </c>
      <c r="D371" t="str">
        <f>VLOOKUP(Table2[[#This Row],[product]],Ref[#All],7,FALSE)</f>
        <v>Cotton</v>
      </c>
      <c r="E371" s="1" t="s">
        <v>412</v>
      </c>
      <c r="F371" t="str">
        <f>VLOOKUP(Table2[[#This Row],[product]],Ref[#All],2,FALSE)</f>
        <v xml:space="preserve">Cotton - FG </v>
      </c>
      <c r="G371" t="str">
        <f>VLOOKUP(Table2[[#This Row],[product]],Ref[#All],3,FALSE)</f>
        <v xml:space="preserve">Cotton - FG </v>
      </c>
      <c r="H371" t="str">
        <f>VLOOKUP(Table2[[#This Row],[product]],Ref[#All],4,FALSE)</f>
        <v>Export</v>
      </c>
      <c r="I371" s="1">
        <v>45824</v>
      </c>
      <c r="J371" t="s">
        <v>53</v>
      </c>
      <c r="K371" t="s">
        <v>1911</v>
      </c>
      <c r="L371" t="s">
        <v>1916</v>
      </c>
      <c r="M371" t="s">
        <v>1586</v>
      </c>
      <c r="N371" t="s">
        <v>783</v>
      </c>
      <c r="O371" t="s">
        <v>1688</v>
      </c>
      <c r="P371" t="s">
        <v>788</v>
      </c>
      <c r="Q371" t="s">
        <v>55</v>
      </c>
      <c r="R371">
        <v>-0.77200000000000002</v>
      </c>
      <c r="S371" s="15">
        <f>Table2[[#This Row],[movement_quantity]]/VLOOKUP(Table2[[#This Row],[product]],Ref[#All],5,FALSE)</f>
        <v>-0.77200000000000002</v>
      </c>
      <c r="T371">
        <v>3391825.72597</v>
      </c>
      <c r="U371" t="s">
        <v>17</v>
      </c>
      <c r="V371" t="s">
        <v>18</v>
      </c>
      <c r="W371" t="s">
        <v>1912</v>
      </c>
      <c r="X371" t="s">
        <v>17</v>
      </c>
      <c r="Y371" s="2" t="s">
        <v>611</v>
      </c>
      <c r="Z371">
        <v>0</v>
      </c>
      <c r="AA371" s="2">
        <v>-2618489.4604488402</v>
      </c>
      <c r="AB371" t="str">
        <f>VLOOKUP(Table2[[#This Row],[product]],Ref[#All],6,FALSE)</f>
        <v>TON</v>
      </c>
    </row>
    <row r="372" spans="1:28" x14ac:dyDescent="0.25">
      <c r="A372" t="str">
        <f>TEXT(Table2[[#This Row],[dated]],"mmm")</f>
        <v>Jun</v>
      </c>
      <c r="B372" t="s">
        <v>138</v>
      </c>
      <c r="C372" s="1" t="s">
        <v>537</v>
      </c>
      <c r="D372" t="str">
        <f>VLOOKUP(Table2[[#This Row],[product]],Ref[#All],7,FALSE)</f>
        <v>Cotton</v>
      </c>
      <c r="E372" s="1" t="s">
        <v>412</v>
      </c>
      <c r="F372" t="str">
        <f>VLOOKUP(Table2[[#This Row],[product]],Ref[#All],2,FALSE)</f>
        <v xml:space="preserve">Cotton - FG </v>
      </c>
      <c r="G372" t="str">
        <f>VLOOKUP(Table2[[#This Row],[product]],Ref[#All],3,FALSE)</f>
        <v xml:space="preserve">Cotton - FG </v>
      </c>
      <c r="H372" t="str">
        <f>VLOOKUP(Table2[[#This Row],[product]],Ref[#All],4,FALSE)</f>
        <v>Export</v>
      </c>
      <c r="I372" s="1">
        <v>45824</v>
      </c>
      <c r="J372" t="s">
        <v>53</v>
      </c>
      <c r="K372" t="s">
        <v>1911</v>
      </c>
      <c r="L372" t="s">
        <v>1916</v>
      </c>
      <c r="M372" t="s">
        <v>1586</v>
      </c>
      <c r="N372" t="s">
        <v>783</v>
      </c>
      <c r="O372" t="s">
        <v>1688</v>
      </c>
      <c r="P372" t="s">
        <v>788</v>
      </c>
      <c r="Q372" t="s">
        <v>55</v>
      </c>
      <c r="R372">
        <v>-0.55800000000000005</v>
      </c>
      <c r="S372" s="15">
        <f>Table2[[#This Row],[movement_quantity]]/VLOOKUP(Table2[[#This Row],[product]],Ref[#All],5,FALSE)</f>
        <v>-0.55800000000000005</v>
      </c>
      <c r="T372">
        <v>3391825.72597</v>
      </c>
      <c r="U372" t="s">
        <v>17</v>
      </c>
      <c r="V372" t="s">
        <v>21</v>
      </c>
      <c r="W372" t="s">
        <v>1912</v>
      </c>
      <c r="X372" t="s">
        <v>17</v>
      </c>
      <c r="Y372" s="2" t="s">
        <v>795</v>
      </c>
      <c r="Z372">
        <v>0</v>
      </c>
      <c r="AA372" s="2">
        <v>-1892638.7550912602</v>
      </c>
      <c r="AB372" t="str">
        <f>VLOOKUP(Table2[[#This Row],[product]],Ref[#All],6,FALSE)</f>
        <v>TON</v>
      </c>
    </row>
    <row r="373" spans="1:28" x14ac:dyDescent="0.25">
      <c r="A373" t="str">
        <f>TEXT(Table2[[#This Row],[dated]],"mmm")</f>
        <v>Jun</v>
      </c>
      <c r="B373" t="s">
        <v>138</v>
      </c>
      <c r="C373" s="1" t="s">
        <v>537</v>
      </c>
      <c r="D373" t="str">
        <f>VLOOKUP(Table2[[#This Row],[product]],Ref[#All],7,FALSE)</f>
        <v>Cotton</v>
      </c>
      <c r="E373" s="1" t="s">
        <v>412</v>
      </c>
      <c r="F373" t="str">
        <f>VLOOKUP(Table2[[#This Row],[product]],Ref[#All],2,FALSE)</f>
        <v xml:space="preserve">Cotton - FG </v>
      </c>
      <c r="G373" t="str">
        <f>VLOOKUP(Table2[[#This Row],[product]],Ref[#All],3,FALSE)</f>
        <v xml:space="preserve">Cotton - FG </v>
      </c>
      <c r="H373" t="str">
        <f>VLOOKUP(Table2[[#This Row],[product]],Ref[#All],4,FALSE)</f>
        <v>Export</v>
      </c>
      <c r="I373" s="1">
        <v>45824</v>
      </c>
      <c r="J373" t="s">
        <v>53</v>
      </c>
      <c r="K373" t="s">
        <v>1913</v>
      </c>
      <c r="L373" t="s">
        <v>1917</v>
      </c>
      <c r="M373" t="s">
        <v>1586</v>
      </c>
      <c r="N373" t="s">
        <v>783</v>
      </c>
      <c r="O373" t="s">
        <v>1688</v>
      </c>
      <c r="P373" t="s">
        <v>788</v>
      </c>
      <c r="Q373" t="s">
        <v>55</v>
      </c>
      <c r="R373">
        <v>-0.25800000000000001</v>
      </c>
      <c r="S373" s="15">
        <f>Table2[[#This Row],[movement_quantity]]/VLOOKUP(Table2[[#This Row],[product]],Ref[#All],5,FALSE)</f>
        <v>-0.25800000000000001</v>
      </c>
      <c r="T373">
        <v>3391825.72597</v>
      </c>
      <c r="U373" t="s">
        <v>17</v>
      </c>
      <c r="V373" t="s">
        <v>22</v>
      </c>
      <c r="W373" t="s">
        <v>1914</v>
      </c>
      <c r="X373" t="s">
        <v>17</v>
      </c>
      <c r="Y373" s="2" t="s">
        <v>795</v>
      </c>
      <c r="Z373">
        <v>0</v>
      </c>
      <c r="AA373" s="2">
        <v>-875091.03730026004</v>
      </c>
      <c r="AB373" t="str">
        <f>VLOOKUP(Table2[[#This Row],[product]],Ref[#All],6,FALSE)</f>
        <v>TON</v>
      </c>
    </row>
    <row r="374" spans="1:28" x14ac:dyDescent="0.25">
      <c r="A374" t="str">
        <f>TEXT(Table2[[#This Row],[dated]],"mmm")</f>
        <v>Jun</v>
      </c>
      <c r="B374" t="s">
        <v>138</v>
      </c>
      <c r="C374" s="1" t="s">
        <v>537</v>
      </c>
      <c r="D374" t="str">
        <f>VLOOKUP(Table2[[#This Row],[product]],Ref[#All],7,FALSE)</f>
        <v>Cotton</v>
      </c>
      <c r="E374" s="1" t="s">
        <v>412</v>
      </c>
      <c r="F374" t="str">
        <f>VLOOKUP(Table2[[#This Row],[product]],Ref[#All],2,FALSE)</f>
        <v xml:space="preserve">Cotton - FG </v>
      </c>
      <c r="G374" t="str">
        <f>VLOOKUP(Table2[[#This Row],[product]],Ref[#All],3,FALSE)</f>
        <v xml:space="preserve">Cotton - FG </v>
      </c>
      <c r="H374" t="str">
        <f>VLOOKUP(Table2[[#This Row],[product]],Ref[#All],4,FALSE)</f>
        <v>Export</v>
      </c>
      <c r="I374" s="1">
        <v>45824</v>
      </c>
      <c r="J374" t="s">
        <v>53</v>
      </c>
      <c r="K374" t="s">
        <v>1913</v>
      </c>
      <c r="L374" t="s">
        <v>1917</v>
      </c>
      <c r="M374" t="s">
        <v>1586</v>
      </c>
      <c r="N374" t="s">
        <v>783</v>
      </c>
      <c r="O374" t="s">
        <v>1688</v>
      </c>
      <c r="P374" t="s">
        <v>788</v>
      </c>
      <c r="Q374" t="s">
        <v>55</v>
      </c>
      <c r="R374">
        <v>-0.57199999999999995</v>
      </c>
      <c r="S374" s="15">
        <f>Table2[[#This Row],[movement_quantity]]/VLOOKUP(Table2[[#This Row],[product]],Ref[#All],5,FALSE)</f>
        <v>-0.57199999999999995</v>
      </c>
      <c r="T374">
        <v>3391825.72597</v>
      </c>
      <c r="U374" t="s">
        <v>17</v>
      </c>
      <c r="V374" t="s">
        <v>23</v>
      </c>
      <c r="W374" t="s">
        <v>1914</v>
      </c>
      <c r="X374" t="s">
        <v>17</v>
      </c>
      <c r="Y374" s="2" t="s">
        <v>1915</v>
      </c>
      <c r="Z374">
        <v>0</v>
      </c>
      <c r="AA374" s="2">
        <v>-1940124.3152548398</v>
      </c>
      <c r="AB374" t="str">
        <f>VLOOKUP(Table2[[#This Row],[product]],Ref[#All],6,FALSE)</f>
        <v>TON</v>
      </c>
    </row>
    <row r="375" spans="1:28" x14ac:dyDescent="0.25">
      <c r="A375" t="str">
        <f>TEXT(Table2[[#This Row],[dated]],"mmm")</f>
        <v>Mar</v>
      </c>
      <c r="B375" t="s">
        <v>89</v>
      </c>
      <c r="C375" s="1" t="s">
        <v>536</v>
      </c>
      <c r="D375" t="str">
        <f>VLOOKUP(Table2[[#This Row],[product]],Ref[#All],7,FALSE)</f>
        <v>Sesame Gadarif</v>
      </c>
      <c r="E375" t="s">
        <v>90</v>
      </c>
      <c r="F375" t="str">
        <f>VLOOKUP(Table2[[#This Row],[product]],Ref[#All],2,FALSE)</f>
        <v>Gadarif Sesame Raw</v>
      </c>
      <c r="G375" t="str">
        <f>VLOOKUP(Table2[[#This Row],[product]],Ref[#All],3,FALSE)</f>
        <v>Gadarif Sesame Raw</v>
      </c>
      <c r="H375" t="str">
        <f>VLOOKUP(Table2[[#This Row],[product]],Ref[#All],4,FALSE)</f>
        <v>Export</v>
      </c>
      <c r="I375" s="1">
        <v>45719</v>
      </c>
      <c r="J375" t="s">
        <v>53</v>
      </c>
      <c r="K375" t="s">
        <v>456</v>
      </c>
      <c r="L375" t="s">
        <v>1649</v>
      </c>
      <c r="M375" t="s">
        <v>1586</v>
      </c>
      <c r="N375" t="s">
        <v>784</v>
      </c>
      <c r="O375" t="s">
        <v>785</v>
      </c>
      <c r="P375" t="s">
        <v>788</v>
      </c>
      <c r="Q375" t="s">
        <v>55</v>
      </c>
      <c r="R375">
        <v>-0.94</v>
      </c>
      <c r="S375" s="15">
        <f>Table2[[#This Row],[movement_quantity]]/VLOOKUP(Table2[[#This Row],[product]],Ref[#All],5,FALSE)</f>
        <v>-0.94</v>
      </c>
      <c r="T375">
        <v>3870463.5</v>
      </c>
      <c r="U375" t="s">
        <v>17</v>
      </c>
      <c r="V375" t="s">
        <v>18</v>
      </c>
      <c r="W375" t="s">
        <v>457</v>
      </c>
      <c r="X375" t="s">
        <v>17</v>
      </c>
      <c r="Y375" t="s">
        <v>273</v>
      </c>
      <c r="Z375">
        <v>0</v>
      </c>
      <c r="AA375" s="2">
        <v>-3638235.69</v>
      </c>
      <c r="AB375" t="str">
        <f>VLOOKUP(Table2[[#This Row],[product]],Ref[#All],6,FALSE)</f>
        <v>TON</v>
      </c>
    </row>
    <row r="376" spans="1:28" x14ac:dyDescent="0.25">
      <c r="A376" t="str">
        <f>TEXT(Table2[[#This Row],[dated]],"mmm")</f>
        <v>Jan</v>
      </c>
      <c r="B376" t="s">
        <v>89</v>
      </c>
      <c r="C376" s="1" t="s">
        <v>536</v>
      </c>
      <c r="D376" t="str">
        <f>VLOOKUP(Table2[[#This Row],[product]],Ref[#All],7,FALSE)</f>
        <v>Sesame Gadarif</v>
      </c>
      <c r="E376" t="s">
        <v>90</v>
      </c>
      <c r="F376" t="str">
        <f>VLOOKUP(Table2[[#This Row],[product]],Ref[#All],2,FALSE)</f>
        <v>Gadarif Sesame Raw</v>
      </c>
      <c r="G376" t="str">
        <f>VLOOKUP(Table2[[#This Row],[product]],Ref[#All],3,FALSE)</f>
        <v>Gadarif Sesame Raw</v>
      </c>
      <c r="H376" t="str">
        <f>VLOOKUP(Table2[[#This Row],[product]],Ref[#All],4,FALSE)</f>
        <v>Export</v>
      </c>
      <c r="I376" s="1">
        <v>45662</v>
      </c>
      <c r="J376" t="s">
        <v>53</v>
      </c>
      <c r="K376" t="s">
        <v>148</v>
      </c>
      <c r="L376" t="s">
        <v>1650</v>
      </c>
      <c r="M376" t="s">
        <v>1586</v>
      </c>
      <c r="N376" t="s">
        <v>784</v>
      </c>
      <c r="O376" t="s">
        <v>785</v>
      </c>
      <c r="P376" t="s">
        <v>788</v>
      </c>
      <c r="Q376" t="s">
        <v>55</v>
      </c>
      <c r="R376">
        <v>-0.24</v>
      </c>
      <c r="S376" s="15">
        <f>Table2[[#This Row],[movement_quantity]]/VLOOKUP(Table2[[#This Row],[product]],Ref[#All],5,FALSE)</f>
        <v>-0.24</v>
      </c>
      <c r="T376">
        <v>3559457.5</v>
      </c>
      <c r="U376" t="s">
        <v>17</v>
      </c>
      <c r="V376" t="s">
        <v>22</v>
      </c>
      <c r="W376" t="s">
        <v>154</v>
      </c>
      <c r="X376" t="s">
        <v>17</v>
      </c>
      <c r="Y376" t="s">
        <v>149</v>
      </c>
      <c r="Z376">
        <v>0</v>
      </c>
      <c r="AA376" s="2">
        <v>-854269.79999999993</v>
      </c>
      <c r="AB376" t="str">
        <f>VLOOKUP(Table2[[#This Row],[product]],Ref[#All],6,FALSE)</f>
        <v>TON</v>
      </c>
    </row>
    <row r="377" spans="1:28" x14ac:dyDescent="0.25">
      <c r="A377" t="str">
        <f>TEXT(Table2[[#This Row],[dated]],"mmm")</f>
        <v>Feb</v>
      </c>
      <c r="B377" t="s">
        <v>89</v>
      </c>
      <c r="C377" s="1" t="s">
        <v>536</v>
      </c>
      <c r="D377" t="str">
        <f>VLOOKUP(Table2[[#This Row],[product]],Ref[#All],7,FALSE)</f>
        <v>Sesame Gadarif</v>
      </c>
      <c r="E377" t="s">
        <v>90</v>
      </c>
      <c r="F377" t="str">
        <f>VLOOKUP(Table2[[#This Row],[product]],Ref[#All],2,FALSE)</f>
        <v>Gadarif Sesame Raw</v>
      </c>
      <c r="G377" t="str">
        <f>VLOOKUP(Table2[[#This Row],[product]],Ref[#All],3,FALSE)</f>
        <v>Gadarif Sesame Raw</v>
      </c>
      <c r="H377" t="str">
        <f>VLOOKUP(Table2[[#This Row],[product]],Ref[#All],4,FALSE)</f>
        <v>Export</v>
      </c>
      <c r="I377" s="1">
        <v>45714</v>
      </c>
      <c r="J377" t="s">
        <v>53</v>
      </c>
      <c r="K377" t="s">
        <v>407</v>
      </c>
      <c r="L377" t="s">
        <v>1625</v>
      </c>
      <c r="M377" t="s">
        <v>1586</v>
      </c>
      <c r="N377" t="s">
        <v>784</v>
      </c>
      <c r="O377" t="s">
        <v>785</v>
      </c>
      <c r="P377" t="s">
        <v>788</v>
      </c>
      <c r="Q377" t="s">
        <v>55</v>
      </c>
      <c r="R377">
        <v>-0.17</v>
      </c>
      <c r="S377" s="15">
        <f>Table2[[#This Row],[movement_quantity]]/VLOOKUP(Table2[[#This Row],[product]],Ref[#All],5,FALSE)</f>
        <v>-0.17</v>
      </c>
      <c r="T377">
        <v>3854317.5</v>
      </c>
      <c r="U377" t="s">
        <v>17</v>
      </c>
      <c r="V377" t="s">
        <v>18</v>
      </c>
      <c r="W377" t="s">
        <v>408</v>
      </c>
      <c r="X377" t="s">
        <v>17</v>
      </c>
      <c r="Y377" t="s">
        <v>121</v>
      </c>
      <c r="Z377">
        <v>0</v>
      </c>
      <c r="AA377" s="2">
        <v>-655233.97500000009</v>
      </c>
      <c r="AB377" t="str">
        <f>VLOOKUP(Table2[[#This Row],[product]],Ref[#All],6,FALSE)</f>
        <v>TON</v>
      </c>
    </row>
    <row r="378" spans="1:28" x14ac:dyDescent="0.25">
      <c r="A378" t="str">
        <f>TEXT(Table2[[#This Row],[dated]],"mmm")</f>
        <v>Feb</v>
      </c>
      <c r="B378" t="s">
        <v>89</v>
      </c>
      <c r="C378" s="1" t="s">
        <v>536</v>
      </c>
      <c r="D378" t="str">
        <f>VLOOKUP(Table2[[#This Row],[product]],Ref[#All],7,FALSE)</f>
        <v>Sesame Gadarif</v>
      </c>
      <c r="E378" t="s">
        <v>90</v>
      </c>
      <c r="F378" t="str">
        <f>VLOOKUP(Table2[[#This Row],[product]],Ref[#All],2,FALSE)</f>
        <v>Gadarif Sesame Raw</v>
      </c>
      <c r="G378" t="str">
        <f>VLOOKUP(Table2[[#This Row],[product]],Ref[#All],3,FALSE)</f>
        <v>Gadarif Sesame Raw</v>
      </c>
      <c r="H378" t="str">
        <f>VLOOKUP(Table2[[#This Row],[product]],Ref[#All],4,FALSE)</f>
        <v>Export</v>
      </c>
      <c r="I378" s="1">
        <v>45697</v>
      </c>
      <c r="J378" t="s">
        <v>53</v>
      </c>
      <c r="K378" t="s">
        <v>94</v>
      </c>
      <c r="L378" t="s">
        <v>1628</v>
      </c>
      <c r="M378" t="s">
        <v>1586</v>
      </c>
      <c r="N378" t="s">
        <v>784</v>
      </c>
      <c r="O378" t="s">
        <v>785</v>
      </c>
      <c r="P378" t="s">
        <v>788</v>
      </c>
      <c r="Q378" t="s">
        <v>55</v>
      </c>
      <c r="R378">
        <v>-0.08</v>
      </c>
      <c r="S378" s="15">
        <f>Table2[[#This Row],[movement_quantity]]/VLOOKUP(Table2[[#This Row],[product]],Ref[#All],5,FALSE)</f>
        <v>-0.08</v>
      </c>
      <c r="T378">
        <v>3854317.5</v>
      </c>
      <c r="U378" t="s">
        <v>17</v>
      </c>
      <c r="V378" t="s">
        <v>21</v>
      </c>
      <c r="W378" t="s">
        <v>95</v>
      </c>
      <c r="X378" t="s">
        <v>17</v>
      </c>
      <c r="Y378" t="s">
        <v>93</v>
      </c>
      <c r="Z378">
        <v>0</v>
      </c>
      <c r="AA378" s="2">
        <v>-308345.40000000002</v>
      </c>
      <c r="AB378" t="str">
        <f>VLOOKUP(Table2[[#This Row],[product]],Ref[#All],6,FALSE)</f>
        <v>TON</v>
      </c>
    </row>
    <row r="379" spans="1:28" x14ac:dyDescent="0.25">
      <c r="A379" t="str">
        <f>TEXT(Table2[[#This Row],[dated]],"mmm")</f>
        <v>Feb</v>
      </c>
      <c r="B379" t="s">
        <v>89</v>
      </c>
      <c r="C379" s="1" t="s">
        <v>536</v>
      </c>
      <c r="D379" t="str">
        <f>VLOOKUP(Table2[[#This Row],[product]],Ref[#All],7,FALSE)</f>
        <v>Sesame Gadarif</v>
      </c>
      <c r="E379" t="s">
        <v>90</v>
      </c>
      <c r="F379" t="str">
        <f>VLOOKUP(Table2[[#This Row],[product]],Ref[#All],2,FALSE)</f>
        <v>Gadarif Sesame Raw</v>
      </c>
      <c r="G379" t="str">
        <f>VLOOKUP(Table2[[#This Row],[product]],Ref[#All],3,FALSE)</f>
        <v>Gadarif Sesame Raw</v>
      </c>
      <c r="H379" t="str">
        <f>VLOOKUP(Table2[[#This Row],[product]],Ref[#All],4,FALSE)</f>
        <v>Export</v>
      </c>
      <c r="I379" s="1">
        <v>45698</v>
      </c>
      <c r="J379" t="s">
        <v>53</v>
      </c>
      <c r="K379" t="s">
        <v>94</v>
      </c>
      <c r="L379" t="s">
        <v>1628</v>
      </c>
      <c r="M379" t="s">
        <v>1586</v>
      </c>
      <c r="N379" t="s">
        <v>784</v>
      </c>
      <c r="O379" t="s">
        <v>785</v>
      </c>
      <c r="P379" t="s">
        <v>788</v>
      </c>
      <c r="Q379" t="s">
        <v>55</v>
      </c>
      <c r="R379">
        <v>-0.35</v>
      </c>
      <c r="S379" s="15">
        <f>Table2[[#This Row],[movement_quantity]]/VLOOKUP(Table2[[#This Row],[product]],Ref[#All],5,FALSE)</f>
        <v>-0.35</v>
      </c>
      <c r="T379">
        <v>3854317.5</v>
      </c>
      <c r="U379" t="s">
        <v>17</v>
      </c>
      <c r="V379" t="s">
        <v>18</v>
      </c>
      <c r="W379" t="s">
        <v>124</v>
      </c>
      <c r="X379" t="s">
        <v>17</v>
      </c>
      <c r="Y379" t="s">
        <v>93</v>
      </c>
      <c r="Z379">
        <v>0</v>
      </c>
      <c r="AA379" s="2">
        <v>-1349011.125</v>
      </c>
      <c r="AB379" t="str">
        <f>VLOOKUP(Table2[[#This Row],[product]],Ref[#All],6,FALSE)</f>
        <v>TON</v>
      </c>
    </row>
    <row r="380" spans="1:28" x14ac:dyDescent="0.25">
      <c r="A380" t="str">
        <f>TEXT(Table2[[#This Row],[dated]],"mmm")</f>
        <v>Apr</v>
      </c>
      <c r="B380" t="s">
        <v>89</v>
      </c>
      <c r="C380" s="1" t="s">
        <v>536</v>
      </c>
      <c r="D380" t="str">
        <f>VLOOKUP(Table2[[#This Row],[product]],Ref[#All],7,FALSE)</f>
        <v>Sesame Gadarif</v>
      </c>
      <c r="E380" s="1" t="s">
        <v>90</v>
      </c>
      <c r="F380" t="str">
        <f>VLOOKUP(Table2[[#This Row],[product]],Ref[#All],2,FALSE)</f>
        <v>Gadarif Sesame Raw</v>
      </c>
      <c r="G380" t="str">
        <f>VLOOKUP(Table2[[#This Row],[product]],Ref[#All],3,FALSE)</f>
        <v>Gadarif Sesame Raw</v>
      </c>
      <c r="H380" t="str">
        <f>VLOOKUP(Table2[[#This Row],[product]],Ref[#All],4,FALSE)</f>
        <v>Export</v>
      </c>
      <c r="I380" s="1">
        <v>45768</v>
      </c>
      <c r="J380" t="s">
        <v>53</v>
      </c>
      <c r="K380" t="s">
        <v>980</v>
      </c>
      <c r="L380" t="s">
        <v>1618</v>
      </c>
      <c r="M380" t="s">
        <v>1586</v>
      </c>
      <c r="N380" t="s">
        <v>784</v>
      </c>
      <c r="O380" t="s">
        <v>785</v>
      </c>
      <c r="P380" t="s">
        <v>788</v>
      </c>
      <c r="Q380" t="s">
        <v>55</v>
      </c>
      <c r="R380">
        <v>-9.4E-2</v>
      </c>
      <c r="S380" s="15">
        <f>Table2[[#This Row],[movement_quantity]]/VLOOKUP(Table2[[#This Row],[product]],Ref[#All],5,FALSE)</f>
        <v>-9.4E-2</v>
      </c>
      <c r="T380">
        <v>3788405.5</v>
      </c>
      <c r="U380" t="s">
        <v>17</v>
      </c>
      <c r="V380" t="s">
        <v>21</v>
      </c>
      <c r="W380" t="s">
        <v>981</v>
      </c>
      <c r="X380" t="s">
        <v>17</v>
      </c>
      <c r="Y380" t="s">
        <v>979</v>
      </c>
      <c r="Z380">
        <v>0</v>
      </c>
      <c r="AA380" s="2">
        <v>-356110.11700000003</v>
      </c>
      <c r="AB380" t="str">
        <f>VLOOKUP(Table2[[#This Row],[product]],Ref[#All],6,FALSE)</f>
        <v>TON</v>
      </c>
    </row>
    <row r="381" spans="1:28" x14ac:dyDescent="0.25">
      <c r="A381" t="str">
        <f>TEXT(Table2[[#This Row],[dated]],"mmm")</f>
        <v>Jan</v>
      </c>
      <c r="B381" t="s">
        <v>76</v>
      </c>
      <c r="C381" s="1" t="s">
        <v>536</v>
      </c>
      <c r="D381" t="str">
        <f>VLOOKUP(Table2[[#This Row],[product]],Ref[#All],7,FALSE)</f>
        <v>Sesame Gadarif</v>
      </c>
      <c r="E381" t="s">
        <v>131</v>
      </c>
      <c r="F381" t="str">
        <f>VLOOKUP(Table2[[#This Row],[product]],Ref[#All],2,FALSE)</f>
        <v>Gadarif Sesame - FG</v>
      </c>
      <c r="G381" t="str">
        <f>VLOOKUP(Table2[[#This Row],[product]],Ref[#All],3,FALSE)</f>
        <v>Gadarif Sesame - FG</v>
      </c>
      <c r="H381" t="str">
        <f>VLOOKUP(Table2[[#This Row],[product]],Ref[#All],4,FALSE)</f>
        <v>Export</v>
      </c>
      <c r="I381" s="1">
        <v>45670</v>
      </c>
      <c r="J381" t="s">
        <v>53</v>
      </c>
      <c r="K381" t="s">
        <v>210</v>
      </c>
      <c r="L381" t="s">
        <v>1651</v>
      </c>
      <c r="M381" t="s">
        <v>1586</v>
      </c>
      <c r="N381" t="s">
        <v>784</v>
      </c>
      <c r="O381" t="s">
        <v>785</v>
      </c>
      <c r="P381" t="s">
        <v>788</v>
      </c>
      <c r="Q381" t="s">
        <v>55</v>
      </c>
      <c r="R381">
        <v>-1</v>
      </c>
      <c r="S381" s="15">
        <f>Table2[[#This Row],[movement_quantity]]/VLOOKUP(Table2[[#This Row],[product]],Ref[#All],5,FALSE)</f>
        <v>-0.05</v>
      </c>
      <c r="T381">
        <v>187339.86842000001</v>
      </c>
      <c r="U381" t="s">
        <v>17</v>
      </c>
      <c r="V381" t="s">
        <v>18</v>
      </c>
      <c r="W381" t="s">
        <v>211</v>
      </c>
      <c r="X381" t="s">
        <v>17</v>
      </c>
      <c r="Y381" t="s">
        <v>162</v>
      </c>
      <c r="Z381">
        <v>0</v>
      </c>
      <c r="AA381" s="2">
        <v>-187339.86842000001</v>
      </c>
      <c r="AB381" t="str">
        <f>VLOOKUP(Table2[[#This Row],[product]],Ref[#All],6,FALSE)</f>
        <v>BAG50</v>
      </c>
    </row>
    <row r="382" spans="1:28" x14ac:dyDescent="0.25">
      <c r="A382" t="str">
        <f>TEXT(Table2[[#This Row],[dated]],"mmm")</f>
        <v>Mar</v>
      </c>
      <c r="B382" t="s">
        <v>76</v>
      </c>
      <c r="C382" s="1" t="s">
        <v>536</v>
      </c>
      <c r="D382" t="str">
        <f>VLOOKUP(Table2[[#This Row],[product]],Ref[#All],7,FALSE)</f>
        <v>Sesame Gadarif</v>
      </c>
      <c r="E382" t="s">
        <v>131</v>
      </c>
      <c r="F382" t="str">
        <f>VLOOKUP(Table2[[#This Row],[product]],Ref[#All],2,FALSE)</f>
        <v>Gadarif Sesame - FG</v>
      </c>
      <c r="G382" t="str">
        <f>VLOOKUP(Table2[[#This Row],[product]],Ref[#All],3,FALSE)</f>
        <v>Gadarif Sesame - FG</v>
      </c>
      <c r="H382" t="str">
        <f>VLOOKUP(Table2[[#This Row],[product]],Ref[#All],4,FALSE)</f>
        <v>Export</v>
      </c>
      <c r="I382" s="1">
        <v>45718</v>
      </c>
      <c r="J382" t="s">
        <v>53</v>
      </c>
      <c r="K382" t="s">
        <v>452</v>
      </c>
      <c r="L382" t="s">
        <v>1651</v>
      </c>
      <c r="M382" t="s">
        <v>1586</v>
      </c>
      <c r="N382" t="s">
        <v>784</v>
      </c>
      <c r="O382" t="s">
        <v>785</v>
      </c>
      <c r="P382" t="s">
        <v>788</v>
      </c>
      <c r="Q382" t="s">
        <v>55</v>
      </c>
      <c r="R382">
        <v>-2</v>
      </c>
      <c r="S382" s="15">
        <f>Table2[[#This Row],[movement_quantity]]/VLOOKUP(Table2[[#This Row],[product]],Ref[#All],5,FALSE)</f>
        <v>-0.1</v>
      </c>
      <c r="T382">
        <v>203708.60526000001</v>
      </c>
      <c r="U382" t="s">
        <v>17</v>
      </c>
      <c r="V382" t="s">
        <v>18</v>
      </c>
      <c r="W382" t="s">
        <v>453</v>
      </c>
      <c r="X382" t="s">
        <v>17</v>
      </c>
      <c r="Y382" t="s">
        <v>404</v>
      </c>
      <c r="Z382">
        <v>0</v>
      </c>
      <c r="AA382" s="2">
        <v>-407417.21052000002</v>
      </c>
      <c r="AB382" t="str">
        <f>VLOOKUP(Table2[[#This Row],[product]],Ref[#All],6,FALSE)</f>
        <v>BAG50</v>
      </c>
    </row>
    <row r="383" spans="1:28" x14ac:dyDescent="0.25">
      <c r="A383" t="str">
        <f>TEXT(Table2[[#This Row],[dated]],"mmm")</f>
        <v>Jan</v>
      </c>
      <c r="B383" t="s">
        <v>52</v>
      </c>
      <c r="C383" s="1" t="s">
        <v>536</v>
      </c>
      <c r="D383" t="str">
        <f>VLOOKUP(Table2[[#This Row],[product]],Ref[#All],7,FALSE)</f>
        <v>Flour</v>
      </c>
      <c r="E383" t="s">
        <v>36</v>
      </c>
      <c r="F383" t="str">
        <f>VLOOKUP(Table2[[#This Row],[product]],Ref[#All],2,FALSE)</f>
        <v>Flour Import Elngm 25Kg</v>
      </c>
      <c r="G383" t="str">
        <f>VLOOKUP(Table2[[#This Row],[product]],Ref[#All],3,FALSE)</f>
        <v>Flour Al-Nagm (Imported)</v>
      </c>
      <c r="H383" t="str">
        <f>VLOOKUP(Table2[[#This Row],[product]],Ref[#All],4,FALSE)</f>
        <v>Import</v>
      </c>
      <c r="I383" s="1">
        <v>45670</v>
      </c>
      <c r="J383" t="s">
        <v>53</v>
      </c>
      <c r="K383" t="s">
        <v>164</v>
      </c>
      <c r="L383" t="s">
        <v>1651</v>
      </c>
      <c r="M383" t="s">
        <v>1586</v>
      </c>
      <c r="N383" t="s">
        <v>784</v>
      </c>
      <c r="O383" t="s">
        <v>785</v>
      </c>
      <c r="P383" t="s">
        <v>788</v>
      </c>
      <c r="Q383" t="s">
        <v>55</v>
      </c>
      <c r="R383">
        <v>-1</v>
      </c>
      <c r="S383" s="15">
        <f>Table2[[#This Row],[movement_quantity]]/VLOOKUP(Table2[[#This Row],[product]],Ref[#All],5,FALSE)</f>
        <v>-2.5000000000000001E-2</v>
      </c>
      <c r="T383">
        <v>29239.17352</v>
      </c>
      <c r="U383" t="s">
        <v>17</v>
      </c>
      <c r="V383" t="s">
        <v>18</v>
      </c>
      <c r="W383" t="s">
        <v>165</v>
      </c>
      <c r="X383" t="s">
        <v>17</v>
      </c>
      <c r="Y383" t="s">
        <v>57</v>
      </c>
      <c r="Z383">
        <v>0</v>
      </c>
      <c r="AA383" s="2">
        <v>-29239.17352</v>
      </c>
      <c r="AB383" t="str">
        <f>VLOOKUP(Table2[[#This Row],[product]],Ref[#All],6,FALSE)</f>
        <v>BAG25</v>
      </c>
    </row>
    <row r="384" spans="1:28" x14ac:dyDescent="0.25">
      <c r="A384" t="str">
        <f>TEXT(Table2[[#This Row],[dated]],"mmm")</f>
        <v>Jan</v>
      </c>
      <c r="B384" t="s">
        <v>52</v>
      </c>
      <c r="C384" s="1" t="s">
        <v>536</v>
      </c>
      <c r="D384" t="str">
        <f>VLOOKUP(Table2[[#This Row],[product]],Ref[#All],7,FALSE)</f>
        <v>Flour</v>
      </c>
      <c r="E384" t="s">
        <v>36</v>
      </c>
      <c r="F384" t="str">
        <f>VLOOKUP(Table2[[#This Row],[product]],Ref[#All],2,FALSE)</f>
        <v>Flour Import Elngm 25Kg</v>
      </c>
      <c r="G384" t="str">
        <f>VLOOKUP(Table2[[#This Row],[product]],Ref[#All],3,FALSE)</f>
        <v>Flour Al-Nagm (Imported)</v>
      </c>
      <c r="H384" t="str">
        <f>VLOOKUP(Table2[[#This Row],[product]],Ref[#All],4,FALSE)</f>
        <v>Import</v>
      </c>
      <c r="I384" s="1">
        <v>45670</v>
      </c>
      <c r="J384" t="s">
        <v>53</v>
      </c>
      <c r="K384" t="s">
        <v>166</v>
      </c>
      <c r="L384" t="s">
        <v>1651</v>
      </c>
      <c r="M384" t="s">
        <v>1586</v>
      </c>
      <c r="N384" t="s">
        <v>784</v>
      </c>
      <c r="O384" t="s">
        <v>785</v>
      </c>
      <c r="P384" t="s">
        <v>788</v>
      </c>
      <c r="Q384" t="s">
        <v>55</v>
      </c>
      <c r="R384">
        <v>-3</v>
      </c>
      <c r="S384" s="15">
        <f>Table2[[#This Row],[movement_quantity]]/VLOOKUP(Table2[[#This Row],[product]],Ref[#All],5,FALSE)</f>
        <v>-7.4999999999999997E-2</v>
      </c>
      <c r="T384">
        <v>29239.17352</v>
      </c>
      <c r="U384" t="s">
        <v>17</v>
      </c>
      <c r="V384" t="s">
        <v>21</v>
      </c>
      <c r="W384" t="s">
        <v>167</v>
      </c>
      <c r="X384" t="s">
        <v>17</v>
      </c>
      <c r="Y384" t="s">
        <v>57</v>
      </c>
      <c r="Z384">
        <v>0</v>
      </c>
      <c r="AA384" s="2">
        <v>-87717.520560000004</v>
      </c>
      <c r="AB384" t="str">
        <f>VLOOKUP(Table2[[#This Row],[product]],Ref[#All],6,FALSE)</f>
        <v>BAG25</v>
      </c>
    </row>
    <row r="385" spans="1:28" x14ac:dyDescent="0.25">
      <c r="A385" t="str">
        <f>TEXT(Table2[[#This Row],[dated]],"mmm")</f>
        <v>Jan</v>
      </c>
      <c r="B385" t="s">
        <v>52</v>
      </c>
      <c r="C385" s="1" t="s">
        <v>536</v>
      </c>
      <c r="D385" t="str">
        <f>VLOOKUP(Table2[[#This Row],[product]],Ref[#All],7,FALSE)</f>
        <v>Flour</v>
      </c>
      <c r="E385" t="s">
        <v>36</v>
      </c>
      <c r="F385" t="str">
        <f>VLOOKUP(Table2[[#This Row],[product]],Ref[#All],2,FALSE)</f>
        <v>Flour Import Elngm 25Kg</v>
      </c>
      <c r="G385" t="str">
        <f>VLOOKUP(Table2[[#This Row],[product]],Ref[#All],3,FALSE)</f>
        <v>Flour Al-Nagm (Imported)</v>
      </c>
      <c r="H385" t="str">
        <f>VLOOKUP(Table2[[#This Row],[product]],Ref[#All],4,FALSE)</f>
        <v>Import</v>
      </c>
      <c r="I385" s="1">
        <v>45670</v>
      </c>
      <c r="J385" t="s">
        <v>53</v>
      </c>
      <c r="K385" t="s">
        <v>168</v>
      </c>
      <c r="L385" t="s">
        <v>1651</v>
      </c>
      <c r="M385" t="s">
        <v>1586</v>
      </c>
      <c r="N385" t="s">
        <v>784</v>
      </c>
      <c r="O385" t="s">
        <v>785</v>
      </c>
      <c r="P385" t="s">
        <v>788</v>
      </c>
      <c r="Q385" t="s">
        <v>55</v>
      </c>
      <c r="R385">
        <v>-1</v>
      </c>
      <c r="S385" s="15">
        <f>Table2[[#This Row],[movement_quantity]]/VLOOKUP(Table2[[#This Row],[product]],Ref[#All],5,FALSE)</f>
        <v>-2.5000000000000001E-2</v>
      </c>
      <c r="T385">
        <v>29239.17352</v>
      </c>
      <c r="U385" t="s">
        <v>17</v>
      </c>
      <c r="V385" t="s">
        <v>22</v>
      </c>
      <c r="W385" t="s">
        <v>169</v>
      </c>
      <c r="X385" t="s">
        <v>17</v>
      </c>
      <c r="Y385" t="s">
        <v>57</v>
      </c>
      <c r="Z385">
        <v>0</v>
      </c>
      <c r="AA385" s="2">
        <v>-29239.17352</v>
      </c>
      <c r="AB385" t="str">
        <f>VLOOKUP(Table2[[#This Row],[product]],Ref[#All],6,FALSE)</f>
        <v>BAG25</v>
      </c>
    </row>
    <row r="386" spans="1:28" x14ac:dyDescent="0.25">
      <c r="A386" t="str">
        <f>TEXT(Table2[[#This Row],[dated]],"mmm")</f>
        <v>Jan</v>
      </c>
      <c r="B386" t="s">
        <v>52</v>
      </c>
      <c r="C386" s="1" t="s">
        <v>536</v>
      </c>
      <c r="D386" t="str">
        <f>VLOOKUP(Table2[[#This Row],[product]],Ref[#All],7,FALSE)</f>
        <v>Flour</v>
      </c>
      <c r="E386" t="s">
        <v>36</v>
      </c>
      <c r="F386" t="str">
        <f>VLOOKUP(Table2[[#This Row],[product]],Ref[#All],2,FALSE)</f>
        <v>Flour Import Elngm 25Kg</v>
      </c>
      <c r="G386" t="str">
        <f>VLOOKUP(Table2[[#This Row],[product]],Ref[#All],3,FALSE)</f>
        <v>Flour Al-Nagm (Imported)</v>
      </c>
      <c r="H386" t="str">
        <f>VLOOKUP(Table2[[#This Row],[product]],Ref[#All],4,FALSE)</f>
        <v>Import</v>
      </c>
      <c r="I386" s="1">
        <v>45670</v>
      </c>
      <c r="J386" t="s">
        <v>53</v>
      </c>
      <c r="K386" t="s">
        <v>170</v>
      </c>
      <c r="L386" t="s">
        <v>1651</v>
      </c>
      <c r="M386" t="s">
        <v>1586</v>
      </c>
      <c r="N386" t="s">
        <v>784</v>
      </c>
      <c r="O386" t="s">
        <v>785</v>
      </c>
      <c r="P386" t="s">
        <v>788</v>
      </c>
      <c r="Q386" t="s">
        <v>55</v>
      </c>
      <c r="R386">
        <v>-2</v>
      </c>
      <c r="S386" s="15">
        <f>Table2[[#This Row],[movement_quantity]]/VLOOKUP(Table2[[#This Row],[product]],Ref[#All],5,FALSE)</f>
        <v>-0.05</v>
      </c>
      <c r="T386">
        <v>29239.17352</v>
      </c>
      <c r="U386" t="s">
        <v>17</v>
      </c>
      <c r="V386" t="s">
        <v>23</v>
      </c>
      <c r="W386" t="s">
        <v>171</v>
      </c>
      <c r="X386" t="s">
        <v>17</v>
      </c>
      <c r="Y386" t="s">
        <v>57</v>
      </c>
      <c r="Z386">
        <v>0</v>
      </c>
      <c r="AA386" s="2">
        <v>-58478.347040000001</v>
      </c>
      <c r="AB386" t="str">
        <f>VLOOKUP(Table2[[#This Row],[product]],Ref[#All],6,FALSE)</f>
        <v>BAG25</v>
      </c>
    </row>
    <row r="387" spans="1:28" x14ac:dyDescent="0.25">
      <c r="A387" t="str">
        <f>TEXT(Table2[[#This Row],[dated]],"mmm")</f>
        <v>Jan</v>
      </c>
      <c r="B387" t="s">
        <v>52</v>
      </c>
      <c r="C387" s="1" t="s">
        <v>536</v>
      </c>
      <c r="D387" t="str">
        <f>VLOOKUP(Table2[[#This Row],[product]],Ref[#All],7,FALSE)</f>
        <v>Flour</v>
      </c>
      <c r="E387" t="s">
        <v>36</v>
      </c>
      <c r="F387" t="str">
        <f>VLOOKUP(Table2[[#This Row],[product]],Ref[#All],2,FALSE)</f>
        <v>Flour Import Elngm 25Kg</v>
      </c>
      <c r="G387" t="str">
        <f>VLOOKUP(Table2[[#This Row],[product]],Ref[#All],3,FALSE)</f>
        <v>Flour Al-Nagm (Imported)</v>
      </c>
      <c r="H387" t="str">
        <f>VLOOKUP(Table2[[#This Row],[product]],Ref[#All],4,FALSE)</f>
        <v>Import</v>
      </c>
      <c r="I387" s="1">
        <v>45670</v>
      </c>
      <c r="J387" t="s">
        <v>53</v>
      </c>
      <c r="K387" t="s">
        <v>172</v>
      </c>
      <c r="L387" t="s">
        <v>1651</v>
      </c>
      <c r="M387" t="s">
        <v>1586</v>
      </c>
      <c r="N387" t="s">
        <v>784</v>
      </c>
      <c r="O387" t="s">
        <v>785</v>
      </c>
      <c r="P387" t="s">
        <v>788</v>
      </c>
      <c r="Q387" t="s">
        <v>55</v>
      </c>
      <c r="R387">
        <v>-4</v>
      </c>
      <c r="S387" s="15">
        <f>Table2[[#This Row],[movement_quantity]]/VLOOKUP(Table2[[#This Row],[product]],Ref[#All],5,FALSE)</f>
        <v>-0.1</v>
      </c>
      <c r="T387">
        <v>29239.17352</v>
      </c>
      <c r="U387" t="s">
        <v>17</v>
      </c>
      <c r="V387" t="s">
        <v>24</v>
      </c>
      <c r="W387" t="s">
        <v>173</v>
      </c>
      <c r="X387" t="s">
        <v>17</v>
      </c>
      <c r="Y387" t="s">
        <v>57</v>
      </c>
      <c r="Z387">
        <v>0</v>
      </c>
      <c r="AA387" s="2">
        <v>-116956.69408</v>
      </c>
      <c r="AB387" t="str">
        <f>VLOOKUP(Table2[[#This Row],[product]],Ref[#All],6,FALSE)</f>
        <v>BAG25</v>
      </c>
    </row>
    <row r="388" spans="1:28" x14ac:dyDescent="0.25">
      <c r="A388" t="str">
        <f>TEXT(Table2[[#This Row],[dated]],"mmm")</f>
        <v>Jan</v>
      </c>
      <c r="B388" t="s">
        <v>52</v>
      </c>
      <c r="C388" s="1" t="s">
        <v>536</v>
      </c>
      <c r="D388" t="str">
        <f>VLOOKUP(Table2[[#This Row],[product]],Ref[#All],7,FALSE)</f>
        <v>Flour</v>
      </c>
      <c r="E388" t="s">
        <v>36</v>
      </c>
      <c r="F388" t="str">
        <f>VLOOKUP(Table2[[#This Row],[product]],Ref[#All],2,FALSE)</f>
        <v>Flour Import Elngm 25Kg</v>
      </c>
      <c r="G388" t="str">
        <f>VLOOKUP(Table2[[#This Row],[product]],Ref[#All],3,FALSE)</f>
        <v>Flour Al-Nagm (Imported)</v>
      </c>
      <c r="H388" t="str">
        <f>VLOOKUP(Table2[[#This Row],[product]],Ref[#All],4,FALSE)</f>
        <v>Import</v>
      </c>
      <c r="I388" s="1">
        <v>45670</v>
      </c>
      <c r="J388" t="s">
        <v>53</v>
      </c>
      <c r="K388" t="s">
        <v>174</v>
      </c>
      <c r="L388" t="s">
        <v>1651</v>
      </c>
      <c r="M388" t="s">
        <v>1586</v>
      </c>
      <c r="N388" t="s">
        <v>784</v>
      </c>
      <c r="O388" t="s">
        <v>785</v>
      </c>
      <c r="P388" t="s">
        <v>788</v>
      </c>
      <c r="Q388" t="s">
        <v>55</v>
      </c>
      <c r="R388">
        <v>-1</v>
      </c>
      <c r="S388" s="15">
        <f>Table2[[#This Row],[movement_quantity]]/VLOOKUP(Table2[[#This Row],[product]],Ref[#All],5,FALSE)</f>
        <v>-2.5000000000000001E-2</v>
      </c>
      <c r="T388">
        <v>29239.17352</v>
      </c>
      <c r="U388" t="s">
        <v>17</v>
      </c>
      <c r="V388" t="s">
        <v>25</v>
      </c>
      <c r="W388" t="s">
        <v>175</v>
      </c>
      <c r="X388" t="s">
        <v>17</v>
      </c>
      <c r="Y388" t="s">
        <v>57</v>
      </c>
      <c r="Z388">
        <v>0</v>
      </c>
      <c r="AA388" s="2">
        <v>-29239.17352</v>
      </c>
      <c r="AB388" t="str">
        <f>VLOOKUP(Table2[[#This Row],[product]],Ref[#All],6,FALSE)</f>
        <v>BAG25</v>
      </c>
    </row>
    <row r="389" spans="1:28" x14ac:dyDescent="0.25">
      <c r="A389" t="str">
        <f>TEXT(Table2[[#This Row],[dated]],"mmm")</f>
        <v>Jan</v>
      </c>
      <c r="B389" t="s">
        <v>52</v>
      </c>
      <c r="C389" s="1" t="s">
        <v>536</v>
      </c>
      <c r="D389" t="str">
        <f>VLOOKUP(Table2[[#This Row],[product]],Ref[#All],7,FALSE)</f>
        <v>Flour</v>
      </c>
      <c r="E389" t="s">
        <v>36</v>
      </c>
      <c r="F389" t="str">
        <f>VLOOKUP(Table2[[#This Row],[product]],Ref[#All],2,FALSE)</f>
        <v>Flour Import Elngm 25Kg</v>
      </c>
      <c r="G389" t="str">
        <f>VLOOKUP(Table2[[#This Row],[product]],Ref[#All],3,FALSE)</f>
        <v>Flour Al-Nagm (Imported)</v>
      </c>
      <c r="H389" t="str">
        <f>VLOOKUP(Table2[[#This Row],[product]],Ref[#All],4,FALSE)</f>
        <v>Import</v>
      </c>
      <c r="I389" s="1">
        <v>45670</v>
      </c>
      <c r="J389" t="s">
        <v>53</v>
      </c>
      <c r="K389" t="s">
        <v>186</v>
      </c>
      <c r="L389" t="s">
        <v>1651</v>
      </c>
      <c r="M389" t="s">
        <v>1586</v>
      </c>
      <c r="N389" t="s">
        <v>784</v>
      </c>
      <c r="O389" t="s">
        <v>785</v>
      </c>
      <c r="P389" t="s">
        <v>788</v>
      </c>
      <c r="Q389" t="s">
        <v>55</v>
      </c>
      <c r="R389">
        <v>-15</v>
      </c>
      <c r="S389" s="15">
        <f>Table2[[#This Row],[movement_quantity]]/VLOOKUP(Table2[[#This Row],[product]],Ref[#All],5,FALSE)</f>
        <v>-0.375</v>
      </c>
      <c r="T389">
        <v>29239.17352</v>
      </c>
      <c r="U389" t="s">
        <v>17</v>
      </c>
      <c r="V389" t="s">
        <v>26</v>
      </c>
      <c r="W389" t="s">
        <v>187</v>
      </c>
      <c r="X389" t="s">
        <v>17</v>
      </c>
      <c r="Y389" t="s">
        <v>57</v>
      </c>
      <c r="Z389">
        <v>0</v>
      </c>
      <c r="AA389" s="2">
        <v>-438587.60279999999</v>
      </c>
      <c r="AB389" t="str">
        <f>VLOOKUP(Table2[[#This Row],[product]],Ref[#All],6,FALSE)</f>
        <v>BAG25</v>
      </c>
    </row>
    <row r="390" spans="1:28" x14ac:dyDescent="0.25">
      <c r="A390" t="str">
        <f>TEXT(Table2[[#This Row],[dated]],"mmm")</f>
        <v>Jan</v>
      </c>
      <c r="B390" t="s">
        <v>52</v>
      </c>
      <c r="C390" s="1" t="s">
        <v>536</v>
      </c>
      <c r="D390" t="str">
        <f>VLOOKUP(Table2[[#This Row],[product]],Ref[#All],7,FALSE)</f>
        <v>Flour</v>
      </c>
      <c r="E390" t="s">
        <v>36</v>
      </c>
      <c r="F390" t="str">
        <f>VLOOKUP(Table2[[#This Row],[product]],Ref[#All],2,FALSE)</f>
        <v>Flour Import Elngm 25Kg</v>
      </c>
      <c r="G390" t="str">
        <f>VLOOKUP(Table2[[#This Row],[product]],Ref[#All],3,FALSE)</f>
        <v>Flour Al-Nagm (Imported)</v>
      </c>
      <c r="H390" t="str">
        <f>VLOOKUP(Table2[[#This Row],[product]],Ref[#All],4,FALSE)</f>
        <v>Import</v>
      </c>
      <c r="I390" s="1">
        <v>45670</v>
      </c>
      <c r="J390" t="s">
        <v>53</v>
      </c>
      <c r="K390" t="s">
        <v>188</v>
      </c>
      <c r="L390" t="s">
        <v>1651</v>
      </c>
      <c r="M390" t="s">
        <v>1586</v>
      </c>
      <c r="N390" t="s">
        <v>784</v>
      </c>
      <c r="O390" t="s">
        <v>785</v>
      </c>
      <c r="P390" t="s">
        <v>788</v>
      </c>
      <c r="Q390" t="s">
        <v>55</v>
      </c>
      <c r="R390">
        <v>-2</v>
      </c>
      <c r="S390" s="15">
        <f>Table2[[#This Row],[movement_quantity]]/VLOOKUP(Table2[[#This Row],[product]],Ref[#All],5,FALSE)</f>
        <v>-0.05</v>
      </c>
      <c r="T390">
        <v>29239.17352</v>
      </c>
      <c r="U390" t="s">
        <v>17</v>
      </c>
      <c r="V390" t="s">
        <v>27</v>
      </c>
      <c r="W390" t="s">
        <v>189</v>
      </c>
      <c r="X390" t="s">
        <v>17</v>
      </c>
      <c r="Y390" t="s">
        <v>57</v>
      </c>
      <c r="Z390">
        <v>0</v>
      </c>
      <c r="AA390" s="2">
        <v>-58478.347040000001</v>
      </c>
      <c r="AB390" t="str">
        <f>VLOOKUP(Table2[[#This Row],[product]],Ref[#All],6,FALSE)</f>
        <v>BAG25</v>
      </c>
    </row>
    <row r="391" spans="1:28" x14ac:dyDescent="0.25">
      <c r="A391" t="str">
        <f>TEXT(Table2[[#This Row],[dated]],"mmm")</f>
        <v>Jan</v>
      </c>
      <c r="B391" t="s">
        <v>52</v>
      </c>
      <c r="C391" s="1" t="s">
        <v>536</v>
      </c>
      <c r="D391" t="str">
        <f>VLOOKUP(Table2[[#This Row],[product]],Ref[#All],7,FALSE)</f>
        <v>Flour</v>
      </c>
      <c r="E391" t="s">
        <v>36</v>
      </c>
      <c r="F391" t="str">
        <f>VLOOKUP(Table2[[#This Row],[product]],Ref[#All],2,FALSE)</f>
        <v>Flour Import Elngm 25Kg</v>
      </c>
      <c r="G391" t="str">
        <f>VLOOKUP(Table2[[#This Row],[product]],Ref[#All],3,FALSE)</f>
        <v>Flour Al-Nagm (Imported)</v>
      </c>
      <c r="H391" t="str">
        <f>VLOOKUP(Table2[[#This Row],[product]],Ref[#All],4,FALSE)</f>
        <v>Import</v>
      </c>
      <c r="I391" s="1">
        <v>45670</v>
      </c>
      <c r="J391" t="s">
        <v>53</v>
      </c>
      <c r="K391" t="s">
        <v>194</v>
      </c>
      <c r="L391" t="s">
        <v>1651</v>
      </c>
      <c r="M391" t="s">
        <v>1586</v>
      </c>
      <c r="N391" t="s">
        <v>784</v>
      </c>
      <c r="O391" t="s">
        <v>785</v>
      </c>
      <c r="P391" t="s">
        <v>788</v>
      </c>
      <c r="Q391" t="s">
        <v>55</v>
      </c>
      <c r="R391">
        <v>-2</v>
      </c>
      <c r="S391" s="15">
        <f>Table2[[#This Row],[movement_quantity]]/VLOOKUP(Table2[[#This Row],[product]],Ref[#All],5,FALSE)</f>
        <v>-0.05</v>
      </c>
      <c r="T391">
        <v>29239.17352</v>
      </c>
      <c r="U391" t="s">
        <v>17</v>
      </c>
      <c r="V391" t="s">
        <v>28</v>
      </c>
      <c r="W391" t="s">
        <v>195</v>
      </c>
      <c r="X391" t="s">
        <v>17</v>
      </c>
      <c r="Y391" t="s">
        <v>57</v>
      </c>
      <c r="Z391">
        <v>0</v>
      </c>
      <c r="AA391" s="2">
        <v>-58478.347040000001</v>
      </c>
      <c r="AB391" t="str">
        <f>VLOOKUP(Table2[[#This Row],[product]],Ref[#All],6,FALSE)</f>
        <v>BAG25</v>
      </c>
    </row>
    <row r="392" spans="1:28" x14ac:dyDescent="0.25">
      <c r="A392" t="str">
        <f>TEXT(Table2[[#This Row],[dated]],"mmm")</f>
        <v>Jan</v>
      </c>
      <c r="B392" t="s">
        <v>52</v>
      </c>
      <c r="C392" s="1" t="s">
        <v>536</v>
      </c>
      <c r="D392" t="str">
        <f>VLOOKUP(Table2[[#This Row],[product]],Ref[#All],7,FALSE)</f>
        <v>Flour</v>
      </c>
      <c r="E392" t="s">
        <v>36</v>
      </c>
      <c r="F392" t="str">
        <f>VLOOKUP(Table2[[#This Row],[product]],Ref[#All],2,FALSE)</f>
        <v>Flour Import Elngm 25Kg</v>
      </c>
      <c r="G392" t="str">
        <f>VLOOKUP(Table2[[#This Row],[product]],Ref[#All],3,FALSE)</f>
        <v>Flour Al-Nagm (Imported)</v>
      </c>
      <c r="H392" t="str">
        <f>VLOOKUP(Table2[[#This Row],[product]],Ref[#All],4,FALSE)</f>
        <v>Import</v>
      </c>
      <c r="I392" s="1">
        <v>45670</v>
      </c>
      <c r="J392" t="s">
        <v>53</v>
      </c>
      <c r="K392" t="s">
        <v>196</v>
      </c>
      <c r="L392" t="s">
        <v>1651</v>
      </c>
      <c r="M392" t="s">
        <v>1586</v>
      </c>
      <c r="N392" t="s">
        <v>784</v>
      </c>
      <c r="O392" t="s">
        <v>785</v>
      </c>
      <c r="P392" t="s">
        <v>788</v>
      </c>
      <c r="Q392" t="s">
        <v>55</v>
      </c>
      <c r="R392">
        <v>-7</v>
      </c>
      <c r="S392" s="15">
        <f>Table2[[#This Row],[movement_quantity]]/VLOOKUP(Table2[[#This Row],[product]],Ref[#All],5,FALSE)</f>
        <v>-0.17499999999999999</v>
      </c>
      <c r="T392">
        <v>29239.17352</v>
      </c>
      <c r="U392" t="s">
        <v>17</v>
      </c>
      <c r="V392" t="s">
        <v>29</v>
      </c>
      <c r="W392" t="s">
        <v>197</v>
      </c>
      <c r="X392" t="s">
        <v>17</v>
      </c>
      <c r="Y392" t="s">
        <v>57</v>
      </c>
      <c r="Z392">
        <v>0</v>
      </c>
      <c r="AA392" s="2">
        <v>-204674.21463999999</v>
      </c>
      <c r="AB392" t="str">
        <f>VLOOKUP(Table2[[#This Row],[product]],Ref[#All],6,FALSE)</f>
        <v>BAG25</v>
      </c>
    </row>
    <row r="393" spans="1:28" x14ac:dyDescent="0.25">
      <c r="A393" t="str">
        <f>TEXT(Table2[[#This Row],[dated]],"mmm")</f>
        <v>Jan</v>
      </c>
      <c r="B393" t="s">
        <v>52</v>
      </c>
      <c r="C393" s="1" t="s">
        <v>536</v>
      </c>
      <c r="D393" t="str">
        <f>VLOOKUP(Table2[[#This Row],[product]],Ref[#All],7,FALSE)</f>
        <v>Flour</v>
      </c>
      <c r="E393" t="s">
        <v>36</v>
      </c>
      <c r="F393" t="str">
        <f>VLOOKUP(Table2[[#This Row],[product]],Ref[#All],2,FALSE)</f>
        <v>Flour Import Elngm 25Kg</v>
      </c>
      <c r="G393" t="str">
        <f>VLOOKUP(Table2[[#This Row],[product]],Ref[#All],3,FALSE)</f>
        <v>Flour Al-Nagm (Imported)</v>
      </c>
      <c r="H393" t="str">
        <f>VLOOKUP(Table2[[#This Row],[product]],Ref[#All],4,FALSE)</f>
        <v>Import</v>
      </c>
      <c r="I393" s="1">
        <v>45670</v>
      </c>
      <c r="J393" t="s">
        <v>53</v>
      </c>
      <c r="K393" t="s">
        <v>198</v>
      </c>
      <c r="L393" t="s">
        <v>1651</v>
      </c>
      <c r="M393" t="s">
        <v>1586</v>
      </c>
      <c r="N393" t="s">
        <v>784</v>
      </c>
      <c r="O393" t="s">
        <v>785</v>
      </c>
      <c r="P393" t="s">
        <v>788</v>
      </c>
      <c r="Q393" t="s">
        <v>55</v>
      </c>
      <c r="R393">
        <v>-10</v>
      </c>
      <c r="S393" s="15">
        <f>Table2[[#This Row],[movement_quantity]]/VLOOKUP(Table2[[#This Row],[product]],Ref[#All],5,FALSE)</f>
        <v>-0.25</v>
      </c>
      <c r="T393">
        <v>29239.17352</v>
      </c>
      <c r="U393" t="s">
        <v>17</v>
      </c>
      <c r="V393" t="s">
        <v>31</v>
      </c>
      <c r="W393" t="s">
        <v>199</v>
      </c>
      <c r="X393" t="s">
        <v>17</v>
      </c>
      <c r="Y393" t="s">
        <v>57</v>
      </c>
      <c r="Z393">
        <v>0</v>
      </c>
      <c r="AA393" s="2">
        <v>-292391.7352</v>
      </c>
      <c r="AB393" t="str">
        <f>VLOOKUP(Table2[[#This Row],[product]],Ref[#All],6,FALSE)</f>
        <v>BAG25</v>
      </c>
    </row>
    <row r="394" spans="1:28" x14ac:dyDescent="0.25">
      <c r="A394" t="str">
        <f>TEXT(Table2[[#This Row],[dated]],"mmm")</f>
        <v>Jan</v>
      </c>
      <c r="B394" t="s">
        <v>52</v>
      </c>
      <c r="C394" s="1" t="s">
        <v>536</v>
      </c>
      <c r="D394" t="str">
        <f>VLOOKUP(Table2[[#This Row],[product]],Ref[#All],7,FALSE)</f>
        <v>Flour</v>
      </c>
      <c r="E394" t="s">
        <v>36</v>
      </c>
      <c r="F394" t="str">
        <f>VLOOKUP(Table2[[#This Row],[product]],Ref[#All],2,FALSE)</f>
        <v>Flour Import Elngm 25Kg</v>
      </c>
      <c r="G394" t="str">
        <f>VLOOKUP(Table2[[#This Row],[product]],Ref[#All],3,FALSE)</f>
        <v>Flour Al-Nagm (Imported)</v>
      </c>
      <c r="H394" t="str">
        <f>VLOOKUP(Table2[[#This Row],[product]],Ref[#All],4,FALSE)</f>
        <v>Import</v>
      </c>
      <c r="I394" s="1">
        <v>45670</v>
      </c>
      <c r="J394" t="s">
        <v>53</v>
      </c>
      <c r="K394" t="s">
        <v>200</v>
      </c>
      <c r="L394" t="s">
        <v>1651</v>
      </c>
      <c r="M394" t="s">
        <v>1586</v>
      </c>
      <c r="N394" t="s">
        <v>784</v>
      </c>
      <c r="O394" t="s">
        <v>785</v>
      </c>
      <c r="P394" t="s">
        <v>788</v>
      </c>
      <c r="Q394" t="s">
        <v>55</v>
      </c>
      <c r="R394">
        <v>-2</v>
      </c>
      <c r="S394" s="15">
        <f>Table2[[#This Row],[movement_quantity]]/VLOOKUP(Table2[[#This Row],[product]],Ref[#All],5,FALSE)</f>
        <v>-0.05</v>
      </c>
      <c r="T394">
        <v>29239.17352</v>
      </c>
      <c r="U394" t="s">
        <v>17</v>
      </c>
      <c r="V394" t="s">
        <v>32</v>
      </c>
      <c r="W394" t="s">
        <v>201</v>
      </c>
      <c r="X394" t="s">
        <v>17</v>
      </c>
      <c r="Y394" t="s">
        <v>57</v>
      </c>
      <c r="Z394">
        <v>0</v>
      </c>
      <c r="AA394" s="2">
        <v>-58478.347040000001</v>
      </c>
      <c r="AB394" t="str">
        <f>VLOOKUP(Table2[[#This Row],[product]],Ref[#All],6,FALSE)</f>
        <v>BAG25</v>
      </c>
    </row>
    <row r="395" spans="1:28" x14ac:dyDescent="0.25">
      <c r="A395" t="str">
        <f>TEXT(Table2[[#This Row],[dated]],"mmm")</f>
        <v>Jan</v>
      </c>
      <c r="B395" t="s">
        <v>52</v>
      </c>
      <c r="C395" s="1" t="s">
        <v>536</v>
      </c>
      <c r="D395" t="str">
        <f>VLOOKUP(Table2[[#This Row],[product]],Ref[#All],7,FALSE)</f>
        <v>Flour</v>
      </c>
      <c r="E395" t="s">
        <v>42</v>
      </c>
      <c r="F395" t="str">
        <f>VLOOKUP(Table2[[#This Row],[product]],Ref[#All],2,FALSE)</f>
        <v>Alnajm Flour from Mill 25KG</v>
      </c>
      <c r="G395" t="str">
        <f>VLOOKUP(Table2[[#This Row],[product]],Ref[#All],3,FALSE)</f>
        <v>Flour Al-Nagm (Mill)</v>
      </c>
      <c r="H395" t="str">
        <f>VLOOKUP(Table2[[#This Row],[product]],Ref[#All],4,FALSE)</f>
        <v>Import</v>
      </c>
      <c r="I395" s="1">
        <v>45670</v>
      </c>
      <c r="J395" t="s">
        <v>53</v>
      </c>
      <c r="K395" t="s">
        <v>202</v>
      </c>
      <c r="L395" t="s">
        <v>1651</v>
      </c>
      <c r="M395" t="s">
        <v>1586</v>
      </c>
      <c r="N395" t="s">
        <v>784</v>
      </c>
      <c r="O395" t="s">
        <v>785</v>
      </c>
      <c r="P395" t="s">
        <v>788</v>
      </c>
      <c r="Q395" t="s">
        <v>55</v>
      </c>
      <c r="R395">
        <v>-1</v>
      </c>
      <c r="S395" s="15">
        <f>Table2[[#This Row],[movement_quantity]]/VLOOKUP(Table2[[#This Row],[product]],Ref[#All],5,FALSE)</f>
        <v>-2.5000000000000001E-2</v>
      </c>
      <c r="T395">
        <v>22343.676599999999</v>
      </c>
      <c r="U395" t="s">
        <v>17</v>
      </c>
      <c r="V395" t="s">
        <v>18</v>
      </c>
      <c r="W395" t="s">
        <v>203</v>
      </c>
      <c r="X395" t="s">
        <v>17</v>
      </c>
      <c r="Y395" t="s">
        <v>49</v>
      </c>
      <c r="Z395">
        <v>0</v>
      </c>
      <c r="AA395" s="2">
        <v>-22343.676599999999</v>
      </c>
      <c r="AB395" t="str">
        <f>VLOOKUP(Table2[[#This Row],[product]],Ref[#All],6,FALSE)</f>
        <v>BAG25</v>
      </c>
    </row>
    <row r="396" spans="1:28" x14ac:dyDescent="0.25">
      <c r="A396" t="str">
        <f>TEXT(Table2[[#This Row],[dated]],"mmm")</f>
        <v>Jan</v>
      </c>
      <c r="B396" t="s">
        <v>52</v>
      </c>
      <c r="C396" s="1" t="s">
        <v>536</v>
      </c>
      <c r="D396" t="str">
        <f>VLOOKUP(Table2[[#This Row],[product]],Ref[#All],7,FALSE)</f>
        <v>Flour</v>
      </c>
      <c r="E396" t="s">
        <v>42</v>
      </c>
      <c r="F396" t="str">
        <f>VLOOKUP(Table2[[#This Row],[product]],Ref[#All],2,FALSE)</f>
        <v>Alnajm Flour from Mill 25KG</v>
      </c>
      <c r="G396" t="str">
        <f>VLOOKUP(Table2[[#This Row],[product]],Ref[#All],3,FALSE)</f>
        <v>Flour Al-Nagm (Mill)</v>
      </c>
      <c r="H396" t="str">
        <f>VLOOKUP(Table2[[#This Row],[product]],Ref[#All],4,FALSE)</f>
        <v>Import</v>
      </c>
      <c r="I396" s="1">
        <v>45670</v>
      </c>
      <c r="J396" t="s">
        <v>53</v>
      </c>
      <c r="K396" t="s">
        <v>204</v>
      </c>
      <c r="L396" t="s">
        <v>1651</v>
      </c>
      <c r="M396" t="s">
        <v>1586</v>
      </c>
      <c r="N396" t="s">
        <v>784</v>
      </c>
      <c r="O396" t="s">
        <v>785</v>
      </c>
      <c r="P396" t="s">
        <v>788</v>
      </c>
      <c r="Q396" t="s">
        <v>55</v>
      </c>
      <c r="R396">
        <v>-1</v>
      </c>
      <c r="S396" s="15">
        <f>Table2[[#This Row],[movement_quantity]]/VLOOKUP(Table2[[#This Row],[product]],Ref[#All],5,FALSE)</f>
        <v>-2.5000000000000001E-2</v>
      </c>
      <c r="T396">
        <v>22343.676599999999</v>
      </c>
      <c r="U396" t="s">
        <v>17</v>
      </c>
      <c r="V396" t="s">
        <v>21</v>
      </c>
      <c r="W396" t="s">
        <v>205</v>
      </c>
      <c r="X396" t="s">
        <v>17</v>
      </c>
      <c r="Y396" t="s">
        <v>49</v>
      </c>
      <c r="Z396">
        <v>0</v>
      </c>
      <c r="AA396" s="2">
        <v>-22343.676599999999</v>
      </c>
      <c r="AB396" t="str">
        <f>VLOOKUP(Table2[[#This Row],[product]],Ref[#All],6,FALSE)</f>
        <v>BAG25</v>
      </c>
    </row>
    <row r="397" spans="1:28" x14ac:dyDescent="0.25">
      <c r="A397" t="str">
        <f>TEXT(Table2[[#This Row],[dated]],"mmm")</f>
        <v>Jan</v>
      </c>
      <c r="B397" t="s">
        <v>52</v>
      </c>
      <c r="C397" s="1" t="s">
        <v>536</v>
      </c>
      <c r="D397" t="str">
        <f>VLOOKUP(Table2[[#This Row],[product]],Ref[#All],7,FALSE)</f>
        <v>Flour</v>
      </c>
      <c r="E397" t="s">
        <v>42</v>
      </c>
      <c r="F397" t="str">
        <f>VLOOKUP(Table2[[#This Row],[product]],Ref[#All],2,FALSE)</f>
        <v>Alnajm Flour from Mill 25KG</v>
      </c>
      <c r="G397" t="str">
        <f>VLOOKUP(Table2[[#This Row],[product]],Ref[#All],3,FALSE)</f>
        <v>Flour Al-Nagm (Mill)</v>
      </c>
      <c r="H397" t="str">
        <f>VLOOKUP(Table2[[#This Row],[product]],Ref[#All],4,FALSE)</f>
        <v>Import</v>
      </c>
      <c r="I397" s="1">
        <v>45670</v>
      </c>
      <c r="J397" t="s">
        <v>53</v>
      </c>
      <c r="K397" t="s">
        <v>206</v>
      </c>
      <c r="L397" t="s">
        <v>1651</v>
      </c>
      <c r="M397" t="s">
        <v>1586</v>
      </c>
      <c r="N397" t="s">
        <v>784</v>
      </c>
      <c r="O397" t="s">
        <v>785</v>
      </c>
      <c r="P397" t="s">
        <v>788</v>
      </c>
      <c r="Q397" t="s">
        <v>55</v>
      </c>
      <c r="R397">
        <v>-3</v>
      </c>
      <c r="S397" s="15">
        <f>Table2[[#This Row],[movement_quantity]]/VLOOKUP(Table2[[#This Row],[product]],Ref[#All],5,FALSE)</f>
        <v>-7.4999999999999997E-2</v>
      </c>
      <c r="T397">
        <v>22343.676599999999</v>
      </c>
      <c r="U397" t="s">
        <v>17</v>
      </c>
      <c r="V397" t="s">
        <v>22</v>
      </c>
      <c r="W397" t="s">
        <v>207</v>
      </c>
      <c r="X397" t="s">
        <v>17</v>
      </c>
      <c r="Y397" t="s">
        <v>49</v>
      </c>
      <c r="Z397">
        <v>0</v>
      </c>
      <c r="AA397" s="2">
        <v>-67031.029799999989</v>
      </c>
      <c r="AB397" t="str">
        <f>VLOOKUP(Table2[[#This Row],[product]],Ref[#All],6,FALSE)</f>
        <v>BAG25</v>
      </c>
    </row>
    <row r="398" spans="1:28" x14ac:dyDescent="0.25">
      <c r="A398" t="str">
        <f>TEXT(Table2[[#This Row],[dated]],"mmm")</f>
        <v>Jan</v>
      </c>
      <c r="B398" t="s">
        <v>52</v>
      </c>
      <c r="C398" s="1" t="s">
        <v>536</v>
      </c>
      <c r="D398" t="str">
        <f>VLOOKUP(Table2[[#This Row],[product]],Ref[#All],7,FALSE)</f>
        <v>Flour</v>
      </c>
      <c r="E398" t="s">
        <v>42</v>
      </c>
      <c r="F398" t="str">
        <f>VLOOKUP(Table2[[#This Row],[product]],Ref[#All],2,FALSE)</f>
        <v>Alnajm Flour from Mill 25KG</v>
      </c>
      <c r="G398" t="str">
        <f>VLOOKUP(Table2[[#This Row],[product]],Ref[#All],3,FALSE)</f>
        <v>Flour Al-Nagm (Mill)</v>
      </c>
      <c r="H398" t="str">
        <f>VLOOKUP(Table2[[#This Row],[product]],Ref[#All],4,FALSE)</f>
        <v>Import</v>
      </c>
      <c r="I398" s="1">
        <v>45670</v>
      </c>
      <c r="J398" t="s">
        <v>53</v>
      </c>
      <c r="K398" t="s">
        <v>208</v>
      </c>
      <c r="L398" t="s">
        <v>1651</v>
      </c>
      <c r="M398" t="s">
        <v>1586</v>
      </c>
      <c r="N398" t="s">
        <v>784</v>
      </c>
      <c r="O398" t="s">
        <v>785</v>
      </c>
      <c r="P398" t="s">
        <v>788</v>
      </c>
      <c r="Q398" t="s">
        <v>55</v>
      </c>
      <c r="R398">
        <v>-1</v>
      </c>
      <c r="S398" s="15">
        <f>Table2[[#This Row],[movement_quantity]]/VLOOKUP(Table2[[#This Row],[product]],Ref[#All],5,FALSE)</f>
        <v>-2.5000000000000001E-2</v>
      </c>
      <c r="T398">
        <v>22343.676599999999</v>
      </c>
      <c r="U398" t="s">
        <v>17</v>
      </c>
      <c r="V398" t="s">
        <v>23</v>
      </c>
      <c r="W398" t="s">
        <v>209</v>
      </c>
      <c r="X398" t="s">
        <v>17</v>
      </c>
      <c r="Y398" t="s">
        <v>49</v>
      </c>
      <c r="Z398">
        <v>0</v>
      </c>
      <c r="AA398" s="2">
        <v>-22343.676599999999</v>
      </c>
      <c r="AB398" t="str">
        <f>VLOOKUP(Table2[[#This Row],[product]],Ref[#All],6,FALSE)</f>
        <v>BAG25</v>
      </c>
    </row>
    <row r="399" spans="1:28" x14ac:dyDescent="0.25">
      <c r="A399" t="str">
        <f>TEXT(Table2[[#This Row],[dated]],"mmm")</f>
        <v>Jan</v>
      </c>
      <c r="B399" t="s">
        <v>30</v>
      </c>
      <c r="C399" s="1" t="s">
        <v>536</v>
      </c>
      <c r="D399" t="str">
        <f>VLOOKUP(Table2[[#This Row],[product]],Ref[#All],7,FALSE)</f>
        <v>Flour</v>
      </c>
      <c r="E399" t="s">
        <v>36</v>
      </c>
      <c r="F399" t="str">
        <f>VLOOKUP(Table2[[#This Row],[product]],Ref[#All],2,FALSE)</f>
        <v>Flour Import Elngm 25Kg</v>
      </c>
      <c r="G399" t="str">
        <f>VLOOKUP(Table2[[#This Row],[product]],Ref[#All],3,FALSE)</f>
        <v>Flour Al-Nagm (Imported)</v>
      </c>
      <c r="H399" t="str">
        <f>VLOOKUP(Table2[[#This Row],[product]],Ref[#All],4,FALSE)</f>
        <v>Import</v>
      </c>
      <c r="I399" s="1">
        <v>45670</v>
      </c>
      <c r="J399" t="s">
        <v>53</v>
      </c>
      <c r="K399" t="s">
        <v>212</v>
      </c>
      <c r="L399" t="s">
        <v>1651</v>
      </c>
      <c r="M399" t="s">
        <v>1586</v>
      </c>
      <c r="N399" t="s">
        <v>784</v>
      </c>
      <c r="O399" t="s">
        <v>785</v>
      </c>
      <c r="P399" t="s">
        <v>788</v>
      </c>
      <c r="Q399" t="s">
        <v>55</v>
      </c>
      <c r="R399">
        <v>-7</v>
      </c>
      <c r="S399" s="15">
        <f>Table2[[#This Row],[movement_quantity]]/VLOOKUP(Table2[[#This Row],[product]],Ref[#All],5,FALSE)</f>
        <v>-0.17499999999999999</v>
      </c>
      <c r="T399">
        <v>29239.17352</v>
      </c>
      <c r="U399" t="s">
        <v>17</v>
      </c>
      <c r="V399" t="s">
        <v>27</v>
      </c>
      <c r="W399" t="s">
        <v>213</v>
      </c>
      <c r="X399" t="s">
        <v>17</v>
      </c>
      <c r="Y399" t="s">
        <v>38</v>
      </c>
      <c r="Z399">
        <v>0</v>
      </c>
      <c r="AA399" s="2">
        <v>-204674.21463999999</v>
      </c>
      <c r="AB399" t="str">
        <f>VLOOKUP(Table2[[#This Row],[product]],Ref[#All],6,FALSE)</f>
        <v>BAG25</v>
      </c>
    </row>
    <row r="400" spans="1:28" x14ac:dyDescent="0.25">
      <c r="A400" t="str">
        <f>TEXT(Table2[[#This Row],[dated]],"mmm")</f>
        <v>Jan</v>
      </c>
      <c r="B400" t="s">
        <v>30</v>
      </c>
      <c r="C400" s="1" t="s">
        <v>536</v>
      </c>
      <c r="D400" t="str">
        <f>VLOOKUP(Table2[[#This Row],[product]],Ref[#All],7,FALSE)</f>
        <v>Flour</v>
      </c>
      <c r="E400" t="s">
        <v>36</v>
      </c>
      <c r="F400" t="str">
        <f>VLOOKUP(Table2[[#This Row],[product]],Ref[#All],2,FALSE)</f>
        <v>Flour Import Elngm 25Kg</v>
      </c>
      <c r="G400" t="str">
        <f>VLOOKUP(Table2[[#This Row],[product]],Ref[#All],3,FALSE)</f>
        <v>Flour Al-Nagm (Imported)</v>
      </c>
      <c r="H400" t="str">
        <f>VLOOKUP(Table2[[#This Row],[product]],Ref[#All],4,FALSE)</f>
        <v>Import</v>
      </c>
      <c r="I400" s="1">
        <v>45670</v>
      </c>
      <c r="J400" t="s">
        <v>53</v>
      </c>
      <c r="K400" t="s">
        <v>214</v>
      </c>
      <c r="L400" t="s">
        <v>1651</v>
      </c>
      <c r="M400" t="s">
        <v>1586</v>
      </c>
      <c r="N400" t="s">
        <v>784</v>
      </c>
      <c r="O400" t="s">
        <v>785</v>
      </c>
      <c r="P400" t="s">
        <v>788</v>
      </c>
      <c r="Q400" t="s">
        <v>55</v>
      </c>
      <c r="R400">
        <v>-2</v>
      </c>
      <c r="S400" s="15">
        <f>Table2[[#This Row],[movement_quantity]]/VLOOKUP(Table2[[#This Row],[product]],Ref[#All],5,FALSE)</f>
        <v>-0.05</v>
      </c>
      <c r="T400">
        <v>29239.17352</v>
      </c>
      <c r="U400" t="s">
        <v>17</v>
      </c>
      <c r="V400" t="s">
        <v>28</v>
      </c>
      <c r="W400" t="s">
        <v>215</v>
      </c>
      <c r="X400" t="s">
        <v>17</v>
      </c>
      <c r="Y400" t="s">
        <v>38</v>
      </c>
      <c r="Z400">
        <v>0</v>
      </c>
      <c r="AA400" s="2">
        <v>-58478.347040000001</v>
      </c>
      <c r="AB400" t="str">
        <f>VLOOKUP(Table2[[#This Row],[product]],Ref[#All],6,FALSE)</f>
        <v>BAG25</v>
      </c>
    </row>
    <row r="401" spans="1:28" x14ac:dyDescent="0.25">
      <c r="A401" t="str">
        <f>TEXT(Table2[[#This Row],[dated]],"mmm")</f>
        <v>Jan</v>
      </c>
      <c r="B401" t="s">
        <v>30</v>
      </c>
      <c r="C401" s="1" t="s">
        <v>536</v>
      </c>
      <c r="D401" t="str">
        <f>VLOOKUP(Table2[[#This Row],[product]],Ref[#All],7,FALSE)</f>
        <v>Flour</v>
      </c>
      <c r="E401" t="s">
        <v>36</v>
      </c>
      <c r="F401" t="str">
        <f>VLOOKUP(Table2[[#This Row],[product]],Ref[#All],2,FALSE)</f>
        <v>Flour Import Elngm 25Kg</v>
      </c>
      <c r="G401" t="str">
        <f>VLOOKUP(Table2[[#This Row],[product]],Ref[#All],3,FALSE)</f>
        <v>Flour Al-Nagm (Imported)</v>
      </c>
      <c r="H401" t="str">
        <f>VLOOKUP(Table2[[#This Row],[product]],Ref[#All],4,FALSE)</f>
        <v>Import</v>
      </c>
      <c r="I401" s="1">
        <v>45670</v>
      </c>
      <c r="J401" t="s">
        <v>53</v>
      </c>
      <c r="K401" t="s">
        <v>216</v>
      </c>
      <c r="L401" t="s">
        <v>1651</v>
      </c>
      <c r="M401" t="s">
        <v>1586</v>
      </c>
      <c r="N401" t="s">
        <v>784</v>
      </c>
      <c r="O401" t="s">
        <v>785</v>
      </c>
      <c r="P401" t="s">
        <v>788</v>
      </c>
      <c r="Q401" t="s">
        <v>55</v>
      </c>
      <c r="R401">
        <v>-1</v>
      </c>
      <c r="S401" s="15">
        <f>Table2[[#This Row],[movement_quantity]]/VLOOKUP(Table2[[#This Row],[product]],Ref[#All],5,FALSE)</f>
        <v>-2.5000000000000001E-2</v>
      </c>
      <c r="T401">
        <v>29239.17352</v>
      </c>
      <c r="U401" t="s">
        <v>17</v>
      </c>
      <c r="V401" t="s">
        <v>29</v>
      </c>
      <c r="W401" t="s">
        <v>217</v>
      </c>
      <c r="X401" t="s">
        <v>17</v>
      </c>
      <c r="Y401" t="s">
        <v>38</v>
      </c>
      <c r="Z401">
        <v>0</v>
      </c>
      <c r="AA401" s="2">
        <v>-29239.17352</v>
      </c>
      <c r="AB401" t="str">
        <f>VLOOKUP(Table2[[#This Row],[product]],Ref[#All],6,FALSE)</f>
        <v>BAG25</v>
      </c>
    </row>
    <row r="402" spans="1:28" x14ac:dyDescent="0.25">
      <c r="A402" t="str">
        <f>TEXT(Table2[[#This Row],[dated]],"mmm")</f>
        <v>Jan</v>
      </c>
      <c r="B402" t="s">
        <v>30</v>
      </c>
      <c r="C402" s="1" t="s">
        <v>536</v>
      </c>
      <c r="D402" t="str">
        <f>VLOOKUP(Table2[[#This Row],[product]],Ref[#All],7,FALSE)</f>
        <v>Flour</v>
      </c>
      <c r="E402" t="s">
        <v>42</v>
      </c>
      <c r="F402" t="str">
        <f>VLOOKUP(Table2[[#This Row],[product]],Ref[#All],2,FALSE)</f>
        <v>Alnajm Flour from Mill 25KG</v>
      </c>
      <c r="G402" t="str">
        <f>VLOOKUP(Table2[[#This Row],[product]],Ref[#All],3,FALSE)</f>
        <v>Flour Al-Nagm (Mill)</v>
      </c>
      <c r="H402" t="str">
        <f>VLOOKUP(Table2[[#This Row],[product]],Ref[#All],4,FALSE)</f>
        <v>Import</v>
      </c>
      <c r="I402" s="1">
        <v>45670</v>
      </c>
      <c r="J402" t="s">
        <v>53</v>
      </c>
      <c r="K402" t="s">
        <v>218</v>
      </c>
      <c r="L402" t="s">
        <v>1651</v>
      </c>
      <c r="M402" t="s">
        <v>1586</v>
      </c>
      <c r="N402" t="s">
        <v>784</v>
      </c>
      <c r="O402" t="s">
        <v>785</v>
      </c>
      <c r="P402" t="s">
        <v>788</v>
      </c>
      <c r="Q402" t="s">
        <v>55</v>
      </c>
      <c r="R402">
        <v>-4</v>
      </c>
      <c r="S402" s="15">
        <f>Table2[[#This Row],[movement_quantity]]/VLOOKUP(Table2[[#This Row],[product]],Ref[#All],5,FALSE)</f>
        <v>-0.1</v>
      </c>
      <c r="T402">
        <v>22343.676599999999</v>
      </c>
      <c r="U402" t="s">
        <v>17</v>
      </c>
      <c r="V402" t="s">
        <v>18</v>
      </c>
      <c r="W402" t="s">
        <v>219</v>
      </c>
      <c r="X402" t="s">
        <v>17</v>
      </c>
      <c r="Y402" t="s">
        <v>49</v>
      </c>
      <c r="Z402">
        <v>0</v>
      </c>
      <c r="AA402" s="2">
        <v>-89374.706399999995</v>
      </c>
      <c r="AB402" t="str">
        <f>VLOOKUP(Table2[[#This Row],[product]],Ref[#All],6,FALSE)</f>
        <v>BAG25</v>
      </c>
    </row>
    <row r="403" spans="1:28" x14ac:dyDescent="0.25">
      <c r="A403" t="str">
        <f>TEXT(Table2[[#This Row],[dated]],"mmm")</f>
        <v>Jan</v>
      </c>
      <c r="B403" t="s">
        <v>30</v>
      </c>
      <c r="C403" s="1" t="s">
        <v>536</v>
      </c>
      <c r="D403" t="str">
        <f>VLOOKUP(Table2[[#This Row],[product]],Ref[#All],7,FALSE)</f>
        <v>Flour</v>
      </c>
      <c r="E403" t="s">
        <v>42</v>
      </c>
      <c r="F403" t="str">
        <f>VLOOKUP(Table2[[#This Row],[product]],Ref[#All],2,FALSE)</f>
        <v>Alnajm Flour from Mill 25KG</v>
      </c>
      <c r="G403" t="str">
        <f>VLOOKUP(Table2[[#This Row],[product]],Ref[#All],3,FALSE)</f>
        <v>Flour Al-Nagm (Mill)</v>
      </c>
      <c r="H403" t="str">
        <f>VLOOKUP(Table2[[#This Row],[product]],Ref[#All],4,FALSE)</f>
        <v>Import</v>
      </c>
      <c r="I403" s="1">
        <v>45670</v>
      </c>
      <c r="J403" t="s">
        <v>53</v>
      </c>
      <c r="K403" t="s">
        <v>220</v>
      </c>
      <c r="L403" t="s">
        <v>1651</v>
      </c>
      <c r="M403" t="s">
        <v>1586</v>
      </c>
      <c r="N403" t="s">
        <v>784</v>
      </c>
      <c r="O403" t="s">
        <v>785</v>
      </c>
      <c r="P403" t="s">
        <v>788</v>
      </c>
      <c r="Q403" t="s">
        <v>55</v>
      </c>
      <c r="R403">
        <v>-1</v>
      </c>
      <c r="S403" s="15">
        <f>Table2[[#This Row],[movement_quantity]]/VLOOKUP(Table2[[#This Row],[product]],Ref[#All],5,FALSE)</f>
        <v>-2.5000000000000001E-2</v>
      </c>
      <c r="T403">
        <v>22343.676599999999</v>
      </c>
      <c r="U403" t="s">
        <v>17</v>
      </c>
      <c r="V403" t="s">
        <v>21</v>
      </c>
      <c r="W403" t="s">
        <v>221</v>
      </c>
      <c r="X403" t="s">
        <v>17</v>
      </c>
      <c r="Y403" t="s">
        <v>49</v>
      </c>
      <c r="Z403">
        <v>0</v>
      </c>
      <c r="AA403" s="2">
        <v>-22343.676599999999</v>
      </c>
      <c r="AB403" t="str">
        <f>VLOOKUP(Table2[[#This Row],[product]],Ref[#All],6,FALSE)</f>
        <v>BAG25</v>
      </c>
    </row>
    <row r="404" spans="1:28" x14ac:dyDescent="0.25">
      <c r="A404" t="str">
        <f>TEXT(Table2[[#This Row],[dated]],"mmm")</f>
        <v>Jan</v>
      </c>
      <c r="B404" t="s">
        <v>30</v>
      </c>
      <c r="C404" s="1" t="s">
        <v>536</v>
      </c>
      <c r="D404" t="str">
        <f>VLOOKUP(Table2[[#This Row],[product]],Ref[#All],7,FALSE)</f>
        <v>Flour</v>
      </c>
      <c r="E404" t="s">
        <v>42</v>
      </c>
      <c r="F404" t="str">
        <f>VLOOKUP(Table2[[#This Row],[product]],Ref[#All],2,FALSE)</f>
        <v>Alnajm Flour from Mill 25KG</v>
      </c>
      <c r="G404" t="str">
        <f>VLOOKUP(Table2[[#This Row],[product]],Ref[#All],3,FALSE)</f>
        <v>Flour Al-Nagm (Mill)</v>
      </c>
      <c r="H404" t="str">
        <f>VLOOKUP(Table2[[#This Row],[product]],Ref[#All],4,FALSE)</f>
        <v>Import</v>
      </c>
      <c r="I404" s="1">
        <v>45670</v>
      </c>
      <c r="J404" t="s">
        <v>53</v>
      </c>
      <c r="K404" t="s">
        <v>222</v>
      </c>
      <c r="L404" t="s">
        <v>1651</v>
      </c>
      <c r="M404" t="s">
        <v>1586</v>
      </c>
      <c r="N404" t="s">
        <v>784</v>
      </c>
      <c r="O404" t="s">
        <v>785</v>
      </c>
      <c r="P404" t="s">
        <v>788</v>
      </c>
      <c r="Q404" t="s">
        <v>55</v>
      </c>
      <c r="R404">
        <v>-7</v>
      </c>
      <c r="S404" s="15">
        <f>Table2[[#This Row],[movement_quantity]]/VLOOKUP(Table2[[#This Row],[product]],Ref[#All],5,FALSE)</f>
        <v>-0.17499999999999999</v>
      </c>
      <c r="T404">
        <v>22343.676599999999</v>
      </c>
      <c r="U404" t="s">
        <v>17</v>
      </c>
      <c r="V404" t="s">
        <v>22</v>
      </c>
      <c r="W404" t="s">
        <v>223</v>
      </c>
      <c r="X404" t="s">
        <v>17</v>
      </c>
      <c r="Y404" t="s">
        <v>49</v>
      </c>
      <c r="Z404">
        <v>0</v>
      </c>
      <c r="AA404" s="2">
        <v>-156405.73619999998</v>
      </c>
      <c r="AB404" t="str">
        <f>VLOOKUP(Table2[[#This Row],[product]],Ref[#All],6,FALSE)</f>
        <v>BAG25</v>
      </c>
    </row>
    <row r="405" spans="1:28" x14ac:dyDescent="0.25">
      <c r="A405" t="str">
        <f>TEXT(Table2[[#This Row],[dated]],"mmm")</f>
        <v>Jan</v>
      </c>
      <c r="B405" t="s">
        <v>30</v>
      </c>
      <c r="C405" s="1" t="s">
        <v>536</v>
      </c>
      <c r="D405" t="str">
        <f>VLOOKUP(Table2[[#This Row],[product]],Ref[#All],7,FALSE)</f>
        <v>Flour</v>
      </c>
      <c r="E405" t="s">
        <v>42</v>
      </c>
      <c r="F405" t="str">
        <f>VLOOKUP(Table2[[#This Row],[product]],Ref[#All],2,FALSE)</f>
        <v>Alnajm Flour from Mill 25KG</v>
      </c>
      <c r="G405" t="str">
        <f>VLOOKUP(Table2[[#This Row],[product]],Ref[#All],3,FALSE)</f>
        <v>Flour Al-Nagm (Mill)</v>
      </c>
      <c r="H405" t="str">
        <f>VLOOKUP(Table2[[#This Row],[product]],Ref[#All],4,FALSE)</f>
        <v>Import</v>
      </c>
      <c r="I405" s="1">
        <v>45670</v>
      </c>
      <c r="J405" t="s">
        <v>53</v>
      </c>
      <c r="K405" t="s">
        <v>224</v>
      </c>
      <c r="L405" t="s">
        <v>1651</v>
      </c>
      <c r="M405" t="s">
        <v>1586</v>
      </c>
      <c r="N405" t="s">
        <v>784</v>
      </c>
      <c r="O405" t="s">
        <v>785</v>
      </c>
      <c r="P405" t="s">
        <v>788</v>
      </c>
      <c r="Q405" t="s">
        <v>55</v>
      </c>
      <c r="R405">
        <v>-1</v>
      </c>
      <c r="S405" s="15">
        <f>Table2[[#This Row],[movement_quantity]]/VLOOKUP(Table2[[#This Row],[product]],Ref[#All],5,FALSE)</f>
        <v>-2.5000000000000001E-2</v>
      </c>
      <c r="T405">
        <v>22343.676599999999</v>
      </c>
      <c r="U405" t="s">
        <v>17</v>
      </c>
      <c r="V405" t="s">
        <v>23</v>
      </c>
      <c r="W405" t="s">
        <v>225</v>
      </c>
      <c r="X405" t="s">
        <v>17</v>
      </c>
      <c r="Y405" t="s">
        <v>49</v>
      </c>
      <c r="Z405">
        <v>0</v>
      </c>
      <c r="AA405" s="2">
        <v>-22343.676599999999</v>
      </c>
      <c r="AB405" t="str">
        <f>VLOOKUP(Table2[[#This Row],[product]],Ref[#All],6,FALSE)</f>
        <v>BAG25</v>
      </c>
    </row>
    <row r="406" spans="1:28" x14ac:dyDescent="0.25">
      <c r="A406" t="str">
        <f>TEXT(Table2[[#This Row],[dated]],"mmm")</f>
        <v>Jan</v>
      </c>
      <c r="B406" t="s">
        <v>30</v>
      </c>
      <c r="C406" s="1" t="s">
        <v>536</v>
      </c>
      <c r="D406" t="str">
        <f>VLOOKUP(Table2[[#This Row],[product]],Ref[#All],7,FALSE)</f>
        <v>Flour</v>
      </c>
      <c r="E406" t="s">
        <v>42</v>
      </c>
      <c r="F406" t="str">
        <f>VLOOKUP(Table2[[#This Row],[product]],Ref[#All],2,FALSE)</f>
        <v>Alnajm Flour from Mill 25KG</v>
      </c>
      <c r="G406" t="str">
        <f>VLOOKUP(Table2[[#This Row],[product]],Ref[#All],3,FALSE)</f>
        <v>Flour Al-Nagm (Mill)</v>
      </c>
      <c r="H406" t="str">
        <f>VLOOKUP(Table2[[#This Row],[product]],Ref[#All],4,FALSE)</f>
        <v>Import</v>
      </c>
      <c r="I406" s="1">
        <v>45670</v>
      </c>
      <c r="J406" t="s">
        <v>53</v>
      </c>
      <c r="K406" t="s">
        <v>226</v>
      </c>
      <c r="L406" t="s">
        <v>1651</v>
      </c>
      <c r="M406" t="s">
        <v>1586</v>
      </c>
      <c r="N406" t="s">
        <v>784</v>
      </c>
      <c r="O406" t="s">
        <v>785</v>
      </c>
      <c r="P406" t="s">
        <v>788</v>
      </c>
      <c r="Q406" t="s">
        <v>55</v>
      </c>
      <c r="R406">
        <v>-4</v>
      </c>
      <c r="S406" s="15">
        <f>Table2[[#This Row],[movement_quantity]]/VLOOKUP(Table2[[#This Row],[product]],Ref[#All],5,FALSE)</f>
        <v>-0.1</v>
      </c>
      <c r="T406">
        <v>22343.676599999999</v>
      </c>
      <c r="U406" t="s">
        <v>17</v>
      </c>
      <c r="V406" t="s">
        <v>24</v>
      </c>
      <c r="W406" t="s">
        <v>227</v>
      </c>
      <c r="X406" t="s">
        <v>17</v>
      </c>
      <c r="Y406" t="s">
        <v>49</v>
      </c>
      <c r="Z406">
        <v>0</v>
      </c>
      <c r="AA406" s="2">
        <v>-89374.706399999995</v>
      </c>
      <c r="AB406" t="str">
        <f>VLOOKUP(Table2[[#This Row],[product]],Ref[#All],6,FALSE)</f>
        <v>BAG25</v>
      </c>
    </row>
    <row r="407" spans="1:28" x14ac:dyDescent="0.25">
      <c r="A407" t="str">
        <f>TEXT(Table2[[#This Row],[dated]],"mmm")</f>
        <v>Jan</v>
      </c>
      <c r="B407" t="s">
        <v>96</v>
      </c>
      <c r="C407" s="1" t="s">
        <v>536</v>
      </c>
      <c r="D407" t="str">
        <f>VLOOKUP(Table2[[#This Row],[product]],Ref[#All],7,FALSE)</f>
        <v>Flour</v>
      </c>
      <c r="E407" t="s">
        <v>42</v>
      </c>
      <c r="F407" t="str">
        <f>VLOOKUP(Table2[[#This Row],[product]],Ref[#All],2,FALSE)</f>
        <v>Alnajm Flour from Mill 25KG</v>
      </c>
      <c r="G407" t="str">
        <f>VLOOKUP(Table2[[#This Row],[product]],Ref[#All],3,FALSE)</f>
        <v>Flour Al-Nagm (Mill)</v>
      </c>
      <c r="H407" t="str">
        <f>VLOOKUP(Table2[[#This Row],[product]],Ref[#All],4,FALSE)</f>
        <v>Import</v>
      </c>
      <c r="I407" s="1">
        <v>45670</v>
      </c>
      <c r="J407" t="s">
        <v>53</v>
      </c>
      <c r="K407" t="s">
        <v>228</v>
      </c>
      <c r="L407" t="s">
        <v>1651</v>
      </c>
      <c r="M407" t="s">
        <v>1586</v>
      </c>
      <c r="N407" t="s">
        <v>784</v>
      </c>
      <c r="O407" t="s">
        <v>785</v>
      </c>
      <c r="P407" t="s">
        <v>788</v>
      </c>
      <c r="Q407" t="s">
        <v>55</v>
      </c>
      <c r="R407">
        <v>-14</v>
      </c>
      <c r="S407" s="15">
        <f>Table2[[#This Row],[movement_quantity]]/VLOOKUP(Table2[[#This Row],[product]],Ref[#All],5,FALSE)</f>
        <v>-0.35</v>
      </c>
      <c r="T407">
        <v>22343.676599999999</v>
      </c>
      <c r="U407" t="s">
        <v>17</v>
      </c>
      <c r="V407" t="s">
        <v>18</v>
      </c>
      <c r="W407" t="s">
        <v>229</v>
      </c>
      <c r="X407" t="s">
        <v>17</v>
      </c>
      <c r="Y407" t="s">
        <v>43</v>
      </c>
      <c r="Z407">
        <v>0</v>
      </c>
      <c r="AA407" s="2">
        <v>-312811.47239999997</v>
      </c>
      <c r="AB407" t="str">
        <f>VLOOKUP(Table2[[#This Row],[product]],Ref[#All],6,FALSE)</f>
        <v>BAG25</v>
      </c>
    </row>
    <row r="408" spans="1:28" x14ac:dyDescent="0.25">
      <c r="A408" t="str">
        <f>TEXT(Table2[[#This Row],[dated]],"mmm")</f>
        <v>Jan</v>
      </c>
      <c r="B408" t="s">
        <v>96</v>
      </c>
      <c r="C408" s="1" t="s">
        <v>536</v>
      </c>
      <c r="D408" t="str">
        <f>VLOOKUP(Table2[[#This Row],[product]],Ref[#All],7,FALSE)</f>
        <v>Flour</v>
      </c>
      <c r="E408" t="s">
        <v>36</v>
      </c>
      <c r="F408" t="str">
        <f>VLOOKUP(Table2[[#This Row],[product]],Ref[#All],2,FALSE)</f>
        <v>Flour Import Elngm 25Kg</v>
      </c>
      <c r="G408" t="str">
        <f>VLOOKUP(Table2[[#This Row],[product]],Ref[#All],3,FALSE)</f>
        <v>Flour Al-Nagm (Imported)</v>
      </c>
      <c r="H408" t="str">
        <f>VLOOKUP(Table2[[#This Row],[product]],Ref[#All],4,FALSE)</f>
        <v>Import</v>
      </c>
      <c r="I408" s="1">
        <v>45670</v>
      </c>
      <c r="J408" t="s">
        <v>53</v>
      </c>
      <c r="K408" t="s">
        <v>230</v>
      </c>
      <c r="L408" t="s">
        <v>1651</v>
      </c>
      <c r="M408" t="s">
        <v>1586</v>
      </c>
      <c r="N408" t="s">
        <v>784</v>
      </c>
      <c r="O408" t="s">
        <v>785</v>
      </c>
      <c r="P408" t="s">
        <v>788</v>
      </c>
      <c r="Q408" t="s">
        <v>55</v>
      </c>
      <c r="R408">
        <v>-28</v>
      </c>
      <c r="S408" s="15">
        <f>Table2[[#This Row],[movement_quantity]]/VLOOKUP(Table2[[#This Row],[product]],Ref[#All],5,FALSE)</f>
        <v>-0.7</v>
      </c>
      <c r="T408">
        <v>29239.17352</v>
      </c>
      <c r="U408" t="s">
        <v>17</v>
      </c>
      <c r="V408" t="s">
        <v>22</v>
      </c>
      <c r="W408" t="s">
        <v>231</v>
      </c>
      <c r="X408" t="s">
        <v>17</v>
      </c>
      <c r="Y408" t="s">
        <v>38</v>
      </c>
      <c r="Z408">
        <v>0</v>
      </c>
      <c r="AA408" s="2">
        <v>-818696.85855999996</v>
      </c>
      <c r="AB408" t="str">
        <f>VLOOKUP(Table2[[#This Row],[product]],Ref[#All],6,FALSE)</f>
        <v>BAG25</v>
      </c>
    </row>
    <row r="409" spans="1:28" x14ac:dyDescent="0.25">
      <c r="A409" t="str">
        <f>TEXT(Table2[[#This Row],[dated]],"mmm")</f>
        <v>Jan</v>
      </c>
      <c r="B409" t="s">
        <v>96</v>
      </c>
      <c r="C409" s="1" t="s">
        <v>536</v>
      </c>
      <c r="D409" t="str">
        <f>VLOOKUP(Table2[[#This Row],[product]],Ref[#All],7,FALSE)</f>
        <v>Flour</v>
      </c>
      <c r="E409" t="s">
        <v>36</v>
      </c>
      <c r="F409" t="str">
        <f>VLOOKUP(Table2[[#This Row],[product]],Ref[#All],2,FALSE)</f>
        <v>Flour Import Elngm 25Kg</v>
      </c>
      <c r="G409" t="str">
        <f>VLOOKUP(Table2[[#This Row],[product]],Ref[#All],3,FALSE)</f>
        <v>Flour Al-Nagm (Imported)</v>
      </c>
      <c r="H409" t="str">
        <f>VLOOKUP(Table2[[#This Row],[product]],Ref[#All],4,FALSE)</f>
        <v>Import</v>
      </c>
      <c r="I409" s="1">
        <v>45670</v>
      </c>
      <c r="J409" t="s">
        <v>53</v>
      </c>
      <c r="K409" t="s">
        <v>232</v>
      </c>
      <c r="L409" t="s">
        <v>1651</v>
      </c>
      <c r="M409" t="s">
        <v>1586</v>
      </c>
      <c r="N409" t="s">
        <v>784</v>
      </c>
      <c r="O409" t="s">
        <v>785</v>
      </c>
      <c r="P409" t="s">
        <v>788</v>
      </c>
      <c r="Q409" t="s">
        <v>55</v>
      </c>
      <c r="R409">
        <v>-1</v>
      </c>
      <c r="S409" s="15">
        <f>Table2[[#This Row],[movement_quantity]]/VLOOKUP(Table2[[#This Row],[product]],Ref[#All],5,FALSE)</f>
        <v>-2.5000000000000001E-2</v>
      </c>
      <c r="T409">
        <v>29239.17352</v>
      </c>
      <c r="U409" t="s">
        <v>17</v>
      </c>
      <c r="V409" t="s">
        <v>23</v>
      </c>
      <c r="W409" t="s">
        <v>233</v>
      </c>
      <c r="X409" t="s">
        <v>17</v>
      </c>
      <c r="Y409" t="s">
        <v>38</v>
      </c>
      <c r="Z409">
        <v>0</v>
      </c>
      <c r="AA409" s="2">
        <v>-29239.17352</v>
      </c>
      <c r="AB409" t="str">
        <f>VLOOKUP(Table2[[#This Row],[product]],Ref[#All],6,FALSE)</f>
        <v>BAG25</v>
      </c>
    </row>
    <row r="410" spans="1:28" x14ac:dyDescent="0.25">
      <c r="A410" t="str">
        <f>TEXT(Table2[[#This Row],[dated]],"mmm")</f>
        <v>Jan</v>
      </c>
      <c r="B410" t="s">
        <v>96</v>
      </c>
      <c r="C410" s="1" t="s">
        <v>536</v>
      </c>
      <c r="D410" t="str">
        <f>VLOOKUP(Table2[[#This Row],[product]],Ref[#All],7,FALSE)</f>
        <v>Flour</v>
      </c>
      <c r="E410" t="s">
        <v>36</v>
      </c>
      <c r="F410" t="str">
        <f>VLOOKUP(Table2[[#This Row],[product]],Ref[#All],2,FALSE)</f>
        <v>Flour Import Elngm 25Kg</v>
      </c>
      <c r="G410" t="str">
        <f>VLOOKUP(Table2[[#This Row],[product]],Ref[#All],3,FALSE)</f>
        <v>Flour Al-Nagm (Imported)</v>
      </c>
      <c r="H410" t="str">
        <f>VLOOKUP(Table2[[#This Row],[product]],Ref[#All],4,FALSE)</f>
        <v>Import</v>
      </c>
      <c r="I410" s="1">
        <v>45670</v>
      </c>
      <c r="J410" t="s">
        <v>53</v>
      </c>
      <c r="K410" t="s">
        <v>234</v>
      </c>
      <c r="L410" t="s">
        <v>1651</v>
      </c>
      <c r="M410" t="s">
        <v>1586</v>
      </c>
      <c r="N410" t="s">
        <v>784</v>
      </c>
      <c r="O410" t="s">
        <v>785</v>
      </c>
      <c r="P410" t="s">
        <v>788</v>
      </c>
      <c r="Q410" t="s">
        <v>55</v>
      </c>
      <c r="R410">
        <v>-1</v>
      </c>
      <c r="S410" s="15">
        <f>Table2[[#This Row],[movement_quantity]]/VLOOKUP(Table2[[#This Row],[product]],Ref[#All],5,FALSE)</f>
        <v>-2.5000000000000001E-2</v>
      </c>
      <c r="T410">
        <v>29239.17352</v>
      </c>
      <c r="U410" t="s">
        <v>17</v>
      </c>
      <c r="V410" t="s">
        <v>24</v>
      </c>
      <c r="W410" t="s">
        <v>235</v>
      </c>
      <c r="X410" t="s">
        <v>17</v>
      </c>
      <c r="Y410" t="s">
        <v>38</v>
      </c>
      <c r="Z410">
        <v>0</v>
      </c>
      <c r="AA410" s="2">
        <v>-29239.17352</v>
      </c>
      <c r="AB410" t="str">
        <f>VLOOKUP(Table2[[#This Row],[product]],Ref[#All],6,FALSE)</f>
        <v>BAG25</v>
      </c>
    </row>
    <row r="411" spans="1:28" x14ac:dyDescent="0.25">
      <c r="A411" t="str">
        <f>TEXT(Table2[[#This Row],[dated]],"mmm")</f>
        <v>Jan</v>
      </c>
      <c r="B411" t="s">
        <v>158</v>
      </c>
      <c r="C411" s="1" t="s">
        <v>536</v>
      </c>
      <c r="D411" t="str">
        <f>VLOOKUP(Table2[[#This Row],[product]],Ref[#All],7,FALSE)</f>
        <v>Flour</v>
      </c>
      <c r="E411" t="s">
        <v>36</v>
      </c>
      <c r="F411" t="str">
        <f>VLOOKUP(Table2[[#This Row],[product]],Ref[#All],2,FALSE)</f>
        <v>Flour Import Elngm 25Kg</v>
      </c>
      <c r="G411" t="str">
        <f>VLOOKUP(Table2[[#This Row],[product]],Ref[#All],3,FALSE)</f>
        <v>Flour Al-Nagm (Imported)</v>
      </c>
      <c r="H411" t="str">
        <f>VLOOKUP(Table2[[#This Row],[product]],Ref[#All],4,FALSE)</f>
        <v>Import</v>
      </c>
      <c r="I411" s="1">
        <v>45670</v>
      </c>
      <c r="J411" t="s">
        <v>53</v>
      </c>
      <c r="K411" t="s">
        <v>236</v>
      </c>
      <c r="L411" t="s">
        <v>1651</v>
      </c>
      <c r="M411" t="s">
        <v>1586</v>
      </c>
      <c r="N411" t="s">
        <v>784</v>
      </c>
      <c r="O411" t="s">
        <v>785</v>
      </c>
      <c r="P411" t="s">
        <v>788</v>
      </c>
      <c r="Q411" t="s">
        <v>55</v>
      </c>
      <c r="R411">
        <v>-1</v>
      </c>
      <c r="S411" s="15">
        <f>Table2[[#This Row],[movement_quantity]]/VLOOKUP(Table2[[#This Row],[product]],Ref[#All],5,FALSE)</f>
        <v>-2.5000000000000001E-2</v>
      </c>
      <c r="T411">
        <v>29239.17352</v>
      </c>
      <c r="U411" t="s">
        <v>17</v>
      </c>
      <c r="V411" t="s">
        <v>18</v>
      </c>
      <c r="W411" t="s">
        <v>237</v>
      </c>
      <c r="X411" t="s">
        <v>17</v>
      </c>
      <c r="Y411" t="s">
        <v>57</v>
      </c>
      <c r="Z411">
        <v>0</v>
      </c>
      <c r="AA411" s="2">
        <v>-29239.17352</v>
      </c>
      <c r="AB411" t="str">
        <f>VLOOKUP(Table2[[#This Row],[product]],Ref[#All],6,FALSE)</f>
        <v>BAG25</v>
      </c>
    </row>
    <row r="412" spans="1:28" x14ac:dyDescent="0.25">
      <c r="A412" t="str">
        <f>TEXT(Table2[[#This Row],[dated]],"mmm")</f>
        <v>Jan</v>
      </c>
      <c r="B412" t="s">
        <v>158</v>
      </c>
      <c r="C412" s="1" t="s">
        <v>536</v>
      </c>
      <c r="D412" t="str">
        <f>VLOOKUP(Table2[[#This Row],[product]],Ref[#All],7,FALSE)</f>
        <v>Flour</v>
      </c>
      <c r="E412" t="s">
        <v>36</v>
      </c>
      <c r="F412" t="str">
        <f>VLOOKUP(Table2[[#This Row],[product]],Ref[#All],2,FALSE)</f>
        <v>Flour Import Elngm 25Kg</v>
      </c>
      <c r="G412" t="str">
        <f>VLOOKUP(Table2[[#This Row],[product]],Ref[#All],3,FALSE)</f>
        <v>Flour Al-Nagm (Imported)</v>
      </c>
      <c r="H412" t="str">
        <f>VLOOKUP(Table2[[#This Row],[product]],Ref[#All],4,FALSE)</f>
        <v>Import</v>
      </c>
      <c r="I412" s="1">
        <v>45670</v>
      </c>
      <c r="J412" t="s">
        <v>53</v>
      </c>
      <c r="K412" t="s">
        <v>238</v>
      </c>
      <c r="L412" t="s">
        <v>1651</v>
      </c>
      <c r="M412" t="s">
        <v>1586</v>
      </c>
      <c r="N412" t="s">
        <v>784</v>
      </c>
      <c r="O412" t="s">
        <v>785</v>
      </c>
      <c r="P412" t="s">
        <v>788</v>
      </c>
      <c r="Q412" t="s">
        <v>55</v>
      </c>
      <c r="R412">
        <v>-32</v>
      </c>
      <c r="S412" s="15">
        <f>Table2[[#This Row],[movement_quantity]]/VLOOKUP(Table2[[#This Row],[product]],Ref[#All],5,FALSE)</f>
        <v>-0.8</v>
      </c>
      <c r="T412">
        <v>29239.17352</v>
      </c>
      <c r="U412" t="s">
        <v>17</v>
      </c>
      <c r="V412" t="s">
        <v>21</v>
      </c>
      <c r="W412" t="s">
        <v>239</v>
      </c>
      <c r="X412" t="s">
        <v>17</v>
      </c>
      <c r="Y412" t="s">
        <v>57</v>
      </c>
      <c r="Z412">
        <v>0</v>
      </c>
      <c r="AA412" s="2">
        <v>-935653.55264000001</v>
      </c>
      <c r="AB412" t="str">
        <f>VLOOKUP(Table2[[#This Row],[product]],Ref[#All],6,FALSE)</f>
        <v>BAG25</v>
      </c>
    </row>
    <row r="413" spans="1:28" x14ac:dyDescent="0.25">
      <c r="A413" t="str">
        <f>TEXT(Table2[[#This Row],[dated]],"mmm")</f>
        <v>Jan</v>
      </c>
      <c r="B413" t="s">
        <v>158</v>
      </c>
      <c r="C413" s="1" t="s">
        <v>536</v>
      </c>
      <c r="D413" t="str">
        <f>VLOOKUP(Table2[[#This Row],[product]],Ref[#All],7,FALSE)</f>
        <v>Flour</v>
      </c>
      <c r="E413" t="s">
        <v>36</v>
      </c>
      <c r="F413" t="str">
        <f>VLOOKUP(Table2[[#This Row],[product]],Ref[#All],2,FALSE)</f>
        <v>Flour Import Elngm 25Kg</v>
      </c>
      <c r="G413" t="str">
        <f>VLOOKUP(Table2[[#This Row],[product]],Ref[#All],3,FALSE)</f>
        <v>Flour Al-Nagm (Imported)</v>
      </c>
      <c r="H413" t="str">
        <f>VLOOKUP(Table2[[#This Row],[product]],Ref[#All],4,FALSE)</f>
        <v>Import</v>
      </c>
      <c r="I413" s="1">
        <v>45670</v>
      </c>
      <c r="J413" t="s">
        <v>53</v>
      </c>
      <c r="K413" t="s">
        <v>238</v>
      </c>
      <c r="L413" t="s">
        <v>1651</v>
      </c>
      <c r="M413" t="s">
        <v>1586</v>
      </c>
      <c r="N413" t="s">
        <v>784</v>
      </c>
      <c r="O413" t="s">
        <v>785</v>
      </c>
      <c r="P413" t="s">
        <v>788</v>
      </c>
      <c r="Q413" t="s">
        <v>55</v>
      </c>
      <c r="R413">
        <v>-13</v>
      </c>
      <c r="S413" s="15">
        <f>Table2[[#This Row],[movement_quantity]]/VLOOKUP(Table2[[#This Row],[product]],Ref[#All],5,FALSE)</f>
        <v>-0.32500000000000001</v>
      </c>
      <c r="T413">
        <v>29239.17352</v>
      </c>
      <c r="U413" t="s">
        <v>17</v>
      </c>
      <c r="V413" t="s">
        <v>22</v>
      </c>
      <c r="W413" t="s">
        <v>239</v>
      </c>
      <c r="X413" t="s">
        <v>17</v>
      </c>
      <c r="Y413" t="s">
        <v>57</v>
      </c>
      <c r="Z413">
        <v>0</v>
      </c>
      <c r="AA413" s="2">
        <v>-380109.25576000003</v>
      </c>
      <c r="AB413" t="str">
        <f>VLOOKUP(Table2[[#This Row],[product]],Ref[#All],6,FALSE)</f>
        <v>BAG25</v>
      </c>
    </row>
    <row r="414" spans="1:28" x14ac:dyDescent="0.25">
      <c r="A414" t="str">
        <f>TEXT(Table2[[#This Row],[dated]],"mmm")</f>
        <v>Jan</v>
      </c>
      <c r="B414" t="s">
        <v>158</v>
      </c>
      <c r="C414" s="1" t="s">
        <v>536</v>
      </c>
      <c r="D414" t="str">
        <f>VLOOKUP(Table2[[#This Row],[product]],Ref[#All],7,FALSE)</f>
        <v>Flour</v>
      </c>
      <c r="E414" t="s">
        <v>36</v>
      </c>
      <c r="F414" t="str">
        <f>VLOOKUP(Table2[[#This Row],[product]],Ref[#All],2,FALSE)</f>
        <v>Flour Import Elngm 25Kg</v>
      </c>
      <c r="G414" t="str">
        <f>VLOOKUP(Table2[[#This Row],[product]],Ref[#All],3,FALSE)</f>
        <v>Flour Al-Nagm (Imported)</v>
      </c>
      <c r="H414" t="str">
        <f>VLOOKUP(Table2[[#This Row],[product]],Ref[#All],4,FALSE)</f>
        <v>Import</v>
      </c>
      <c r="I414" s="1">
        <v>45670</v>
      </c>
      <c r="J414" t="s">
        <v>53</v>
      </c>
      <c r="K414" t="s">
        <v>240</v>
      </c>
      <c r="L414" t="s">
        <v>1651</v>
      </c>
      <c r="M414" t="s">
        <v>1586</v>
      </c>
      <c r="N414" t="s">
        <v>784</v>
      </c>
      <c r="O414" t="s">
        <v>785</v>
      </c>
      <c r="P414" t="s">
        <v>788</v>
      </c>
      <c r="Q414" t="s">
        <v>55</v>
      </c>
      <c r="R414">
        <v>-1</v>
      </c>
      <c r="S414" s="15">
        <f>Table2[[#This Row],[movement_quantity]]/VLOOKUP(Table2[[#This Row],[product]],Ref[#All],5,FALSE)</f>
        <v>-2.5000000000000001E-2</v>
      </c>
      <c r="T414">
        <v>29239.17352</v>
      </c>
      <c r="U414" t="s">
        <v>17</v>
      </c>
      <c r="V414" t="s">
        <v>23</v>
      </c>
      <c r="W414" t="s">
        <v>241</v>
      </c>
      <c r="X414" t="s">
        <v>17</v>
      </c>
      <c r="Y414" t="s">
        <v>38</v>
      </c>
      <c r="Z414">
        <v>0</v>
      </c>
      <c r="AA414" s="2">
        <v>-29239.17352</v>
      </c>
      <c r="AB414" t="str">
        <f>VLOOKUP(Table2[[#This Row],[product]],Ref[#All],6,FALSE)</f>
        <v>BAG25</v>
      </c>
    </row>
    <row r="415" spans="1:28" x14ac:dyDescent="0.25">
      <c r="A415" t="str">
        <f>TEXT(Table2[[#This Row],[dated]],"mmm")</f>
        <v>Jan</v>
      </c>
      <c r="B415" t="s">
        <v>158</v>
      </c>
      <c r="C415" s="1" t="s">
        <v>536</v>
      </c>
      <c r="D415" t="str">
        <f>VLOOKUP(Table2[[#This Row],[product]],Ref[#All],7,FALSE)</f>
        <v>Flour</v>
      </c>
      <c r="E415" t="s">
        <v>36</v>
      </c>
      <c r="F415" t="str">
        <f>VLOOKUP(Table2[[#This Row],[product]],Ref[#All],2,FALSE)</f>
        <v>Flour Import Elngm 25Kg</v>
      </c>
      <c r="G415" t="str">
        <f>VLOOKUP(Table2[[#This Row],[product]],Ref[#All],3,FALSE)</f>
        <v>Flour Al-Nagm (Imported)</v>
      </c>
      <c r="H415" t="str">
        <f>VLOOKUP(Table2[[#This Row],[product]],Ref[#All],4,FALSE)</f>
        <v>Import</v>
      </c>
      <c r="I415" s="1">
        <v>45670</v>
      </c>
      <c r="J415" t="s">
        <v>53</v>
      </c>
      <c r="K415" t="s">
        <v>242</v>
      </c>
      <c r="L415" t="s">
        <v>1651</v>
      </c>
      <c r="M415" t="s">
        <v>1586</v>
      </c>
      <c r="N415" t="s">
        <v>784</v>
      </c>
      <c r="O415" t="s">
        <v>785</v>
      </c>
      <c r="P415" t="s">
        <v>788</v>
      </c>
      <c r="Q415" t="s">
        <v>55</v>
      </c>
      <c r="R415">
        <v>-47</v>
      </c>
      <c r="S415" s="15">
        <f>Table2[[#This Row],[movement_quantity]]/VLOOKUP(Table2[[#This Row],[product]],Ref[#All],5,FALSE)</f>
        <v>-1.175</v>
      </c>
      <c r="T415">
        <v>29239.17352</v>
      </c>
      <c r="U415" t="s">
        <v>17</v>
      </c>
      <c r="V415" t="s">
        <v>24</v>
      </c>
      <c r="W415" t="s">
        <v>243</v>
      </c>
      <c r="X415" t="s">
        <v>17</v>
      </c>
      <c r="Y415" t="s">
        <v>38</v>
      </c>
      <c r="Z415">
        <v>0</v>
      </c>
      <c r="AA415" s="2">
        <v>-1374241.1554400001</v>
      </c>
      <c r="AB415" t="str">
        <f>VLOOKUP(Table2[[#This Row],[product]],Ref[#All],6,FALSE)</f>
        <v>BAG25</v>
      </c>
    </row>
    <row r="416" spans="1:28" x14ac:dyDescent="0.25">
      <c r="A416" t="str">
        <f>TEXT(Table2[[#This Row],[dated]],"mmm")</f>
        <v>Jan</v>
      </c>
      <c r="B416" t="s">
        <v>156</v>
      </c>
      <c r="C416" s="1" t="s">
        <v>536</v>
      </c>
      <c r="D416" t="str">
        <f>VLOOKUP(Table2[[#This Row],[product]],Ref[#All],7,FALSE)</f>
        <v>Sesame Non Gadarif</v>
      </c>
      <c r="E416" t="s">
        <v>77</v>
      </c>
      <c r="F416" t="str">
        <f>VLOOKUP(Table2[[#This Row],[product]],Ref[#All],2,FALSE)</f>
        <v xml:space="preserve">White Sesame Non Gadarif - FG </v>
      </c>
      <c r="G416" t="str">
        <f>VLOOKUP(Table2[[#This Row],[product]],Ref[#All],3,FALSE)</f>
        <v xml:space="preserve">White Sesame Non Gadarif - FG </v>
      </c>
      <c r="H416" t="str">
        <f>VLOOKUP(Table2[[#This Row],[product]],Ref[#All],4,FALSE)</f>
        <v>Export</v>
      </c>
      <c r="I416" s="1">
        <v>45670</v>
      </c>
      <c r="J416" t="s">
        <v>53</v>
      </c>
      <c r="K416" t="s">
        <v>244</v>
      </c>
      <c r="L416" t="s">
        <v>1651</v>
      </c>
      <c r="M416" t="s">
        <v>1586</v>
      </c>
      <c r="N416" t="s">
        <v>784</v>
      </c>
      <c r="O416" t="s">
        <v>785</v>
      </c>
      <c r="P416" t="s">
        <v>788</v>
      </c>
      <c r="Q416" t="s">
        <v>55</v>
      </c>
      <c r="R416">
        <v>-12</v>
      </c>
      <c r="S416" s="15">
        <f>Table2[[#This Row],[movement_quantity]]/VLOOKUP(Table2[[#This Row],[product]],Ref[#All],5,FALSE)</f>
        <v>-0.6</v>
      </c>
      <c r="T416">
        <v>177205.68421000001</v>
      </c>
      <c r="U416" t="s">
        <v>17</v>
      </c>
      <c r="V416" t="s">
        <v>18</v>
      </c>
      <c r="W416" t="s">
        <v>245</v>
      </c>
      <c r="X416" t="s">
        <v>17</v>
      </c>
      <c r="Y416" t="s">
        <v>155</v>
      </c>
      <c r="Z416">
        <v>0</v>
      </c>
      <c r="AA416" s="2">
        <v>-2126468.2105200002</v>
      </c>
      <c r="AB416" t="str">
        <f>VLOOKUP(Table2[[#This Row],[product]],Ref[#All],6,FALSE)</f>
        <v>BAG50</v>
      </c>
    </row>
    <row r="417" spans="1:28" x14ac:dyDescent="0.25">
      <c r="A417" t="str">
        <f>TEXT(Table2[[#This Row],[dated]],"mmm")</f>
        <v>Jan</v>
      </c>
      <c r="B417" t="s">
        <v>156</v>
      </c>
      <c r="C417" s="1" t="s">
        <v>536</v>
      </c>
      <c r="D417" t="str">
        <f>VLOOKUP(Table2[[#This Row],[product]],Ref[#All],7,FALSE)</f>
        <v>Sesame Non Gadarif</v>
      </c>
      <c r="E417" t="s">
        <v>77</v>
      </c>
      <c r="F417" t="str">
        <f>VLOOKUP(Table2[[#This Row],[product]],Ref[#All],2,FALSE)</f>
        <v xml:space="preserve">White Sesame Non Gadarif - FG </v>
      </c>
      <c r="G417" t="str">
        <f>VLOOKUP(Table2[[#This Row],[product]],Ref[#All],3,FALSE)</f>
        <v xml:space="preserve">White Sesame Non Gadarif - FG </v>
      </c>
      <c r="H417" t="str">
        <f>VLOOKUP(Table2[[#This Row],[product]],Ref[#All],4,FALSE)</f>
        <v>Export</v>
      </c>
      <c r="I417" s="1">
        <v>45670</v>
      </c>
      <c r="J417" t="s">
        <v>53</v>
      </c>
      <c r="K417" t="s">
        <v>246</v>
      </c>
      <c r="L417" t="s">
        <v>1651</v>
      </c>
      <c r="M417" t="s">
        <v>1586</v>
      </c>
      <c r="N417" t="s">
        <v>784</v>
      </c>
      <c r="O417" t="s">
        <v>785</v>
      </c>
      <c r="P417" t="s">
        <v>788</v>
      </c>
      <c r="Q417" t="s">
        <v>55</v>
      </c>
      <c r="R417">
        <v>-6</v>
      </c>
      <c r="S417" s="15">
        <f>Table2[[#This Row],[movement_quantity]]/VLOOKUP(Table2[[#This Row],[product]],Ref[#All],5,FALSE)</f>
        <v>-0.3</v>
      </c>
      <c r="T417">
        <v>177205.68421000001</v>
      </c>
      <c r="U417" t="s">
        <v>17</v>
      </c>
      <c r="V417" t="s">
        <v>21</v>
      </c>
      <c r="W417" t="s">
        <v>247</v>
      </c>
      <c r="X417" t="s">
        <v>17</v>
      </c>
      <c r="Y417" t="s">
        <v>155</v>
      </c>
      <c r="Z417">
        <v>0</v>
      </c>
      <c r="AA417" s="2">
        <v>-1063234.1052600001</v>
      </c>
      <c r="AB417" t="str">
        <f>VLOOKUP(Table2[[#This Row],[product]],Ref[#All],6,FALSE)</f>
        <v>BAG50</v>
      </c>
    </row>
    <row r="418" spans="1:28" x14ac:dyDescent="0.25">
      <c r="A418" t="str">
        <f>TEXT(Table2[[#This Row],[dated]],"mmm")</f>
        <v>Jan</v>
      </c>
      <c r="B418" t="s">
        <v>156</v>
      </c>
      <c r="C418" s="1" t="s">
        <v>536</v>
      </c>
      <c r="D418" t="str">
        <f>VLOOKUP(Table2[[#This Row],[product]],Ref[#All],7,FALSE)</f>
        <v>Sesame Non Gadarif</v>
      </c>
      <c r="E418" t="s">
        <v>77</v>
      </c>
      <c r="F418" t="str">
        <f>VLOOKUP(Table2[[#This Row],[product]],Ref[#All],2,FALSE)</f>
        <v xml:space="preserve">White Sesame Non Gadarif - FG </v>
      </c>
      <c r="G418" t="str">
        <f>VLOOKUP(Table2[[#This Row],[product]],Ref[#All],3,FALSE)</f>
        <v xml:space="preserve">White Sesame Non Gadarif - FG </v>
      </c>
      <c r="H418" t="str">
        <f>VLOOKUP(Table2[[#This Row],[product]],Ref[#All],4,FALSE)</f>
        <v>Export</v>
      </c>
      <c r="I418" s="1">
        <v>45670</v>
      </c>
      <c r="J418" t="s">
        <v>53</v>
      </c>
      <c r="K418" t="s">
        <v>248</v>
      </c>
      <c r="L418" t="s">
        <v>1651</v>
      </c>
      <c r="M418" t="s">
        <v>1586</v>
      </c>
      <c r="N418" t="s">
        <v>784</v>
      </c>
      <c r="O418" t="s">
        <v>785</v>
      </c>
      <c r="P418" t="s">
        <v>788</v>
      </c>
      <c r="Q418" t="s">
        <v>55</v>
      </c>
      <c r="R418">
        <v>-2</v>
      </c>
      <c r="S418" s="15">
        <f>Table2[[#This Row],[movement_quantity]]/VLOOKUP(Table2[[#This Row],[product]],Ref[#All],5,FALSE)</f>
        <v>-0.1</v>
      </c>
      <c r="T418">
        <v>177205.68421000001</v>
      </c>
      <c r="U418" t="s">
        <v>17</v>
      </c>
      <c r="V418" t="s">
        <v>22</v>
      </c>
      <c r="W418" t="s">
        <v>249</v>
      </c>
      <c r="X418" t="s">
        <v>17</v>
      </c>
      <c r="Y418" t="s">
        <v>155</v>
      </c>
      <c r="Z418">
        <v>0</v>
      </c>
      <c r="AA418" s="2">
        <v>-354411.36842000001</v>
      </c>
      <c r="AB418" t="str">
        <f>VLOOKUP(Table2[[#This Row],[product]],Ref[#All],6,FALSE)</f>
        <v>BAG50</v>
      </c>
    </row>
    <row r="419" spans="1:28" x14ac:dyDescent="0.25">
      <c r="A419" t="str">
        <f>TEXT(Table2[[#This Row],[dated]],"mmm")</f>
        <v>Jan</v>
      </c>
      <c r="B419" t="s">
        <v>30</v>
      </c>
      <c r="C419" s="1" t="s">
        <v>536</v>
      </c>
      <c r="D419" t="str">
        <f>VLOOKUP(Table2[[#This Row],[product]],Ref[#All],7,FALSE)</f>
        <v>Flour</v>
      </c>
      <c r="E419" t="s">
        <v>42</v>
      </c>
      <c r="F419" t="str">
        <f>VLOOKUP(Table2[[#This Row],[product]],Ref[#All],2,FALSE)</f>
        <v>Alnajm Flour from Mill 25KG</v>
      </c>
      <c r="G419" t="str">
        <f>VLOOKUP(Table2[[#This Row],[product]],Ref[#All],3,FALSE)</f>
        <v>Flour Al-Nagm (Mill)</v>
      </c>
      <c r="H419" t="str">
        <f>VLOOKUP(Table2[[#This Row],[product]],Ref[#All],4,FALSE)</f>
        <v>Import</v>
      </c>
      <c r="I419" s="1">
        <v>45671</v>
      </c>
      <c r="J419" t="s">
        <v>53</v>
      </c>
      <c r="K419" t="s">
        <v>178</v>
      </c>
      <c r="L419" t="s">
        <v>1651</v>
      </c>
      <c r="M419" t="s">
        <v>1586</v>
      </c>
      <c r="N419" t="s">
        <v>784</v>
      </c>
      <c r="O419" t="s">
        <v>785</v>
      </c>
      <c r="P419" t="s">
        <v>788</v>
      </c>
      <c r="Q419" t="s">
        <v>55</v>
      </c>
      <c r="R419">
        <v>-1</v>
      </c>
      <c r="S419" s="15">
        <f>Table2[[#This Row],[movement_quantity]]/VLOOKUP(Table2[[#This Row],[product]],Ref[#All],5,FALSE)</f>
        <v>-2.5000000000000001E-2</v>
      </c>
      <c r="T419">
        <v>22343.676599999999</v>
      </c>
      <c r="U419" t="s">
        <v>17</v>
      </c>
      <c r="V419" t="s">
        <v>18</v>
      </c>
      <c r="W419" t="s">
        <v>179</v>
      </c>
      <c r="X419" t="s">
        <v>17</v>
      </c>
      <c r="Y419" t="s">
        <v>49</v>
      </c>
      <c r="Z419">
        <v>0</v>
      </c>
      <c r="AA419" s="2">
        <v>-22343.676599999999</v>
      </c>
      <c r="AB419" t="str">
        <f>VLOOKUP(Table2[[#This Row],[product]],Ref[#All],6,FALSE)</f>
        <v>BAG25</v>
      </c>
    </row>
    <row r="420" spans="1:28" x14ac:dyDescent="0.25">
      <c r="A420" t="str">
        <f>TEXT(Table2[[#This Row],[dated]],"mmm")</f>
        <v>Jan</v>
      </c>
      <c r="B420" t="s">
        <v>30</v>
      </c>
      <c r="C420" s="1" t="s">
        <v>536</v>
      </c>
      <c r="D420" t="str">
        <f>VLOOKUP(Table2[[#This Row],[product]],Ref[#All],7,FALSE)</f>
        <v>Flour</v>
      </c>
      <c r="E420" t="s">
        <v>42</v>
      </c>
      <c r="F420" t="str">
        <f>VLOOKUP(Table2[[#This Row],[product]],Ref[#All],2,FALSE)</f>
        <v>Alnajm Flour from Mill 25KG</v>
      </c>
      <c r="G420" t="str">
        <f>VLOOKUP(Table2[[#This Row],[product]],Ref[#All],3,FALSE)</f>
        <v>Flour Al-Nagm (Mill)</v>
      </c>
      <c r="H420" t="str">
        <f>VLOOKUP(Table2[[#This Row],[product]],Ref[#All],4,FALSE)</f>
        <v>Import</v>
      </c>
      <c r="I420" s="1">
        <v>45671</v>
      </c>
      <c r="J420" t="s">
        <v>53</v>
      </c>
      <c r="K420" t="s">
        <v>180</v>
      </c>
      <c r="L420" t="s">
        <v>1651</v>
      </c>
      <c r="M420" t="s">
        <v>1586</v>
      </c>
      <c r="N420" t="s">
        <v>784</v>
      </c>
      <c r="O420" t="s">
        <v>785</v>
      </c>
      <c r="P420" t="s">
        <v>788</v>
      </c>
      <c r="Q420" t="s">
        <v>55</v>
      </c>
      <c r="R420">
        <v>-1</v>
      </c>
      <c r="S420" s="15">
        <f>Table2[[#This Row],[movement_quantity]]/VLOOKUP(Table2[[#This Row],[product]],Ref[#All],5,FALSE)</f>
        <v>-2.5000000000000001E-2</v>
      </c>
      <c r="T420">
        <v>22343.676599999999</v>
      </c>
      <c r="U420" t="s">
        <v>17</v>
      </c>
      <c r="V420" t="s">
        <v>21</v>
      </c>
      <c r="W420" t="s">
        <v>181</v>
      </c>
      <c r="X420" t="s">
        <v>17</v>
      </c>
      <c r="Y420" t="s">
        <v>49</v>
      </c>
      <c r="Z420">
        <v>0</v>
      </c>
      <c r="AA420" s="2">
        <v>-22343.676599999999</v>
      </c>
      <c r="AB420" t="str">
        <f>VLOOKUP(Table2[[#This Row],[product]],Ref[#All],6,FALSE)</f>
        <v>BAG25</v>
      </c>
    </row>
    <row r="421" spans="1:28" x14ac:dyDescent="0.25">
      <c r="A421" t="str">
        <f>TEXT(Table2[[#This Row],[dated]],"mmm")</f>
        <v>Jan</v>
      </c>
      <c r="B421" t="s">
        <v>52</v>
      </c>
      <c r="C421" s="1" t="s">
        <v>536</v>
      </c>
      <c r="D421" t="str">
        <f>VLOOKUP(Table2[[#This Row],[product]],Ref[#All],7,FALSE)</f>
        <v>Flour</v>
      </c>
      <c r="E421" t="s">
        <v>42</v>
      </c>
      <c r="F421" t="str">
        <f>VLOOKUP(Table2[[#This Row],[product]],Ref[#All],2,FALSE)</f>
        <v>Alnajm Flour from Mill 25KG</v>
      </c>
      <c r="G421" t="str">
        <f>VLOOKUP(Table2[[#This Row],[product]],Ref[#All],3,FALSE)</f>
        <v>Flour Al-Nagm (Mill)</v>
      </c>
      <c r="H421" t="str">
        <f>VLOOKUP(Table2[[#This Row],[product]],Ref[#All],4,FALSE)</f>
        <v>Import</v>
      </c>
      <c r="I421" s="1">
        <v>45671</v>
      </c>
      <c r="J421" t="s">
        <v>53</v>
      </c>
      <c r="K421" t="s">
        <v>182</v>
      </c>
      <c r="L421" t="s">
        <v>1651</v>
      </c>
      <c r="M421" t="s">
        <v>1586</v>
      </c>
      <c r="N421" t="s">
        <v>784</v>
      </c>
      <c r="O421" t="s">
        <v>785</v>
      </c>
      <c r="P421" t="s">
        <v>788</v>
      </c>
      <c r="Q421" t="s">
        <v>55</v>
      </c>
      <c r="R421">
        <v>-1</v>
      </c>
      <c r="S421" s="15">
        <f>Table2[[#This Row],[movement_quantity]]/VLOOKUP(Table2[[#This Row],[product]],Ref[#All],5,FALSE)</f>
        <v>-2.5000000000000001E-2</v>
      </c>
      <c r="T421">
        <v>22343.676599999999</v>
      </c>
      <c r="U421" t="s">
        <v>17</v>
      </c>
      <c r="V421" t="s">
        <v>22</v>
      </c>
      <c r="W421" t="s">
        <v>183</v>
      </c>
      <c r="X421" t="s">
        <v>17</v>
      </c>
      <c r="Y421" t="s">
        <v>49</v>
      </c>
      <c r="Z421">
        <v>0</v>
      </c>
      <c r="AA421" s="2">
        <v>-22343.676599999999</v>
      </c>
      <c r="AB421" t="str">
        <f>VLOOKUP(Table2[[#This Row],[product]],Ref[#All],6,FALSE)</f>
        <v>BAG25</v>
      </c>
    </row>
    <row r="422" spans="1:28" x14ac:dyDescent="0.25">
      <c r="A422" t="str">
        <f>TEXT(Table2[[#This Row],[dated]],"mmm")</f>
        <v>Jan</v>
      </c>
      <c r="B422" t="s">
        <v>52</v>
      </c>
      <c r="C422" s="1" t="s">
        <v>536</v>
      </c>
      <c r="D422" t="str">
        <f>VLOOKUP(Table2[[#This Row],[product]],Ref[#All],7,FALSE)</f>
        <v>Flour</v>
      </c>
      <c r="E422" t="s">
        <v>42</v>
      </c>
      <c r="F422" t="str">
        <f>VLOOKUP(Table2[[#This Row],[product]],Ref[#All],2,FALSE)</f>
        <v>Alnajm Flour from Mill 25KG</v>
      </c>
      <c r="G422" t="str">
        <f>VLOOKUP(Table2[[#This Row],[product]],Ref[#All],3,FALSE)</f>
        <v>Flour Al-Nagm (Mill)</v>
      </c>
      <c r="H422" t="str">
        <f>VLOOKUP(Table2[[#This Row],[product]],Ref[#All],4,FALSE)</f>
        <v>Import</v>
      </c>
      <c r="I422" s="1">
        <v>45671</v>
      </c>
      <c r="J422" t="s">
        <v>53</v>
      </c>
      <c r="K422" t="s">
        <v>184</v>
      </c>
      <c r="L422" t="s">
        <v>1651</v>
      </c>
      <c r="M422" t="s">
        <v>1586</v>
      </c>
      <c r="N422" t="s">
        <v>784</v>
      </c>
      <c r="O422" t="s">
        <v>785</v>
      </c>
      <c r="P422" t="s">
        <v>788</v>
      </c>
      <c r="Q422" t="s">
        <v>55</v>
      </c>
      <c r="R422">
        <v>-2</v>
      </c>
      <c r="S422" s="15">
        <f>Table2[[#This Row],[movement_quantity]]/VLOOKUP(Table2[[#This Row],[product]],Ref[#All],5,FALSE)</f>
        <v>-0.05</v>
      </c>
      <c r="T422">
        <v>22343.676599999999</v>
      </c>
      <c r="U422" t="s">
        <v>17</v>
      </c>
      <c r="V422" t="s">
        <v>23</v>
      </c>
      <c r="W422" t="s">
        <v>185</v>
      </c>
      <c r="X422" t="s">
        <v>17</v>
      </c>
      <c r="Y422" t="s">
        <v>49</v>
      </c>
      <c r="Z422">
        <v>0</v>
      </c>
      <c r="AA422" s="2">
        <v>-44687.353199999998</v>
      </c>
      <c r="AB422" t="str">
        <f>VLOOKUP(Table2[[#This Row],[product]],Ref[#All],6,FALSE)</f>
        <v>BAG25</v>
      </c>
    </row>
    <row r="423" spans="1:28" x14ac:dyDescent="0.25">
      <c r="A423" t="str">
        <f>TEXT(Table2[[#This Row],[dated]],"mmm")</f>
        <v>Jan</v>
      </c>
      <c r="B423" t="s">
        <v>52</v>
      </c>
      <c r="C423" s="1" t="s">
        <v>536</v>
      </c>
      <c r="D423" t="str">
        <f>VLOOKUP(Table2[[#This Row],[product]],Ref[#All],7,FALSE)</f>
        <v>Flour</v>
      </c>
      <c r="E423" t="s">
        <v>42</v>
      </c>
      <c r="F423" t="str">
        <f>VLOOKUP(Table2[[#This Row],[product]],Ref[#All],2,FALSE)</f>
        <v>Alnajm Flour from Mill 25KG</v>
      </c>
      <c r="G423" t="str">
        <f>VLOOKUP(Table2[[#This Row],[product]],Ref[#All],3,FALSE)</f>
        <v>Flour Al-Nagm (Mill)</v>
      </c>
      <c r="H423" t="str">
        <f>VLOOKUP(Table2[[#This Row],[product]],Ref[#All],4,FALSE)</f>
        <v>Import</v>
      </c>
      <c r="I423" s="1">
        <v>45671</v>
      </c>
      <c r="J423" t="s">
        <v>53</v>
      </c>
      <c r="K423" t="s">
        <v>190</v>
      </c>
      <c r="L423" t="s">
        <v>1651</v>
      </c>
      <c r="M423" t="s">
        <v>1586</v>
      </c>
      <c r="N423" t="s">
        <v>784</v>
      </c>
      <c r="O423" t="s">
        <v>785</v>
      </c>
      <c r="P423" t="s">
        <v>788</v>
      </c>
      <c r="Q423" t="s">
        <v>55</v>
      </c>
      <c r="R423">
        <v>-4</v>
      </c>
      <c r="S423" s="15">
        <f>Table2[[#This Row],[movement_quantity]]/VLOOKUP(Table2[[#This Row],[product]],Ref[#All],5,FALSE)</f>
        <v>-0.1</v>
      </c>
      <c r="T423">
        <v>22343.676599999999</v>
      </c>
      <c r="U423" t="s">
        <v>17</v>
      </c>
      <c r="V423" t="s">
        <v>18</v>
      </c>
      <c r="W423" t="s">
        <v>191</v>
      </c>
      <c r="X423" t="s">
        <v>17</v>
      </c>
      <c r="Y423" t="s">
        <v>49</v>
      </c>
      <c r="Z423">
        <v>0</v>
      </c>
      <c r="AA423" s="2">
        <v>-89374.706399999995</v>
      </c>
      <c r="AB423" t="str">
        <f>VLOOKUP(Table2[[#This Row],[product]],Ref[#All],6,FALSE)</f>
        <v>BAG25</v>
      </c>
    </row>
    <row r="424" spans="1:28" x14ac:dyDescent="0.25">
      <c r="A424" t="str">
        <f>TEXT(Table2[[#This Row],[dated]],"mmm")</f>
        <v>Jan</v>
      </c>
      <c r="B424" t="s">
        <v>52</v>
      </c>
      <c r="C424" s="1" t="s">
        <v>536</v>
      </c>
      <c r="D424" t="str">
        <f>VLOOKUP(Table2[[#This Row],[product]],Ref[#All],7,FALSE)</f>
        <v>Flour</v>
      </c>
      <c r="E424" t="s">
        <v>42</v>
      </c>
      <c r="F424" t="str">
        <f>VLOOKUP(Table2[[#This Row],[product]],Ref[#All],2,FALSE)</f>
        <v>Alnajm Flour from Mill 25KG</v>
      </c>
      <c r="G424" t="str">
        <f>VLOOKUP(Table2[[#This Row],[product]],Ref[#All],3,FALSE)</f>
        <v>Flour Al-Nagm (Mill)</v>
      </c>
      <c r="H424" t="str">
        <f>VLOOKUP(Table2[[#This Row],[product]],Ref[#All],4,FALSE)</f>
        <v>Import</v>
      </c>
      <c r="I424" s="1">
        <v>45671</v>
      </c>
      <c r="J424" t="s">
        <v>53</v>
      </c>
      <c r="K424" t="s">
        <v>192</v>
      </c>
      <c r="L424" t="s">
        <v>1651</v>
      </c>
      <c r="M424" t="s">
        <v>1586</v>
      </c>
      <c r="N424" t="s">
        <v>784</v>
      </c>
      <c r="O424" t="s">
        <v>785</v>
      </c>
      <c r="P424" t="s">
        <v>788</v>
      </c>
      <c r="Q424" t="s">
        <v>55</v>
      </c>
      <c r="R424">
        <v>-1</v>
      </c>
      <c r="S424" s="15">
        <f>Table2[[#This Row],[movement_quantity]]/VLOOKUP(Table2[[#This Row],[product]],Ref[#All],5,FALSE)</f>
        <v>-2.5000000000000001E-2</v>
      </c>
      <c r="T424">
        <v>22343.676599999999</v>
      </c>
      <c r="U424" t="s">
        <v>17</v>
      </c>
      <c r="V424" t="s">
        <v>21</v>
      </c>
      <c r="W424" t="s">
        <v>193</v>
      </c>
      <c r="X424" t="s">
        <v>17</v>
      </c>
      <c r="Y424" t="s">
        <v>49</v>
      </c>
      <c r="Z424">
        <v>0</v>
      </c>
      <c r="AA424" s="2">
        <v>-22343.676599999999</v>
      </c>
      <c r="AB424" t="str">
        <f>VLOOKUP(Table2[[#This Row],[product]],Ref[#All],6,FALSE)</f>
        <v>BAG25</v>
      </c>
    </row>
    <row r="425" spans="1:28" x14ac:dyDescent="0.25">
      <c r="A425" t="str">
        <f>TEXT(Table2[[#This Row],[dated]],"mmm")</f>
        <v>Jan</v>
      </c>
      <c r="B425" t="s">
        <v>52</v>
      </c>
      <c r="C425" s="1" t="s">
        <v>536</v>
      </c>
      <c r="D425" t="str">
        <f>VLOOKUP(Table2[[#This Row],[product]],Ref[#All],7,FALSE)</f>
        <v>Flour</v>
      </c>
      <c r="E425" t="s">
        <v>36</v>
      </c>
      <c r="F425" t="str">
        <f>VLOOKUP(Table2[[#This Row],[product]],Ref[#All],2,FALSE)</f>
        <v>Flour Import Elngm 25Kg</v>
      </c>
      <c r="G425" t="str">
        <f>VLOOKUP(Table2[[#This Row],[product]],Ref[#All],3,FALSE)</f>
        <v>Flour Al-Nagm (Imported)</v>
      </c>
      <c r="H425" t="str">
        <f>VLOOKUP(Table2[[#This Row],[product]],Ref[#All],4,FALSE)</f>
        <v>Import</v>
      </c>
      <c r="I425" s="1">
        <v>45686</v>
      </c>
      <c r="J425" t="s">
        <v>53</v>
      </c>
      <c r="K425" t="s">
        <v>309</v>
      </c>
      <c r="L425" t="s">
        <v>1651</v>
      </c>
      <c r="M425" t="s">
        <v>1586</v>
      </c>
      <c r="N425" t="s">
        <v>784</v>
      </c>
      <c r="O425" t="s">
        <v>785</v>
      </c>
      <c r="P425" t="s">
        <v>788</v>
      </c>
      <c r="Q425" t="s">
        <v>55</v>
      </c>
      <c r="R425">
        <v>-1</v>
      </c>
      <c r="S425" s="15">
        <f>Table2[[#This Row],[movement_quantity]]/VLOOKUP(Table2[[#This Row],[product]],Ref[#All],5,FALSE)</f>
        <v>-2.5000000000000001E-2</v>
      </c>
      <c r="T425">
        <v>29239.17352</v>
      </c>
      <c r="U425" t="s">
        <v>17</v>
      </c>
      <c r="V425" t="s">
        <v>18</v>
      </c>
      <c r="W425" t="s">
        <v>310</v>
      </c>
      <c r="X425" t="s">
        <v>17</v>
      </c>
      <c r="Y425" t="s">
        <v>38</v>
      </c>
      <c r="Z425">
        <v>0</v>
      </c>
      <c r="AA425" s="2">
        <v>-29239.17352</v>
      </c>
      <c r="AB425" t="str">
        <f>VLOOKUP(Table2[[#This Row],[product]],Ref[#All],6,FALSE)</f>
        <v>BAG25</v>
      </c>
    </row>
    <row r="426" spans="1:28" x14ac:dyDescent="0.25">
      <c r="A426" t="str">
        <f>TEXT(Table2[[#This Row],[dated]],"mmm")</f>
        <v>Jan</v>
      </c>
      <c r="B426" t="s">
        <v>52</v>
      </c>
      <c r="C426" s="1" t="s">
        <v>536</v>
      </c>
      <c r="D426" t="str">
        <f>VLOOKUP(Table2[[#This Row],[product]],Ref[#All],7,FALSE)</f>
        <v>Flour</v>
      </c>
      <c r="E426" t="s">
        <v>36</v>
      </c>
      <c r="F426" t="str">
        <f>VLOOKUP(Table2[[#This Row],[product]],Ref[#All],2,FALSE)</f>
        <v>Flour Import Elngm 25Kg</v>
      </c>
      <c r="G426" t="str">
        <f>VLOOKUP(Table2[[#This Row],[product]],Ref[#All],3,FALSE)</f>
        <v>Flour Al-Nagm (Imported)</v>
      </c>
      <c r="H426" t="str">
        <f>VLOOKUP(Table2[[#This Row],[product]],Ref[#All],4,FALSE)</f>
        <v>Import</v>
      </c>
      <c r="I426" s="1">
        <v>45686</v>
      </c>
      <c r="J426" t="s">
        <v>53</v>
      </c>
      <c r="K426" t="s">
        <v>311</v>
      </c>
      <c r="L426" t="s">
        <v>1651</v>
      </c>
      <c r="M426" t="s">
        <v>1586</v>
      </c>
      <c r="N426" t="s">
        <v>784</v>
      </c>
      <c r="O426" t="s">
        <v>785</v>
      </c>
      <c r="P426" t="s">
        <v>788</v>
      </c>
      <c r="Q426" t="s">
        <v>55</v>
      </c>
      <c r="R426">
        <v>-4</v>
      </c>
      <c r="S426" s="15">
        <f>Table2[[#This Row],[movement_quantity]]/VLOOKUP(Table2[[#This Row],[product]],Ref[#All],5,FALSE)</f>
        <v>-0.1</v>
      </c>
      <c r="T426">
        <v>29239.17352</v>
      </c>
      <c r="U426" t="s">
        <v>17</v>
      </c>
      <c r="V426" t="s">
        <v>21</v>
      </c>
      <c r="W426" t="s">
        <v>312</v>
      </c>
      <c r="X426" t="s">
        <v>17</v>
      </c>
      <c r="Y426" t="s">
        <v>38</v>
      </c>
      <c r="Z426">
        <v>0</v>
      </c>
      <c r="AA426" s="2">
        <v>-116956.69408</v>
      </c>
      <c r="AB426" t="str">
        <f>VLOOKUP(Table2[[#This Row],[product]],Ref[#All],6,FALSE)</f>
        <v>BAG25</v>
      </c>
    </row>
    <row r="427" spans="1:28" x14ac:dyDescent="0.25">
      <c r="A427" t="str">
        <f>TEXT(Table2[[#This Row],[dated]],"mmm")</f>
        <v>Jan</v>
      </c>
      <c r="B427" t="s">
        <v>52</v>
      </c>
      <c r="C427" s="1" t="s">
        <v>536</v>
      </c>
      <c r="D427" t="str">
        <f>VLOOKUP(Table2[[#This Row],[product]],Ref[#All],7,FALSE)</f>
        <v>Flour</v>
      </c>
      <c r="E427" t="s">
        <v>36</v>
      </c>
      <c r="F427" t="str">
        <f>VLOOKUP(Table2[[#This Row],[product]],Ref[#All],2,FALSE)</f>
        <v>Flour Import Elngm 25Kg</v>
      </c>
      <c r="G427" t="str">
        <f>VLOOKUP(Table2[[#This Row],[product]],Ref[#All],3,FALSE)</f>
        <v>Flour Al-Nagm (Imported)</v>
      </c>
      <c r="H427" t="str">
        <f>VLOOKUP(Table2[[#This Row],[product]],Ref[#All],4,FALSE)</f>
        <v>Import</v>
      </c>
      <c r="I427" s="1">
        <v>45686</v>
      </c>
      <c r="J427" t="s">
        <v>53</v>
      </c>
      <c r="K427" t="s">
        <v>313</v>
      </c>
      <c r="L427" t="s">
        <v>1651</v>
      </c>
      <c r="M427" t="s">
        <v>1586</v>
      </c>
      <c r="N427" t="s">
        <v>784</v>
      </c>
      <c r="O427" t="s">
        <v>785</v>
      </c>
      <c r="P427" t="s">
        <v>788</v>
      </c>
      <c r="Q427" t="s">
        <v>55</v>
      </c>
      <c r="R427">
        <v>-1</v>
      </c>
      <c r="S427" s="15">
        <f>Table2[[#This Row],[movement_quantity]]/VLOOKUP(Table2[[#This Row],[product]],Ref[#All],5,FALSE)</f>
        <v>-2.5000000000000001E-2</v>
      </c>
      <c r="T427">
        <v>29239.17352</v>
      </c>
      <c r="U427" t="s">
        <v>17</v>
      </c>
      <c r="V427" t="s">
        <v>22</v>
      </c>
      <c r="W427" t="s">
        <v>314</v>
      </c>
      <c r="X427" t="s">
        <v>17</v>
      </c>
      <c r="Y427" t="s">
        <v>38</v>
      </c>
      <c r="Z427">
        <v>0</v>
      </c>
      <c r="AA427" s="2">
        <v>-29239.17352</v>
      </c>
      <c r="AB427" t="str">
        <f>VLOOKUP(Table2[[#This Row],[product]],Ref[#All],6,FALSE)</f>
        <v>BAG25</v>
      </c>
    </row>
    <row r="428" spans="1:28" x14ac:dyDescent="0.25">
      <c r="A428" t="str">
        <f>TEXT(Table2[[#This Row],[dated]],"mmm")</f>
        <v>Jan</v>
      </c>
      <c r="B428" t="s">
        <v>52</v>
      </c>
      <c r="C428" s="1" t="s">
        <v>536</v>
      </c>
      <c r="D428" t="str">
        <f>VLOOKUP(Table2[[#This Row],[product]],Ref[#All],7,FALSE)</f>
        <v>Flour</v>
      </c>
      <c r="E428" t="s">
        <v>36</v>
      </c>
      <c r="F428" t="str">
        <f>VLOOKUP(Table2[[#This Row],[product]],Ref[#All],2,FALSE)</f>
        <v>Flour Import Elngm 25Kg</v>
      </c>
      <c r="G428" t="str">
        <f>VLOOKUP(Table2[[#This Row],[product]],Ref[#All],3,FALSE)</f>
        <v>Flour Al-Nagm (Imported)</v>
      </c>
      <c r="H428" t="str">
        <f>VLOOKUP(Table2[[#This Row],[product]],Ref[#All],4,FALSE)</f>
        <v>Import</v>
      </c>
      <c r="I428" s="1">
        <v>45686</v>
      </c>
      <c r="J428" t="s">
        <v>53</v>
      </c>
      <c r="K428" t="s">
        <v>315</v>
      </c>
      <c r="L428" t="s">
        <v>1651</v>
      </c>
      <c r="M428" t="s">
        <v>1586</v>
      </c>
      <c r="N428" t="s">
        <v>784</v>
      </c>
      <c r="O428" t="s">
        <v>785</v>
      </c>
      <c r="P428" t="s">
        <v>788</v>
      </c>
      <c r="Q428" t="s">
        <v>55</v>
      </c>
      <c r="R428">
        <v>-3</v>
      </c>
      <c r="S428" s="15">
        <f>Table2[[#This Row],[movement_quantity]]/VLOOKUP(Table2[[#This Row],[product]],Ref[#All],5,FALSE)</f>
        <v>-7.4999999999999997E-2</v>
      </c>
      <c r="T428">
        <v>29239.17352</v>
      </c>
      <c r="U428" t="s">
        <v>17</v>
      </c>
      <c r="V428" t="s">
        <v>23</v>
      </c>
      <c r="W428" t="s">
        <v>316</v>
      </c>
      <c r="X428" t="s">
        <v>17</v>
      </c>
      <c r="Y428" t="s">
        <v>38</v>
      </c>
      <c r="Z428">
        <v>0</v>
      </c>
      <c r="AA428" s="2">
        <v>-87717.520560000004</v>
      </c>
      <c r="AB428" t="str">
        <f>VLOOKUP(Table2[[#This Row],[product]],Ref[#All],6,FALSE)</f>
        <v>BAG25</v>
      </c>
    </row>
    <row r="429" spans="1:28" x14ac:dyDescent="0.25">
      <c r="A429" t="str">
        <f>TEXT(Table2[[#This Row],[dated]],"mmm")</f>
        <v>Jan</v>
      </c>
      <c r="B429" t="s">
        <v>52</v>
      </c>
      <c r="C429" s="1" t="s">
        <v>536</v>
      </c>
      <c r="D429" t="str">
        <f>VLOOKUP(Table2[[#This Row],[product]],Ref[#All],7,FALSE)</f>
        <v>Flour</v>
      </c>
      <c r="E429" t="s">
        <v>36</v>
      </c>
      <c r="F429" t="str">
        <f>VLOOKUP(Table2[[#This Row],[product]],Ref[#All],2,FALSE)</f>
        <v>Flour Import Elngm 25Kg</v>
      </c>
      <c r="G429" t="str">
        <f>VLOOKUP(Table2[[#This Row],[product]],Ref[#All],3,FALSE)</f>
        <v>Flour Al-Nagm (Imported)</v>
      </c>
      <c r="H429" t="str">
        <f>VLOOKUP(Table2[[#This Row],[product]],Ref[#All],4,FALSE)</f>
        <v>Import</v>
      </c>
      <c r="I429" s="1">
        <v>45686</v>
      </c>
      <c r="J429" t="s">
        <v>53</v>
      </c>
      <c r="K429" t="s">
        <v>317</v>
      </c>
      <c r="L429" t="s">
        <v>1651</v>
      </c>
      <c r="M429" t="s">
        <v>1586</v>
      </c>
      <c r="N429" t="s">
        <v>784</v>
      </c>
      <c r="O429" t="s">
        <v>785</v>
      </c>
      <c r="P429" t="s">
        <v>788</v>
      </c>
      <c r="Q429" t="s">
        <v>55</v>
      </c>
      <c r="R429">
        <v>-2</v>
      </c>
      <c r="S429" s="15">
        <f>Table2[[#This Row],[movement_quantity]]/VLOOKUP(Table2[[#This Row],[product]],Ref[#All],5,FALSE)</f>
        <v>-0.05</v>
      </c>
      <c r="T429">
        <v>29239.17352</v>
      </c>
      <c r="U429" t="s">
        <v>17</v>
      </c>
      <c r="V429" t="s">
        <v>24</v>
      </c>
      <c r="W429" t="s">
        <v>318</v>
      </c>
      <c r="X429" t="s">
        <v>17</v>
      </c>
      <c r="Y429" t="s">
        <v>38</v>
      </c>
      <c r="Z429">
        <v>0</v>
      </c>
      <c r="AA429" s="2">
        <v>-58478.347040000001</v>
      </c>
      <c r="AB429" t="str">
        <f>VLOOKUP(Table2[[#This Row],[product]],Ref[#All],6,FALSE)</f>
        <v>BAG25</v>
      </c>
    </row>
    <row r="430" spans="1:28" x14ac:dyDescent="0.25">
      <c r="A430" t="str">
        <f>TEXT(Table2[[#This Row],[dated]],"mmm")</f>
        <v>Jan</v>
      </c>
      <c r="B430" t="s">
        <v>52</v>
      </c>
      <c r="C430" s="1" t="s">
        <v>536</v>
      </c>
      <c r="D430" t="str">
        <f>VLOOKUP(Table2[[#This Row],[product]],Ref[#All],7,FALSE)</f>
        <v>Flour</v>
      </c>
      <c r="E430" t="s">
        <v>36</v>
      </c>
      <c r="F430" t="str">
        <f>VLOOKUP(Table2[[#This Row],[product]],Ref[#All],2,FALSE)</f>
        <v>Flour Import Elngm 25Kg</v>
      </c>
      <c r="G430" t="str">
        <f>VLOOKUP(Table2[[#This Row],[product]],Ref[#All],3,FALSE)</f>
        <v>Flour Al-Nagm (Imported)</v>
      </c>
      <c r="H430" t="str">
        <f>VLOOKUP(Table2[[#This Row],[product]],Ref[#All],4,FALSE)</f>
        <v>Import</v>
      </c>
      <c r="I430" s="1">
        <v>45686</v>
      </c>
      <c r="J430" t="s">
        <v>53</v>
      </c>
      <c r="K430" t="s">
        <v>319</v>
      </c>
      <c r="L430" t="s">
        <v>1651</v>
      </c>
      <c r="M430" t="s">
        <v>1586</v>
      </c>
      <c r="N430" t="s">
        <v>784</v>
      </c>
      <c r="O430" t="s">
        <v>785</v>
      </c>
      <c r="P430" t="s">
        <v>788</v>
      </c>
      <c r="Q430" t="s">
        <v>55</v>
      </c>
      <c r="R430">
        <v>-3</v>
      </c>
      <c r="S430" s="15">
        <f>Table2[[#This Row],[movement_quantity]]/VLOOKUP(Table2[[#This Row],[product]],Ref[#All],5,FALSE)</f>
        <v>-7.4999999999999997E-2</v>
      </c>
      <c r="T430">
        <v>29239.17352</v>
      </c>
      <c r="U430" t="s">
        <v>17</v>
      </c>
      <c r="V430" t="s">
        <v>25</v>
      </c>
      <c r="W430" t="s">
        <v>320</v>
      </c>
      <c r="X430" t="s">
        <v>17</v>
      </c>
      <c r="Y430" t="s">
        <v>38</v>
      </c>
      <c r="Z430">
        <v>0</v>
      </c>
      <c r="AA430" s="2">
        <v>-87717.520560000004</v>
      </c>
      <c r="AB430" t="str">
        <f>VLOOKUP(Table2[[#This Row],[product]],Ref[#All],6,FALSE)</f>
        <v>BAG25</v>
      </c>
    </row>
    <row r="431" spans="1:28" x14ac:dyDescent="0.25">
      <c r="A431" t="str">
        <f>TEXT(Table2[[#This Row],[dated]],"mmm")</f>
        <v>Jan</v>
      </c>
      <c r="B431" t="s">
        <v>52</v>
      </c>
      <c r="C431" s="1" t="s">
        <v>536</v>
      </c>
      <c r="D431" t="str">
        <f>VLOOKUP(Table2[[#This Row],[product]],Ref[#All],7,FALSE)</f>
        <v>Flour</v>
      </c>
      <c r="E431" t="s">
        <v>36</v>
      </c>
      <c r="F431" t="str">
        <f>VLOOKUP(Table2[[#This Row],[product]],Ref[#All],2,FALSE)</f>
        <v>Flour Import Elngm 25Kg</v>
      </c>
      <c r="G431" t="str">
        <f>VLOOKUP(Table2[[#This Row],[product]],Ref[#All],3,FALSE)</f>
        <v>Flour Al-Nagm (Imported)</v>
      </c>
      <c r="H431" t="str">
        <f>VLOOKUP(Table2[[#This Row],[product]],Ref[#All],4,FALSE)</f>
        <v>Import</v>
      </c>
      <c r="I431" s="1">
        <v>45686</v>
      </c>
      <c r="J431" t="s">
        <v>53</v>
      </c>
      <c r="K431" t="s">
        <v>321</v>
      </c>
      <c r="L431" t="s">
        <v>1651</v>
      </c>
      <c r="M431" t="s">
        <v>1586</v>
      </c>
      <c r="N431" t="s">
        <v>784</v>
      </c>
      <c r="O431" t="s">
        <v>785</v>
      </c>
      <c r="P431" t="s">
        <v>788</v>
      </c>
      <c r="Q431" t="s">
        <v>55</v>
      </c>
      <c r="R431">
        <v>-11</v>
      </c>
      <c r="S431" s="15">
        <f>Table2[[#This Row],[movement_quantity]]/VLOOKUP(Table2[[#This Row],[product]],Ref[#All],5,FALSE)</f>
        <v>-0.27500000000000002</v>
      </c>
      <c r="T431">
        <v>29239.17352</v>
      </c>
      <c r="U431" t="s">
        <v>17</v>
      </c>
      <c r="V431" t="s">
        <v>26</v>
      </c>
      <c r="W431" t="s">
        <v>322</v>
      </c>
      <c r="X431" t="s">
        <v>17</v>
      </c>
      <c r="Y431" t="s">
        <v>38</v>
      </c>
      <c r="Z431">
        <v>0</v>
      </c>
      <c r="AA431" s="2">
        <v>-321630.90872000001</v>
      </c>
      <c r="AB431" t="str">
        <f>VLOOKUP(Table2[[#This Row],[product]],Ref[#All],6,FALSE)</f>
        <v>BAG25</v>
      </c>
    </row>
    <row r="432" spans="1:28" x14ac:dyDescent="0.25">
      <c r="A432" t="str">
        <f>TEXT(Table2[[#This Row],[dated]],"mmm")</f>
        <v>Jan</v>
      </c>
      <c r="B432" t="s">
        <v>52</v>
      </c>
      <c r="C432" s="1" t="s">
        <v>536</v>
      </c>
      <c r="D432" t="str">
        <f>VLOOKUP(Table2[[#This Row],[product]],Ref[#All],7,FALSE)</f>
        <v>Flour</v>
      </c>
      <c r="E432" t="s">
        <v>36</v>
      </c>
      <c r="F432" t="str">
        <f>VLOOKUP(Table2[[#This Row],[product]],Ref[#All],2,FALSE)</f>
        <v>Flour Import Elngm 25Kg</v>
      </c>
      <c r="G432" t="str">
        <f>VLOOKUP(Table2[[#This Row],[product]],Ref[#All],3,FALSE)</f>
        <v>Flour Al-Nagm (Imported)</v>
      </c>
      <c r="H432" t="str">
        <f>VLOOKUP(Table2[[#This Row],[product]],Ref[#All],4,FALSE)</f>
        <v>Import</v>
      </c>
      <c r="I432" s="1">
        <v>45686</v>
      </c>
      <c r="J432" t="s">
        <v>53</v>
      </c>
      <c r="K432" t="s">
        <v>323</v>
      </c>
      <c r="L432" t="s">
        <v>1651</v>
      </c>
      <c r="M432" t="s">
        <v>1586</v>
      </c>
      <c r="N432" t="s">
        <v>784</v>
      </c>
      <c r="O432" t="s">
        <v>785</v>
      </c>
      <c r="P432" t="s">
        <v>788</v>
      </c>
      <c r="Q432" t="s">
        <v>55</v>
      </c>
      <c r="R432">
        <v>-3</v>
      </c>
      <c r="S432" s="15">
        <f>Table2[[#This Row],[movement_quantity]]/VLOOKUP(Table2[[#This Row],[product]],Ref[#All],5,FALSE)</f>
        <v>-7.4999999999999997E-2</v>
      </c>
      <c r="T432">
        <v>29239.17352</v>
      </c>
      <c r="U432" t="s">
        <v>17</v>
      </c>
      <c r="V432" t="s">
        <v>27</v>
      </c>
      <c r="W432" t="s">
        <v>324</v>
      </c>
      <c r="X432" t="s">
        <v>17</v>
      </c>
      <c r="Y432" t="s">
        <v>38</v>
      </c>
      <c r="Z432">
        <v>0</v>
      </c>
      <c r="AA432" s="2">
        <v>-87717.520560000004</v>
      </c>
      <c r="AB432" t="str">
        <f>VLOOKUP(Table2[[#This Row],[product]],Ref[#All],6,FALSE)</f>
        <v>BAG25</v>
      </c>
    </row>
    <row r="433" spans="1:28" x14ac:dyDescent="0.25">
      <c r="A433" t="str">
        <f>TEXT(Table2[[#This Row],[dated]],"mmm")</f>
        <v>Jan</v>
      </c>
      <c r="B433" t="s">
        <v>52</v>
      </c>
      <c r="C433" s="1" t="s">
        <v>536</v>
      </c>
      <c r="D433" t="str">
        <f>VLOOKUP(Table2[[#This Row],[product]],Ref[#All],7,FALSE)</f>
        <v>Flour</v>
      </c>
      <c r="E433" t="s">
        <v>36</v>
      </c>
      <c r="F433" t="str">
        <f>VLOOKUP(Table2[[#This Row],[product]],Ref[#All],2,FALSE)</f>
        <v>Flour Import Elngm 25Kg</v>
      </c>
      <c r="G433" t="str">
        <f>VLOOKUP(Table2[[#This Row],[product]],Ref[#All],3,FALSE)</f>
        <v>Flour Al-Nagm (Imported)</v>
      </c>
      <c r="H433" t="str">
        <f>VLOOKUP(Table2[[#This Row],[product]],Ref[#All],4,FALSE)</f>
        <v>Import</v>
      </c>
      <c r="I433" s="1">
        <v>45686</v>
      </c>
      <c r="J433" t="s">
        <v>53</v>
      </c>
      <c r="K433" t="s">
        <v>325</v>
      </c>
      <c r="L433" t="s">
        <v>1651</v>
      </c>
      <c r="M433" t="s">
        <v>1586</v>
      </c>
      <c r="N433" t="s">
        <v>784</v>
      </c>
      <c r="O433" t="s">
        <v>785</v>
      </c>
      <c r="P433" t="s">
        <v>788</v>
      </c>
      <c r="Q433" t="s">
        <v>55</v>
      </c>
      <c r="R433">
        <v>-1</v>
      </c>
      <c r="S433" s="15">
        <f>Table2[[#This Row],[movement_quantity]]/VLOOKUP(Table2[[#This Row],[product]],Ref[#All],5,FALSE)</f>
        <v>-2.5000000000000001E-2</v>
      </c>
      <c r="T433">
        <v>29239.17352</v>
      </c>
      <c r="U433" t="s">
        <v>17</v>
      </c>
      <c r="V433" t="s">
        <v>28</v>
      </c>
      <c r="W433" t="s">
        <v>326</v>
      </c>
      <c r="X433" t="s">
        <v>17</v>
      </c>
      <c r="Y433" t="s">
        <v>38</v>
      </c>
      <c r="Z433">
        <v>0</v>
      </c>
      <c r="AA433" s="2">
        <v>-29239.17352</v>
      </c>
      <c r="AB433" t="str">
        <f>VLOOKUP(Table2[[#This Row],[product]],Ref[#All],6,FALSE)</f>
        <v>BAG25</v>
      </c>
    </row>
    <row r="434" spans="1:28" x14ac:dyDescent="0.25">
      <c r="A434" t="str">
        <f>TEXT(Table2[[#This Row],[dated]],"mmm")</f>
        <v>Jan</v>
      </c>
      <c r="B434" t="s">
        <v>52</v>
      </c>
      <c r="C434" s="1" t="s">
        <v>536</v>
      </c>
      <c r="D434" t="str">
        <f>VLOOKUP(Table2[[#This Row],[product]],Ref[#All],7,FALSE)</f>
        <v>Flour</v>
      </c>
      <c r="E434" t="s">
        <v>36</v>
      </c>
      <c r="F434" t="str">
        <f>VLOOKUP(Table2[[#This Row],[product]],Ref[#All],2,FALSE)</f>
        <v>Flour Import Elngm 25Kg</v>
      </c>
      <c r="G434" t="str">
        <f>VLOOKUP(Table2[[#This Row],[product]],Ref[#All],3,FALSE)</f>
        <v>Flour Al-Nagm (Imported)</v>
      </c>
      <c r="H434" t="str">
        <f>VLOOKUP(Table2[[#This Row],[product]],Ref[#All],4,FALSE)</f>
        <v>Import</v>
      </c>
      <c r="I434" s="1">
        <v>45686</v>
      </c>
      <c r="J434" t="s">
        <v>53</v>
      </c>
      <c r="K434" t="s">
        <v>327</v>
      </c>
      <c r="L434" t="s">
        <v>1651</v>
      </c>
      <c r="M434" t="s">
        <v>1586</v>
      </c>
      <c r="N434" t="s">
        <v>784</v>
      </c>
      <c r="O434" t="s">
        <v>785</v>
      </c>
      <c r="P434" t="s">
        <v>788</v>
      </c>
      <c r="Q434" t="s">
        <v>55</v>
      </c>
      <c r="R434">
        <v>-1</v>
      </c>
      <c r="S434" s="15">
        <f>Table2[[#This Row],[movement_quantity]]/VLOOKUP(Table2[[#This Row],[product]],Ref[#All],5,FALSE)</f>
        <v>-2.5000000000000001E-2</v>
      </c>
      <c r="T434">
        <v>29239.17352</v>
      </c>
      <c r="U434" t="s">
        <v>17</v>
      </c>
      <c r="V434" t="s">
        <v>29</v>
      </c>
      <c r="W434" t="s">
        <v>328</v>
      </c>
      <c r="X434" t="s">
        <v>17</v>
      </c>
      <c r="Y434" t="s">
        <v>38</v>
      </c>
      <c r="Z434">
        <v>0</v>
      </c>
      <c r="AA434" s="2">
        <v>-29239.17352</v>
      </c>
      <c r="AB434" t="str">
        <f>VLOOKUP(Table2[[#This Row],[product]],Ref[#All],6,FALSE)</f>
        <v>BAG25</v>
      </c>
    </row>
    <row r="435" spans="1:28" x14ac:dyDescent="0.25">
      <c r="A435" t="str">
        <f>TEXT(Table2[[#This Row],[dated]],"mmm")</f>
        <v>Jan</v>
      </c>
      <c r="B435" t="s">
        <v>52</v>
      </c>
      <c r="C435" s="1" t="s">
        <v>536</v>
      </c>
      <c r="D435" t="str">
        <f>VLOOKUP(Table2[[#This Row],[product]],Ref[#All],7,FALSE)</f>
        <v>Flour</v>
      </c>
      <c r="E435" t="s">
        <v>36</v>
      </c>
      <c r="F435" t="str">
        <f>VLOOKUP(Table2[[#This Row],[product]],Ref[#All],2,FALSE)</f>
        <v>Flour Import Elngm 25Kg</v>
      </c>
      <c r="G435" t="str">
        <f>VLOOKUP(Table2[[#This Row],[product]],Ref[#All],3,FALSE)</f>
        <v>Flour Al-Nagm (Imported)</v>
      </c>
      <c r="H435" t="str">
        <f>VLOOKUP(Table2[[#This Row],[product]],Ref[#All],4,FALSE)</f>
        <v>Import</v>
      </c>
      <c r="I435" s="1">
        <v>45686</v>
      </c>
      <c r="J435" t="s">
        <v>53</v>
      </c>
      <c r="K435" t="s">
        <v>329</v>
      </c>
      <c r="L435" t="s">
        <v>1651</v>
      </c>
      <c r="M435" t="s">
        <v>1586</v>
      </c>
      <c r="N435" t="s">
        <v>784</v>
      </c>
      <c r="O435" t="s">
        <v>785</v>
      </c>
      <c r="P435" t="s">
        <v>788</v>
      </c>
      <c r="Q435" t="s">
        <v>55</v>
      </c>
      <c r="R435">
        <v>-2</v>
      </c>
      <c r="S435" s="15">
        <f>Table2[[#This Row],[movement_quantity]]/VLOOKUP(Table2[[#This Row],[product]],Ref[#All],5,FALSE)</f>
        <v>-0.05</v>
      </c>
      <c r="T435">
        <v>29239.17352</v>
      </c>
      <c r="U435" t="s">
        <v>17</v>
      </c>
      <c r="V435" t="s">
        <v>31</v>
      </c>
      <c r="W435" t="s">
        <v>330</v>
      </c>
      <c r="X435" t="s">
        <v>17</v>
      </c>
      <c r="Y435" t="s">
        <v>38</v>
      </c>
      <c r="Z435">
        <v>0</v>
      </c>
      <c r="AA435" s="2">
        <v>-58478.347040000001</v>
      </c>
      <c r="AB435" t="str">
        <f>VLOOKUP(Table2[[#This Row],[product]],Ref[#All],6,FALSE)</f>
        <v>BAG25</v>
      </c>
    </row>
    <row r="436" spans="1:28" x14ac:dyDescent="0.25">
      <c r="A436" t="str">
        <f>TEXT(Table2[[#This Row],[dated]],"mmm")</f>
        <v>Jan</v>
      </c>
      <c r="B436" t="s">
        <v>52</v>
      </c>
      <c r="C436" s="1" t="s">
        <v>536</v>
      </c>
      <c r="D436" t="str">
        <f>VLOOKUP(Table2[[#This Row],[product]],Ref[#All],7,FALSE)</f>
        <v>Flour</v>
      </c>
      <c r="E436" t="s">
        <v>36</v>
      </c>
      <c r="F436" t="str">
        <f>VLOOKUP(Table2[[#This Row],[product]],Ref[#All],2,FALSE)</f>
        <v>Flour Import Elngm 25Kg</v>
      </c>
      <c r="G436" t="str">
        <f>VLOOKUP(Table2[[#This Row],[product]],Ref[#All],3,FALSE)</f>
        <v>Flour Al-Nagm (Imported)</v>
      </c>
      <c r="H436" t="str">
        <f>VLOOKUP(Table2[[#This Row],[product]],Ref[#All],4,FALSE)</f>
        <v>Import</v>
      </c>
      <c r="I436" s="1">
        <v>45686</v>
      </c>
      <c r="J436" t="s">
        <v>53</v>
      </c>
      <c r="K436" t="s">
        <v>331</v>
      </c>
      <c r="L436" t="s">
        <v>1651</v>
      </c>
      <c r="M436" t="s">
        <v>1586</v>
      </c>
      <c r="N436" t="s">
        <v>784</v>
      </c>
      <c r="O436" t="s">
        <v>785</v>
      </c>
      <c r="P436" t="s">
        <v>788</v>
      </c>
      <c r="Q436" t="s">
        <v>55</v>
      </c>
      <c r="R436">
        <v>-3</v>
      </c>
      <c r="S436" s="15">
        <f>Table2[[#This Row],[movement_quantity]]/VLOOKUP(Table2[[#This Row],[product]],Ref[#All],5,FALSE)</f>
        <v>-7.4999999999999997E-2</v>
      </c>
      <c r="T436">
        <v>29239.17352</v>
      </c>
      <c r="U436" t="s">
        <v>17</v>
      </c>
      <c r="V436" t="s">
        <v>32</v>
      </c>
      <c r="W436" t="s">
        <v>332</v>
      </c>
      <c r="X436" t="s">
        <v>17</v>
      </c>
      <c r="Y436" t="s">
        <v>38</v>
      </c>
      <c r="Z436">
        <v>0</v>
      </c>
      <c r="AA436" s="2">
        <v>-87717.520560000004</v>
      </c>
      <c r="AB436" t="str">
        <f>VLOOKUP(Table2[[#This Row],[product]],Ref[#All],6,FALSE)</f>
        <v>BAG25</v>
      </c>
    </row>
    <row r="437" spans="1:28" x14ac:dyDescent="0.25">
      <c r="A437" t="str">
        <f>TEXT(Table2[[#This Row],[dated]],"mmm")</f>
        <v>Jan</v>
      </c>
      <c r="B437" t="s">
        <v>52</v>
      </c>
      <c r="C437" s="1" t="s">
        <v>536</v>
      </c>
      <c r="D437" t="str">
        <f>VLOOKUP(Table2[[#This Row],[product]],Ref[#All],7,FALSE)</f>
        <v>Flour</v>
      </c>
      <c r="E437" t="s">
        <v>36</v>
      </c>
      <c r="F437" t="str">
        <f>VLOOKUP(Table2[[#This Row],[product]],Ref[#All],2,FALSE)</f>
        <v>Flour Import Elngm 25Kg</v>
      </c>
      <c r="G437" t="str">
        <f>VLOOKUP(Table2[[#This Row],[product]],Ref[#All],3,FALSE)</f>
        <v>Flour Al-Nagm (Imported)</v>
      </c>
      <c r="H437" t="str">
        <f>VLOOKUP(Table2[[#This Row],[product]],Ref[#All],4,FALSE)</f>
        <v>Import</v>
      </c>
      <c r="I437" s="1">
        <v>45686</v>
      </c>
      <c r="J437" t="s">
        <v>53</v>
      </c>
      <c r="K437" t="s">
        <v>333</v>
      </c>
      <c r="L437" t="s">
        <v>1651</v>
      </c>
      <c r="M437" t="s">
        <v>1586</v>
      </c>
      <c r="N437" t="s">
        <v>784</v>
      </c>
      <c r="O437" t="s">
        <v>785</v>
      </c>
      <c r="P437" t="s">
        <v>788</v>
      </c>
      <c r="Q437" t="s">
        <v>55</v>
      </c>
      <c r="R437">
        <v>-8</v>
      </c>
      <c r="S437" s="15">
        <f>Table2[[#This Row],[movement_quantity]]/VLOOKUP(Table2[[#This Row],[product]],Ref[#All],5,FALSE)</f>
        <v>-0.2</v>
      </c>
      <c r="T437">
        <v>29239.17352</v>
      </c>
      <c r="U437" t="s">
        <v>17</v>
      </c>
      <c r="V437" t="s">
        <v>44</v>
      </c>
      <c r="W437" t="s">
        <v>334</v>
      </c>
      <c r="X437" t="s">
        <v>17</v>
      </c>
      <c r="Y437" t="s">
        <v>38</v>
      </c>
      <c r="Z437">
        <v>0</v>
      </c>
      <c r="AA437" s="2">
        <v>-233913.38816</v>
      </c>
      <c r="AB437" t="str">
        <f>VLOOKUP(Table2[[#This Row],[product]],Ref[#All],6,FALSE)</f>
        <v>BAG25</v>
      </c>
    </row>
    <row r="438" spans="1:28" x14ac:dyDescent="0.25">
      <c r="A438" t="str">
        <f>TEXT(Table2[[#This Row],[dated]],"mmm")</f>
        <v>Jan</v>
      </c>
      <c r="B438" t="s">
        <v>52</v>
      </c>
      <c r="C438" s="1" t="s">
        <v>536</v>
      </c>
      <c r="D438" t="str">
        <f>VLOOKUP(Table2[[#This Row],[product]],Ref[#All],7,FALSE)</f>
        <v>Flour</v>
      </c>
      <c r="E438" t="s">
        <v>36</v>
      </c>
      <c r="F438" t="str">
        <f>VLOOKUP(Table2[[#This Row],[product]],Ref[#All],2,FALSE)</f>
        <v>Flour Import Elngm 25Kg</v>
      </c>
      <c r="G438" t="str">
        <f>VLOOKUP(Table2[[#This Row],[product]],Ref[#All],3,FALSE)</f>
        <v>Flour Al-Nagm (Imported)</v>
      </c>
      <c r="H438" t="str">
        <f>VLOOKUP(Table2[[#This Row],[product]],Ref[#All],4,FALSE)</f>
        <v>Import</v>
      </c>
      <c r="I438" s="1">
        <v>45686</v>
      </c>
      <c r="J438" t="s">
        <v>53</v>
      </c>
      <c r="K438" t="s">
        <v>335</v>
      </c>
      <c r="L438" t="s">
        <v>1651</v>
      </c>
      <c r="M438" t="s">
        <v>1586</v>
      </c>
      <c r="N438" t="s">
        <v>784</v>
      </c>
      <c r="O438" t="s">
        <v>785</v>
      </c>
      <c r="P438" t="s">
        <v>788</v>
      </c>
      <c r="Q438" t="s">
        <v>55</v>
      </c>
      <c r="R438">
        <v>-16</v>
      </c>
      <c r="S438" s="15">
        <f>Table2[[#This Row],[movement_quantity]]/VLOOKUP(Table2[[#This Row],[product]],Ref[#All],5,FALSE)</f>
        <v>-0.4</v>
      </c>
      <c r="T438">
        <v>29239.17352</v>
      </c>
      <c r="U438" t="s">
        <v>17</v>
      </c>
      <c r="V438" t="s">
        <v>33</v>
      </c>
      <c r="W438" t="s">
        <v>336</v>
      </c>
      <c r="X438" t="s">
        <v>17</v>
      </c>
      <c r="Y438" t="s">
        <v>38</v>
      </c>
      <c r="Z438">
        <v>0</v>
      </c>
      <c r="AA438" s="2">
        <v>-467826.77632</v>
      </c>
      <c r="AB438" t="str">
        <f>VLOOKUP(Table2[[#This Row],[product]],Ref[#All],6,FALSE)</f>
        <v>BAG25</v>
      </c>
    </row>
    <row r="439" spans="1:28" x14ac:dyDescent="0.25">
      <c r="A439" t="str">
        <f>TEXT(Table2[[#This Row],[dated]],"mmm")</f>
        <v>Jan</v>
      </c>
      <c r="B439" t="s">
        <v>52</v>
      </c>
      <c r="C439" s="1" t="s">
        <v>536</v>
      </c>
      <c r="D439" t="str">
        <f>VLOOKUP(Table2[[#This Row],[product]],Ref[#All],7,FALSE)</f>
        <v>Flour</v>
      </c>
      <c r="E439" t="s">
        <v>42</v>
      </c>
      <c r="F439" t="str">
        <f>VLOOKUP(Table2[[#This Row],[product]],Ref[#All],2,FALSE)</f>
        <v>Alnajm Flour from Mill 25KG</v>
      </c>
      <c r="G439" t="str">
        <f>VLOOKUP(Table2[[#This Row],[product]],Ref[#All],3,FALSE)</f>
        <v>Flour Al-Nagm (Mill)</v>
      </c>
      <c r="H439" t="str">
        <f>VLOOKUP(Table2[[#This Row],[product]],Ref[#All],4,FALSE)</f>
        <v>Import</v>
      </c>
      <c r="I439" s="1">
        <v>45686</v>
      </c>
      <c r="J439" t="s">
        <v>53</v>
      </c>
      <c r="K439" t="s">
        <v>337</v>
      </c>
      <c r="L439" t="s">
        <v>1651</v>
      </c>
      <c r="M439" t="s">
        <v>1586</v>
      </c>
      <c r="N439" t="s">
        <v>784</v>
      </c>
      <c r="O439" t="s">
        <v>785</v>
      </c>
      <c r="P439" t="s">
        <v>788</v>
      </c>
      <c r="Q439" t="s">
        <v>55</v>
      </c>
      <c r="R439">
        <v>-1</v>
      </c>
      <c r="S439" s="15">
        <f>Table2[[#This Row],[movement_quantity]]/VLOOKUP(Table2[[#This Row],[product]],Ref[#All],5,FALSE)</f>
        <v>-2.5000000000000001E-2</v>
      </c>
      <c r="T439">
        <v>22343.676599999999</v>
      </c>
      <c r="U439" t="s">
        <v>17</v>
      </c>
      <c r="V439" t="s">
        <v>18</v>
      </c>
      <c r="W439" t="s">
        <v>338</v>
      </c>
      <c r="X439" t="s">
        <v>17</v>
      </c>
      <c r="Y439" t="s">
        <v>49</v>
      </c>
      <c r="Z439">
        <v>0</v>
      </c>
      <c r="AA439" s="2">
        <v>-22343.676599999999</v>
      </c>
      <c r="AB439" t="str">
        <f>VLOOKUP(Table2[[#This Row],[product]],Ref[#All],6,FALSE)</f>
        <v>BAG25</v>
      </c>
    </row>
    <row r="440" spans="1:28" x14ac:dyDescent="0.25">
      <c r="A440" t="str">
        <f>TEXT(Table2[[#This Row],[dated]],"mmm")</f>
        <v>Jan</v>
      </c>
      <c r="B440" t="s">
        <v>52</v>
      </c>
      <c r="C440" s="1" t="s">
        <v>536</v>
      </c>
      <c r="D440" t="str">
        <f>VLOOKUP(Table2[[#This Row],[product]],Ref[#All],7,FALSE)</f>
        <v>Sugar</v>
      </c>
      <c r="E440" t="s">
        <v>72</v>
      </c>
      <c r="F440" t="str">
        <f>VLOOKUP(Table2[[#This Row],[product]],Ref[#All],2,FALSE)</f>
        <v>White Sugar</v>
      </c>
      <c r="G440" t="str">
        <f>VLOOKUP(Table2[[#This Row],[product]],Ref[#All],3,FALSE)</f>
        <v>White Sugar</v>
      </c>
      <c r="H440" t="str">
        <f>VLOOKUP(Table2[[#This Row],[product]],Ref[#All],4,FALSE)</f>
        <v>Import</v>
      </c>
      <c r="I440" s="1">
        <v>45686</v>
      </c>
      <c r="J440" t="s">
        <v>53</v>
      </c>
      <c r="K440" t="s">
        <v>339</v>
      </c>
      <c r="L440" t="s">
        <v>1651</v>
      </c>
      <c r="M440" t="s">
        <v>1586</v>
      </c>
      <c r="N440" t="s">
        <v>784</v>
      </c>
      <c r="O440" t="s">
        <v>785</v>
      </c>
      <c r="P440" t="s">
        <v>788</v>
      </c>
      <c r="Q440" t="s">
        <v>55</v>
      </c>
      <c r="R440">
        <v>-1</v>
      </c>
      <c r="S440" s="15">
        <f>Table2[[#This Row],[movement_quantity]]/VLOOKUP(Table2[[#This Row],[product]],Ref[#All],5,FALSE)</f>
        <v>-0.05</v>
      </c>
      <c r="T440">
        <v>80496.589399999997</v>
      </c>
      <c r="U440" t="s">
        <v>17</v>
      </c>
      <c r="V440" t="s">
        <v>18</v>
      </c>
      <c r="W440" t="s">
        <v>340</v>
      </c>
      <c r="X440" t="s">
        <v>17</v>
      </c>
      <c r="Y440" t="s">
        <v>75</v>
      </c>
      <c r="Z440">
        <v>0</v>
      </c>
      <c r="AA440" s="2">
        <v>-80496.589399999997</v>
      </c>
      <c r="AB440" t="str">
        <f>VLOOKUP(Table2[[#This Row],[product]],Ref[#All],6,FALSE)</f>
        <v>BAG50</v>
      </c>
    </row>
    <row r="441" spans="1:28" x14ac:dyDescent="0.25">
      <c r="A441" t="str">
        <f>TEXT(Table2[[#This Row],[dated]],"mmm")</f>
        <v>Jan</v>
      </c>
      <c r="B441" t="s">
        <v>52</v>
      </c>
      <c r="C441" s="1" t="s">
        <v>536</v>
      </c>
      <c r="D441" t="str">
        <f>VLOOKUP(Table2[[#This Row],[product]],Ref[#All],7,FALSE)</f>
        <v>Sugar</v>
      </c>
      <c r="E441" t="s">
        <v>72</v>
      </c>
      <c r="F441" t="str">
        <f>VLOOKUP(Table2[[#This Row],[product]],Ref[#All],2,FALSE)</f>
        <v>White Sugar</v>
      </c>
      <c r="G441" t="str">
        <f>VLOOKUP(Table2[[#This Row],[product]],Ref[#All],3,FALSE)</f>
        <v>White Sugar</v>
      </c>
      <c r="H441" t="str">
        <f>VLOOKUP(Table2[[#This Row],[product]],Ref[#All],4,FALSE)</f>
        <v>Import</v>
      </c>
      <c r="I441" s="1">
        <v>45686</v>
      </c>
      <c r="J441" t="s">
        <v>53</v>
      </c>
      <c r="K441" t="s">
        <v>357</v>
      </c>
      <c r="L441" t="s">
        <v>1651</v>
      </c>
      <c r="M441" t="s">
        <v>1586</v>
      </c>
      <c r="N441" t="s">
        <v>784</v>
      </c>
      <c r="O441" t="s">
        <v>785</v>
      </c>
      <c r="P441" t="s">
        <v>788</v>
      </c>
      <c r="Q441" t="s">
        <v>55</v>
      </c>
      <c r="R441">
        <v>-1</v>
      </c>
      <c r="S441" s="15">
        <f>Table2[[#This Row],[movement_quantity]]/VLOOKUP(Table2[[#This Row],[product]],Ref[#All],5,FALSE)</f>
        <v>-0.05</v>
      </c>
      <c r="T441">
        <v>80496.589399999997</v>
      </c>
      <c r="U441" t="s">
        <v>17</v>
      </c>
      <c r="V441" t="s">
        <v>21</v>
      </c>
      <c r="W441" t="s">
        <v>358</v>
      </c>
      <c r="X441" t="s">
        <v>17</v>
      </c>
      <c r="Y441" t="s">
        <v>75</v>
      </c>
      <c r="Z441">
        <v>0</v>
      </c>
      <c r="AA441" s="2">
        <v>-80496.589399999997</v>
      </c>
      <c r="AB441" t="str">
        <f>VLOOKUP(Table2[[#This Row],[product]],Ref[#All],6,FALSE)</f>
        <v>BAG50</v>
      </c>
    </row>
    <row r="442" spans="1:28" x14ac:dyDescent="0.25">
      <c r="A442" t="str">
        <f>TEXT(Table2[[#This Row],[dated]],"mmm")</f>
        <v>Jan</v>
      </c>
      <c r="B442" t="s">
        <v>52</v>
      </c>
      <c r="C442" s="1" t="s">
        <v>536</v>
      </c>
      <c r="D442" t="str">
        <f>VLOOKUP(Table2[[#This Row],[product]],Ref[#All],7,FALSE)</f>
        <v>Sugar</v>
      </c>
      <c r="E442" t="s">
        <v>72</v>
      </c>
      <c r="F442" t="str">
        <f>VLOOKUP(Table2[[#This Row],[product]],Ref[#All],2,FALSE)</f>
        <v>White Sugar</v>
      </c>
      <c r="G442" t="str">
        <f>VLOOKUP(Table2[[#This Row],[product]],Ref[#All],3,FALSE)</f>
        <v>White Sugar</v>
      </c>
      <c r="H442" t="str">
        <f>VLOOKUP(Table2[[#This Row],[product]],Ref[#All],4,FALSE)</f>
        <v>Import</v>
      </c>
      <c r="I442" s="1">
        <v>45686</v>
      </c>
      <c r="J442" t="s">
        <v>53</v>
      </c>
      <c r="K442" t="s">
        <v>359</v>
      </c>
      <c r="L442" t="s">
        <v>1651</v>
      </c>
      <c r="M442" t="s">
        <v>1586</v>
      </c>
      <c r="N442" t="s">
        <v>784</v>
      </c>
      <c r="O442" t="s">
        <v>785</v>
      </c>
      <c r="P442" t="s">
        <v>788</v>
      </c>
      <c r="Q442" t="s">
        <v>55</v>
      </c>
      <c r="R442">
        <v>-2</v>
      </c>
      <c r="S442" s="15">
        <f>Table2[[#This Row],[movement_quantity]]/VLOOKUP(Table2[[#This Row],[product]],Ref[#All],5,FALSE)</f>
        <v>-0.1</v>
      </c>
      <c r="T442">
        <v>80496.589399999997</v>
      </c>
      <c r="U442" t="s">
        <v>17</v>
      </c>
      <c r="V442" t="s">
        <v>22</v>
      </c>
      <c r="W442" t="s">
        <v>360</v>
      </c>
      <c r="X442" t="s">
        <v>17</v>
      </c>
      <c r="Y442" t="s">
        <v>75</v>
      </c>
      <c r="Z442">
        <v>0</v>
      </c>
      <c r="AA442" s="2">
        <v>-160993.17879999999</v>
      </c>
      <c r="AB442" t="str">
        <f>VLOOKUP(Table2[[#This Row],[product]],Ref[#All],6,FALSE)</f>
        <v>BAG50</v>
      </c>
    </row>
    <row r="443" spans="1:28" x14ac:dyDescent="0.25">
      <c r="A443" t="str">
        <f>TEXT(Table2[[#This Row],[dated]],"mmm")</f>
        <v>Jan</v>
      </c>
      <c r="B443" t="s">
        <v>30</v>
      </c>
      <c r="C443" s="1" t="s">
        <v>536</v>
      </c>
      <c r="D443" t="str">
        <f>VLOOKUP(Table2[[#This Row],[product]],Ref[#All],7,FALSE)</f>
        <v>Flour</v>
      </c>
      <c r="E443" t="s">
        <v>36</v>
      </c>
      <c r="F443" t="str">
        <f>VLOOKUP(Table2[[#This Row],[product]],Ref[#All],2,FALSE)</f>
        <v>Flour Import Elngm 25Kg</v>
      </c>
      <c r="G443" t="str">
        <f>VLOOKUP(Table2[[#This Row],[product]],Ref[#All],3,FALSE)</f>
        <v>Flour Al-Nagm (Imported)</v>
      </c>
      <c r="H443" t="str">
        <f>VLOOKUP(Table2[[#This Row],[product]],Ref[#All],4,FALSE)</f>
        <v>Import</v>
      </c>
      <c r="I443" s="1">
        <v>45686</v>
      </c>
      <c r="J443" t="s">
        <v>53</v>
      </c>
      <c r="K443" t="s">
        <v>361</v>
      </c>
      <c r="L443" t="s">
        <v>1651</v>
      </c>
      <c r="M443" t="s">
        <v>1586</v>
      </c>
      <c r="N443" t="s">
        <v>784</v>
      </c>
      <c r="O443" t="s">
        <v>785</v>
      </c>
      <c r="P443" t="s">
        <v>788</v>
      </c>
      <c r="Q443" t="s">
        <v>55</v>
      </c>
      <c r="R443">
        <v>-6</v>
      </c>
      <c r="S443" s="15">
        <f>Table2[[#This Row],[movement_quantity]]/VLOOKUP(Table2[[#This Row],[product]],Ref[#All],5,FALSE)</f>
        <v>-0.15</v>
      </c>
      <c r="T443">
        <v>29239.17352</v>
      </c>
      <c r="U443" t="s">
        <v>17</v>
      </c>
      <c r="V443" t="s">
        <v>18</v>
      </c>
      <c r="W443" t="s">
        <v>362</v>
      </c>
      <c r="X443" t="s">
        <v>17</v>
      </c>
      <c r="Y443" t="s">
        <v>57</v>
      </c>
      <c r="Z443">
        <v>0</v>
      </c>
      <c r="AA443" s="2">
        <v>-175435.04112000001</v>
      </c>
      <c r="AB443" t="str">
        <f>VLOOKUP(Table2[[#This Row],[product]],Ref[#All],6,FALSE)</f>
        <v>BAG25</v>
      </c>
    </row>
    <row r="444" spans="1:28" x14ac:dyDescent="0.25">
      <c r="A444" t="str">
        <f>TEXT(Table2[[#This Row],[dated]],"mmm")</f>
        <v>Jan</v>
      </c>
      <c r="B444" t="s">
        <v>30</v>
      </c>
      <c r="C444" s="1" t="s">
        <v>536</v>
      </c>
      <c r="D444" t="str">
        <f>VLOOKUP(Table2[[#This Row],[product]],Ref[#All],7,FALSE)</f>
        <v>Flour</v>
      </c>
      <c r="E444" t="s">
        <v>36</v>
      </c>
      <c r="F444" t="str">
        <f>VLOOKUP(Table2[[#This Row],[product]],Ref[#All],2,FALSE)</f>
        <v>Flour Import Elngm 25Kg</v>
      </c>
      <c r="G444" t="str">
        <f>VLOOKUP(Table2[[#This Row],[product]],Ref[#All],3,FALSE)</f>
        <v>Flour Al-Nagm (Imported)</v>
      </c>
      <c r="H444" t="str">
        <f>VLOOKUP(Table2[[#This Row],[product]],Ref[#All],4,FALSE)</f>
        <v>Import</v>
      </c>
      <c r="I444" s="1">
        <v>45686</v>
      </c>
      <c r="J444" t="s">
        <v>53</v>
      </c>
      <c r="K444" t="s">
        <v>363</v>
      </c>
      <c r="L444" t="s">
        <v>1651</v>
      </c>
      <c r="M444" t="s">
        <v>1586</v>
      </c>
      <c r="N444" t="s">
        <v>784</v>
      </c>
      <c r="O444" t="s">
        <v>785</v>
      </c>
      <c r="P444" t="s">
        <v>788</v>
      </c>
      <c r="Q444" t="s">
        <v>55</v>
      </c>
      <c r="R444">
        <v>-3</v>
      </c>
      <c r="S444" s="15">
        <f>Table2[[#This Row],[movement_quantity]]/VLOOKUP(Table2[[#This Row],[product]],Ref[#All],5,FALSE)</f>
        <v>-7.4999999999999997E-2</v>
      </c>
      <c r="T444">
        <v>29239.17352</v>
      </c>
      <c r="U444" t="s">
        <v>17</v>
      </c>
      <c r="V444" t="s">
        <v>21</v>
      </c>
      <c r="W444" t="s">
        <v>364</v>
      </c>
      <c r="X444" t="s">
        <v>17</v>
      </c>
      <c r="Y444" t="s">
        <v>57</v>
      </c>
      <c r="Z444">
        <v>0</v>
      </c>
      <c r="AA444" s="2">
        <v>-87717.520560000004</v>
      </c>
      <c r="AB444" t="str">
        <f>VLOOKUP(Table2[[#This Row],[product]],Ref[#All],6,FALSE)</f>
        <v>BAG25</v>
      </c>
    </row>
    <row r="445" spans="1:28" x14ac:dyDescent="0.25">
      <c r="A445" t="str">
        <f>TEXT(Table2[[#This Row],[dated]],"mmm")</f>
        <v>Jan</v>
      </c>
      <c r="B445" t="s">
        <v>30</v>
      </c>
      <c r="C445" s="1" t="s">
        <v>536</v>
      </c>
      <c r="D445" t="str">
        <f>VLOOKUP(Table2[[#This Row],[product]],Ref[#All],7,FALSE)</f>
        <v>Flour</v>
      </c>
      <c r="E445" t="s">
        <v>36</v>
      </c>
      <c r="F445" t="str">
        <f>VLOOKUP(Table2[[#This Row],[product]],Ref[#All],2,FALSE)</f>
        <v>Flour Import Elngm 25Kg</v>
      </c>
      <c r="G445" t="str">
        <f>VLOOKUP(Table2[[#This Row],[product]],Ref[#All],3,FALSE)</f>
        <v>Flour Al-Nagm (Imported)</v>
      </c>
      <c r="H445" t="str">
        <f>VLOOKUP(Table2[[#This Row],[product]],Ref[#All],4,FALSE)</f>
        <v>Import</v>
      </c>
      <c r="I445" s="1">
        <v>45686</v>
      </c>
      <c r="J445" t="s">
        <v>53</v>
      </c>
      <c r="K445" t="s">
        <v>365</v>
      </c>
      <c r="L445" t="s">
        <v>1651</v>
      </c>
      <c r="M445" t="s">
        <v>1586</v>
      </c>
      <c r="N445" t="s">
        <v>784</v>
      </c>
      <c r="O445" t="s">
        <v>785</v>
      </c>
      <c r="P445" t="s">
        <v>788</v>
      </c>
      <c r="Q445" t="s">
        <v>55</v>
      </c>
      <c r="R445">
        <v>-1</v>
      </c>
      <c r="S445" s="15">
        <f>Table2[[#This Row],[movement_quantity]]/VLOOKUP(Table2[[#This Row],[product]],Ref[#All],5,FALSE)</f>
        <v>-2.5000000000000001E-2</v>
      </c>
      <c r="T445">
        <v>29239.17352</v>
      </c>
      <c r="U445" t="s">
        <v>17</v>
      </c>
      <c r="V445" t="s">
        <v>22</v>
      </c>
      <c r="W445" t="s">
        <v>366</v>
      </c>
      <c r="X445" t="s">
        <v>17</v>
      </c>
      <c r="Y445" t="s">
        <v>57</v>
      </c>
      <c r="Z445">
        <v>0</v>
      </c>
      <c r="AA445" s="2">
        <v>-29239.17352</v>
      </c>
      <c r="AB445" t="str">
        <f>VLOOKUP(Table2[[#This Row],[product]],Ref[#All],6,FALSE)</f>
        <v>BAG25</v>
      </c>
    </row>
    <row r="446" spans="1:28" x14ac:dyDescent="0.25">
      <c r="A446" t="str">
        <f>TEXT(Table2[[#This Row],[dated]],"mmm")</f>
        <v>Jan</v>
      </c>
      <c r="B446" t="s">
        <v>30</v>
      </c>
      <c r="C446" s="1" t="s">
        <v>536</v>
      </c>
      <c r="D446" t="str">
        <f>VLOOKUP(Table2[[#This Row],[product]],Ref[#All],7,FALSE)</f>
        <v>Flour</v>
      </c>
      <c r="E446" t="s">
        <v>36</v>
      </c>
      <c r="F446" t="str">
        <f>VLOOKUP(Table2[[#This Row],[product]],Ref[#All],2,FALSE)</f>
        <v>Flour Import Elngm 25Kg</v>
      </c>
      <c r="G446" t="str">
        <f>VLOOKUP(Table2[[#This Row],[product]],Ref[#All],3,FALSE)</f>
        <v>Flour Al-Nagm (Imported)</v>
      </c>
      <c r="H446" t="str">
        <f>VLOOKUP(Table2[[#This Row],[product]],Ref[#All],4,FALSE)</f>
        <v>Import</v>
      </c>
      <c r="I446" s="1">
        <v>45686</v>
      </c>
      <c r="J446" t="s">
        <v>53</v>
      </c>
      <c r="K446" t="s">
        <v>367</v>
      </c>
      <c r="L446" t="s">
        <v>1651</v>
      </c>
      <c r="M446" t="s">
        <v>1586</v>
      </c>
      <c r="N446" t="s">
        <v>784</v>
      </c>
      <c r="O446" t="s">
        <v>785</v>
      </c>
      <c r="P446" t="s">
        <v>788</v>
      </c>
      <c r="Q446" t="s">
        <v>55</v>
      </c>
      <c r="R446">
        <v>-7</v>
      </c>
      <c r="S446" s="15">
        <f>Table2[[#This Row],[movement_quantity]]/VLOOKUP(Table2[[#This Row],[product]],Ref[#All],5,FALSE)</f>
        <v>-0.17499999999999999</v>
      </c>
      <c r="T446">
        <v>29239.17352</v>
      </c>
      <c r="U446" t="s">
        <v>17</v>
      </c>
      <c r="V446" t="s">
        <v>23</v>
      </c>
      <c r="W446" t="s">
        <v>368</v>
      </c>
      <c r="X446" t="s">
        <v>17</v>
      </c>
      <c r="Y446" t="s">
        <v>57</v>
      </c>
      <c r="Z446">
        <v>0</v>
      </c>
      <c r="AA446" s="2">
        <v>-204674.21463999999</v>
      </c>
      <c r="AB446" t="str">
        <f>VLOOKUP(Table2[[#This Row],[product]],Ref[#All],6,FALSE)</f>
        <v>BAG25</v>
      </c>
    </row>
    <row r="447" spans="1:28" x14ac:dyDescent="0.25">
      <c r="A447" t="str">
        <f>TEXT(Table2[[#This Row],[dated]],"mmm")</f>
        <v>Jan</v>
      </c>
      <c r="B447" t="s">
        <v>30</v>
      </c>
      <c r="C447" s="1" t="s">
        <v>536</v>
      </c>
      <c r="D447" t="str">
        <f>VLOOKUP(Table2[[#This Row],[product]],Ref[#All],7,FALSE)</f>
        <v>Flour</v>
      </c>
      <c r="E447" t="s">
        <v>36</v>
      </c>
      <c r="F447" t="str">
        <f>VLOOKUP(Table2[[#This Row],[product]],Ref[#All],2,FALSE)</f>
        <v>Flour Import Elngm 25Kg</v>
      </c>
      <c r="G447" t="str">
        <f>VLOOKUP(Table2[[#This Row],[product]],Ref[#All],3,FALSE)</f>
        <v>Flour Al-Nagm (Imported)</v>
      </c>
      <c r="H447" t="str">
        <f>VLOOKUP(Table2[[#This Row],[product]],Ref[#All],4,FALSE)</f>
        <v>Import</v>
      </c>
      <c r="I447" s="1">
        <v>45686</v>
      </c>
      <c r="J447" t="s">
        <v>53</v>
      </c>
      <c r="K447" t="s">
        <v>369</v>
      </c>
      <c r="L447" t="s">
        <v>1651</v>
      </c>
      <c r="M447" t="s">
        <v>1586</v>
      </c>
      <c r="N447" t="s">
        <v>784</v>
      </c>
      <c r="O447" t="s">
        <v>785</v>
      </c>
      <c r="P447" t="s">
        <v>788</v>
      </c>
      <c r="Q447" t="s">
        <v>55</v>
      </c>
      <c r="R447">
        <v>-1</v>
      </c>
      <c r="S447" s="15">
        <f>Table2[[#This Row],[movement_quantity]]/VLOOKUP(Table2[[#This Row],[product]],Ref[#All],5,FALSE)</f>
        <v>-2.5000000000000001E-2</v>
      </c>
      <c r="T447">
        <v>29239.17352</v>
      </c>
      <c r="U447" t="s">
        <v>17</v>
      </c>
      <c r="V447" t="s">
        <v>24</v>
      </c>
      <c r="W447" t="s">
        <v>370</v>
      </c>
      <c r="X447" t="s">
        <v>17</v>
      </c>
      <c r="Y447" t="s">
        <v>57</v>
      </c>
      <c r="Z447">
        <v>0</v>
      </c>
      <c r="AA447" s="2">
        <v>-29239.17352</v>
      </c>
      <c r="AB447" t="str">
        <f>VLOOKUP(Table2[[#This Row],[product]],Ref[#All],6,FALSE)</f>
        <v>BAG25</v>
      </c>
    </row>
    <row r="448" spans="1:28" x14ac:dyDescent="0.25">
      <c r="A448" t="str">
        <f>TEXT(Table2[[#This Row],[dated]],"mmm")</f>
        <v>Jan</v>
      </c>
      <c r="B448" t="s">
        <v>30</v>
      </c>
      <c r="C448" s="1" t="s">
        <v>536</v>
      </c>
      <c r="D448" t="str">
        <f>VLOOKUP(Table2[[#This Row],[product]],Ref[#All],7,FALSE)</f>
        <v>Flour</v>
      </c>
      <c r="E448" t="s">
        <v>36</v>
      </c>
      <c r="F448" t="str">
        <f>VLOOKUP(Table2[[#This Row],[product]],Ref[#All],2,FALSE)</f>
        <v>Flour Import Elngm 25Kg</v>
      </c>
      <c r="G448" t="str">
        <f>VLOOKUP(Table2[[#This Row],[product]],Ref[#All],3,FALSE)</f>
        <v>Flour Al-Nagm (Imported)</v>
      </c>
      <c r="H448" t="str">
        <f>VLOOKUP(Table2[[#This Row],[product]],Ref[#All],4,FALSE)</f>
        <v>Import</v>
      </c>
      <c r="I448" s="1">
        <v>45686</v>
      </c>
      <c r="J448" t="s">
        <v>53</v>
      </c>
      <c r="K448" t="s">
        <v>371</v>
      </c>
      <c r="L448" t="s">
        <v>1651</v>
      </c>
      <c r="M448" t="s">
        <v>1586</v>
      </c>
      <c r="N448" t="s">
        <v>784</v>
      </c>
      <c r="O448" t="s">
        <v>785</v>
      </c>
      <c r="P448" t="s">
        <v>788</v>
      </c>
      <c r="Q448" t="s">
        <v>55</v>
      </c>
      <c r="R448">
        <v>-4</v>
      </c>
      <c r="S448" s="15">
        <f>Table2[[#This Row],[movement_quantity]]/VLOOKUP(Table2[[#This Row],[product]],Ref[#All],5,FALSE)</f>
        <v>-0.1</v>
      </c>
      <c r="T448">
        <v>29239.17352</v>
      </c>
      <c r="U448" t="s">
        <v>17</v>
      </c>
      <c r="V448" t="s">
        <v>25</v>
      </c>
      <c r="W448" t="s">
        <v>372</v>
      </c>
      <c r="X448" t="s">
        <v>17</v>
      </c>
      <c r="Y448" t="s">
        <v>57</v>
      </c>
      <c r="Z448">
        <v>0</v>
      </c>
      <c r="AA448" s="2">
        <v>-116956.69408</v>
      </c>
      <c r="AB448" t="str">
        <f>VLOOKUP(Table2[[#This Row],[product]],Ref[#All],6,FALSE)</f>
        <v>BAG25</v>
      </c>
    </row>
    <row r="449" spans="1:28" x14ac:dyDescent="0.25">
      <c r="A449" t="str">
        <f>TEXT(Table2[[#This Row],[dated]],"mmm")</f>
        <v>Jan</v>
      </c>
      <c r="B449" t="s">
        <v>30</v>
      </c>
      <c r="C449" s="1" t="s">
        <v>536</v>
      </c>
      <c r="D449" t="str">
        <f>VLOOKUP(Table2[[#This Row],[product]],Ref[#All],7,FALSE)</f>
        <v>Flour</v>
      </c>
      <c r="E449" t="s">
        <v>36</v>
      </c>
      <c r="F449" t="str">
        <f>VLOOKUP(Table2[[#This Row],[product]],Ref[#All],2,FALSE)</f>
        <v>Flour Import Elngm 25Kg</v>
      </c>
      <c r="G449" t="str">
        <f>VLOOKUP(Table2[[#This Row],[product]],Ref[#All],3,FALSE)</f>
        <v>Flour Al-Nagm (Imported)</v>
      </c>
      <c r="H449" t="str">
        <f>VLOOKUP(Table2[[#This Row],[product]],Ref[#All],4,FALSE)</f>
        <v>Import</v>
      </c>
      <c r="I449" s="1">
        <v>45686</v>
      </c>
      <c r="J449" t="s">
        <v>53</v>
      </c>
      <c r="K449" t="s">
        <v>373</v>
      </c>
      <c r="L449" t="s">
        <v>1651</v>
      </c>
      <c r="M449" t="s">
        <v>1586</v>
      </c>
      <c r="N449" t="s">
        <v>784</v>
      </c>
      <c r="O449" t="s">
        <v>785</v>
      </c>
      <c r="P449" t="s">
        <v>788</v>
      </c>
      <c r="Q449" t="s">
        <v>55</v>
      </c>
      <c r="R449">
        <v>-1</v>
      </c>
      <c r="S449" s="15">
        <f>Table2[[#This Row],[movement_quantity]]/VLOOKUP(Table2[[#This Row],[product]],Ref[#All],5,FALSE)</f>
        <v>-2.5000000000000001E-2</v>
      </c>
      <c r="T449">
        <v>29239.17352</v>
      </c>
      <c r="U449" t="s">
        <v>17</v>
      </c>
      <c r="V449" t="s">
        <v>26</v>
      </c>
      <c r="W449" t="s">
        <v>374</v>
      </c>
      <c r="X449" t="s">
        <v>17</v>
      </c>
      <c r="Y449" t="s">
        <v>57</v>
      </c>
      <c r="Z449">
        <v>0</v>
      </c>
      <c r="AA449" s="2">
        <v>-29239.17352</v>
      </c>
      <c r="AB449" t="str">
        <f>VLOOKUP(Table2[[#This Row],[product]],Ref[#All],6,FALSE)</f>
        <v>BAG25</v>
      </c>
    </row>
    <row r="450" spans="1:28" x14ac:dyDescent="0.25">
      <c r="A450" t="str">
        <f>TEXT(Table2[[#This Row],[dated]],"mmm")</f>
        <v>Jan</v>
      </c>
      <c r="B450" t="s">
        <v>30</v>
      </c>
      <c r="C450" s="1" t="s">
        <v>536</v>
      </c>
      <c r="D450" t="str">
        <f>VLOOKUP(Table2[[#This Row],[product]],Ref[#All],7,FALSE)</f>
        <v>Flour</v>
      </c>
      <c r="E450" t="s">
        <v>36</v>
      </c>
      <c r="F450" t="str">
        <f>VLOOKUP(Table2[[#This Row],[product]],Ref[#All],2,FALSE)</f>
        <v>Flour Import Elngm 25Kg</v>
      </c>
      <c r="G450" t="str">
        <f>VLOOKUP(Table2[[#This Row],[product]],Ref[#All],3,FALSE)</f>
        <v>Flour Al-Nagm (Imported)</v>
      </c>
      <c r="H450" t="str">
        <f>VLOOKUP(Table2[[#This Row],[product]],Ref[#All],4,FALSE)</f>
        <v>Import</v>
      </c>
      <c r="I450" s="1">
        <v>45686</v>
      </c>
      <c r="J450" t="s">
        <v>53</v>
      </c>
      <c r="K450" t="s">
        <v>375</v>
      </c>
      <c r="L450" t="s">
        <v>1651</v>
      </c>
      <c r="M450" t="s">
        <v>1586</v>
      </c>
      <c r="N450" t="s">
        <v>784</v>
      </c>
      <c r="O450" t="s">
        <v>785</v>
      </c>
      <c r="P450" t="s">
        <v>788</v>
      </c>
      <c r="Q450" t="s">
        <v>55</v>
      </c>
      <c r="R450">
        <v>-1</v>
      </c>
      <c r="S450" s="15">
        <f>Table2[[#This Row],[movement_quantity]]/VLOOKUP(Table2[[#This Row],[product]],Ref[#All],5,FALSE)</f>
        <v>-2.5000000000000001E-2</v>
      </c>
      <c r="T450">
        <v>29239.17352</v>
      </c>
      <c r="U450" t="s">
        <v>17</v>
      </c>
      <c r="V450" t="s">
        <v>27</v>
      </c>
      <c r="W450" t="s">
        <v>376</v>
      </c>
      <c r="X450" t="s">
        <v>17</v>
      </c>
      <c r="Y450" t="s">
        <v>57</v>
      </c>
      <c r="Z450">
        <v>0</v>
      </c>
      <c r="AA450" s="2">
        <v>-29239.17352</v>
      </c>
      <c r="AB450" t="str">
        <f>VLOOKUP(Table2[[#This Row],[product]],Ref[#All],6,FALSE)</f>
        <v>BAG25</v>
      </c>
    </row>
    <row r="451" spans="1:28" x14ac:dyDescent="0.25">
      <c r="A451" t="str">
        <f>TEXT(Table2[[#This Row],[dated]],"mmm")</f>
        <v>Jan</v>
      </c>
      <c r="B451" t="s">
        <v>30</v>
      </c>
      <c r="C451" s="1" t="s">
        <v>536</v>
      </c>
      <c r="D451" t="str">
        <f>VLOOKUP(Table2[[#This Row],[product]],Ref[#All],7,FALSE)</f>
        <v>Flour</v>
      </c>
      <c r="E451" t="s">
        <v>36</v>
      </c>
      <c r="F451" t="str">
        <f>VLOOKUP(Table2[[#This Row],[product]],Ref[#All],2,FALSE)</f>
        <v>Flour Import Elngm 25Kg</v>
      </c>
      <c r="G451" t="str">
        <f>VLOOKUP(Table2[[#This Row],[product]],Ref[#All],3,FALSE)</f>
        <v>Flour Al-Nagm (Imported)</v>
      </c>
      <c r="H451" t="str">
        <f>VLOOKUP(Table2[[#This Row],[product]],Ref[#All],4,FALSE)</f>
        <v>Import</v>
      </c>
      <c r="I451" s="1">
        <v>45686</v>
      </c>
      <c r="J451" t="s">
        <v>53</v>
      </c>
      <c r="K451" t="s">
        <v>377</v>
      </c>
      <c r="L451" t="s">
        <v>1651</v>
      </c>
      <c r="M451" t="s">
        <v>1586</v>
      </c>
      <c r="N451" t="s">
        <v>784</v>
      </c>
      <c r="O451" t="s">
        <v>785</v>
      </c>
      <c r="P451" t="s">
        <v>788</v>
      </c>
      <c r="Q451" t="s">
        <v>55</v>
      </c>
      <c r="R451">
        <v>-6</v>
      </c>
      <c r="S451" s="15">
        <f>Table2[[#This Row],[movement_quantity]]/VLOOKUP(Table2[[#This Row],[product]],Ref[#All],5,FALSE)</f>
        <v>-0.15</v>
      </c>
      <c r="T451">
        <v>29239.17352</v>
      </c>
      <c r="U451" t="s">
        <v>17</v>
      </c>
      <c r="V451" t="s">
        <v>28</v>
      </c>
      <c r="W451" t="s">
        <v>378</v>
      </c>
      <c r="X451" t="s">
        <v>17</v>
      </c>
      <c r="Y451" t="s">
        <v>57</v>
      </c>
      <c r="Z451">
        <v>0</v>
      </c>
      <c r="AA451" s="2">
        <v>-175435.04112000001</v>
      </c>
      <c r="AB451" t="str">
        <f>VLOOKUP(Table2[[#This Row],[product]],Ref[#All],6,FALSE)</f>
        <v>BAG25</v>
      </c>
    </row>
    <row r="452" spans="1:28" x14ac:dyDescent="0.25">
      <c r="A452" t="str">
        <f>TEXT(Table2[[#This Row],[dated]],"mmm")</f>
        <v>Jan</v>
      </c>
      <c r="B452" t="s">
        <v>30</v>
      </c>
      <c r="C452" s="1" t="s">
        <v>536</v>
      </c>
      <c r="D452" t="str">
        <f>VLOOKUP(Table2[[#This Row],[product]],Ref[#All],7,FALSE)</f>
        <v>Flour</v>
      </c>
      <c r="E452" t="s">
        <v>36</v>
      </c>
      <c r="F452" t="str">
        <f>VLOOKUP(Table2[[#This Row],[product]],Ref[#All],2,FALSE)</f>
        <v>Flour Import Elngm 25Kg</v>
      </c>
      <c r="G452" t="str">
        <f>VLOOKUP(Table2[[#This Row],[product]],Ref[#All],3,FALSE)</f>
        <v>Flour Al-Nagm (Imported)</v>
      </c>
      <c r="H452" t="str">
        <f>VLOOKUP(Table2[[#This Row],[product]],Ref[#All],4,FALSE)</f>
        <v>Import</v>
      </c>
      <c r="I452" s="1">
        <v>45686</v>
      </c>
      <c r="J452" t="s">
        <v>53</v>
      </c>
      <c r="K452" t="s">
        <v>379</v>
      </c>
      <c r="L452" t="s">
        <v>1651</v>
      </c>
      <c r="M452" t="s">
        <v>1586</v>
      </c>
      <c r="N452" t="s">
        <v>784</v>
      </c>
      <c r="O452" t="s">
        <v>785</v>
      </c>
      <c r="P452" t="s">
        <v>788</v>
      </c>
      <c r="Q452" t="s">
        <v>55</v>
      </c>
      <c r="R452">
        <v>-4</v>
      </c>
      <c r="S452" s="15">
        <f>Table2[[#This Row],[movement_quantity]]/VLOOKUP(Table2[[#This Row],[product]],Ref[#All],5,FALSE)</f>
        <v>-0.1</v>
      </c>
      <c r="T452">
        <v>29239.17352</v>
      </c>
      <c r="U452" t="s">
        <v>17</v>
      </c>
      <c r="V452" t="s">
        <v>29</v>
      </c>
      <c r="W452" t="s">
        <v>380</v>
      </c>
      <c r="X452" t="s">
        <v>17</v>
      </c>
      <c r="Y452" t="s">
        <v>57</v>
      </c>
      <c r="Z452">
        <v>0</v>
      </c>
      <c r="AA452" s="2">
        <v>-116956.69408</v>
      </c>
      <c r="AB452" t="str">
        <f>VLOOKUP(Table2[[#This Row],[product]],Ref[#All],6,FALSE)</f>
        <v>BAG25</v>
      </c>
    </row>
    <row r="453" spans="1:28" x14ac:dyDescent="0.25">
      <c r="A453" t="str">
        <f>TEXT(Table2[[#This Row],[dated]],"mmm")</f>
        <v>Jan</v>
      </c>
      <c r="B453" t="s">
        <v>30</v>
      </c>
      <c r="C453" s="1" t="s">
        <v>536</v>
      </c>
      <c r="D453" t="str">
        <f>VLOOKUP(Table2[[#This Row],[product]],Ref[#All],7,FALSE)</f>
        <v>Flour</v>
      </c>
      <c r="E453" t="s">
        <v>36</v>
      </c>
      <c r="F453" t="str">
        <f>VLOOKUP(Table2[[#This Row],[product]],Ref[#All],2,FALSE)</f>
        <v>Flour Import Elngm 25Kg</v>
      </c>
      <c r="G453" t="str">
        <f>VLOOKUP(Table2[[#This Row],[product]],Ref[#All],3,FALSE)</f>
        <v>Flour Al-Nagm (Imported)</v>
      </c>
      <c r="H453" t="str">
        <f>VLOOKUP(Table2[[#This Row],[product]],Ref[#All],4,FALSE)</f>
        <v>Import</v>
      </c>
      <c r="I453" s="1">
        <v>45686</v>
      </c>
      <c r="J453" t="s">
        <v>53</v>
      </c>
      <c r="K453" t="s">
        <v>381</v>
      </c>
      <c r="L453" t="s">
        <v>1651</v>
      </c>
      <c r="M453" t="s">
        <v>1586</v>
      </c>
      <c r="N453" t="s">
        <v>784</v>
      </c>
      <c r="O453" t="s">
        <v>785</v>
      </c>
      <c r="P453" t="s">
        <v>788</v>
      </c>
      <c r="Q453" t="s">
        <v>55</v>
      </c>
      <c r="R453">
        <v>-2</v>
      </c>
      <c r="S453" s="15">
        <f>Table2[[#This Row],[movement_quantity]]/VLOOKUP(Table2[[#This Row],[product]],Ref[#All],5,FALSE)</f>
        <v>-0.05</v>
      </c>
      <c r="T453">
        <v>29239.17352</v>
      </c>
      <c r="U453" t="s">
        <v>17</v>
      </c>
      <c r="V453" t="s">
        <v>31</v>
      </c>
      <c r="W453" t="s">
        <v>382</v>
      </c>
      <c r="X453" t="s">
        <v>17</v>
      </c>
      <c r="Y453" t="s">
        <v>57</v>
      </c>
      <c r="Z453">
        <v>0</v>
      </c>
      <c r="AA453" s="2">
        <v>-58478.347040000001</v>
      </c>
      <c r="AB453" t="str">
        <f>VLOOKUP(Table2[[#This Row],[product]],Ref[#All],6,FALSE)</f>
        <v>BAG25</v>
      </c>
    </row>
    <row r="454" spans="1:28" x14ac:dyDescent="0.25">
      <c r="A454" t="str">
        <f>TEXT(Table2[[#This Row],[dated]],"mmm")</f>
        <v>Jan</v>
      </c>
      <c r="B454" t="s">
        <v>30</v>
      </c>
      <c r="C454" s="1" t="s">
        <v>536</v>
      </c>
      <c r="D454" t="str">
        <f>VLOOKUP(Table2[[#This Row],[product]],Ref[#All],7,FALSE)</f>
        <v>Flour</v>
      </c>
      <c r="E454" t="s">
        <v>36</v>
      </c>
      <c r="F454" t="str">
        <f>VLOOKUP(Table2[[#This Row],[product]],Ref[#All],2,FALSE)</f>
        <v>Flour Import Elngm 25Kg</v>
      </c>
      <c r="G454" t="str">
        <f>VLOOKUP(Table2[[#This Row],[product]],Ref[#All],3,FALSE)</f>
        <v>Flour Al-Nagm (Imported)</v>
      </c>
      <c r="H454" t="str">
        <f>VLOOKUP(Table2[[#This Row],[product]],Ref[#All],4,FALSE)</f>
        <v>Import</v>
      </c>
      <c r="I454" s="1">
        <v>45686</v>
      </c>
      <c r="J454" t="s">
        <v>53</v>
      </c>
      <c r="K454" t="s">
        <v>383</v>
      </c>
      <c r="L454" t="s">
        <v>1651</v>
      </c>
      <c r="M454" t="s">
        <v>1586</v>
      </c>
      <c r="N454" t="s">
        <v>784</v>
      </c>
      <c r="O454" t="s">
        <v>785</v>
      </c>
      <c r="P454" t="s">
        <v>788</v>
      </c>
      <c r="Q454" t="s">
        <v>55</v>
      </c>
      <c r="R454">
        <v>-2</v>
      </c>
      <c r="S454" s="15">
        <f>Table2[[#This Row],[movement_quantity]]/VLOOKUP(Table2[[#This Row],[product]],Ref[#All],5,FALSE)</f>
        <v>-0.05</v>
      </c>
      <c r="T454">
        <v>29239.17352</v>
      </c>
      <c r="U454" t="s">
        <v>17</v>
      </c>
      <c r="V454" t="s">
        <v>32</v>
      </c>
      <c r="W454" t="s">
        <v>384</v>
      </c>
      <c r="X454" t="s">
        <v>17</v>
      </c>
      <c r="Y454" t="s">
        <v>57</v>
      </c>
      <c r="Z454">
        <v>0</v>
      </c>
      <c r="AA454" s="2">
        <v>-58478.347040000001</v>
      </c>
      <c r="AB454" t="str">
        <f>VLOOKUP(Table2[[#This Row],[product]],Ref[#All],6,FALSE)</f>
        <v>BAG25</v>
      </c>
    </row>
    <row r="455" spans="1:28" x14ac:dyDescent="0.25">
      <c r="A455" t="str">
        <f>TEXT(Table2[[#This Row],[dated]],"mmm")</f>
        <v>Jan</v>
      </c>
      <c r="B455" t="s">
        <v>30</v>
      </c>
      <c r="C455" s="1" t="s">
        <v>536</v>
      </c>
      <c r="D455" t="str">
        <f>VLOOKUP(Table2[[#This Row],[product]],Ref[#All],7,FALSE)</f>
        <v>Rice</v>
      </c>
      <c r="E455" t="s">
        <v>47</v>
      </c>
      <c r="F455" t="str">
        <f>VLOOKUP(Table2[[#This Row],[product]],Ref[#All],2,FALSE)</f>
        <v>Rice Long Grade 2 Elngm 20Kg</v>
      </c>
      <c r="G455" t="str">
        <f>VLOOKUP(Table2[[#This Row],[product]],Ref[#All],3,FALSE)</f>
        <v>Rice Long Grain</v>
      </c>
      <c r="H455" t="str">
        <f>VLOOKUP(Table2[[#This Row],[product]],Ref[#All],4,FALSE)</f>
        <v>Import</v>
      </c>
      <c r="I455" s="1">
        <v>45686</v>
      </c>
      <c r="J455" t="s">
        <v>53</v>
      </c>
      <c r="K455" t="s">
        <v>385</v>
      </c>
      <c r="L455" t="s">
        <v>1651</v>
      </c>
      <c r="M455" t="s">
        <v>1586</v>
      </c>
      <c r="N455" t="s">
        <v>784</v>
      </c>
      <c r="O455" t="s">
        <v>785</v>
      </c>
      <c r="P455" t="s">
        <v>788</v>
      </c>
      <c r="Q455" t="s">
        <v>55</v>
      </c>
      <c r="R455">
        <v>-7</v>
      </c>
      <c r="S455" s="15">
        <f>Table2[[#This Row],[movement_quantity]]/VLOOKUP(Table2[[#This Row],[product]],Ref[#All],5,FALSE)</f>
        <v>-0.14000000000000001</v>
      </c>
      <c r="T455">
        <v>30148.652330000001</v>
      </c>
      <c r="U455" t="s">
        <v>17</v>
      </c>
      <c r="V455" t="s">
        <v>18</v>
      </c>
      <c r="W455" t="s">
        <v>386</v>
      </c>
      <c r="X455" t="s">
        <v>17</v>
      </c>
      <c r="Y455" t="s">
        <v>161</v>
      </c>
      <c r="Z455">
        <v>0</v>
      </c>
      <c r="AA455" s="2">
        <v>-211040.56630999999</v>
      </c>
      <c r="AB455" t="str">
        <f>VLOOKUP(Table2[[#This Row],[product]],Ref[#All],6,FALSE)</f>
        <v>BAG20</v>
      </c>
    </row>
    <row r="456" spans="1:28" x14ac:dyDescent="0.25">
      <c r="A456" t="str">
        <f>TEXT(Table2[[#This Row],[dated]],"mmm")</f>
        <v>Jan</v>
      </c>
      <c r="B456" t="s">
        <v>30</v>
      </c>
      <c r="C456" s="1" t="s">
        <v>536</v>
      </c>
      <c r="D456" t="str">
        <f>VLOOKUP(Table2[[#This Row],[product]],Ref[#All],7,FALSE)</f>
        <v>Rice</v>
      </c>
      <c r="E456" t="s">
        <v>47</v>
      </c>
      <c r="F456" t="str">
        <f>VLOOKUP(Table2[[#This Row],[product]],Ref[#All],2,FALSE)</f>
        <v>Rice Long Grade 2 Elngm 20Kg</v>
      </c>
      <c r="G456" t="str">
        <f>VLOOKUP(Table2[[#This Row],[product]],Ref[#All],3,FALSE)</f>
        <v>Rice Long Grain</v>
      </c>
      <c r="H456" t="str">
        <f>VLOOKUP(Table2[[#This Row],[product]],Ref[#All],4,FALSE)</f>
        <v>Import</v>
      </c>
      <c r="I456" s="1">
        <v>45686</v>
      </c>
      <c r="J456" t="s">
        <v>53</v>
      </c>
      <c r="K456" t="s">
        <v>387</v>
      </c>
      <c r="L456" t="s">
        <v>1651</v>
      </c>
      <c r="M456" t="s">
        <v>1586</v>
      </c>
      <c r="N456" t="s">
        <v>784</v>
      </c>
      <c r="O456" t="s">
        <v>785</v>
      </c>
      <c r="P456" t="s">
        <v>788</v>
      </c>
      <c r="Q456" t="s">
        <v>55</v>
      </c>
      <c r="R456">
        <v>-8</v>
      </c>
      <c r="S456" s="15">
        <f>Table2[[#This Row],[movement_quantity]]/VLOOKUP(Table2[[#This Row],[product]],Ref[#All],5,FALSE)</f>
        <v>-0.16</v>
      </c>
      <c r="T456">
        <v>30148.652330000001</v>
      </c>
      <c r="U456" t="s">
        <v>17</v>
      </c>
      <c r="V456" t="s">
        <v>21</v>
      </c>
      <c r="W456" t="s">
        <v>388</v>
      </c>
      <c r="X456" t="s">
        <v>17</v>
      </c>
      <c r="Y456" t="s">
        <v>161</v>
      </c>
      <c r="Z456">
        <v>0</v>
      </c>
      <c r="AA456" s="2">
        <v>-241189.21864000001</v>
      </c>
      <c r="AB456" t="str">
        <f>VLOOKUP(Table2[[#This Row],[product]],Ref[#All],6,FALSE)</f>
        <v>BAG20</v>
      </c>
    </row>
    <row r="457" spans="1:28" x14ac:dyDescent="0.25">
      <c r="A457" t="str">
        <f>TEXT(Table2[[#This Row],[dated]],"mmm")</f>
        <v>Jan</v>
      </c>
      <c r="B457" t="s">
        <v>30</v>
      </c>
      <c r="C457" s="1" t="s">
        <v>536</v>
      </c>
      <c r="D457" t="str">
        <f>VLOOKUP(Table2[[#This Row],[product]],Ref[#All],7,FALSE)</f>
        <v>Flour</v>
      </c>
      <c r="E457" t="s">
        <v>36</v>
      </c>
      <c r="F457" t="str">
        <f>VLOOKUP(Table2[[#This Row],[product]],Ref[#All],2,FALSE)</f>
        <v>Flour Import Elngm 25Kg</v>
      </c>
      <c r="G457" t="str">
        <f>VLOOKUP(Table2[[#This Row],[product]],Ref[#All],3,FALSE)</f>
        <v>Flour Al-Nagm (Imported)</v>
      </c>
      <c r="H457" t="str">
        <f>VLOOKUP(Table2[[#This Row],[product]],Ref[#All],4,FALSE)</f>
        <v>Import</v>
      </c>
      <c r="I457" s="1">
        <v>45686</v>
      </c>
      <c r="J457" t="s">
        <v>53</v>
      </c>
      <c r="K457" t="s">
        <v>396</v>
      </c>
      <c r="L457" t="s">
        <v>1651</v>
      </c>
      <c r="M457" t="s">
        <v>1586</v>
      </c>
      <c r="N457" t="s">
        <v>784</v>
      </c>
      <c r="O457" t="s">
        <v>785</v>
      </c>
      <c r="P457" t="s">
        <v>788</v>
      </c>
      <c r="Q457" t="s">
        <v>55</v>
      </c>
      <c r="R457">
        <v>-4</v>
      </c>
      <c r="S457" s="15">
        <f>Table2[[#This Row],[movement_quantity]]/VLOOKUP(Table2[[#This Row],[product]],Ref[#All],5,FALSE)</f>
        <v>-0.1</v>
      </c>
      <c r="T457">
        <v>29239.17352</v>
      </c>
      <c r="U457" t="s">
        <v>17</v>
      </c>
      <c r="V457" t="s">
        <v>44</v>
      </c>
      <c r="W457" t="s">
        <v>397</v>
      </c>
      <c r="X457" t="s">
        <v>17</v>
      </c>
      <c r="Y457" t="s">
        <v>57</v>
      </c>
      <c r="Z457">
        <v>0</v>
      </c>
      <c r="AA457" s="2">
        <v>-116956.69408</v>
      </c>
      <c r="AB457" t="str">
        <f>VLOOKUP(Table2[[#This Row],[product]],Ref[#All],6,FALSE)</f>
        <v>BAG25</v>
      </c>
    </row>
    <row r="458" spans="1:28" x14ac:dyDescent="0.25">
      <c r="A458" t="str">
        <f>TEXT(Table2[[#This Row],[dated]],"mmm")</f>
        <v>Feb</v>
      </c>
      <c r="B458" t="s">
        <v>52</v>
      </c>
      <c r="C458" s="1" t="s">
        <v>536</v>
      </c>
      <c r="D458" t="str">
        <f>VLOOKUP(Table2[[#This Row],[product]],Ref[#All],7,FALSE)</f>
        <v>Flour</v>
      </c>
      <c r="E458" t="s">
        <v>36</v>
      </c>
      <c r="F458" t="str">
        <f>VLOOKUP(Table2[[#This Row],[product]],Ref[#All],2,FALSE)</f>
        <v>Flour Import Elngm 25Kg</v>
      </c>
      <c r="G458" t="str">
        <f>VLOOKUP(Table2[[#This Row],[product]],Ref[#All],3,FALSE)</f>
        <v>Flour Al-Nagm (Imported)</v>
      </c>
      <c r="H458" t="str">
        <f>VLOOKUP(Table2[[#This Row],[product]],Ref[#All],4,FALSE)</f>
        <v>Import</v>
      </c>
      <c r="I458" s="1">
        <v>45697</v>
      </c>
      <c r="J458" t="s">
        <v>53</v>
      </c>
      <c r="K458" t="s">
        <v>54</v>
      </c>
      <c r="L458" t="s">
        <v>1651</v>
      </c>
      <c r="M458" t="s">
        <v>1586</v>
      </c>
      <c r="N458" t="s">
        <v>784</v>
      </c>
      <c r="O458" t="s">
        <v>785</v>
      </c>
      <c r="P458" t="s">
        <v>788</v>
      </c>
      <c r="Q458" t="s">
        <v>55</v>
      </c>
      <c r="R458">
        <v>-1</v>
      </c>
      <c r="S458" s="15">
        <f>Table2[[#This Row],[movement_quantity]]/VLOOKUP(Table2[[#This Row],[product]],Ref[#All],5,FALSE)</f>
        <v>-2.5000000000000001E-2</v>
      </c>
      <c r="T458">
        <v>31675.77131</v>
      </c>
      <c r="U458" t="s">
        <v>17</v>
      </c>
      <c r="V458" t="s">
        <v>18</v>
      </c>
      <c r="W458" t="s">
        <v>56</v>
      </c>
      <c r="X458" t="s">
        <v>17</v>
      </c>
      <c r="Y458" t="s">
        <v>57</v>
      </c>
      <c r="Z458">
        <v>0</v>
      </c>
      <c r="AA458" s="2">
        <v>-31675.77131</v>
      </c>
      <c r="AB458" t="str">
        <f>VLOOKUP(Table2[[#This Row],[product]],Ref[#All],6,FALSE)</f>
        <v>BAG25</v>
      </c>
    </row>
    <row r="459" spans="1:28" x14ac:dyDescent="0.25">
      <c r="A459" t="str">
        <f>TEXT(Table2[[#This Row],[dated]],"mmm")</f>
        <v>Feb</v>
      </c>
      <c r="B459" t="s">
        <v>52</v>
      </c>
      <c r="C459" s="1" t="s">
        <v>536</v>
      </c>
      <c r="D459" t="str">
        <f>VLOOKUP(Table2[[#This Row],[product]],Ref[#All],7,FALSE)</f>
        <v>Flour</v>
      </c>
      <c r="E459" t="s">
        <v>36</v>
      </c>
      <c r="F459" t="str">
        <f>VLOOKUP(Table2[[#This Row],[product]],Ref[#All],2,FALSE)</f>
        <v>Flour Import Elngm 25Kg</v>
      </c>
      <c r="G459" t="str">
        <f>VLOOKUP(Table2[[#This Row],[product]],Ref[#All],3,FALSE)</f>
        <v>Flour Al-Nagm (Imported)</v>
      </c>
      <c r="H459" t="str">
        <f>VLOOKUP(Table2[[#This Row],[product]],Ref[#All],4,FALSE)</f>
        <v>Import</v>
      </c>
      <c r="I459" s="1">
        <v>45697</v>
      </c>
      <c r="J459" t="s">
        <v>53</v>
      </c>
      <c r="K459" t="s">
        <v>58</v>
      </c>
      <c r="L459" t="s">
        <v>1651</v>
      </c>
      <c r="M459" t="s">
        <v>1586</v>
      </c>
      <c r="N459" t="s">
        <v>784</v>
      </c>
      <c r="O459" t="s">
        <v>785</v>
      </c>
      <c r="P459" t="s">
        <v>788</v>
      </c>
      <c r="Q459" t="s">
        <v>55</v>
      </c>
      <c r="R459">
        <v>-1</v>
      </c>
      <c r="S459" s="15">
        <f>Table2[[#This Row],[movement_quantity]]/VLOOKUP(Table2[[#This Row],[product]],Ref[#All],5,FALSE)</f>
        <v>-2.5000000000000001E-2</v>
      </c>
      <c r="T459">
        <v>31675.77131</v>
      </c>
      <c r="U459" t="s">
        <v>17</v>
      </c>
      <c r="V459" t="s">
        <v>21</v>
      </c>
      <c r="W459" t="s">
        <v>59</v>
      </c>
      <c r="X459" t="s">
        <v>17</v>
      </c>
      <c r="Y459" t="s">
        <v>57</v>
      </c>
      <c r="Z459">
        <v>0</v>
      </c>
      <c r="AA459" s="2">
        <v>-31675.77131</v>
      </c>
      <c r="AB459" t="str">
        <f>VLOOKUP(Table2[[#This Row],[product]],Ref[#All],6,FALSE)</f>
        <v>BAG25</v>
      </c>
    </row>
    <row r="460" spans="1:28" x14ac:dyDescent="0.25">
      <c r="A460" t="str">
        <f>TEXT(Table2[[#This Row],[dated]],"mmm")</f>
        <v>Feb</v>
      </c>
      <c r="B460" t="s">
        <v>52</v>
      </c>
      <c r="C460" s="1" t="s">
        <v>536</v>
      </c>
      <c r="D460" t="str">
        <f>VLOOKUP(Table2[[#This Row],[product]],Ref[#All],7,FALSE)</f>
        <v>Flour</v>
      </c>
      <c r="E460" t="s">
        <v>36</v>
      </c>
      <c r="F460" t="str">
        <f>VLOOKUP(Table2[[#This Row],[product]],Ref[#All],2,FALSE)</f>
        <v>Flour Import Elngm 25Kg</v>
      </c>
      <c r="G460" t="str">
        <f>VLOOKUP(Table2[[#This Row],[product]],Ref[#All],3,FALSE)</f>
        <v>Flour Al-Nagm (Imported)</v>
      </c>
      <c r="H460" t="str">
        <f>VLOOKUP(Table2[[#This Row],[product]],Ref[#All],4,FALSE)</f>
        <v>Import</v>
      </c>
      <c r="I460" s="1">
        <v>45697</v>
      </c>
      <c r="J460" t="s">
        <v>53</v>
      </c>
      <c r="K460" t="s">
        <v>60</v>
      </c>
      <c r="L460" t="s">
        <v>1651</v>
      </c>
      <c r="M460" t="s">
        <v>1586</v>
      </c>
      <c r="N460" t="s">
        <v>784</v>
      </c>
      <c r="O460" t="s">
        <v>785</v>
      </c>
      <c r="P460" t="s">
        <v>788</v>
      </c>
      <c r="Q460" t="s">
        <v>55</v>
      </c>
      <c r="R460">
        <v>-1</v>
      </c>
      <c r="S460" s="15">
        <f>Table2[[#This Row],[movement_quantity]]/VLOOKUP(Table2[[#This Row],[product]],Ref[#All],5,FALSE)</f>
        <v>-2.5000000000000001E-2</v>
      </c>
      <c r="T460">
        <v>31675.77131</v>
      </c>
      <c r="U460" t="s">
        <v>17</v>
      </c>
      <c r="V460" t="s">
        <v>22</v>
      </c>
      <c r="W460" t="s">
        <v>61</v>
      </c>
      <c r="X460" t="s">
        <v>17</v>
      </c>
      <c r="Y460" t="s">
        <v>57</v>
      </c>
      <c r="Z460">
        <v>0</v>
      </c>
      <c r="AA460" s="2">
        <v>-31675.77131</v>
      </c>
      <c r="AB460" t="str">
        <f>VLOOKUP(Table2[[#This Row],[product]],Ref[#All],6,FALSE)</f>
        <v>BAG25</v>
      </c>
    </row>
    <row r="461" spans="1:28" x14ac:dyDescent="0.25">
      <c r="A461" t="str">
        <f>TEXT(Table2[[#This Row],[dated]],"mmm")</f>
        <v>Feb</v>
      </c>
      <c r="B461" t="s">
        <v>52</v>
      </c>
      <c r="C461" s="1" t="s">
        <v>536</v>
      </c>
      <c r="D461" t="str">
        <f>VLOOKUP(Table2[[#This Row],[product]],Ref[#All],7,FALSE)</f>
        <v>Flour</v>
      </c>
      <c r="E461" t="s">
        <v>36</v>
      </c>
      <c r="F461" t="str">
        <f>VLOOKUP(Table2[[#This Row],[product]],Ref[#All],2,FALSE)</f>
        <v>Flour Import Elngm 25Kg</v>
      </c>
      <c r="G461" t="str">
        <f>VLOOKUP(Table2[[#This Row],[product]],Ref[#All],3,FALSE)</f>
        <v>Flour Al-Nagm (Imported)</v>
      </c>
      <c r="H461" t="str">
        <f>VLOOKUP(Table2[[#This Row],[product]],Ref[#All],4,FALSE)</f>
        <v>Import</v>
      </c>
      <c r="I461" s="1">
        <v>45697</v>
      </c>
      <c r="J461" t="s">
        <v>53</v>
      </c>
      <c r="K461" t="s">
        <v>62</v>
      </c>
      <c r="L461" t="s">
        <v>1651</v>
      </c>
      <c r="M461" t="s">
        <v>1586</v>
      </c>
      <c r="N461" t="s">
        <v>784</v>
      </c>
      <c r="O461" t="s">
        <v>785</v>
      </c>
      <c r="P461" t="s">
        <v>788</v>
      </c>
      <c r="Q461" t="s">
        <v>55</v>
      </c>
      <c r="R461">
        <v>-1</v>
      </c>
      <c r="S461" s="15">
        <f>Table2[[#This Row],[movement_quantity]]/VLOOKUP(Table2[[#This Row],[product]],Ref[#All],5,FALSE)</f>
        <v>-2.5000000000000001E-2</v>
      </c>
      <c r="T461">
        <v>31675.77131</v>
      </c>
      <c r="U461" t="s">
        <v>17</v>
      </c>
      <c r="V461" t="s">
        <v>23</v>
      </c>
      <c r="W461" t="s">
        <v>63</v>
      </c>
      <c r="X461" t="s">
        <v>17</v>
      </c>
      <c r="Y461" t="s">
        <v>57</v>
      </c>
      <c r="Z461">
        <v>0</v>
      </c>
      <c r="AA461" s="2">
        <v>-31675.77131</v>
      </c>
      <c r="AB461" t="str">
        <f>VLOOKUP(Table2[[#This Row],[product]],Ref[#All],6,FALSE)</f>
        <v>BAG25</v>
      </c>
    </row>
    <row r="462" spans="1:28" x14ac:dyDescent="0.25">
      <c r="A462" t="str">
        <f>TEXT(Table2[[#This Row],[dated]],"mmm")</f>
        <v>Feb</v>
      </c>
      <c r="B462" t="s">
        <v>52</v>
      </c>
      <c r="C462" s="1" t="s">
        <v>536</v>
      </c>
      <c r="D462" t="str">
        <f>VLOOKUP(Table2[[#This Row],[product]],Ref[#All],7,FALSE)</f>
        <v>Flour</v>
      </c>
      <c r="E462" t="s">
        <v>36</v>
      </c>
      <c r="F462" t="str">
        <f>VLOOKUP(Table2[[#This Row],[product]],Ref[#All],2,FALSE)</f>
        <v>Flour Import Elngm 25Kg</v>
      </c>
      <c r="G462" t="str">
        <f>VLOOKUP(Table2[[#This Row],[product]],Ref[#All],3,FALSE)</f>
        <v>Flour Al-Nagm (Imported)</v>
      </c>
      <c r="H462" t="str">
        <f>VLOOKUP(Table2[[#This Row],[product]],Ref[#All],4,FALSE)</f>
        <v>Import</v>
      </c>
      <c r="I462" s="1">
        <v>45697</v>
      </c>
      <c r="J462" t="s">
        <v>53</v>
      </c>
      <c r="K462" t="s">
        <v>64</v>
      </c>
      <c r="L462" t="s">
        <v>1651</v>
      </c>
      <c r="M462" t="s">
        <v>1586</v>
      </c>
      <c r="N462" t="s">
        <v>784</v>
      </c>
      <c r="O462" t="s">
        <v>785</v>
      </c>
      <c r="P462" t="s">
        <v>788</v>
      </c>
      <c r="Q462" t="s">
        <v>55</v>
      </c>
      <c r="R462">
        <v>-3</v>
      </c>
      <c r="S462" s="15">
        <f>Table2[[#This Row],[movement_quantity]]/VLOOKUP(Table2[[#This Row],[product]],Ref[#All],5,FALSE)</f>
        <v>-7.4999999999999997E-2</v>
      </c>
      <c r="T462">
        <v>31675.77131</v>
      </c>
      <c r="U462" t="s">
        <v>17</v>
      </c>
      <c r="V462" t="s">
        <v>24</v>
      </c>
      <c r="W462" t="s">
        <v>65</v>
      </c>
      <c r="X462" t="s">
        <v>17</v>
      </c>
      <c r="Y462" t="s">
        <v>57</v>
      </c>
      <c r="Z462">
        <v>0</v>
      </c>
      <c r="AA462" s="2">
        <v>-95027.313930000004</v>
      </c>
      <c r="AB462" t="str">
        <f>VLOOKUP(Table2[[#This Row],[product]],Ref[#All],6,FALSE)</f>
        <v>BAG25</v>
      </c>
    </row>
    <row r="463" spans="1:28" x14ac:dyDescent="0.25">
      <c r="A463" t="str">
        <f>TEXT(Table2[[#This Row],[dated]],"mmm")</f>
        <v>Feb</v>
      </c>
      <c r="B463" t="s">
        <v>52</v>
      </c>
      <c r="C463" s="1" t="s">
        <v>536</v>
      </c>
      <c r="D463" t="str">
        <f>VLOOKUP(Table2[[#This Row],[product]],Ref[#All],7,FALSE)</f>
        <v>Flour</v>
      </c>
      <c r="E463" t="s">
        <v>36</v>
      </c>
      <c r="F463" t="str">
        <f>VLOOKUP(Table2[[#This Row],[product]],Ref[#All],2,FALSE)</f>
        <v>Flour Import Elngm 25Kg</v>
      </c>
      <c r="G463" t="str">
        <f>VLOOKUP(Table2[[#This Row],[product]],Ref[#All],3,FALSE)</f>
        <v>Flour Al-Nagm (Imported)</v>
      </c>
      <c r="H463" t="str">
        <f>VLOOKUP(Table2[[#This Row],[product]],Ref[#All],4,FALSE)</f>
        <v>Import</v>
      </c>
      <c r="I463" s="1">
        <v>45697</v>
      </c>
      <c r="J463" t="s">
        <v>53</v>
      </c>
      <c r="K463" t="s">
        <v>66</v>
      </c>
      <c r="L463" t="s">
        <v>1651</v>
      </c>
      <c r="M463" t="s">
        <v>1586</v>
      </c>
      <c r="N463" t="s">
        <v>784</v>
      </c>
      <c r="O463" t="s">
        <v>785</v>
      </c>
      <c r="P463" t="s">
        <v>788</v>
      </c>
      <c r="Q463" t="s">
        <v>55</v>
      </c>
      <c r="R463">
        <v>-2</v>
      </c>
      <c r="S463" s="15">
        <f>Table2[[#This Row],[movement_quantity]]/VLOOKUP(Table2[[#This Row],[product]],Ref[#All],5,FALSE)</f>
        <v>-0.05</v>
      </c>
      <c r="T463">
        <v>31675.77131</v>
      </c>
      <c r="U463" t="s">
        <v>17</v>
      </c>
      <c r="V463" t="s">
        <v>25</v>
      </c>
      <c r="W463" t="s">
        <v>67</v>
      </c>
      <c r="X463" t="s">
        <v>17</v>
      </c>
      <c r="Y463" t="s">
        <v>57</v>
      </c>
      <c r="Z463">
        <v>0</v>
      </c>
      <c r="AA463" s="2">
        <v>-63351.54262</v>
      </c>
      <c r="AB463" t="str">
        <f>VLOOKUP(Table2[[#This Row],[product]],Ref[#All],6,FALSE)</f>
        <v>BAG25</v>
      </c>
    </row>
    <row r="464" spans="1:28" x14ac:dyDescent="0.25">
      <c r="A464" t="str">
        <f>TEXT(Table2[[#This Row],[dated]],"mmm")</f>
        <v>Feb</v>
      </c>
      <c r="B464" t="s">
        <v>52</v>
      </c>
      <c r="C464" s="1" t="s">
        <v>536</v>
      </c>
      <c r="D464" t="str">
        <f>VLOOKUP(Table2[[#This Row],[product]],Ref[#All],7,FALSE)</f>
        <v>Flour</v>
      </c>
      <c r="E464" t="s">
        <v>36</v>
      </c>
      <c r="F464" t="str">
        <f>VLOOKUP(Table2[[#This Row],[product]],Ref[#All],2,FALSE)</f>
        <v>Flour Import Elngm 25Kg</v>
      </c>
      <c r="G464" t="str">
        <f>VLOOKUP(Table2[[#This Row],[product]],Ref[#All],3,FALSE)</f>
        <v>Flour Al-Nagm (Imported)</v>
      </c>
      <c r="H464" t="str">
        <f>VLOOKUP(Table2[[#This Row],[product]],Ref[#All],4,FALSE)</f>
        <v>Import</v>
      </c>
      <c r="I464" s="1">
        <v>45697</v>
      </c>
      <c r="J464" t="s">
        <v>53</v>
      </c>
      <c r="K464" t="s">
        <v>68</v>
      </c>
      <c r="L464" t="s">
        <v>1651</v>
      </c>
      <c r="M464" t="s">
        <v>1586</v>
      </c>
      <c r="N464" t="s">
        <v>784</v>
      </c>
      <c r="O464" t="s">
        <v>785</v>
      </c>
      <c r="P464" t="s">
        <v>788</v>
      </c>
      <c r="Q464" t="s">
        <v>55</v>
      </c>
      <c r="R464">
        <v>-15</v>
      </c>
      <c r="S464" s="15">
        <f>Table2[[#This Row],[movement_quantity]]/VLOOKUP(Table2[[#This Row],[product]],Ref[#All],5,FALSE)</f>
        <v>-0.375</v>
      </c>
      <c r="T464">
        <v>31675.77131</v>
      </c>
      <c r="U464" t="s">
        <v>17</v>
      </c>
      <c r="V464" t="s">
        <v>26</v>
      </c>
      <c r="W464" t="s">
        <v>69</v>
      </c>
      <c r="X464" t="s">
        <v>17</v>
      </c>
      <c r="Y464" t="s">
        <v>57</v>
      </c>
      <c r="Z464">
        <v>0</v>
      </c>
      <c r="AA464" s="2">
        <v>-475136.56965000002</v>
      </c>
      <c r="AB464" t="str">
        <f>VLOOKUP(Table2[[#This Row],[product]],Ref[#All],6,FALSE)</f>
        <v>BAG25</v>
      </c>
    </row>
    <row r="465" spans="1:28" x14ac:dyDescent="0.25">
      <c r="A465" t="str">
        <f>TEXT(Table2[[#This Row],[dated]],"mmm")</f>
        <v>Feb</v>
      </c>
      <c r="B465" t="s">
        <v>52</v>
      </c>
      <c r="C465" s="1" t="s">
        <v>536</v>
      </c>
      <c r="D465" t="str">
        <f>VLOOKUP(Table2[[#This Row],[product]],Ref[#All],7,FALSE)</f>
        <v>Flour</v>
      </c>
      <c r="E465" t="s">
        <v>42</v>
      </c>
      <c r="F465" t="str">
        <f>VLOOKUP(Table2[[#This Row],[product]],Ref[#All],2,FALSE)</f>
        <v>Alnajm Flour from Mill 25KG</v>
      </c>
      <c r="G465" t="str">
        <f>VLOOKUP(Table2[[#This Row],[product]],Ref[#All],3,FALSE)</f>
        <v>Flour Al-Nagm (Mill)</v>
      </c>
      <c r="H465" t="str">
        <f>VLOOKUP(Table2[[#This Row],[product]],Ref[#All],4,FALSE)</f>
        <v>Import</v>
      </c>
      <c r="I465" s="1">
        <v>45697</v>
      </c>
      <c r="J465" t="s">
        <v>53</v>
      </c>
      <c r="K465" t="s">
        <v>70</v>
      </c>
      <c r="L465" t="s">
        <v>1651</v>
      </c>
      <c r="M465" t="s">
        <v>1586</v>
      </c>
      <c r="N465" t="s">
        <v>784</v>
      </c>
      <c r="O465" t="s">
        <v>785</v>
      </c>
      <c r="P465" t="s">
        <v>788</v>
      </c>
      <c r="Q465" t="s">
        <v>55</v>
      </c>
      <c r="R465">
        <v>-1</v>
      </c>
      <c r="S465" s="15">
        <f>Table2[[#This Row],[movement_quantity]]/VLOOKUP(Table2[[#This Row],[product]],Ref[#All],5,FALSE)</f>
        <v>-2.5000000000000001E-2</v>
      </c>
      <c r="T465">
        <v>31675.77131</v>
      </c>
      <c r="U465" t="s">
        <v>17</v>
      </c>
      <c r="V465" t="s">
        <v>18</v>
      </c>
      <c r="W465" t="s">
        <v>71</v>
      </c>
      <c r="X465" t="s">
        <v>17</v>
      </c>
      <c r="Y465" t="s">
        <v>49</v>
      </c>
      <c r="Z465">
        <v>0</v>
      </c>
      <c r="AA465" s="2">
        <v>-31675.77131</v>
      </c>
      <c r="AB465" t="str">
        <f>VLOOKUP(Table2[[#This Row],[product]],Ref[#All],6,FALSE)</f>
        <v>BAG25</v>
      </c>
    </row>
    <row r="466" spans="1:28" x14ac:dyDescent="0.25">
      <c r="A466" t="str">
        <f>TEXT(Table2[[#This Row],[dated]],"mmm")</f>
        <v>Feb</v>
      </c>
      <c r="B466" t="s">
        <v>52</v>
      </c>
      <c r="C466" s="1" t="s">
        <v>536</v>
      </c>
      <c r="D466" t="str">
        <f>VLOOKUP(Table2[[#This Row],[product]],Ref[#All],7,FALSE)</f>
        <v>Sugar</v>
      </c>
      <c r="E466" t="s">
        <v>72</v>
      </c>
      <c r="F466" t="str">
        <f>VLOOKUP(Table2[[#This Row],[product]],Ref[#All],2,FALSE)</f>
        <v>White Sugar</v>
      </c>
      <c r="G466" t="str">
        <f>VLOOKUP(Table2[[#This Row],[product]],Ref[#All],3,FALSE)</f>
        <v>White Sugar</v>
      </c>
      <c r="H466" t="str">
        <f>VLOOKUP(Table2[[#This Row],[product]],Ref[#All],4,FALSE)</f>
        <v>Import</v>
      </c>
      <c r="I466" s="1">
        <v>45697</v>
      </c>
      <c r="J466" t="s">
        <v>53</v>
      </c>
      <c r="K466" t="s">
        <v>73</v>
      </c>
      <c r="L466" t="s">
        <v>1651</v>
      </c>
      <c r="M466" t="s">
        <v>1586</v>
      </c>
      <c r="N466" t="s">
        <v>784</v>
      </c>
      <c r="O466" t="s">
        <v>785</v>
      </c>
      <c r="P466" t="s">
        <v>788</v>
      </c>
      <c r="Q466" t="s">
        <v>55</v>
      </c>
      <c r="R466">
        <v>-1</v>
      </c>
      <c r="S466" s="15">
        <f>Table2[[#This Row],[movement_quantity]]/VLOOKUP(Table2[[#This Row],[product]],Ref[#All],5,FALSE)</f>
        <v>-0.05</v>
      </c>
      <c r="T466">
        <v>90996.144530000005</v>
      </c>
      <c r="U466" t="s">
        <v>17</v>
      </c>
      <c r="V466" t="s">
        <v>18</v>
      </c>
      <c r="W466" t="s">
        <v>74</v>
      </c>
      <c r="X466" t="s">
        <v>17</v>
      </c>
      <c r="Y466" t="s">
        <v>75</v>
      </c>
      <c r="Z466">
        <v>0</v>
      </c>
      <c r="AA466" s="2">
        <v>-90996.144530000005</v>
      </c>
      <c r="AB466" t="str">
        <f>VLOOKUP(Table2[[#This Row],[product]],Ref[#All],6,FALSE)</f>
        <v>BAG50</v>
      </c>
    </row>
    <row r="467" spans="1:28" x14ac:dyDescent="0.25">
      <c r="A467" t="str">
        <f>TEXT(Table2[[#This Row],[dated]],"mmm")</f>
        <v>Feb</v>
      </c>
      <c r="B467" t="s">
        <v>76</v>
      </c>
      <c r="C467" s="1" t="s">
        <v>536</v>
      </c>
      <c r="D467" t="str">
        <f>VLOOKUP(Table2[[#This Row],[product]],Ref[#All],7,FALSE)</f>
        <v>Sesame Non Gadarif</v>
      </c>
      <c r="E467" t="s">
        <v>77</v>
      </c>
      <c r="F467" t="str">
        <f>VLOOKUP(Table2[[#This Row],[product]],Ref[#All],2,FALSE)</f>
        <v xml:space="preserve">White Sesame Non Gadarif - FG </v>
      </c>
      <c r="G467" t="str">
        <f>VLOOKUP(Table2[[#This Row],[product]],Ref[#All],3,FALSE)</f>
        <v xml:space="preserve">White Sesame Non Gadarif - FG </v>
      </c>
      <c r="H467" t="str">
        <f>VLOOKUP(Table2[[#This Row],[product]],Ref[#All],4,FALSE)</f>
        <v>Export</v>
      </c>
      <c r="I467" s="1">
        <v>45697</v>
      </c>
      <c r="J467" t="s">
        <v>53</v>
      </c>
      <c r="K467" t="s">
        <v>78</v>
      </c>
      <c r="L467" t="s">
        <v>1651</v>
      </c>
      <c r="M467" t="s">
        <v>1586</v>
      </c>
      <c r="N467" t="s">
        <v>784</v>
      </c>
      <c r="O467" t="s">
        <v>785</v>
      </c>
      <c r="P467" t="s">
        <v>788</v>
      </c>
      <c r="Q467" t="s">
        <v>55</v>
      </c>
      <c r="R467">
        <v>-1</v>
      </c>
      <c r="S467" s="15">
        <f>Table2[[#This Row],[movement_quantity]]/VLOOKUP(Table2[[#This Row],[product]],Ref[#All],5,FALSE)</f>
        <v>-0.05</v>
      </c>
      <c r="T467">
        <v>191933.78946999999</v>
      </c>
      <c r="U467" t="s">
        <v>17</v>
      </c>
      <c r="V467" t="s">
        <v>18</v>
      </c>
      <c r="W467" t="s">
        <v>79</v>
      </c>
      <c r="X467" t="s">
        <v>17</v>
      </c>
      <c r="Y467" t="s">
        <v>80</v>
      </c>
      <c r="Z467">
        <v>0</v>
      </c>
      <c r="AA467" s="2">
        <v>-191933.78946999999</v>
      </c>
      <c r="AB467" t="str">
        <f>VLOOKUP(Table2[[#This Row],[product]],Ref[#All],6,FALSE)</f>
        <v>BAG50</v>
      </c>
    </row>
    <row r="468" spans="1:28" x14ac:dyDescent="0.25">
      <c r="A468" t="str">
        <f>TEXT(Table2[[#This Row],[dated]],"mmm")</f>
        <v>Feb</v>
      </c>
      <c r="B468" t="s">
        <v>30</v>
      </c>
      <c r="C468" s="1" t="s">
        <v>536</v>
      </c>
      <c r="D468" t="str">
        <f>VLOOKUP(Table2[[#This Row],[product]],Ref[#All],7,FALSE)</f>
        <v>Flour</v>
      </c>
      <c r="E468" t="s">
        <v>36</v>
      </c>
      <c r="F468" t="str">
        <f>VLOOKUP(Table2[[#This Row],[product]],Ref[#All],2,FALSE)</f>
        <v>Flour Import Elngm 25Kg</v>
      </c>
      <c r="G468" t="str">
        <f>VLOOKUP(Table2[[#This Row],[product]],Ref[#All],3,FALSE)</f>
        <v>Flour Al-Nagm (Imported)</v>
      </c>
      <c r="H468" t="str">
        <f>VLOOKUP(Table2[[#This Row],[product]],Ref[#All],4,FALSE)</f>
        <v>Import</v>
      </c>
      <c r="I468" s="1">
        <v>45697</v>
      </c>
      <c r="J468" t="s">
        <v>53</v>
      </c>
      <c r="K468" t="s">
        <v>81</v>
      </c>
      <c r="L468" t="s">
        <v>1651</v>
      </c>
      <c r="M468" t="s">
        <v>1586</v>
      </c>
      <c r="N468" t="s">
        <v>784</v>
      </c>
      <c r="O468" t="s">
        <v>785</v>
      </c>
      <c r="P468" t="s">
        <v>788</v>
      </c>
      <c r="Q468" t="s">
        <v>55</v>
      </c>
      <c r="R468">
        <v>-3</v>
      </c>
      <c r="S468" s="15">
        <f>Table2[[#This Row],[movement_quantity]]/VLOOKUP(Table2[[#This Row],[product]],Ref[#All],5,FALSE)</f>
        <v>-7.4999999999999997E-2</v>
      </c>
      <c r="T468">
        <v>31675.77131</v>
      </c>
      <c r="U468" t="s">
        <v>17</v>
      </c>
      <c r="V468" t="s">
        <v>18</v>
      </c>
      <c r="W468" t="s">
        <v>82</v>
      </c>
      <c r="X468" t="s">
        <v>17</v>
      </c>
      <c r="Y468" t="s">
        <v>37</v>
      </c>
      <c r="Z468">
        <v>0</v>
      </c>
      <c r="AA468" s="2">
        <v>-95027.313930000004</v>
      </c>
      <c r="AB468" t="str">
        <f>VLOOKUP(Table2[[#This Row],[product]],Ref[#All],6,FALSE)</f>
        <v>BAG25</v>
      </c>
    </row>
    <row r="469" spans="1:28" x14ac:dyDescent="0.25">
      <c r="A469" t="str">
        <f>TEXT(Table2[[#This Row],[dated]],"mmm")</f>
        <v>Feb</v>
      </c>
      <c r="B469" t="s">
        <v>30</v>
      </c>
      <c r="C469" s="1" t="s">
        <v>536</v>
      </c>
      <c r="D469" t="str">
        <f>VLOOKUP(Table2[[#This Row],[product]],Ref[#All],7,FALSE)</f>
        <v>Flour</v>
      </c>
      <c r="E469" t="s">
        <v>36</v>
      </c>
      <c r="F469" t="str">
        <f>VLOOKUP(Table2[[#This Row],[product]],Ref[#All],2,FALSE)</f>
        <v>Flour Import Elngm 25Kg</v>
      </c>
      <c r="G469" t="str">
        <f>VLOOKUP(Table2[[#This Row],[product]],Ref[#All],3,FALSE)</f>
        <v>Flour Al-Nagm (Imported)</v>
      </c>
      <c r="H469" t="str">
        <f>VLOOKUP(Table2[[#This Row],[product]],Ref[#All],4,FALSE)</f>
        <v>Import</v>
      </c>
      <c r="I469" s="1">
        <v>45697</v>
      </c>
      <c r="J469" t="s">
        <v>53</v>
      </c>
      <c r="K469" t="s">
        <v>83</v>
      </c>
      <c r="L469" t="s">
        <v>1651</v>
      </c>
      <c r="M469" t="s">
        <v>1586</v>
      </c>
      <c r="N469" t="s">
        <v>784</v>
      </c>
      <c r="O469" t="s">
        <v>785</v>
      </c>
      <c r="P469" t="s">
        <v>788</v>
      </c>
      <c r="Q469" t="s">
        <v>55</v>
      </c>
      <c r="R469">
        <v>-4</v>
      </c>
      <c r="S469" s="15">
        <f>Table2[[#This Row],[movement_quantity]]/VLOOKUP(Table2[[#This Row],[product]],Ref[#All],5,FALSE)</f>
        <v>-0.1</v>
      </c>
      <c r="T469">
        <v>31675.77131</v>
      </c>
      <c r="U469" t="s">
        <v>17</v>
      </c>
      <c r="V469" t="s">
        <v>21</v>
      </c>
      <c r="W469" t="s">
        <v>84</v>
      </c>
      <c r="X469" t="s">
        <v>17</v>
      </c>
      <c r="Y469" t="s">
        <v>37</v>
      </c>
      <c r="Z469">
        <v>0</v>
      </c>
      <c r="AA469" s="2">
        <v>-126703.08524</v>
      </c>
      <c r="AB469" t="str">
        <f>VLOOKUP(Table2[[#This Row],[product]],Ref[#All],6,FALSE)</f>
        <v>BAG25</v>
      </c>
    </row>
    <row r="470" spans="1:28" x14ac:dyDescent="0.25">
      <c r="A470" t="str">
        <f>TEXT(Table2[[#This Row],[dated]],"mmm")</f>
        <v>Feb</v>
      </c>
      <c r="B470" t="s">
        <v>30</v>
      </c>
      <c r="C470" s="1" t="s">
        <v>536</v>
      </c>
      <c r="D470" t="str">
        <f>VLOOKUP(Table2[[#This Row],[product]],Ref[#All],7,FALSE)</f>
        <v>Flour</v>
      </c>
      <c r="E470" t="s">
        <v>36</v>
      </c>
      <c r="F470" t="str">
        <f>VLOOKUP(Table2[[#This Row],[product]],Ref[#All],2,FALSE)</f>
        <v>Flour Import Elngm 25Kg</v>
      </c>
      <c r="G470" t="str">
        <f>VLOOKUP(Table2[[#This Row],[product]],Ref[#All],3,FALSE)</f>
        <v>Flour Al-Nagm (Imported)</v>
      </c>
      <c r="H470" t="str">
        <f>VLOOKUP(Table2[[#This Row],[product]],Ref[#All],4,FALSE)</f>
        <v>Import</v>
      </c>
      <c r="I470" s="1">
        <v>45697</v>
      </c>
      <c r="J470" t="s">
        <v>53</v>
      </c>
      <c r="K470" t="s">
        <v>85</v>
      </c>
      <c r="L470" t="s">
        <v>1651</v>
      </c>
      <c r="M470" t="s">
        <v>1586</v>
      </c>
      <c r="N470" t="s">
        <v>784</v>
      </c>
      <c r="O470" t="s">
        <v>785</v>
      </c>
      <c r="P470" t="s">
        <v>788</v>
      </c>
      <c r="Q470" t="s">
        <v>55</v>
      </c>
      <c r="R470">
        <v>-3</v>
      </c>
      <c r="S470" s="15">
        <f>Table2[[#This Row],[movement_quantity]]/VLOOKUP(Table2[[#This Row],[product]],Ref[#All],5,FALSE)</f>
        <v>-7.4999999999999997E-2</v>
      </c>
      <c r="T470">
        <v>31675.77131</v>
      </c>
      <c r="U470" t="s">
        <v>17</v>
      </c>
      <c r="V470" t="s">
        <v>22</v>
      </c>
      <c r="W470" t="s">
        <v>86</v>
      </c>
      <c r="X470" t="s">
        <v>17</v>
      </c>
      <c r="Y470" t="s">
        <v>37</v>
      </c>
      <c r="Z470">
        <v>0</v>
      </c>
      <c r="AA470" s="2">
        <v>-95027.313930000004</v>
      </c>
      <c r="AB470" t="str">
        <f>VLOOKUP(Table2[[#This Row],[product]],Ref[#All],6,FALSE)</f>
        <v>BAG25</v>
      </c>
    </row>
    <row r="471" spans="1:28" x14ac:dyDescent="0.25">
      <c r="A471" t="str">
        <f>TEXT(Table2[[#This Row],[dated]],"mmm")</f>
        <v>Feb</v>
      </c>
      <c r="B471" t="s">
        <v>30</v>
      </c>
      <c r="C471" s="1" t="s">
        <v>536</v>
      </c>
      <c r="D471" t="str">
        <f>VLOOKUP(Table2[[#This Row],[product]],Ref[#All],7,FALSE)</f>
        <v>Flour</v>
      </c>
      <c r="E471" t="s">
        <v>36</v>
      </c>
      <c r="F471" t="str">
        <f>VLOOKUP(Table2[[#This Row],[product]],Ref[#All],2,FALSE)</f>
        <v>Flour Import Elngm 25Kg</v>
      </c>
      <c r="G471" t="str">
        <f>VLOOKUP(Table2[[#This Row],[product]],Ref[#All],3,FALSE)</f>
        <v>Flour Al-Nagm (Imported)</v>
      </c>
      <c r="H471" t="str">
        <f>VLOOKUP(Table2[[#This Row],[product]],Ref[#All],4,FALSE)</f>
        <v>Import</v>
      </c>
      <c r="I471" s="1">
        <v>45697</v>
      </c>
      <c r="J471" t="s">
        <v>53</v>
      </c>
      <c r="K471" t="s">
        <v>87</v>
      </c>
      <c r="L471" t="s">
        <v>1651</v>
      </c>
      <c r="M471" t="s">
        <v>1586</v>
      </c>
      <c r="N471" t="s">
        <v>784</v>
      </c>
      <c r="O471" t="s">
        <v>785</v>
      </c>
      <c r="P471" t="s">
        <v>788</v>
      </c>
      <c r="Q471" t="s">
        <v>55</v>
      </c>
      <c r="R471">
        <v>-1</v>
      </c>
      <c r="S471" s="15">
        <f>Table2[[#This Row],[movement_quantity]]/VLOOKUP(Table2[[#This Row],[product]],Ref[#All],5,FALSE)</f>
        <v>-2.5000000000000001E-2</v>
      </c>
      <c r="T471">
        <v>31675.77131</v>
      </c>
      <c r="U471" t="s">
        <v>17</v>
      </c>
      <c r="V471" t="s">
        <v>23</v>
      </c>
      <c r="W471" t="s">
        <v>88</v>
      </c>
      <c r="X471" t="s">
        <v>17</v>
      </c>
      <c r="Y471" t="s">
        <v>37</v>
      </c>
      <c r="Z471">
        <v>0</v>
      </c>
      <c r="AA471" s="2">
        <v>-31675.77131</v>
      </c>
      <c r="AB471" t="str">
        <f>VLOOKUP(Table2[[#This Row],[product]],Ref[#All],6,FALSE)</f>
        <v>BAG25</v>
      </c>
    </row>
    <row r="472" spans="1:28" x14ac:dyDescent="0.25">
      <c r="A472" t="str">
        <f>TEXT(Table2[[#This Row],[dated]],"mmm")</f>
        <v>Feb</v>
      </c>
      <c r="B472" t="s">
        <v>96</v>
      </c>
      <c r="C472" s="1" t="s">
        <v>536</v>
      </c>
      <c r="D472" t="str">
        <f>VLOOKUP(Table2[[#This Row],[product]],Ref[#All],7,FALSE)</f>
        <v>Flour</v>
      </c>
      <c r="E472" t="s">
        <v>36</v>
      </c>
      <c r="F472" t="str">
        <f>VLOOKUP(Table2[[#This Row],[product]],Ref[#All],2,FALSE)</f>
        <v>Flour Import Elngm 25Kg</v>
      </c>
      <c r="G472" t="str">
        <f>VLOOKUP(Table2[[#This Row],[product]],Ref[#All],3,FALSE)</f>
        <v>Flour Al-Nagm (Imported)</v>
      </c>
      <c r="H472" t="str">
        <f>VLOOKUP(Table2[[#This Row],[product]],Ref[#All],4,FALSE)</f>
        <v>Import</v>
      </c>
      <c r="I472" s="1">
        <v>45697</v>
      </c>
      <c r="J472" t="s">
        <v>53</v>
      </c>
      <c r="K472" t="s">
        <v>97</v>
      </c>
      <c r="L472" t="s">
        <v>1651</v>
      </c>
      <c r="M472" t="s">
        <v>1586</v>
      </c>
      <c r="N472" t="s">
        <v>784</v>
      </c>
      <c r="O472" t="s">
        <v>785</v>
      </c>
      <c r="P472" t="s">
        <v>788</v>
      </c>
      <c r="Q472" t="s">
        <v>55</v>
      </c>
      <c r="R472">
        <v>-5</v>
      </c>
      <c r="S472" s="15">
        <f>Table2[[#This Row],[movement_quantity]]/VLOOKUP(Table2[[#This Row],[product]],Ref[#All],5,FALSE)</f>
        <v>-0.125</v>
      </c>
      <c r="T472">
        <v>31675.77131</v>
      </c>
      <c r="U472" t="s">
        <v>17</v>
      </c>
      <c r="V472" t="s">
        <v>18</v>
      </c>
      <c r="W472" t="s">
        <v>98</v>
      </c>
      <c r="X472" t="s">
        <v>17</v>
      </c>
      <c r="Y472" t="s">
        <v>37</v>
      </c>
      <c r="Z472">
        <v>0</v>
      </c>
      <c r="AA472" s="2">
        <v>-158378.85655</v>
      </c>
      <c r="AB472" t="str">
        <f>VLOOKUP(Table2[[#This Row],[product]],Ref[#All],6,FALSE)</f>
        <v>BAG25</v>
      </c>
    </row>
    <row r="473" spans="1:28" x14ac:dyDescent="0.25">
      <c r="A473" t="str">
        <f>TEXT(Table2[[#This Row],[dated]],"mmm")</f>
        <v>Feb</v>
      </c>
      <c r="B473" t="s">
        <v>96</v>
      </c>
      <c r="C473" s="1" t="s">
        <v>536</v>
      </c>
      <c r="D473" t="str">
        <f>VLOOKUP(Table2[[#This Row],[product]],Ref[#All],7,FALSE)</f>
        <v>Flour</v>
      </c>
      <c r="E473" t="s">
        <v>36</v>
      </c>
      <c r="F473" t="str">
        <f>VLOOKUP(Table2[[#This Row],[product]],Ref[#All],2,FALSE)</f>
        <v>Flour Import Elngm 25Kg</v>
      </c>
      <c r="G473" t="str">
        <f>VLOOKUP(Table2[[#This Row],[product]],Ref[#All],3,FALSE)</f>
        <v>Flour Al-Nagm (Imported)</v>
      </c>
      <c r="H473" t="str">
        <f>VLOOKUP(Table2[[#This Row],[product]],Ref[#All],4,FALSE)</f>
        <v>Import</v>
      </c>
      <c r="I473" s="1">
        <v>45697</v>
      </c>
      <c r="J473" t="s">
        <v>53</v>
      </c>
      <c r="K473" t="s">
        <v>99</v>
      </c>
      <c r="L473" t="s">
        <v>1651</v>
      </c>
      <c r="M473" t="s">
        <v>1586</v>
      </c>
      <c r="N473" t="s">
        <v>784</v>
      </c>
      <c r="O473" t="s">
        <v>785</v>
      </c>
      <c r="P473" t="s">
        <v>788</v>
      </c>
      <c r="Q473" t="s">
        <v>55</v>
      </c>
      <c r="R473">
        <v>-2</v>
      </c>
      <c r="S473" s="15">
        <f>Table2[[#This Row],[movement_quantity]]/VLOOKUP(Table2[[#This Row],[product]],Ref[#All],5,FALSE)</f>
        <v>-0.05</v>
      </c>
      <c r="T473">
        <v>31675.77131</v>
      </c>
      <c r="U473" t="s">
        <v>17</v>
      </c>
      <c r="V473" t="s">
        <v>21</v>
      </c>
      <c r="W473" t="s">
        <v>100</v>
      </c>
      <c r="X473" t="s">
        <v>17</v>
      </c>
      <c r="Y473" t="s">
        <v>37</v>
      </c>
      <c r="Z473">
        <v>0</v>
      </c>
      <c r="AA473" s="2">
        <v>-63351.54262</v>
      </c>
      <c r="AB473" t="str">
        <f>VLOOKUP(Table2[[#This Row],[product]],Ref[#All],6,FALSE)</f>
        <v>BAG25</v>
      </c>
    </row>
    <row r="474" spans="1:28" x14ac:dyDescent="0.25">
      <c r="A474" t="str">
        <f>TEXT(Table2[[#This Row],[dated]],"mmm")</f>
        <v>Feb</v>
      </c>
      <c r="B474" t="s">
        <v>96</v>
      </c>
      <c r="C474" s="1" t="s">
        <v>536</v>
      </c>
      <c r="D474" t="str">
        <f>VLOOKUP(Table2[[#This Row],[product]],Ref[#All],7,FALSE)</f>
        <v>Flour</v>
      </c>
      <c r="E474" t="s">
        <v>36</v>
      </c>
      <c r="F474" t="str">
        <f>VLOOKUP(Table2[[#This Row],[product]],Ref[#All],2,FALSE)</f>
        <v>Flour Import Elngm 25Kg</v>
      </c>
      <c r="G474" t="str">
        <f>VLOOKUP(Table2[[#This Row],[product]],Ref[#All],3,FALSE)</f>
        <v>Flour Al-Nagm (Imported)</v>
      </c>
      <c r="H474" t="str">
        <f>VLOOKUP(Table2[[#This Row],[product]],Ref[#All],4,FALSE)</f>
        <v>Import</v>
      </c>
      <c r="I474" s="1">
        <v>45697</v>
      </c>
      <c r="J474" t="s">
        <v>53</v>
      </c>
      <c r="K474" t="s">
        <v>101</v>
      </c>
      <c r="L474" t="s">
        <v>1651</v>
      </c>
      <c r="M474" t="s">
        <v>1586</v>
      </c>
      <c r="N474" t="s">
        <v>784</v>
      </c>
      <c r="O474" t="s">
        <v>785</v>
      </c>
      <c r="P474" t="s">
        <v>788</v>
      </c>
      <c r="Q474" t="s">
        <v>55</v>
      </c>
      <c r="R474">
        <v>-2</v>
      </c>
      <c r="S474" s="15">
        <f>Table2[[#This Row],[movement_quantity]]/VLOOKUP(Table2[[#This Row],[product]],Ref[#All],5,FALSE)</f>
        <v>-0.05</v>
      </c>
      <c r="T474">
        <v>31675.77131</v>
      </c>
      <c r="U474" t="s">
        <v>17</v>
      </c>
      <c r="V474" t="s">
        <v>22</v>
      </c>
      <c r="W474" t="s">
        <v>102</v>
      </c>
      <c r="X474" t="s">
        <v>17</v>
      </c>
      <c r="Y474" t="s">
        <v>37</v>
      </c>
      <c r="Z474">
        <v>0</v>
      </c>
      <c r="AA474" s="2">
        <v>-63351.54262</v>
      </c>
      <c r="AB474" t="str">
        <f>VLOOKUP(Table2[[#This Row],[product]],Ref[#All],6,FALSE)</f>
        <v>BAG25</v>
      </c>
    </row>
    <row r="475" spans="1:28" x14ac:dyDescent="0.25">
      <c r="A475" t="str">
        <f>TEXT(Table2[[#This Row],[dated]],"mmm")</f>
        <v>Feb</v>
      </c>
      <c r="B475" t="s">
        <v>96</v>
      </c>
      <c r="C475" s="1" t="s">
        <v>536</v>
      </c>
      <c r="D475" t="str">
        <f>VLOOKUP(Table2[[#This Row],[product]],Ref[#All],7,FALSE)</f>
        <v>Flour</v>
      </c>
      <c r="E475" t="s">
        <v>36</v>
      </c>
      <c r="F475" t="str">
        <f>VLOOKUP(Table2[[#This Row],[product]],Ref[#All],2,FALSE)</f>
        <v>Flour Import Elngm 25Kg</v>
      </c>
      <c r="G475" t="str">
        <f>VLOOKUP(Table2[[#This Row],[product]],Ref[#All],3,FALSE)</f>
        <v>Flour Al-Nagm (Imported)</v>
      </c>
      <c r="H475" t="str">
        <f>VLOOKUP(Table2[[#This Row],[product]],Ref[#All],4,FALSE)</f>
        <v>Import</v>
      </c>
      <c r="I475" s="1">
        <v>45697</v>
      </c>
      <c r="J475" t="s">
        <v>53</v>
      </c>
      <c r="K475" t="s">
        <v>103</v>
      </c>
      <c r="L475" t="s">
        <v>1651</v>
      </c>
      <c r="M475" t="s">
        <v>1586</v>
      </c>
      <c r="N475" t="s">
        <v>784</v>
      </c>
      <c r="O475" t="s">
        <v>785</v>
      </c>
      <c r="P475" t="s">
        <v>788</v>
      </c>
      <c r="Q475" t="s">
        <v>55</v>
      </c>
      <c r="R475">
        <v>-1</v>
      </c>
      <c r="S475" s="15">
        <f>Table2[[#This Row],[movement_quantity]]/VLOOKUP(Table2[[#This Row],[product]],Ref[#All],5,FALSE)</f>
        <v>-2.5000000000000001E-2</v>
      </c>
      <c r="T475">
        <v>31675.77131</v>
      </c>
      <c r="U475" t="s">
        <v>17</v>
      </c>
      <c r="V475" t="s">
        <v>23</v>
      </c>
      <c r="W475" t="s">
        <v>104</v>
      </c>
      <c r="X475" t="s">
        <v>17</v>
      </c>
      <c r="Y475" t="s">
        <v>37</v>
      </c>
      <c r="Z475">
        <v>0</v>
      </c>
      <c r="AA475" s="2">
        <v>-31675.77131</v>
      </c>
      <c r="AB475" t="str">
        <f>VLOOKUP(Table2[[#This Row],[product]],Ref[#All],6,FALSE)</f>
        <v>BAG25</v>
      </c>
    </row>
    <row r="476" spans="1:28" x14ac:dyDescent="0.25">
      <c r="A476" t="str">
        <f>TEXT(Table2[[#This Row],[dated]],"mmm")</f>
        <v>Feb</v>
      </c>
      <c r="B476" t="s">
        <v>96</v>
      </c>
      <c r="C476" s="1" t="s">
        <v>536</v>
      </c>
      <c r="D476" t="str">
        <f>VLOOKUP(Table2[[#This Row],[product]],Ref[#All],7,FALSE)</f>
        <v>Flour</v>
      </c>
      <c r="E476" t="s">
        <v>36</v>
      </c>
      <c r="F476" t="str">
        <f>VLOOKUP(Table2[[#This Row],[product]],Ref[#All],2,FALSE)</f>
        <v>Flour Import Elngm 25Kg</v>
      </c>
      <c r="G476" t="str">
        <f>VLOOKUP(Table2[[#This Row],[product]],Ref[#All],3,FALSE)</f>
        <v>Flour Al-Nagm (Imported)</v>
      </c>
      <c r="H476" t="str">
        <f>VLOOKUP(Table2[[#This Row],[product]],Ref[#All],4,FALSE)</f>
        <v>Import</v>
      </c>
      <c r="I476" s="1">
        <v>45697</v>
      </c>
      <c r="J476" t="s">
        <v>53</v>
      </c>
      <c r="K476" t="s">
        <v>105</v>
      </c>
      <c r="L476" t="s">
        <v>1651</v>
      </c>
      <c r="M476" t="s">
        <v>1586</v>
      </c>
      <c r="N476" t="s">
        <v>784</v>
      </c>
      <c r="O476" t="s">
        <v>785</v>
      </c>
      <c r="P476" t="s">
        <v>788</v>
      </c>
      <c r="Q476" t="s">
        <v>55</v>
      </c>
      <c r="R476">
        <v>-1</v>
      </c>
      <c r="S476" s="15">
        <f>Table2[[#This Row],[movement_quantity]]/VLOOKUP(Table2[[#This Row],[product]],Ref[#All],5,FALSE)</f>
        <v>-2.5000000000000001E-2</v>
      </c>
      <c r="T476">
        <v>31675.77131</v>
      </c>
      <c r="U476" t="s">
        <v>17</v>
      </c>
      <c r="V476" t="s">
        <v>24</v>
      </c>
      <c r="W476" t="s">
        <v>106</v>
      </c>
      <c r="X476" t="s">
        <v>17</v>
      </c>
      <c r="Y476" t="s">
        <v>37</v>
      </c>
      <c r="Z476">
        <v>0</v>
      </c>
      <c r="AA476" s="2">
        <v>-31675.77131</v>
      </c>
      <c r="AB476" t="str">
        <f>VLOOKUP(Table2[[#This Row],[product]],Ref[#All],6,FALSE)</f>
        <v>BAG25</v>
      </c>
    </row>
    <row r="477" spans="1:28" x14ac:dyDescent="0.25">
      <c r="A477" t="str">
        <f>TEXT(Table2[[#This Row],[dated]],"mmm")</f>
        <v>Feb</v>
      </c>
      <c r="B477" t="s">
        <v>96</v>
      </c>
      <c r="C477" s="1" t="s">
        <v>536</v>
      </c>
      <c r="D477" t="str">
        <f>VLOOKUP(Table2[[#This Row],[product]],Ref[#All],7,FALSE)</f>
        <v>Flour</v>
      </c>
      <c r="E477" t="s">
        <v>36</v>
      </c>
      <c r="F477" t="str">
        <f>VLOOKUP(Table2[[#This Row],[product]],Ref[#All],2,FALSE)</f>
        <v>Flour Import Elngm 25Kg</v>
      </c>
      <c r="G477" t="str">
        <f>VLOOKUP(Table2[[#This Row],[product]],Ref[#All],3,FALSE)</f>
        <v>Flour Al-Nagm (Imported)</v>
      </c>
      <c r="H477" t="str">
        <f>VLOOKUP(Table2[[#This Row],[product]],Ref[#All],4,FALSE)</f>
        <v>Import</v>
      </c>
      <c r="I477" s="1">
        <v>45697</v>
      </c>
      <c r="J477" t="s">
        <v>53</v>
      </c>
      <c r="K477" t="s">
        <v>107</v>
      </c>
      <c r="L477" t="s">
        <v>1651</v>
      </c>
      <c r="M477" t="s">
        <v>1586</v>
      </c>
      <c r="N477" t="s">
        <v>784</v>
      </c>
      <c r="O477" t="s">
        <v>785</v>
      </c>
      <c r="P477" t="s">
        <v>788</v>
      </c>
      <c r="Q477" t="s">
        <v>55</v>
      </c>
      <c r="R477">
        <v>-4</v>
      </c>
      <c r="S477" s="15">
        <f>Table2[[#This Row],[movement_quantity]]/VLOOKUP(Table2[[#This Row],[product]],Ref[#All],5,FALSE)</f>
        <v>-0.1</v>
      </c>
      <c r="T477">
        <v>31675.77131</v>
      </c>
      <c r="U477" t="s">
        <v>17</v>
      </c>
      <c r="V477" t="s">
        <v>25</v>
      </c>
      <c r="W477" t="s">
        <v>108</v>
      </c>
      <c r="X477" t="s">
        <v>17</v>
      </c>
      <c r="Y477" t="s">
        <v>37</v>
      </c>
      <c r="Z477">
        <v>0</v>
      </c>
      <c r="AA477" s="2">
        <v>-126703.08524</v>
      </c>
      <c r="AB477" t="str">
        <f>VLOOKUP(Table2[[#This Row],[product]],Ref[#All],6,FALSE)</f>
        <v>BAG25</v>
      </c>
    </row>
    <row r="478" spans="1:28" x14ac:dyDescent="0.25">
      <c r="A478" t="str">
        <f>TEXT(Table2[[#This Row],[dated]],"mmm")</f>
        <v>Feb</v>
      </c>
      <c r="B478" t="s">
        <v>96</v>
      </c>
      <c r="C478" s="1" t="s">
        <v>536</v>
      </c>
      <c r="D478" t="str">
        <f>VLOOKUP(Table2[[#This Row],[product]],Ref[#All],7,FALSE)</f>
        <v>Sugar</v>
      </c>
      <c r="E478" t="s">
        <v>72</v>
      </c>
      <c r="F478" t="str">
        <f>VLOOKUP(Table2[[#This Row],[product]],Ref[#All],2,FALSE)</f>
        <v>White Sugar</v>
      </c>
      <c r="G478" t="str">
        <f>VLOOKUP(Table2[[#This Row],[product]],Ref[#All],3,FALSE)</f>
        <v>White Sugar</v>
      </c>
      <c r="H478" t="str">
        <f>VLOOKUP(Table2[[#This Row],[product]],Ref[#All],4,FALSE)</f>
        <v>Import</v>
      </c>
      <c r="I478" s="1">
        <v>45697</v>
      </c>
      <c r="J478" t="s">
        <v>53</v>
      </c>
      <c r="K478" t="s">
        <v>109</v>
      </c>
      <c r="L478" t="s">
        <v>1651</v>
      </c>
      <c r="M478" t="s">
        <v>1586</v>
      </c>
      <c r="N478" t="s">
        <v>784</v>
      </c>
      <c r="O478" t="s">
        <v>785</v>
      </c>
      <c r="P478" t="s">
        <v>788</v>
      </c>
      <c r="Q478" t="s">
        <v>55</v>
      </c>
      <c r="R478">
        <v>-6</v>
      </c>
      <c r="S478" s="15">
        <f>Table2[[#This Row],[movement_quantity]]/VLOOKUP(Table2[[#This Row],[product]],Ref[#All],5,FALSE)</f>
        <v>-0.3</v>
      </c>
      <c r="T478">
        <v>90996.144530000005</v>
      </c>
      <c r="U478" t="s">
        <v>17</v>
      </c>
      <c r="V478" t="s">
        <v>18</v>
      </c>
      <c r="W478" t="s">
        <v>110</v>
      </c>
      <c r="X478" t="s">
        <v>17</v>
      </c>
      <c r="Y478" t="s">
        <v>75</v>
      </c>
      <c r="Z478">
        <v>0</v>
      </c>
      <c r="AA478" s="2">
        <v>-545976.86718000006</v>
      </c>
      <c r="AB478" t="str">
        <f>VLOOKUP(Table2[[#This Row],[product]],Ref[#All],6,FALSE)</f>
        <v>BAG50</v>
      </c>
    </row>
    <row r="479" spans="1:28" x14ac:dyDescent="0.25">
      <c r="A479" t="str">
        <f>TEXT(Table2[[#This Row],[dated]],"mmm")</f>
        <v>Feb</v>
      </c>
      <c r="B479" t="s">
        <v>96</v>
      </c>
      <c r="C479" s="1" t="s">
        <v>536</v>
      </c>
      <c r="D479" t="str">
        <f>VLOOKUP(Table2[[#This Row],[product]],Ref[#All],7,FALSE)</f>
        <v>Sugar</v>
      </c>
      <c r="E479" t="s">
        <v>72</v>
      </c>
      <c r="F479" t="str">
        <f>VLOOKUP(Table2[[#This Row],[product]],Ref[#All],2,FALSE)</f>
        <v>White Sugar</v>
      </c>
      <c r="G479" t="str">
        <f>VLOOKUP(Table2[[#This Row],[product]],Ref[#All],3,FALSE)</f>
        <v>White Sugar</v>
      </c>
      <c r="H479" t="str">
        <f>VLOOKUP(Table2[[#This Row],[product]],Ref[#All],4,FALSE)</f>
        <v>Import</v>
      </c>
      <c r="I479" s="1">
        <v>45697</v>
      </c>
      <c r="J479" t="s">
        <v>53</v>
      </c>
      <c r="K479" t="s">
        <v>111</v>
      </c>
      <c r="L479" t="s">
        <v>1651</v>
      </c>
      <c r="M479" t="s">
        <v>1586</v>
      </c>
      <c r="N479" t="s">
        <v>784</v>
      </c>
      <c r="O479" t="s">
        <v>785</v>
      </c>
      <c r="P479" t="s">
        <v>788</v>
      </c>
      <c r="Q479" t="s">
        <v>55</v>
      </c>
      <c r="R479">
        <v>-8</v>
      </c>
      <c r="S479" s="15">
        <f>Table2[[#This Row],[movement_quantity]]/VLOOKUP(Table2[[#This Row],[product]],Ref[#All],5,FALSE)</f>
        <v>-0.4</v>
      </c>
      <c r="T479">
        <v>90996.144530000005</v>
      </c>
      <c r="U479" t="s">
        <v>17</v>
      </c>
      <c r="V479" t="s">
        <v>21</v>
      </c>
      <c r="W479" t="s">
        <v>112</v>
      </c>
      <c r="X479" t="s">
        <v>17</v>
      </c>
      <c r="Y479" t="s">
        <v>75</v>
      </c>
      <c r="Z479">
        <v>0</v>
      </c>
      <c r="AA479" s="2">
        <v>-727969.15624000004</v>
      </c>
      <c r="AB479" t="str">
        <f>VLOOKUP(Table2[[#This Row],[product]],Ref[#All],6,FALSE)</f>
        <v>BAG50</v>
      </c>
    </row>
    <row r="480" spans="1:28" x14ac:dyDescent="0.25">
      <c r="A480" t="str">
        <f>TEXT(Table2[[#This Row],[dated]],"mmm")</f>
        <v>Feb</v>
      </c>
      <c r="B480" t="s">
        <v>46</v>
      </c>
      <c r="C480" s="1" t="s">
        <v>536</v>
      </c>
      <c r="D480" t="str">
        <f>VLOOKUP(Table2[[#This Row],[product]],Ref[#All],7,FALSE)</f>
        <v>Flour</v>
      </c>
      <c r="E480" t="s">
        <v>36</v>
      </c>
      <c r="F480" t="str">
        <f>VLOOKUP(Table2[[#This Row],[product]],Ref[#All],2,FALSE)</f>
        <v>Flour Import Elngm 25Kg</v>
      </c>
      <c r="G480" t="str">
        <f>VLOOKUP(Table2[[#This Row],[product]],Ref[#All],3,FALSE)</f>
        <v>Flour Al-Nagm (Imported)</v>
      </c>
      <c r="H480" t="str">
        <f>VLOOKUP(Table2[[#This Row],[product]],Ref[#All],4,FALSE)</f>
        <v>Import</v>
      </c>
      <c r="I480" s="1">
        <v>45697</v>
      </c>
      <c r="J480" t="s">
        <v>53</v>
      </c>
      <c r="K480" t="s">
        <v>113</v>
      </c>
      <c r="L480" t="s">
        <v>1651</v>
      </c>
      <c r="M480" t="s">
        <v>1586</v>
      </c>
      <c r="N480" t="s">
        <v>784</v>
      </c>
      <c r="O480" t="s">
        <v>785</v>
      </c>
      <c r="P480" t="s">
        <v>788</v>
      </c>
      <c r="Q480" t="s">
        <v>55</v>
      </c>
      <c r="R480">
        <v>-7</v>
      </c>
      <c r="S480" s="15">
        <f>Table2[[#This Row],[movement_quantity]]/VLOOKUP(Table2[[#This Row],[product]],Ref[#All],5,FALSE)</f>
        <v>-0.17499999999999999</v>
      </c>
      <c r="T480">
        <v>31675.77131</v>
      </c>
      <c r="U480" t="s">
        <v>17</v>
      </c>
      <c r="V480" t="s">
        <v>18</v>
      </c>
      <c r="W480" t="s">
        <v>114</v>
      </c>
      <c r="X480" t="s">
        <v>17</v>
      </c>
      <c r="Y480" t="s">
        <v>37</v>
      </c>
      <c r="Z480">
        <v>0</v>
      </c>
      <c r="AA480" s="2">
        <v>-221730.39916999999</v>
      </c>
      <c r="AB480" t="str">
        <f>VLOOKUP(Table2[[#This Row],[product]],Ref[#All],6,FALSE)</f>
        <v>BAG25</v>
      </c>
    </row>
    <row r="481" spans="1:28" x14ac:dyDescent="0.25">
      <c r="A481" t="str">
        <f>TEXT(Table2[[#This Row],[dated]],"mmm")</f>
        <v>Feb</v>
      </c>
      <c r="B481" t="s">
        <v>46</v>
      </c>
      <c r="C481" s="1" t="s">
        <v>536</v>
      </c>
      <c r="D481" t="str">
        <f>VLOOKUP(Table2[[#This Row],[product]],Ref[#All],7,FALSE)</f>
        <v>Flour</v>
      </c>
      <c r="E481" t="s">
        <v>36</v>
      </c>
      <c r="F481" t="str">
        <f>VLOOKUP(Table2[[#This Row],[product]],Ref[#All],2,FALSE)</f>
        <v>Flour Import Elngm 25Kg</v>
      </c>
      <c r="G481" t="str">
        <f>VLOOKUP(Table2[[#This Row],[product]],Ref[#All],3,FALSE)</f>
        <v>Flour Al-Nagm (Imported)</v>
      </c>
      <c r="H481" t="str">
        <f>VLOOKUP(Table2[[#This Row],[product]],Ref[#All],4,FALSE)</f>
        <v>Import</v>
      </c>
      <c r="I481" s="1">
        <v>45697</v>
      </c>
      <c r="J481" t="s">
        <v>53</v>
      </c>
      <c r="K481" t="s">
        <v>115</v>
      </c>
      <c r="L481" t="s">
        <v>1651</v>
      </c>
      <c r="M481" t="s">
        <v>1586</v>
      </c>
      <c r="N481" t="s">
        <v>784</v>
      </c>
      <c r="O481" t="s">
        <v>785</v>
      </c>
      <c r="P481" t="s">
        <v>788</v>
      </c>
      <c r="Q481" t="s">
        <v>55</v>
      </c>
      <c r="R481">
        <v>-1</v>
      </c>
      <c r="S481" s="15">
        <f>Table2[[#This Row],[movement_quantity]]/VLOOKUP(Table2[[#This Row],[product]],Ref[#All],5,FALSE)</f>
        <v>-2.5000000000000001E-2</v>
      </c>
      <c r="T481">
        <v>31675.77131</v>
      </c>
      <c r="U481" t="s">
        <v>17</v>
      </c>
      <c r="V481" t="s">
        <v>21</v>
      </c>
      <c r="W481" t="s">
        <v>116</v>
      </c>
      <c r="X481" t="s">
        <v>17</v>
      </c>
      <c r="Y481" t="s">
        <v>37</v>
      </c>
      <c r="Z481">
        <v>0</v>
      </c>
      <c r="AA481" s="2">
        <v>-31675.77131</v>
      </c>
      <c r="AB481" t="str">
        <f>VLOOKUP(Table2[[#This Row],[product]],Ref[#All],6,FALSE)</f>
        <v>BAG25</v>
      </c>
    </row>
    <row r="482" spans="1:28" x14ac:dyDescent="0.25">
      <c r="A482" t="str">
        <f>TEXT(Table2[[#This Row],[dated]],"mmm")</f>
        <v>Feb</v>
      </c>
      <c r="B482" t="s">
        <v>46</v>
      </c>
      <c r="C482" s="1" t="s">
        <v>536</v>
      </c>
      <c r="D482" t="str">
        <f>VLOOKUP(Table2[[#This Row],[product]],Ref[#All],7,FALSE)</f>
        <v>Flour</v>
      </c>
      <c r="E482" t="s">
        <v>36</v>
      </c>
      <c r="F482" t="str">
        <f>VLOOKUP(Table2[[#This Row],[product]],Ref[#All],2,FALSE)</f>
        <v>Flour Import Elngm 25Kg</v>
      </c>
      <c r="G482" t="str">
        <f>VLOOKUP(Table2[[#This Row],[product]],Ref[#All],3,FALSE)</f>
        <v>Flour Al-Nagm (Imported)</v>
      </c>
      <c r="H482" t="str">
        <f>VLOOKUP(Table2[[#This Row],[product]],Ref[#All],4,FALSE)</f>
        <v>Import</v>
      </c>
      <c r="I482" s="1">
        <v>45697</v>
      </c>
      <c r="J482" t="s">
        <v>53</v>
      </c>
      <c r="K482" t="s">
        <v>117</v>
      </c>
      <c r="L482" t="s">
        <v>1651</v>
      </c>
      <c r="M482" t="s">
        <v>1586</v>
      </c>
      <c r="N482" t="s">
        <v>784</v>
      </c>
      <c r="O482" t="s">
        <v>785</v>
      </c>
      <c r="P482" t="s">
        <v>788</v>
      </c>
      <c r="Q482" t="s">
        <v>55</v>
      </c>
      <c r="R482">
        <v>-1</v>
      </c>
      <c r="S482" s="15">
        <f>Table2[[#This Row],[movement_quantity]]/VLOOKUP(Table2[[#This Row],[product]],Ref[#All],5,FALSE)</f>
        <v>-2.5000000000000001E-2</v>
      </c>
      <c r="T482">
        <v>31675.77131</v>
      </c>
      <c r="U482" t="s">
        <v>17</v>
      </c>
      <c r="V482" t="s">
        <v>22</v>
      </c>
      <c r="W482" t="s">
        <v>118</v>
      </c>
      <c r="X482" t="s">
        <v>17</v>
      </c>
      <c r="Y482" t="s">
        <v>37</v>
      </c>
      <c r="Z482">
        <v>0</v>
      </c>
      <c r="AA482" s="2">
        <v>-31675.77131</v>
      </c>
      <c r="AB482" t="str">
        <f>VLOOKUP(Table2[[#This Row],[product]],Ref[#All],6,FALSE)</f>
        <v>BAG25</v>
      </c>
    </row>
    <row r="483" spans="1:28" x14ac:dyDescent="0.25">
      <c r="A483" t="str">
        <f>TEXT(Table2[[#This Row],[dated]],"mmm")</f>
        <v>Feb</v>
      </c>
      <c r="B483" t="s">
        <v>46</v>
      </c>
      <c r="C483" s="1" t="s">
        <v>536</v>
      </c>
      <c r="D483" t="str">
        <f>VLOOKUP(Table2[[#This Row],[product]],Ref[#All],7,FALSE)</f>
        <v>Flour</v>
      </c>
      <c r="E483" t="s">
        <v>36</v>
      </c>
      <c r="F483" t="str">
        <f>VLOOKUP(Table2[[#This Row],[product]],Ref[#All],2,FALSE)</f>
        <v>Flour Import Elngm 25Kg</v>
      </c>
      <c r="G483" t="str">
        <f>VLOOKUP(Table2[[#This Row],[product]],Ref[#All],3,FALSE)</f>
        <v>Flour Al-Nagm (Imported)</v>
      </c>
      <c r="H483" t="str">
        <f>VLOOKUP(Table2[[#This Row],[product]],Ref[#All],4,FALSE)</f>
        <v>Import</v>
      </c>
      <c r="I483" s="1">
        <v>45697</v>
      </c>
      <c r="J483" t="s">
        <v>53</v>
      </c>
      <c r="K483" t="s">
        <v>119</v>
      </c>
      <c r="L483" t="s">
        <v>1651</v>
      </c>
      <c r="M483" t="s">
        <v>1586</v>
      </c>
      <c r="N483" t="s">
        <v>784</v>
      </c>
      <c r="O483" t="s">
        <v>785</v>
      </c>
      <c r="P483" t="s">
        <v>788</v>
      </c>
      <c r="Q483" t="s">
        <v>55</v>
      </c>
      <c r="R483">
        <v>-2</v>
      </c>
      <c r="S483" s="15">
        <f>Table2[[#This Row],[movement_quantity]]/VLOOKUP(Table2[[#This Row],[product]],Ref[#All],5,FALSE)</f>
        <v>-0.05</v>
      </c>
      <c r="T483">
        <v>31675.77131</v>
      </c>
      <c r="U483" t="s">
        <v>17</v>
      </c>
      <c r="V483" t="s">
        <v>23</v>
      </c>
      <c r="W483" t="s">
        <v>120</v>
      </c>
      <c r="X483" t="s">
        <v>17</v>
      </c>
      <c r="Y483" t="s">
        <v>37</v>
      </c>
      <c r="Z483">
        <v>0</v>
      </c>
      <c r="AA483" s="2">
        <v>-63351.54262</v>
      </c>
      <c r="AB483" t="str">
        <f>VLOOKUP(Table2[[#This Row],[product]],Ref[#All],6,FALSE)</f>
        <v>BAG25</v>
      </c>
    </row>
    <row r="484" spans="1:28" x14ac:dyDescent="0.25">
      <c r="A484" t="str">
        <f>TEXT(Table2[[#This Row],[dated]],"mmm")</f>
        <v>Apr</v>
      </c>
      <c r="B484" t="s">
        <v>138</v>
      </c>
      <c r="C484" s="1" t="s">
        <v>536</v>
      </c>
      <c r="D484" t="str">
        <f>VLOOKUP(Table2[[#This Row],[product]],Ref[#All],7,FALSE)</f>
        <v>Sesame Gadarif</v>
      </c>
      <c r="E484" t="s">
        <v>131</v>
      </c>
      <c r="F484" t="str">
        <f>VLOOKUP(Table2[[#This Row],[product]],Ref[#All],2,FALSE)</f>
        <v>Gadarif Sesame - FG</v>
      </c>
      <c r="G484" t="str">
        <f>VLOOKUP(Table2[[#This Row],[product]],Ref[#All],3,FALSE)</f>
        <v>Gadarif Sesame - FG</v>
      </c>
      <c r="H484" t="str">
        <f>VLOOKUP(Table2[[#This Row],[product]],Ref[#All],4,FALSE)</f>
        <v>Export</v>
      </c>
      <c r="I484" s="1">
        <v>45755</v>
      </c>
      <c r="J484" t="s">
        <v>53</v>
      </c>
      <c r="K484" t="s">
        <v>609</v>
      </c>
      <c r="L484" t="s">
        <v>1651</v>
      </c>
      <c r="M484" t="s">
        <v>1586</v>
      </c>
      <c r="N484" t="s">
        <v>784</v>
      </c>
      <c r="O484" t="s">
        <v>785</v>
      </c>
      <c r="P484" t="s">
        <v>788</v>
      </c>
      <c r="Q484" t="s">
        <v>55</v>
      </c>
      <c r="R484">
        <v>-2</v>
      </c>
      <c r="S484" s="15">
        <f>Table2[[#This Row],[movement_quantity]]/VLOOKUP(Table2[[#This Row],[product]],Ref[#All],5,FALSE)</f>
        <v>-0.1</v>
      </c>
      <c r="T484">
        <v>199389.76316</v>
      </c>
      <c r="U484" t="s">
        <v>17</v>
      </c>
      <c r="V484" t="s">
        <v>18</v>
      </c>
      <c r="W484" t="s">
        <v>610</v>
      </c>
      <c r="X484" t="s">
        <v>17</v>
      </c>
      <c r="Y484" t="s">
        <v>611</v>
      </c>
      <c r="Z484">
        <v>0</v>
      </c>
      <c r="AA484" s="2">
        <v>-398779.52632</v>
      </c>
      <c r="AB484" t="str">
        <f>VLOOKUP(Table2[[#This Row],[product]],Ref[#All],6,FALSE)</f>
        <v>BAG50</v>
      </c>
    </row>
    <row r="485" spans="1:28" x14ac:dyDescent="0.25">
      <c r="A485" t="str">
        <f>TEXT(Table2[[#This Row],[dated]],"mmm")</f>
        <v>Apr</v>
      </c>
      <c r="B485" t="s">
        <v>138</v>
      </c>
      <c r="C485" s="1" t="s">
        <v>536</v>
      </c>
      <c r="D485" t="str">
        <f>VLOOKUP(Table2[[#This Row],[product]],Ref[#All],7,FALSE)</f>
        <v>Sesame Gadarif</v>
      </c>
      <c r="E485" t="s">
        <v>131</v>
      </c>
      <c r="F485" t="str">
        <f>VLOOKUP(Table2[[#This Row],[product]],Ref[#All],2,FALSE)</f>
        <v>Gadarif Sesame - FG</v>
      </c>
      <c r="G485" t="str">
        <f>VLOOKUP(Table2[[#This Row],[product]],Ref[#All],3,FALSE)</f>
        <v>Gadarif Sesame - FG</v>
      </c>
      <c r="H485" t="str">
        <f>VLOOKUP(Table2[[#This Row],[product]],Ref[#All],4,FALSE)</f>
        <v>Export</v>
      </c>
      <c r="I485" s="1">
        <v>45755</v>
      </c>
      <c r="J485" t="s">
        <v>53</v>
      </c>
      <c r="K485" t="s">
        <v>612</v>
      </c>
      <c r="L485" t="s">
        <v>1651</v>
      </c>
      <c r="M485" t="s">
        <v>1586</v>
      </c>
      <c r="N485" t="s">
        <v>784</v>
      </c>
      <c r="O485" t="s">
        <v>785</v>
      </c>
      <c r="P485" t="s">
        <v>788</v>
      </c>
      <c r="Q485" t="s">
        <v>55</v>
      </c>
      <c r="R485">
        <v>-3</v>
      </c>
      <c r="S485" s="15">
        <f>Table2[[#This Row],[movement_quantity]]/VLOOKUP(Table2[[#This Row],[product]],Ref[#All],5,FALSE)</f>
        <v>-0.15</v>
      </c>
      <c r="T485">
        <v>199389.76316</v>
      </c>
      <c r="U485" t="s">
        <v>17</v>
      </c>
      <c r="V485" t="s">
        <v>21</v>
      </c>
      <c r="W485" t="s">
        <v>613</v>
      </c>
      <c r="X485" t="s">
        <v>17</v>
      </c>
      <c r="Y485" t="s">
        <v>611</v>
      </c>
      <c r="Z485">
        <v>0</v>
      </c>
      <c r="AA485" s="2">
        <v>-598169.28948000004</v>
      </c>
      <c r="AB485" t="str">
        <f>VLOOKUP(Table2[[#This Row],[product]],Ref[#All],6,FALSE)</f>
        <v>BAG50</v>
      </c>
    </row>
    <row r="486" spans="1:28" x14ac:dyDescent="0.25">
      <c r="A486" t="str">
        <f>TEXT(Table2[[#This Row],[dated]],"mmm")</f>
        <v>Mar</v>
      </c>
      <c r="B486" t="s">
        <v>52</v>
      </c>
      <c r="C486" s="1" t="s">
        <v>536</v>
      </c>
      <c r="D486" t="str">
        <f>VLOOKUP(Table2[[#This Row],[product]],Ref[#All],7,FALSE)</f>
        <v>Flour</v>
      </c>
      <c r="E486" t="s">
        <v>42</v>
      </c>
      <c r="F486" t="str">
        <f>VLOOKUP(Table2[[#This Row],[product]],Ref[#All],2,FALSE)</f>
        <v>Alnajm Flour from Mill 25KG</v>
      </c>
      <c r="G486" t="str">
        <f>VLOOKUP(Table2[[#This Row],[product]],Ref[#All],3,FALSE)</f>
        <v>Flour Al-Nagm (Mill)</v>
      </c>
      <c r="H486" t="str">
        <f>VLOOKUP(Table2[[#This Row],[product]],Ref[#All],4,FALSE)</f>
        <v>Import</v>
      </c>
      <c r="I486" s="1">
        <v>45720</v>
      </c>
      <c r="J486" t="s">
        <v>53</v>
      </c>
      <c r="K486" t="s">
        <v>458</v>
      </c>
      <c r="L486" t="s">
        <v>1651</v>
      </c>
      <c r="M486" t="s">
        <v>1586</v>
      </c>
      <c r="N486" t="s">
        <v>784</v>
      </c>
      <c r="O486" t="s">
        <v>785</v>
      </c>
      <c r="P486" t="s">
        <v>788</v>
      </c>
      <c r="Q486" t="s">
        <v>55</v>
      </c>
      <c r="R486">
        <v>-1</v>
      </c>
      <c r="S486" s="15">
        <f>Table2[[#This Row],[movement_quantity]]/VLOOKUP(Table2[[#This Row],[product]],Ref[#All],5,FALSE)</f>
        <v>-2.5000000000000001E-2</v>
      </c>
      <c r="T486">
        <v>31777.27522</v>
      </c>
      <c r="U486" t="s">
        <v>17</v>
      </c>
      <c r="V486" t="s">
        <v>18</v>
      </c>
      <c r="W486" t="s">
        <v>459</v>
      </c>
      <c r="X486" t="s">
        <v>17</v>
      </c>
      <c r="Y486" t="s">
        <v>49</v>
      </c>
      <c r="Z486">
        <v>0</v>
      </c>
      <c r="AA486" s="2">
        <v>-31777.27522</v>
      </c>
      <c r="AB486" t="str">
        <f>VLOOKUP(Table2[[#This Row],[product]],Ref[#All],6,FALSE)</f>
        <v>BAG25</v>
      </c>
    </row>
    <row r="487" spans="1:28" x14ac:dyDescent="0.25">
      <c r="A487" t="str">
        <f>TEXT(Table2[[#This Row],[dated]],"mmm")</f>
        <v>Mar</v>
      </c>
      <c r="B487" t="s">
        <v>52</v>
      </c>
      <c r="C487" s="1" t="s">
        <v>536</v>
      </c>
      <c r="D487" t="str">
        <f>VLOOKUP(Table2[[#This Row],[product]],Ref[#All],7,FALSE)</f>
        <v>Sugar</v>
      </c>
      <c r="E487" t="s">
        <v>16</v>
      </c>
      <c r="F487" t="str">
        <f>VLOOKUP(Table2[[#This Row],[product]],Ref[#All],2,FALSE)</f>
        <v>White Sugar</v>
      </c>
      <c r="G487" t="str">
        <f>VLOOKUP(Table2[[#This Row],[product]],Ref[#All],3,FALSE)</f>
        <v>White Sugar</v>
      </c>
      <c r="H487" t="str">
        <f>VLOOKUP(Table2[[#This Row],[product]],Ref[#All],4,FALSE)</f>
        <v>Import</v>
      </c>
      <c r="I487" s="1">
        <v>45720</v>
      </c>
      <c r="J487" t="s">
        <v>53</v>
      </c>
      <c r="K487" t="s">
        <v>460</v>
      </c>
      <c r="L487" t="s">
        <v>1651</v>
      </c>
      <c r="M487" t="s">
        <v>1586</v>
      </c>
      <c r="N487" t="s">
        <v>784</v>
      </c>
      <c r="O487" t="s">
        <v>785</v>
      </c>
      <c r="P487" t="s">
        <v>788</v>
      </c>
      <c r="Q487" t="s">
        <v>55</v>
      </c>
      <c r="R487">
        <v>-1</v>
      </c>
      <c r="S487" s="15">
        <f>Table2[[#This Row],[movement_quantity]]/VLOOKUP(Table2[[#This Row],[product]],Ref[#All],5,FALSE)</f>
        <v>-0.05</v>
      </c>
      <c r="T487">
        <v>81012.933590000001</v>
      </c>
      <c r="U487" t="s">
        <v>17</v>
      </c>
      <c r="V487" t="s">
        <v>18</v>
      </c>
      <c r="W487" t="s">
        <v>461</v>
      </c>
      <c r="X487" t="s">
        <v>17</v>
      </c>
      <c r="Y487" t="s">
        <v>19</v>
      </c>
      <c r="Z487">
        <v>0</v>
      </c>
      <c r="AA487" s="2">
        <v>-81012.933590000001</v>
      </c>
      <c r="AB487" t="str">
        <f>VLOOKUP(Table2[[#This Row],[product]],Ref[#All],6,FALSE)</f>
        <v>BAG50</v>
      </c>
    </row>
    <row r="488" spans="1:28" x14ac:dyDescent="0.25">
      <c r="A488" t="str">
        <f>TEXT(Table2[[#This Row],[dated]],"mmm")</f>
        <v>Mar</v>
      </c>
      <c r="B488" t="s">
        <v>52</v>
      </c>
      <c r="C488" s="1" t="s">
        <v>536</v>
      </c>
      <c r="D488" t="str">
        <f>VLOOKUP(Table2[[#This Row],[product]],Ref[#All],7,FALSE)</f>
        <v>Sugar</v>
      </c>
      <c r="E488" t="s">
        <v>16</v>
      </c>
      <c r="F488" t="str">
        <f>VLOOKUP(Table2[[#This Row],[product]],Ref[#All],2,FALSE)</f>
        <v>White Sugar</v>
      </c>
      <c r="G488" t="str">
        <f>VLOOKUP(Table2[[#This Row],[product]],Ref[#All],3,FALSE)</f>
        <v>White Sugar</v>
      </c>
      <c r="H488" t="str">
        <f>VLOOKUP(Table2[[#This Row],[product]],Ref[#All],4,FALSE)</f>
        <v>Import</v>
      </c>
      <c r="I488" s="1">
        <v>45720</v>
      </c>
      <c r="J488" t="s">
        <v>53</v>
      </c>
      <c r="K488" t="s">
        <v>462</v>
      </c>
      <c r="L488" t="s">
        <v>1651</v>
      </c>
      <c r="M488" t="s">
        <v>1586</v>
      </c>
      <c r="N488" t="s">
        <v>784</v>
      </c>
      <c r="O488" t="s">
        <v>785</v>
      </c>
      <c r="P488" t="s">
        <v>788</v>
      </c>
      <c r="Q488" t="s">
        <v>55</v>
      </c>
      <c r="R488">
        <v>-1</v>
      </c>
      <c r="S488" s="15">
        <f>Table2[[#This Row],[movement_quantity]]/VLOOKUP(Table2[[#This Row],[product]],Ref[#All],5,FALSE)</f>
        <v>-0.05</v>
      </c>
      <c r="T488">
        <v>81012.933590000001</v>
      </c>
      <c r="U488" t="s">
        <v>17</v>
      </c>
      <c r="V488" t="s">
        <v>21</v>
      </c>
      <c r="W488" t="s">
        <v>463</v>
      </c>
      <c r="X488" t="s">
        <v>17</v>
      </c>
      <c r="Y488" t="s">
        <v>19</v>
      </c>
      <c r="Z488">
        <v>0</v>
      </c>
      <c r="AA488" s="2">
        <v>-81012.933590000001</v>
      </c>
      <c r="AB488" t="str">
        <f>VLOOKUP(Table2[[#This Row],[product]],Ref[#All],6,FALSE)</f>
        <v>BAG50</v>
      </c>
    </row>
    <row r="489" spans="1:28" x14ac:dyDescent="0.25">
      <c r="A489" t="str">
        <f>TEXT(Table2[[#This Row],[dated]],"mmm")</f>
        <v>Mar</v>
      </c>
      <c r="B489" t="s">
        <v>52</v>
      </c>
      <c r="C489" s="1" t="s">
        <v>536</v>
      </c>
      <c r="D489" t="str">
        <f>VLOOKUP(Table2[[#This Row],[product]],Ref[#All],7,FALSE)</f>
        <v>Sugar</v>
      </c>
      <c r="E489" t="s">
        <v>16</v>
      </c>
      <c r="F489" t="str">
        <f>VLOOKUP(Table2[[#This Row],[product]],Ref[#All],2,FALSE)</f>
        <v>White Sugar</v>
      </c>
      <c r="G489" t="str">
        <f>VLOOKUP(Table2[[#This Row],[product]],Ref[#All],3,FALSE)</f>
        <v>White Sugar</v>
      </c>
      <c r="H489" t="str">
        <f>VLOOKUP(Table2[[#This Row],[product]],Ref[#All],4,FALSE)</f>
        <v>Import</v>
      </c>
      <c r="I489" s="1">
        <v>45720</v>
      </c>
      <c r="J489" t="s">
        <v>53</v>
      </c>
      <c r="K489" t="s">
        <v>464</v>
      </c>
      <c r="L489" t="s">
        <v>1651</v>
      </c>
      <c r="M489" t="s">
        <v>1586</v>
      </c>
      <c r="N489" t="s">
        <v>784</v>
      </c>
      <c r="O489" t="s">
        <v>785</v>
      </c>
      <c r="P489" t="s">
        <v>788</v>
      </c>
      <c r="Q489" t="s">
        <v>55</v>
      </c>
      <c r="R489">
        <v>-1</v>
      </c>
      <c r="S489" s="15">
        <f>Table2[[#This Row],[movement_quantity]]/VLOOKUP(Table2[[#This Row],[product]],Ref[#All],5,FALSE)</f>
        <v>-0.05</v>
      </c>
      <c r="T489">
        <v>81012.933590000001</v>
      </c>
      <c r="U489" t="s">
        <v>17</v>
      </c>
      <c r="V489" t="s">
        <v>22</v>
      </c>
      <c r="W489" t="s">
        <v>465</v>
      </c>
      <c r="X489" t="s">
        <v>17</v>
      </c>
      <c r="Y489" t="s">
        <v>19</v>
      </c>
      <c r="Z489">
        <v>0</v>
      </c>
      <c r="AA489" s="2">
        <v>-81012.933590000001</v>
      </c>
      <c r="AB489" t="str">
        <f>VLOOKUP(Table2[[#This Row],[product]],Ref[#All],6,FALSE)</f>
        <v>BAG50</v>
      </c>
    </row>
    <row r="490" spans="1:28" x14ac:dyDescent="0.25">
      <c r="A490" t="str">
        <f>TEXT(Table2[[#This Row],[dated]],"mmm")</f>
        <v>Mar</v>
      </c>
      <c r="B490" t="s">
        <v>52</v>
      </c>
      <c r="C490" s="1" t="s">
        <v>536</v>
      </c>
      <c r="D490" t="str">
        <f>VLOOKUP(Table2[[#This Row],[product]],Ref[#All],7,FALSE)</f>
        <v>Sugar</v>
      </c>
      <c r="E490" t="s">
        <v>16</v>
      </c>
      <c r="F490" t="str">
        <f>VLOOKUP(Table2[[#This Row],[product]],Ref[#All],2,FALSE)</f>
        <v>White Sugar</v>
      </c>
      <c r="G490" t="str">
        <f>VLOOKUP(Table2[[#This Row],[product]],Ref[#All],3,FALSE)</f>
        <v>White Sugar</v>
      </c>
      <c r="H490" t="str">
        <f>VLOOKUP(Table2[[#This Row],[product]],Ref[#All],4,FALSE)</f>
        <v>Import</v>
      </c>
      <c r="I490" s="1">
        <v>45720</v>
      </c>
      <c r="J490" t="s">
        <v>53</v>
      </c>
      <c r="K490" t="s">
        <v>466</v>
      </c>
      <c r="L490" t="s">
        <v>1651</v>
      </c>
      <c r="M490" t="s">
        <v>1586</v>
      </c>
      <c r="N490" t="s">
        <v>784</v>
      </c>
      <c r="O490" t="s">
        <v>785</v>
      </c>
      <c r="P490" t="s">
        <v>788</v>
      </c>
      <c r="Q490" t="s">
        <v>55</v>
      </c>
      <c r="R490">
        <v>-7</v>
      </c>
      <c r="S490" s="15">
        <f>Table2[[#This Row],[movement_quantity]]/VLOOKUP(Table2[[#This Row],[product]],Ref[#All],5,FALSE)</f>
        <v>-0.35</v>
      </c>
      <c r="T490">
        <v>81012.933590000001</v>
      </c>
      <c r="U490" t="s">
        <v>17</v>
      </c>
      <c r="V490" t="s">
        <v>23</v>
      </c>
      <c r="W490" t="s">
        <v>467</v>
      </c>
      <c r="X490" t="s">
        <v>17</v>
      </c>
      <c r="Y490" t="s">
        <v>19</v>
      </c>
      <c r="Z490">
        <v>0</v>
      </c>
      <c r="AA490" s="2">
        <v>-567090.53512999997</v>
      </c>
      <c r="AB490" t="str">
        <f>VLOOKUP(Table2[[#This Row],[product]],Ref[#All],6,FALSE)</f>
        <v>BAG50</v>
      </c>
    </row>
    <row r="491" spans="1:28" x14ac:dyDescent="0.25">
      <c r="A491" t="str">
        <f>TEXT(Table2[[#This Row],[dated]],"mmm")</f>
        <v>Mar</v>
      </c>
      <c r="B491" t="s">
        <v>52</v>
      </c>
      <c r="C491" s="1" t="s">
        <v>536</v>
      </c>
      <c r="D491" t="str">
        <f>VLOOKUP(Table2[[#This Row],[product]],Ref[#All],7,FALSE)</f>
        <v>Sugar</v>
      </c>
      <c r="E491" t="s">
        <v>16</v>
      </c>
      <c r="F491" t="str">
        <f>VLOOKUP(Table2[[#This Row],[product]],Ref[#All],2,FALSE)</f>
        <v>White Sugar</v>
      </c>
      <c r="G491" t="str">
        <f>VLOOKUP(Table2[[#This Row],[product]],Ref[#All],3,FALSE)</f>
        <v>White Sugar</v>
      </c>
      <c r="H491" t="str">
        <f>VLOOKUP(Table2[[#This Row],[product]],Ref[#All],4,FALSE)</f>
        <v>Import</v>
      </c>
      <c r="I491" s="1">
        <v>45720</v>
      </c>
      <c r="J491" t="s">
        <v>53</v>
      </c>
      <c r="K491" t="s">
        <v>468</v>
      </c>
      <c r="L491" t="s">
        <v>1651</v>
      </c>
      <c r="M491" t="s">
        <v>1586</v>
      </c>
      <c r="N491" t="s">
        <v>784</v>
      </c>
      <c r="O491" t="s">
        <v>785</v>
      </c>
      <c r="P491" t="s">
        <v>788</v>
      </c>
      <c r="Q491" t="s">
        <v>55</v>
      </c>
      <c r="R491">
        <v>-1</v>
      </c>
      <c r="S491" s="15">
        <f>Table2[[#This Row],[movement_quantity]]/VLOOKUP(Table2[[#This Row],[product]],Ref[#All],5,FALSE)</f>
        <v>-0.05</v>
      </c>
      <c r="T491">
        <v>81012.933590000001</v>
      </c>
      <c r="U491" t="s">
        <v>17</v>
      </c>
      <c r="V491" t="s">
        <v>24</v>
      </c>
      <c r="W491" t="s">
        <v>469</v>
      </c>
      <c r="X491" t="s">
        <v>17</v>
      </c>
      <c r="Y491" t="s">
        <v>19</v>
      </c>
      <c r="Z491">
        <v>0</v>
      </c>
      <c r="AA491" s="2">
        <v>-81012.933590000001</v>
      </c>
      <c r="AB491" t="str">
        <f>VLOOKUP(Table2[[#This Row],[product]],Ref[#All],6,FALSE)</f>
        <v>BAG50</v>
      </c>
    </row>
    <row r="492" spans="1:28" x14ac:dyDescent="0.25">
      <c r="A492" t="str">
        <f>TEXT(Table2[[#This Row],[dated]],"mmm")</f>
        <v>Mar</v>
      </c>
      <c r="B492" t="s">
        <v>52</v>
      </c>
      <c r="C492" s="1" t="s">
        <v>536</v>
      </c>
      <c r="D492" t="str">
        <f>VLOOKUP(Table2[[#This Row],[product]],Ref[#All],7,FALSE)</f>
        <v>Flour</v>
      </c>
      <c r="E492" t="s">
        <v>36</v>
      </c>
      <c r="F492" t="str">
        <f>VLOOKUP(Table2[[#This Row],[product]],Ref[#All],2,FALSE)</f>
        <v>Flour Import Elngm 25Kg</v>
      </c>
      <c r="G492" t="str">
        <f>VLOOKUP(Table2[[#This Row],[product]],Ref[#All],3,FALSE)</f>
        <v>Flour Al-Nagm (Imported)</v>
      </c>
      <c r="H492" t="str">
        <f>VLOOKUP(Table2[[#This Row],[product]],Ref[#All],4,FALSE)</f>
        <v>Import</v>
      </c>
      <c r="I492" s="1">
        <v>45720</v>
      </c>
      <c r="J492" t="s">
        <v>53</v>
      </c>
      <c r="K492" t="s">
        <v>488</v>
      </c>
      <c r="L492" t="s">
        <v>1651</v>
      </c>
      <c r="M492" t="s">
        <v>1586</v>
      </c>
      <c r="N492" t="s">
        <v>784</v>
      </c>
      <c r="O492" t="s">
        <v>785</v>
      </c>
      <c r="P492" t="s">
        <v>788</v>
      </c>
      <c r="Q492" t="s">
        <v>55</v>
      </c>
      <c r="R492">
        <v>-1</v>
      </c>
      <c r="S492" s="15">
        <f>Table2[[#This Row],[movement_quantity]]/VLOOKUP(Table2[[#This Row],[product]],Ref[#All],5,FALSE)</f>
        <v>-2.5000000000000001E-2</v>
      </c>
      <c r="T492">
        <v>31777.27522</v>
      </c>
      <c r="U492" t="s">
        <v>17</v>
      </c>
      <c r="V492" t="s">
        <v>18</v>
      </c>
      <c r="W492" t="s">
        <v>489</v>
      </c>
      <c r="X492" t="s">
        <v>17</v>
      </c>
      <c r="Y492" t="s">
        <v>37</v>
      </c>
      <c r="Z492">
        <v>0</v>
      </c>
      <c r="AA492" s="2">
        <v>-31777.27522</v>
      </c>
      <c r="AB492" t="str">
        <f>VLOOKUP(Table2[[#This Row],[product]],Ref[#All],6,FALSE)</f>
        <v>BAG25</v>
      </c>
    </row>
    <row r="493" spans="1:28" x14ac:dyDescent="0.25">
      <c r="A493" t="str">
        <f>TEXT(Table2[[#This Row],[dated]],"mmm")</f>
        <v>Mar</v>
      </c>
      <c r="B493" t="s">
        <v>52</v>
      </c>
      <c r="C493" s="1" t="s">
        <v>536</v>
      </c>
      <c r="D493" t="str">
        <f>VLOOKUP(Table2[[#This Row],[product]],Ref[#All],7,FALSE)</f>
        <v>Flour</v>
      </c>
      <c r="E493" t="s">
        <v>36</v>
      </c>
      <c r="F493" t="str">
        <f>VLOOKUP(Table2[[#This Row],[product]],Ref[#All],2,FALSE)</f>
        <v>Flour Import Elngm 25Kg</v>
      </c>
      <c r="G493" t="str">
        <f>VLOOKUP(Table2[[#This Row],[product]],Ref[#All],3,FALSE)</f>
        <v>Flour Al-Nagm (Imported)</v>
      </c>
      <c r="H493" t="str">
        <f>VLOOKUP(Table2[[#This Row],[product]],Ref[#All],4,FALSE)</f>
        <v>Import</v>
      </c>
      <c r="I493" s="1">
        <v>45720</v>
      </c>
      <c r="J493" t="s">
        <v>53</v>
      </c>
      <c r="K493" t="s">
        <v>490</v>
      </c>
      <c r="L493" t="s">
        <v>1651</v>
      </c>
      <c r="M493" t="s">
        <v>1586</v>
      </c>
      <c r="N493" t="s">
        <v>784</v>
      </c>
      <c r="O493" t="s">
        <v>785</v>
      </c>
      <c r="P493" t="s">
        <v>788</v>
      </c>
      <c r="Q493" t="s">
        <v>55</v>
      </c>
      <c r="R493">
        <v>-1</v>
      </c>
      <c r="S493" s="15">
        <f>Table2[[#This Row],[movement_quantity]]/VLOOKUP(Table2[[#This Row],[product]],Ref[#All],5,FALSE)</f>
        <v>-2.5000000000000001E-2</v>
      </c>
      <c r="T493">
        <v>31777.27522</v>
      </c>
      <c r="U493" t="s">
        <v>17</v>
      </c>
      <c r="V493" t="s">
        <v>21</v>
      </c>
      <c r="W493" t="s">
        <v>491</v>
      </c>
      <c r="X493" t="s">
        <v>17</v>
      </c>
      <c r="Y493" t="s">
        <v>37</v>
      </c>
      <c r="Z493">
        <v>0</v>
      </c>
      <c r="AA493" s="2">
        <v>-31777.27522</v>
      </c>
      <c r="AB493" t="str">
        <f>VLOOKUP(Table2[[#This Row],[product]],Ref[#All],6,FALSE)</f>
        <v>BAG25</v>
      </c>
    </row>
    <row r="494" spans="1:28" x14ac:dyDescent="0.25">
      <c r="A494" t="str">
        <f>TEXT(Table2[[#This Row],[dated]],"mmm")</f>
        <v>Mar</v>
      </c>
      <c r="B494" t="s">
        <v>52</v>
      </c>
      <c r="C494" s="1" t="s">
        <v>536</v>
      </c>
      <c r="D494" t="str">
        <f>VLOOKUP(Table2[[#This Row],[product]],Ref[#All],7,FALSE)</f>
        <v>Flour</v>
      </c>
      <c r="E494" t="s">
        <v>36</v>
      </c>
      <c r="F494" t="str">
        <f>VLOOKUP(Table2[[#This Row],[product]],Ref[#All],2,FALSE)</f>
        <v>Flour Import Elngm 25Kg</v>
      </c>
      <c r="G494" t="str">
        <f>VLOOKUP(Table2[[#This Row],[product]],Ref[#All],3,FALSE)</f>
        <v>Flour Al-Nagm (Imported)</v>
      </c>
      <c r="H494" t="str">
        <f>VLOOKUP(Table2[[#This Row],[product]],Ref[#All],4,FALSE)</f>
        <v>Import</v>
      </c>
      <c r="I494" s="1">
        <v>45720</v>
      </c>
      <c r="J494" t="s">
        <v>53</v>
      </c>
      <c r="K494" t="s">
        <v>492</v>
      </c>
      <c r="L494" t="s">
        <v>1651</v>
      </c>
      <c r="M494" t="s">
        <v>1586</v>
      </c>
      <c r="N494" t="s">
        <v>784</v>
      </c>
      <c r="O494" t="s">
        <v>785</v>
      </c>
      <c r="P494" t="s">
        <v>788</v>
      </c>
      <c r="Q494" t="s">
        <v>55</v>
      </c>
      <c r="R494">
        <v>-1</v>
      </c>
      <c r="S494" s="15">
        <f>Table2[[#This Row],[movement_quantity]]/VLOOKUP(Table2[[#This Row],[product]],Ref[#All],5,FALSE)</f>
        <v>-2.5000000000000001E-2</v>
      </c>
      <c r="T494">
        <v>31777.27522</v>
      </c>
      <c r="U494" t="s">
        <v>17</v>
      </c>
      <c r="V494" t="s">
        <v>22</v>
      </c>
      <c r="W494" t="s">
        <v>493</v>
      </c>
      <c r="X494" t="s">
        <v>17</v>
      </c>
      <c r="Y494" t="s">
        <v>37</v>
      </c>
      <c r="Z494">
        <v>0</v>
      </c>
      <c r="AA494" s="2">
        <v>-31777.27522</v>
      </c>
      <c r="AB494" t="str">
        <f>VLOOKUP(Table2[[#This Row],[product]],Ref[#All],6,FALSE)</f>
        <v>BAG25</v>
      </c>
    </row>
    <row r="495" spans="1:28" x14ac:dyDescent="0.25">
      <c r="A495" t="str">
        <f>TEXT(Table2[[#This Row],[dated]],"mmm")</f>
        <v>Mar</v>
      </c>
      <c r="B495" t="s">
        <v>52</v>
      </c>
      <c r="C495" s="1" t="s">
        <v>536</v>
      </c>
      <c r="D495" t="str">
        <f>VLOOKUP(Table2[[#This Row],[product]],Ref[#All],7,FALSE)</f>
        <v>Flour</v>
      </c>
      <c r="E495" t="s">
        <v>36</v>
      </c>
      <c r="F495" t="str">
        <f>VLOOKUP(Table2[[#This Row],[product]],Ref[#All],2,FALSE)</f>
        <v>Flour Import Elngm 25Kg</v>
      </c>
      <c r="G495" t="str">
        <f>VLOOKUP(Table2[[#This Row],[product]],Ref[#All],3,FALSE)</f>
        <v>Flour Al-Nagm (Imported)</v>
      </c>
      <c r="H495" t="str">
        <f>VLOOKUP(Table2[[#This Row],[product]],Ref[#All],4,FALSE)</f>
        <v>Import</v>
      </c>
      <c r="I495" s="1">
        <v>45720</v>
      </c>
      <c r="J495" t="s">
        <v>53</v>
      </c>
      <c r="K495" t="s">
        <v>494</v>
      </c>
      <c r="L495" t="s">
        <v>1651</v>
      </c>
      <c r="M495" t="s">
        <v>1586</v>
      </c>
      <c r="N495" t="s">
        <v>784</v>
      </c>
      <c r="O495" t="s">
        <v>785</v>
      </c>
      <c r="P495" t="s">
        <v>788</v>
      </c>
      <c r="Q495" t="s">
        <v>55</v>
      </c>
      <c r="R495">
        <v>-2</v>
      </c>
      <c r="S495" s="15">
        <f>Table2[[#This Row],[movement_quantity]]/VLOOKUP(Table2[[#This Row],[product]],Ref[#All],5,FALSE)</f>
        <v>-0.05</v>
      </c>
      <c r="T495">
        <v>31777.27522</v>
      </c>
      <c r="U495" t="s">
        <v>17</v>
      </c>
      <c r="V495" t="s">
        <v>23</v>
      </c>
      <c r="W495" t="s">
        <v>495</v>
      </c>
      <c r="X495" t="s">
        <v>17</v>
      </c>
      <c r="Y495" t="s">
        <v>37</v>
      </c>
      <c r="Z495">
        <v>0</v>
      </c>
      <c r="AA495" s="2">
        <v>-63554.550439999999</v>
      </c>
      <c r="AB495" t="str">
        <f>VLOOKUP(Table2[[#This Row],[product]],Ref[#All],6,FALSE)</f>
        <v>BAG25</v>
      </c>
    </row>
    <row r="496" spans="1:28" x14ac:dyDescent="0.25">
      <c r="A496" t="str">
        <f>TEXT(Table2[[#This Row],[dated]],"mmm")</f>
        <v>Mar</v>
      </c>
      <c r="B496" t="s">
        <v>52</v>
      </c>
      <c r="C496" s="1" t="s">
        <v>536</v>
      </c>
      <c r="D496" t="str">
        <f>VLOOKUP(Table2[[#This Row],[product]],Ref[#All],7,FALSE)</f>
        <v>Flour</v>
      </c>
      <c r="E496" t="s">
        <v>36</v>
      </c>
      <c r="F496" t="str">
        <f>VLOOKUP(Table2[[#This Row],[product]],Ref[#All],2,FALSE)</f>
        <v>Flour Import Elngm 25Kg</v>
      </c>
      <c r="G496" t="str">
        <f>VLOOKUP(Table2[[#This Row],[product]],Ref[#All],3,FALSE)</f>
        <v>Flour Al-Nagm (Imported)</v>
      </c>
      <c r="H496" t="str">
        <f>VLOOKUP(Table2[[#This Row],[product]],Ref[#All],4,FALSE)</f>
        <v>Import</v>
      </c>
      <c r="I496" s="1">
        <v>45720</v>
      </c>
      <c r="J496" t="s">
        <v>53</v>
      </c>
      <c r="K496" t="s">
        <v>496</v>
      </c>
      <c r="L496" t="s">
        <v>1651</v>
      </c>
      <c r="M496" t="s">
        <v>1586</v>
      </c>
      <c r="N496" t="s">
        <v>784</v>
      </c>
      <c r="O496" t="s">
        <v>785</v>
      </c>
      <c r="P496" t="s">
        <v>788</v>
      </c>
      <c r="Q496" t="s">
        <v>55</v>
      </c>
      <c r="R496">
        <v>-13</v>
      </c>
      <c r="S496" s="15">
        <f>Table2[[#This Row],[movement_quantity]]/VLOOKUP(Table2[[#This Row],[product]],Ref[#All],5,FALSE)</f>
        <v>-0.32500000000000001</v>
      </c>
      <c r="T496">
        <v>31777.27522</v>
      </c>
      <c r="U496" t="s">
        <v>17</v>
      </c>
      <c r="V496" t="s">
        <v>24</v>
      </c>
      <c r="W496" t="s">
        <v>497</v>
      </c>
      <c r="X496" t="s">
        <v>17</v>
      </c>
      <c r="Y496" t="s">
        <v>37</v>
      </c>
      <c r="Z496">
        <v>0</v>
      </c>
      <c r="AA496" s="2">
        <v>-413104.57786000002</v>
      </c>
      <c r="AB496" t="str">
        <f>VLOOKUP(Table2[[#This Row],[product]],Ref[#All],6,FALSE)</f>
        <v>BAG25</v>
      </c>
    </row>
    <row r="497" spans="1:28" x14ac:dyDescent="0.25">
      <c r="A497" t="str">
        <f>TEXT(Table2[[#This Row],[dated]],"mmm")</f>
        <v>Mar</v>
      </c>
      <c r="B497" t="s">
        <v>52</v>
      </c>
      <c r="C497" s="1" t="s">
        <v>536</v>
      </c>
      <c r="D497" t="str">
        <f>VLOOKUP(Table2[[#This Row],[product]],Ref[#All],7,FALSE)</f>
        <v>Flour</v>
      </c>
      <c r="E497" t="s">
        <v>36</v>
      </c>
      <c r="F497" t="str">
        <f>VLOOKUP(Table2[[#This Row],[product]],Ref[#All],2,FALSE)</f>
        <v>Flour Import Elngm 25Kg</v>
      </c>
      <c r="G497" t="str">
        <f>VLOOKUP(Table2[[#This Row],[product]],Ref[#All],3,FALSE)</f>
        <v>Flour Al-Nagm (Imported)</v>
      </c>
      <c r="H497" t="str">
        <f>VLOOKUP(Table2[[#This Row],[product]],Ref[#All],4,FALSE)</f>
        <v>Import</v>
      </c>
      <c r="I497" s="1">
        <v>45720</v>
      </c>
      <c r="J497" t="s">
        <v>53</v>
      </c>
      <c r="K497" t="s">
        <v>498</v>
      </c>
      <c r="L497" t="s">
        <v>1651</v>
      </c>
      <c r="M497" t="s">
        <v>1586</v>
      </c>
      <c r="N497" t="s">
        <v>784</v>
      </c>
      <c r="O497" t="s">
        <v>785</v>
      </c>
      <c r="P497" t="s">
        <v>788</v>
      </c>
      <c r="Q497" t="s">
        <v>55</v>
      </c>
      <c r="R497">
        <v>-2</v>
      </c>
      <c r="S497" s="15">
        <f>Table2[[#This Row],[movement_quantity]]/VLOOKUP(Table2[[#This Row],[product]],Ref[#All],5,FALSE)</f>
        <v>-0.05</v>
      </c>
      <c r="T497">
        <v>31777.27522</v>
      </c>
      <c r="U497" t="s">
        <v>17</v>
      </c>
      <c r="V497" t="s">
        <v>25</v>
      </c>
      <c r="W497" t="s">
        <v>499</v>
      </c>
      <c r="X497" t="s">
        <v>17</v>
      </c>
      <c r="Y497" t="s">
        <v>37</v>
      </c>
      <c r="Z497">
        <v>0</v>
      </c>
      <c r="AA497" s="2">
        <v>-63554.550439999999</v>
      </c>
      <c r="AB497" t="str">
        <f>VLOOKUP(Table2[[#This Row],[product]],Ref[#All],6,FALSE)</f>
        <v>BAG25</v>
      </c>
    </row>
    <row r="498" spans="1:28" x14ac:dyDescent="0.25">
      <c r="A498" t="str">
        <f>TEXT(Table2[[#This Row],[dated]],"mmm")</f>
        <v>Mar</v>
      </c>
      <c r="B498" t="s">
        <v>52</v>
      </c>
      <c r="C498" s="1" t="s">
        <v>536</v>
      </c>
      <c r="D498" t="str">
        <f>VLOOKUP(Table2[[#This Row],[product]],Ref[#All],7,FALSE)</f>
        <v>Flour</v>
      </c>
      <c r="E498" t="s">
        <v>36</v>
      </c>
      <c r="F498" t="str">
        <f>VLOOKUP(Table2[[#This Row],[product]],Ref[#All],2,FALSE)</f>
        <v>Flour Import Elngm 25Kg</v>
      </c>
      <c r="G498" t="str">
        <f>VLOOKUP(Table2[[#This Row],[product]],Ref[#All],3,FALSE)</f>
        <v>Flour Al-Nagm (Imported)</v>
      </c>
      <c r="H498" t="str">
        <f>VLOOKUP(Table2[[#This Row],[product]],Ref[#All],4,FALSE)</f>
        <v>Import</v>
      </c>
      <c r="I498" s="1">
        <v>45720</v>
      </c>
      <c r="J498" t="s">
        <v>53</v>
      </c>
      <c r="K498" t="s">
        <v>500</v>
      </c>
      <c r="L498" t="s">
        <v>1651</v>
      </c>
      <c r="M498" t="s">
        <v>1586</v>
      </c>
      <c r="N498" t="s">
        <v>784</v>
      </c>
      <c r="O498" t="s">
        <v>785</v>
      </c>
      <c r="P498" t="s">
        <v>788</v>
      </c>
      <c r="Q498" t="s">
        <v>55</v>
      </c>
      <c r="R498">
        <v>-5</v>
      </c>
      <c r="S498" s="15">
        <f>Table2[[#This Row],[movement_quantity]]/VLOOKUP(Table2[[#This Row],[product]],Ref[#All],5,FALSE)</f>
        <v>-0.125</v>
      </c>
      <c r="T498">
        <v>31777.27522</v>
      </c>
      <c r="U498" t="s">
        <v>17</v>
      </c>
      <c r="V498" t="s">
        <v>26</v>
      </c>
      <c r="W498" t="s">
        <v>501</v>
      </c>
      <c r="X498" t="s">
        <v>17</v>
      </c>
      <c r="Y498" t="s">
        <v>37</v>
      </c>
      <c r="Z498">
        <v>0</v>
      </c>
      <c r="AA498" s="2">
        <v>-158886.37609999999</v>
      </c>
      <c r="AB498" t="str">
        <f>VLOOKUP(Table2[[#This Row],[product]],Ref[#All],6,FALSE)</f>
        <v>BAG25</v>
      </c>
    </row>
    <row r="499" spans="1:28" x14ac:dyDescent="0.25">
      <c r="A499" t="str">
        <f>TEXT(Table2[[#This Row],[dated]],"mmm")</f>
        <v>Mar</v>
      </c>
      <c r="B499" t="s">
        <v>52</v>
      </c>
      <c r="C499" s="1" t="s">
        <v>536</v>
      </c>
      <c r="D499" t="str">
        <f>VLOOKUP(Table2[[#This Row],[product]],Ref[#All],7,FALSE)</f>
        <v>Flour</v>
      </c>
      <c r="E499" t="s">
        <v>36</v>
      </c>
      <c r="F499" t="str">
        <f>VLOOKUP(Table2[[#This Row],[product]],Ref[#All],2,FALSE)</f>
        <v>Flour Import Elngm 25Kg</v>
      </c>
      <c r="G499" t="str">
        <f>VLOOKUP(Table2[[#This Row],[product]],Ref[#All],3,FALSE)</f>
        <v>Flour Al-Nagm (Imported)</v>
      </c>
      <c r="H499" t="str">
        <f>VLOOKUP(Table2[[#This Row],[product]],Ref[#All],4,FALSE)</f>
        <v>Import</v>
      </c>
      <c r="I499" s="1">
        <v>45720</v>
      </c>
      <c r="J499" t="s">
        <v>53</v>
      </c>
      <c r="K499" t="s">
        <v>502</v>
      </c>
      <c r="L499" t="s">
        <v>1651</v>
      </c>
      <c r="M499" t="s">
        <v>1586</v>
      </c>
      <c r="N499" t="s">
        <v>784</v>
      </c>
      <c r="O499" t="s">
        <v>785</v>
      </c>
      <c r="P499" t="s">
        <v>788</v>
      </c>
      <c r="Q499" t="s">
        <v>55</v>
      </c>
      <c r="R499">
        <v>-1</v>
      </c>
      <c r="S499" s="15">
        <f>Table2[[#This Row],[movement_quantity]]/VLOOKUP(Table2[[#This Row],[product]],Ref[#All],5,FALSE)</f>
        <v>-2.5000000000000001E-2</v>
      </c>
      <c r="T499">
        <v>31777.27522</v>
      </c>
      <c r="U499" t="s">
        <v>17</v>
      </c>
      <c r="V499" t="s">
        <v>27</v>
      </c>
      <c r="W499" t="s">
        <v>503</v>
      </c>
      <c r="X499" t="s">
        <v>17</v>
      </c>
      <c r="Y499" t="s">
        <v>37</v>
      </c>
      <c r="Z499">
        <v>0</v>
      </c>
      <c r="AA499" s="2">
        <v>-31777.27522</v>
      </c>
      <c r="AB499" t="str">
        <f>VLOOKUP(Table2[[#This Row],[product]],Ref[#All],6,FALSE)</f>
        <v>BAG25</v>
      </c>
    </row>
    <row r="500" spans="1:28" x14ac:dyDescent="0.25">
      <c r="A500" t="str">
        <f>TEXT(Table2[[#This Row],[dated]],"mmm")</f>
        <v>Mar</v>
      </c>
      <c r="B500" t="s">
        <v>52</v>
      </c>
      <c r="C500" s="1" t="s">
        <v>536</v>
      </c>
      <c r="D500" t="str">
        <f>VLOOKUP(Table2[[#This Row],[product]],Ref[#All],7,FALSE)</f>
        <v>Flour</v>
      </c>
      <c r="E500" t="s">
        <v>36</v>
      </c>
      <c r="F500" t="str">
        <f>VLOOKUP(Table2[[#This Row],[product]],Ref[#All],2,FALSE)</f>
        <v>Flour Import Elngm 25Kg</v>
      </c>
      <c r="G500" t="str">
        <f>VLOOKUP(Table2[[#This Row],[product]],Ref[#All],3,FALSE)</f>
        <v>Flour Al-Nagm (Imported)</v>
      </c>
      <c r="H500" t="str">
        <f>VLOOKUP(Table2[[#This Row],[product]],Ref[#All],4,FALSE)</f>
        <v>Import</v>
      </c>
      <c r="I500" s="1">
        <v>45720</v>
      </c>
      <c r="J500" t="s">
        <v>53</v>
      </c>
      <c r="K500" t="s">
        <v>504</v>
      </c>
      <c r="L500" t="s">
        <v>1651</v>
      </c>
      <c r="M500" t="s">
        <v>1586</v>
      </c>
      <c r="N500" t="s">
        <v>784</v>
      </c>
      <c r="O500" t="s">
        <v>785</v>
      </c>
      <c r="P500" t="s">
        <v>788</v>
      </c>
      <c r="Q500" t="s">
        <v>55</v>
      </c>
      <c r="R500">
        <v>-2</v>
      </c>
      <c r="S500" s="15">
        <f>Table2[[#This Row],[movement_quantity]]/VLOOKUP(Table2[[#This Row],[product]],Ref[#All],5,FALSE)</f>
        <v>-0.05</v>
      </c>
      <c r="T500">
        <v>31777.27522</v>
      </c>
      <c r="U500" t="s">
        <v>17</v>
      </c>
      <c r="V500" t="s">
        <v>28</v>
      </c>
      <c r="W500" t="s">
        <v>505</v>
      </c>
      <c r="X500" t="s">
        <v>17</v>
      </c>
      <c r="Y500" t="s">
        <v>37</v>
      </c>
      <c r="Z500">
        <v>0</v>
      </c>
      <c r="AA500" s="2">
        <v>-63554.550439999999</v>
      </c>
      <c r="AB500" t="str">
        <f>VLOOKUP(Table2[[#This Row],[product]],Ref[#All],6,FALSE)</f>
        <v>BAG25</v>
      </c>
    </row>
    <row r="501" spans="1:28" x14ac:dyDescent="0.25">
      <c r="A501" t="str">
        <f>TEXT(Table2[[#This Row],[dated]],"mmm")</f>
        <v>Mar</v>
      </c>
      <c r="B501" t="s">
        <v>52</v>
      </c>
      <c r="C501" s="1" t="s">
        <v>536</v>
      </c>
      <c r="D501" t="str">
        <f>VLOOKUP(Table2[[#This Row],[product]],Ref[#All],7,FALSE)</f>
        <v>Flour</v>
      </c>
      <c r="E501" t="s">
        <v>36</v>
      </c>
      <c r="F501" t="str">
        <f>VLOOKUP(Table2[[#This Row],[product]],Ref[#All],2,FALSE)</f>
        <v>Flour Import Elngm 25Kg</v>
      </c>
      <c r="G501" t="str">
        <f>VLOOKUP(Table2[[#This Row],[product]],Ref[#All],3,FALSE)</f>
        <v>Flour Al-Nagm (Imported)</v>
      </c>
      <c r="H501" t="str">
        <f>VLOOKUP(Table2[[#This Row],[product]],Ref[#All],4,FALSE)</f>
        <v>Import</v>
      </c>
      <c r="I501" s="1">
        <v>45720</v>
      </c>
      <c r="J501" t="s">
        <v>53</v>
      </c>
      <c r="K501" t="s">
        <v>506</v>
      </c>
      <c r="L501" t="s">
        <v>1651</v>
      </c>
      <c r="M501" t="s">
        <v>1586</v>
      </c>
      <c r="N501" t="s">
        <v>784</v>
      </c>
      <c r="O501" t="s">
        <v>785</v>
      </c>
      <c r="P501" t="s">
        <v>788</v>
      </c>
      <c r="Q501" t="s">
        <v>55</v>
      </c>
      <c r="R501">
        <v>-1</v>
      </c>
      <c r="S501" s="15">
        <f>Table2[[#This Row],[movement_quantity]]/VLOOKUP(Table2[[#This Row],[product]],Ref[#All],5,FALSE)</f>
        <v>-2.5000000000000001E-2</v>
      </c>
      <c r="T501">
        <v>31777.27522</v>
      </c>
      <c r="U501" t="s">
        <v>17</v>
      </c>
      <c r="V501" t="s">
        <v>29</v>
      </c>
      <c r="W501" t="s">
        <v>507</v>
      </c>
      <c r="X501" t="s">
        <v>17</v>
      </c>
      <c r="Y501" t="s">
        <v>37</v>
      </c>
      <c r="Z501">
        <v>0</v>
      </c>
      <c r="AA501" s="2">
        <v>-31777.27522</v>
      </c>
      <c r="AB501" t="str">
        <f>VLOOKUP(Table2[[#This Row],[product]],Ref[#All],6,FALSE)</f>
        <v>BAG25</v>
      </c>
    </row>
    <row r="502" spans="1:28" x14ac:dyDescent="0.25">
      <c r="A502" t="str">
        <f>TEXT(Table2[[#This Row],[dated]],"mmm")</f>
        <v>Mar</v>
      </c>
      <c r="B502" t="s">
        <v>52</v>
      </c>
      <c r="C502" s="1" t="s">
        <v>536</v>
      </c>
      <c r="D502" t="str">
        <f>VLOOKUP(Table2[[#This Row],[product]],Ref[#All],7,FALSE)</f>
        <v>Lentils</v>
      </c>
      <c r="E502" t="s">
        <v>39</v>
      </c>
      <c r="F502" t="str">
        <f>VLOOKUP(Table2[[#This Row],[product]],Ref[#All],2,FALSE)</f>
        <v>Lentil TAT 20KG</v>
      </c>
      <c r="G502" t="str">
        <f>VLOOKUP(Table2[[#This Row],[product]],Ref[#All],3,FALSE)</f>
        <v>Lentils</v>
      </c>
      <c r="H502" t="str">
        <f>VLOOKUP(Table2[[#This Row],[product]],Ref[#All],4,FALSE)</f>
        <v>Import</v>
      </c>
      <c r="I502" s="1">
        <v>45720</v>
      </c>
      <c r="J502" t="s">
        <v>53</v>
      </c>
      <c r="K502" t="s">
        <v>508</v>
      </c>
      <c r="L502" t="s">
        <v>1651</v>
      </c>
      <c r="M502" t="s">
        <v>1586</v>
      </c>
      <c r="N502" t="s">
        <v>784</v>
      </c>
      <c r="O502" t="s">
        <v>785</v>
      </c>
      <c r="P502" t="s">
        <v>788</v>
      </c>
      <c r="Q502" t="s">
        <v>55</v>
      </c>
      <c r="R502">
        <v>-6</v>
      </c>
      <c r="S502" s="15">
        <f>Table2[[#This Row],[movement_quantity]]/VLOOKUP(Table2[[#This Row],[product]],Ref[#All],5,FALSE)</f>
        <v>-0.12</v>
      </c>
      <c r="T502">
        <v>50018.234799999998</v>
      </c>
      <c r="U502" t="s">
        <v>17</v>
      </c>
      <c r="V502" t="s">
        <v>22</v>
      </c>
      <c r="W502" t="s">
        <v>509</v>
      </c>
      <c r="X502" t="s">
        <v>17</v>
      </c>
      <c r="Y502" t="s">
        <v>144</v>
      </c>
      <c r="Z502">
        <v>0</v>
      </c>
      <c r="AA502" s="2">
        <v>-300109.40879999998</v>
      </c>
      <c r="AB502" t="str">
        <f>VLOOKUP(Table2[[#This Row],[product]],Ref[#All],6,FALSE)</f>
        <v>BAG20</v>
      </c>
    </row>
    <row r="503" spans="1:28" x14ac:dyDescent="0.25">
      <c r="A503" t="str">
        <f>TEXT(Table2[[#This Row],[dated]],"mmm")</f>
        <v>Mar</v>
      </c>
      <c r="B503" t="s">
        <v>52</v>
      </c>
      <c r="C503" s="1" t="s">
        <v>536</v>
      </c>
      <c r="D503" t="str">
        <f>VLOOKUP(Table2[[#This Row],[product]],Ref[#All],7,FALSE)</f>
        <v>Lentils</v>
      </c>
      <c r="E503" t="s">
        <v>39</v>
      </c>
      <c r="F503" t="str">
        <f>VLOOKUP(Table2[[#This Row],[product]],Ref[#All],2,FALSE)</f>
        <v>Lentil TAT 20KG</v>
      </c>
      <c r="G503" t="str">
        <f>VLOOKUP(Table2[[#This Row],[product]],Ref[#All],3,FALSE)</f>
        <v>Lentils</v>
      </c>
      <c r="H503" t="str">
        <f>VLOOKUP(Table2[[#This Row],[product]],Ref[#All],4,FALSE)</f>
        <v>Import</v>
      </c>
      <c r="I503" s="1">
        <v>45720</v>
      </c>
      <c r="J503" t="s">
        <v>53</v>
      </c>
      <c r="K503" t="s">
        <v>510</v>
      </c>
      <c r="L503" t="s">
        <v>1651</v>
      </c>
      <c r="M503" t="s">
        <v>1586</v>
      </c>
      <c r="N503" t="s">
        <v>784</v>
      </c>
      <c r="O503" t="s">
        <v>785</v>
      </c>
      <c r="P503" t="s">
        <v>788</v>
      </c>
      <c r="Q503" t="s">
        <v>55</v>
      </c>
      <c r="R503">
        <v>-2</v>
      </c>
      <c r="S503" s="15">
        <f>Table2[[#This Row],[movement_quantity]]/VLOOKUP(Table2[[#This Row],[product]],Ref[#All],5,FALSE)</f>
        <v>-0.04</v>
      </c>
      <c r="T503">
        <v>50018.234799999998</v>
      </c>
      <c r="U503" t="s">
        <v>17</v>
      </c>
      <c r="V503" t="s">
        <v>23</v>
      </c>
      <c r="W503" t="s">
        <v>511</v>
      </c>
      <c r="X503" t="s">
        <v>17</v>
      </c>
      <c r="Y503" t="s">
        <v>144</v>
      </c>
      <c r="Z503">
        <v>0</v>
      </c>
      <c r="AA503" s="2">
        <v>-100036.4696</v>
      </c>
      <c r="AB503" t="str">
        <f>VLOOKUP(Table2[[#This Row],[product]],Ref[#All],6,FALSE)</f>
        <v>BAG20</v>
      </c>
    </row>
    <row r="504" spans="1:28" x14ac:dyDescent="0.25">
      <c r="A504" t="str">
        <f>TEXT(Table2[[#This Row],[dated]],"mmm")</f>
        <v>Mar</v>
      </c>
      <c r="B504" t="s">
        <v>52</v>
      </c>
      <c r="C504" s="1" t="s">
        <v>536</v>
      </c>
      <c r="D504" t="str">
        <f>VLOOKUP(Table2[[#This Row],[product]],Ref[#All],7,FALSE)</f>
        <v>Lentils</v>
      </c>
      <c r="E504" t="s">
        <v>39</v>
      </c>
      <c r="F504" t="str">
        <f>VLOOKUP(Table2[[#This Row],[product]],Ref[#All],2,FALSE)</f>
        <v>Lentil TAT 20KG</v>
      </c>
      <c r="G504" t="str">
        <f>VLOOKUP(Table2[[#This Row],[product]],Ref[#All],3,FALSE)</f>
        <v>Lentils</v>
      </c>
      <c r="H504" t="str">
        <f>VLOOKUP(Table2[[#This Row],[product]],Ref[#All],4,FALSE)</f>
        <v>Import</v>
      </c>
      <c r="I504" s="1">
        <v>45720</v>
      </c>
      <c r="J504" t="s">
        <v>53</v>
      </c>
      <c r="K504" t="s">
        <v>512</v>
      </c>
      <c r="L504" t="s">
        <v>1651</v>
      </c>
      <c r="M504" t="s">
        <v>1586</v>
      </c>
      <c r="N504" t="s">
        <v>784</v>
      </c>
      <c r="O504" t="s">
        <v>785</v>
      </c>
      <c r="P504" t="s">
        <v>788</v>
      </c>
      <c r="Q504" t="s">
        <v>55</v>
      </c>
      <c r="R504">
        <v>-2</v>
      </c>
      <c r="S504" s="15">
        <f>Table2[[#This Row],[movement_quantity]]/VLOOKUP(Table2[[#This Row],[product]],Ref[#All],5,FALSE)</f>
        <v>-0.04</v>
      </c>
      <c r="T504">
        <v>50018.234799999998</v>
      </c>
      <c r="U504" t="s">
        <v>17</v>
      </c>
      <c r="V504" t="s">
        <v>24</v>
      </c>
      <c r="W504" t="s">
        <v>513</v>
      </c>
      <c r="X504" t="s">
        <v>17</v>
      </c>
      <c r="Y504" t="s">
        <v>144</v>
      </c>
      <c r="Z504">
        <v>0</v>
      </c>
      <c r="AA504" s="2">
        <v>-100036.4696</v>
      </c>
      <c r="AB504" t="str">
        <f>VLOOKUP(Table2[[#This Row],[product]],Ref[#All],6,FALSE)</f>
        <v>BAG20</v>
      </c>
    </row>
    <row r="505" spans="1:28" x14ac:dyDescent="0.25">
      <c r="A505" t="str">
        <f>TEXT(Table2[[#This Row],[dated]],"mmm")</f>
        <v>Mar</v>
      </c>
      <c r="B505" t="s">
        <v>52</v>
      </c>
      <c r="C505" s="1" t="s">
        <v>536</v>
      </c>
      <c r="D505" t="str">
        <f>VLOOKUP(Table2[[#This Row],[product]],Ref[#All],7,FALSE)</f>
        <v>Sugar</v>
      </c>
      <c r="E505" t="s">
        <v>16</v>
      </c>
      <c r="F505" t="str">
        <f>VLOOKUP(Table2[[#This Row],[product]],Ref[#All],2,FALSE)</f>
        <v>White Sugar</v>
      </c>
      <c r="G505" t="str">
        <f>VLOOKUP(Table2[[#This Row],[product]],Ref[#All],3,FALSE)</f>
        <v>White Sugar</v>
      </c>
      <c r="H505" t="str">
        <f>VLOOKUP(Table2[[#This Row],[product]],Ref[#All],4,FALSE)</f>
        <v>Import</v>
      </c>
      <c r="I505" s="1">
        <v>45720</v>
      </c>
      <c r="J505" t="s">
        <v>53</v>
      </c>
      <c r="K505" t="s">
        <v>514</v>
      </c>
      <c r="L505" t="s">
        <v>1651</v>
      </c>
      <c r="M505" t="s">
        <v>1586</v>
      </c>
      <c r="N505" t="s">
        <v>784</v>
      </c>
      <c r="O505" t="s">
        <v>785</v>
      </c>
      <c r="P505" t="s">
        <v>788</v>
      </c>
      <c r="Q505" t="s">
        <v>55</v>
      </c>
      <c r="R505">
        <v>-2</v>
      </c>
      <c r="S505" s="15">
        <f>Table2[[#This Row],[movement_quantity]]/VLOOKUP(Table2[[#This Row],[product]],Ref[#All],5,FALSE)</f>
        <v>-0.1</v>
      </c>
      <c r="T505">
        <v>81012.933590000001</v>
      </c>
      <c r="U505" t="s">
        <v>17</v>
      </c>
      <c r="V505" t="s">
        <v>25</v>
      </c>
      <c r="W505" t="s">
        <v>515</v>
      </c>
      <c r="X505" t="s">
        <v>17</v>
      </c>
      <c r="Y505" t="s">
        <v>19</v>
      </c>
      <c r="Z505">
        <v>0</v>
      </c>
      <c r="AA505" s="2">
        <v>-162025.86718</v>
      </c>
      <c r="AB505" t="str">
        <f>VLOOKUP(Table2[[#This Row],[product]],Ref[#All],6,FALSE)</f>
        <v>BAG50</v>
      </c>
    </row>
    <row r="506" spans="1:28" x14ac:dyDescent="0.25">
      <c r="A506" t="str">
        <f>TEXT(Table2[[#This Row],[dated]],"mmm")</f>
        <v>Mar</v>
      </c>
      <c r="B506" t="s">
        <v>15</v>
      </c>
      <c r="C506" s="1" t="s">
        <v>536</v>
      </c>
      <c r="D506" t="str">
        <f>VLOOKUP(Table2[[#This Row],[product]],Ref[#All],7,FALSE)</f>
        <v>Sugar</v>
      </c>
      <c r="E506" t="s">
        <v>16</v>
      </c>
      <c r="F506" t="str">
        <f>VLOOKUP(Table2[[#This Row],[product]],Ref[#All],2,FALSE)</f>
        <v>White Sugar</v>
      </c>
      <c r="G506" t="str">
        <f>VLOOKUP(Table2[[#This Row],[product]],Ref[#All],3,FALSE)</f>
        <v>White Sugar</v>
      </c>
      <c r="H506" t="str">
        <f>VLOOKUP(Table2[[#This Row],[product]],Ref[#All],4,FALSE)</f>
        <v>Import</v>
      </c>
      <c r="I506" s="1">
        <v>45720</v>
      </c>
      <c r="J506" t="s">
        <v>53</v>
      </c>
      <c r="K506" t="s">
        <v>516</v>
      </c>
      <c r="L506" t="s">
        <v>1651</v>
      </c>
      <c r="M506" t="s">
        <v>1586</v>
      </c>
      <c r="N506" t="s">
        <v>784</v>
      </c>
      <c r="O506" t="s">
        <v>785</v>
      </c>
      <c r="P506" t="s">
        <v>788</v>
      </c>
      <c r="Q506" t="s">
        <v>55</v>
      </c>
      <c r="R506">
        <v>-2</v>
      </c>
      <c r="S506" s="15">
        <f>Table2[[#This Row],[movement_quantity]]/VLOOKUP(Table2[[#This Row],[product]],Ref[#All],5,FALSE)</f>
        <v>-0.1</v>
      </c>
      <c r="T506">
        <v>81012.933590000001</v>
      </c>
      <c r="U506" t="s">
        <v>17</v>
      </c>
      <c r="V506" t="s">
        <v>18</v>
      </c>
      <c r="W506" t="s">
        <v>517</v>
      </c>
      <c r="X506" t="s">
        <v>17</v>
      </c>
      <c r="Y506" t="s">
        <v>19</v>
      </c>
      <c r="Z506">
        <v>0</v>
      </c>
      <c r="AA506" s="2">
        <v>-162025.86718</v>
      </c>
      <c r="AB506" t="str">
        <f>VLOOKUP(Table2[[#This Row],[product]],Ref[#All],6,FALSE)</f>
        <v>BAG50</v>
      </c>
    </row>
    <row r="507" spans="1:28" x14ac:dyDescent="0.25">
      <c r="A507" t="str">
        <f>TEXT(Table2[[#This Row],[dated]],"mmm")</f>
        <v>Mar</v>
      </c>
      <c r="B507" t="s">
        <v>46</v>
      </c>
      <c r="C507" s="1" t="s">
        <v>536</v>
      </c>
      <c r="D507" t="str">
        <f>VLOOKUP(Table2[[#This Row],[product]],Ref[#All],7,FALSE)</f>
        <v>Flour</v>
      </c>
      <c r="E507" t="s">
        <v>36</v>
      </c>
      <c r="F507" t="str">
        <f>VLOOKUP(Table2[[#This Row],[product]],Ref[#All],2,FALSE)</f>
        <v>Flour Import Elngm 25Kg</v>
      </c>
      <c r="G507" t="str">
        <f>VLOOKUP(Table2[[#This Row],[product]],Ref[#All],3,FALSE)</f>
        <v>Flour Al-Nagm (Imported)</v>
      </c>
      <c r="H507" t="str">
        <f>VLOOKUP(Table2[[#This Row],[product]],Ref[#All],4,FALSE)</f>
        <v>Import</v>
      </c>
      <c r="I507" s="1">
        <v>45720</v>
      </c>
      <c r="J507" t="s">
        <v>53</v>
      </c>
      <c r="K507" t="s">
        <v>518</v>
      </c>
      <c r="L507" t="s">
        <v>1651</v>
      </c>
      <c r="M507" t="s">
        <v>1586</v>
      </c>
      <c r="N507" t="s">
        <v>784</v>
      </c>
      <c r="O507" t="s">
        <v>785</v>
      </c>
      <c r="P507" t="s">
        <v>788</v>
      </c>
      <c r="Q507" t="s">
        <v>55</v>
      </c>
      <c r="R507">
        <v>-1</v>
      </c>
      <c r="S507" s="15">
        <f>Table2[[#This Row],[movement_quantity]]/VLOOKUP(Table2[[#This Row],[product]],Ref[#All],5,FALSE)</f>
        <v>-2.5000000000000001E-2</v>
      </c>
      <c r="T507">
        <v>31777.27522</v>
      </c>
      <c r="U507" t="s">
        <v>17</v>
      </c>
      <c r="V507" t="s">
        <v>18</v>
      </c>
      <c r="W507" t="s">
        <v>519</v>
      </c>
      <c r="X507" t="s">
        <v>17</v>
      </c>
      <c r="Y507" t="s">
        <v>157</v>
      </c>
      <c r="Z507">
        <v>0</v>
      </c>
      <c r="AA507" s="2">
        <v>-31777.27522</v>
      </c>
      <c r="AB507" t="str">
        <f>VLOOKUP(Table2[[#This Row],[product]],Ref[#All],6,FALSE)</f>
        <v>BAG25</v>
      </c>
    </row>
    <row r="508" spans="1:28" x14ac:dyDescent="0.25">
      <c r="A508" t="str">
        <f>TEXT(Table2[[#This Row],[dated]],"mmm")</f>
        <v>Mar</v>
      </c>
      <c r="B508" t="s">
        <v>46</v>
      </c>
      <c r="C508" s="1" t="s">
        <v>536</v>
      </c>
      <c r="D508" t="str">
        <f>VLOOKUP(Table2[[#This Row],[product]],Ref[#All],7,FALSE)</f>
        <v>Flour</v>
      </c>
      <c r="E508" t="s">
        <v>36</v>
      </c>
      <c r="F508" t="str">
        <f>VLOOKUP(Table2[[#This Row],[product]],Ref[#All],2,FALSE)</f>
        <v>Flour Import Elngm 25Kg</v>
      </c>
      <c r="G508" t="str">
        <f>VLOOKUP(Table2[[#This Row],[product]],Ref[#All],3,FALSE)</f>
        <v>Flour Al-Nagm (Imported)</v>
      </c>
      <c r="H508" t="str">
        <f>VLOOKUP(Table2[[#This Row],[product]],Ref[#All],4,FALSE)</f>
        <v>Import</v>
      </c>
      <c r="I508" s="1">
        <v>45720</v>
      </c>
      <c r="J508" t="s">
        <v>53</v>
      </c>
      <c r="K508" t="s">
        <v>520</v>
      </c>
      <c r="L508" t="s">
        <v>1651</v>
      </c>
      <c r="M508" t="s">
        <v>1586</v>
      </c>
      <c r="N508" t="s">
        <v>784</v>
      </c>
      <c r="O508" t="s">
        <v>785</v>
      </c>
      <c r="P508" t="s">
        <v>788</v>
      </c>
      <c r="Q508" t="s">
        <v>55</v>
      </c>
      <c r="R508">
        <v>-1</v>
      </c>
      <c r="S508" s="15">
        <f>Table2[[#This Row],[movement_quantity]]/VLOOKUP(Table2[[#This Row],[product]],Ref[#All],5,FALSE)</f>
        <v>-2.5000000000000001E-2</v>
      </c>
      <c r="T508">
        <v>31777.27522</v>
      </c>
      <c r="U508" t="s">
        <v>17</v>
      </c>
      <c r="V508" t="s">
        <v>21</v>
      </c>
      <c r="W508" t="s">
        <v>521</v>
      </c>
      <c r="X508" t="s">
        <v>17</v>
      </c>
      <c r="Y508" t="s">
        <v>157</v>
      </c>
      <c r="Z508">
        <v>0</v>
      </c>
      <c r="AA508" s="2">
        <v>-31777.27522</v>
      </c>
      <c r="AB508" t="str">
        <f>VLOOKUP(Table2[[#This Row],[product]],Ref[#All],6,FALSE)</f>
        <v>BAG25</v>
      </c>
    </row>
    <row r="509" spans="1:28" x14ac:dyDescent="0.25">
      <c r="A509" t="str">
        <f>TEXT(Table2[[#This Row],[dated]],"mmm")</f>
        <v>Mar</v>
      </c>
      <c r="B509" t="s">
        <v>46</v>
      </c>
      <c r="C509" s="1" t="s">
        <v>536</v>
      </c>
      <c r="D509" t="str">
        <f>VLOOKUP(Table2[[#This Row],[product]],Ref[#All],7,FALSE)</f>
        <v>Rice</v>
      </c>
      <c r="E509" t="s">
        <v>45</v>
      </c>
      <c r="F509" t="str">
        <f>VLOOKUP(Table2[[#This Row],[product]],Ref[#All],2,FALSE)</f>
        <v>Rice Short Grain Elngm 25Kg</v>
      </c>
      <c r="G509" t="str">
        <f>VLOOKUP(Table2[[#This Row],[product]],Ref[#All],3,FALSE)</f>
        <v>Rice Short Grain</v>
      </c>
      <c r="H509" t="str">
        <f>VLOOKUP(Table2[[#This Row],[product]],Ref[#All],4,FALSE)</f>
        <v>Import</v>
      </c>
      <c r="I509" s="1">
        <v>45720</v>
      </c>
      <c r="J509" t="s">
        <v>53</v>
      </c>
      <c r="K509" t="s">
        <v>522</v>
      </c>
      <c r="L509" t="s">
        <v>1651</v>
      </c>
      <c r="M509" t="s">
        <v>1586</v>
      </c>
      <c r="N509" t="s">
        <v>784</v>
      </c>
      <c r="O509" t="s">
        <v>785</v>
      </c>
      <c r="P509" t="s">
        <v>788</v>
      </c>
      <c r="Q509" t="s">
        <v>55</v>
      </c>
      <c r="R509">
        <v>-6</v>
      </c>
      <c r="S509" s="15">
        <f>Table2[[#This Row],[movement_quantity]]/VLOOKUP(Table2[[#This Row],[product]],Ref[#All],5,FALSE)</f>
        <v>-0.15</v>
      </c>
      <c r="T509">
        <v>50522.55</v>
      </c>
      <c r="U509" t="s">
        <v>17</v>
      </c>
      <c r="V509" t="s">
        <v>18</v>
      </c>
      <c r="W509" t="s">
        <v>523</v>
      </c>
      <c r="X509" t="s">
        <v>17</v>
      </c>
      <c r="Y509" t="s">
        <v>145</v>
      </c>
      <c r="Z509">
        <v>0</v>
      </c>
      <c r="AA509" s="2">
        <v>-303135.30000000005</v>
      </c>
      <c r="AB509" t="str">
        <f>VLOOKUP(Table2[[#This Row],[product]],Ref[#All],6,FALSE)</f>
        <v>BAG25</v>
      </c>
    </row>
    <row r="510" spans="1:28" x14ac:dyDescent="0.25">
      <c r="A510" t="str">
        <f>TEXT(Table2[[#This Row],[dated]],"mmm")</f>
        <v>Mar</v>
      </c>
      <c r="B510" t="s">
        <v>46</v>
      </c>
      <c r="C510" s="1" t="s">
        <v>536</v>
      </c>
      <c r="D510" t="str">
        <f>VLOOKUP(Table2[[#This Row],[product]],Ref[#All],7,FALSE)</f>
        <v>Rice</v>
      </c>
      <c r="E510" t="s">
        <v>45</v>
      </c>
      <c r="F510" t="str">
        <f>VLOOKUP(Table2[[#This Row],[product]],Ref[#All],2,FALSE)</f>
        <v>Rice Short Grain Elngm 25Kg</v>
      </c>
      <c r="G510" t="str">
        <f>VLOOKUP(Table2[[#This Row],[product]],Ref[#All],3,FALSE)</f>
        <v>Rice Short Grain</v>
      </c>
      <c r="H510" t="str">
        <f>VLOOKUP(Table2[[#This Row],[product]],Ref[#All],4,FALSE)</f>
        <v>Import</v>
      </c>
      <c r="I510" s="1">
        <v>45720</v>
      </c>
      <c r="J510" t="s">
        <v>53</v>
      </c>
      <c r="K510" t="s">
        <v>524</v>
      </c>
      <c r="L510" t="s">
        <v>1651</v>
      </c>
      <c r="M510" t="s">
        <v>1586</v>
      </c>
      <c r="N510" t="s">
        <v>784</v>
      </c>
      <c r="O510" t="s">
        <v>785</v>
      </c>
      <c r="P510" t="s">
        <v>788</v>
      </c>
      <c r="Q510" t="s">
        <v>55</v>
      </c>
      <c r="R510">
        <v>-2</v>
      </c>
      <c r="S510" s="15">
        <f>Table2[[#This Row],[movement_quantity]]/VLOOKUP(Table2[[#This Row],[product]],Ref[#All],5,FALSE)</f>
        <v>-0.05</v>
      </c>
      <c r="T510">
        <v>50522.55</v>
      </c>
      <c r="U510" t="s">
        <v>17</v>
      </c>
      <c r="V510" t="s">
        <v>21</v>
      </c>
      <c r="W510" t="s">
        <v>525</v>
      </c>
      <c r="X510" t="s">
        <v>17</v>
      </c>
      <c r="Y510" t="s">
        <v>145</v>
      </c>
      <c r="Z510">
        <v>0</v>
      </c>
      <c r="AA510" s="2">
        <v>-101045.1</v>
      </c>
      <c r="AB510" t="str">
        <f>VLOOKUP(Table2[[#This Row],[product]],Ref[#All],6,FALSE)</f>
        <v>BAG25</v>
      </c>
    </row>
    <row r="511" spans="1:28" x14ac:dyDescent="0.25">
      <c r="A511" t="str">
        <f>TEXT(Table2[[#This Row],[dated]],"mmm")</f>
        <v>Mar</v>
      </c>
      <c r="B511" t="s">
        <v>46</v>
      </c>
      <c r="C511" s="1" t="s">
        <v>536</v>
      </c>
      <c r="D511" t="str">
        <f>VLOOKUP(Table2[[#This Row],[product]],Ref[#All],7,FALSE)</f>
        <v>Rice</v>
      </c>
      <c r="E511" t="s">
        <v>45</v>
      </c>
      <c r="F511" t="str">
        <f>VLOOKUP(Table2[[#This Row],[product]],Ref[#All],2,FALSE)</f>
        <v>Rice Short Grain Elngm 25Kg</v>
      </c>
      <c r="G511" t="str">
        <f>VLOOKUP(Table2[[#This Row],[product]],Ref[#All],3,FALSE)</f>
        <v>Rice Short Grain</v>
      </c>
      <c r="H511" t="str">
        <f>VLOOKUP(Table2[[#This Row],[product]],Ref[#All],4,FALSE)</f>
        <v>Import</v>
      </c>
      <c r="I511" s="1">
        <v>45720</v>
      </c>
      <c r="J511" t="s">
        <v>53</v>
      </c>
      <c r="K511" t="s">
        <v>526</v>
      </c>
      <c r="L511" t="s">
        <v>1651</v>
      </c>
      <c r="M511" t="s">
        <v>1586</v>
      </c>
      <c r="N511" t="s">
        <v>784</v>
      </c>
      <c r="O511" t="s">
        <v>785</v>
      </c>
      <c r="P511" t="s">
        <v>788</v>
      </c>
      <c r="Q511" t="s">
        <v>55</v>
      </c>
      <c r="R511">
        <v>-3</v>
      </c>
      <c r="S511" s="15">
        <f>Table2[[#This Row],[movement_quantity]]/VLOOKUP(Table2[[#This Row],[product]],Ref[#All],5,FALSE)</f>
        <v>-7.4999999999999997E-2</v>
      </c>
      <c r="T511">
        <v>50522.55</v>
      </c>
      <c r="U511" t="s">
        <v>17</v>
      </c>
      <c r="V511" t="s">
        <v>22</v>
      </c>
      <c r="W511" t="s">
        <v>527</v>
      </c>
      <c r="X511" t="s">
        <v>17</v>
      </c>
      <c r="Y511" t="s">
        <v>145</v>
      </c>
      <c r="Z511">
        <v>0</v>
      </c>
      <c r="AA511" s="2">
        <v>-151567.65000000002</v>
      </c>
      <c r="AB511" t="str">
        <f>VLOOKUP(Table2[[#This Row],[product]],Ref[#All],6,FALSE)</f>
        <v>BAG25</v>
      </c>
    </row>
    <row r="512" spans="1:28" x14ac:dyDescent="0.25">
      <c r="A512" t="str">
        <f>TEXT(Table2[[#This Row],[dated]],"mmm")</f>
        <v>Mar</v>
      </c>
      <c r="B512" t="s">
        <v>40</v>
      </c>
      <c r="C512" s="1" t="s">
        <v>536</v>
      </c>
      <c r="D512" t="str">
        <f>VLOOKUP(Table2[[#This Row],[product]],Ref[#All],7,FALSE)</f>
        <v>Flour</v>
      </c>
      <c r="E512" t="s">
        <v>36</v>
      </c>
      <c r="F512" t="str">
        <f>VLOOKUP(Table2[[#This Row],[product]],Ref[#All],2,FALSE)</f>
        <v>Flour Import Elngm 25Kg</v>
      </c>
      <c r="G512" t="str">
        <f>VLOOKUP(Table2[[#This Row],[product]],Ref[#All],3,FALSE)</f>
        <v>Flour Al-Nagm (Imported)</v>
      </c>
      <c r="H512" t="str">
        <f>VLOOKUP(Table2[[#This Row],[product]],Ref[#All],4,FALSE)</f>
        <v>Import</v>
      </c>
      <c r="I512" s="1">
        <v>45721</v>
      </c>
      <c r="J512" t="s">
        <v>53</v>
      </c>
      <c r="K512" t="s">
        <v>531</v>
      </c>
      <c r="L512" t="s">
        <v>1651</v>
      </c>
      <c r="M512" t="s">
        <v>1586</v>
      </c>
      <c r="N512" t="s">
        <v>784</v>
      </c>
      <c r="O512" t="s">
        <v>785</v>
      </c>
      <c r="P512" t="s">
        <v>788</v>
      </c>
      <c r="Q512" t="s">
        <v>55</v>
      </c>
      <c r="R512">
        <v>-10</v>
      </c>
      <c r="S512" s="15">
        <f>Table2[[#This Row],[movement_quantity]]/VLOOKUP(Table2[[#This Row],[product]],Ref[#All],5,FALSE)</f>
        <v>-0.25</v>
      </c>
      <c r="T512">
        <v>31777.27522</v>
      </c>
      <c r="U512" t="s">
        <v>17</v>
      </c>
      <c r="V512" t="s">
        <v>18</v>
      </c>
      <c r="W512" t="s">
        <v>532</v>
      </c>
      <c r="X512" t="s">
        <v>17</v>
      </c>
      <c r="Y512" t="s">
        <v>57</v>
      </c>
      <c r="Z512">
        <v>0</v>
      </c>
      <c r="AA512" s="2">
        <v>-317772.75219999999</v>
      </c>
      <c r="AB512" t="str">
        <f>VLOOKUP(Table2[[#This Row],[product]],Ref[#All],6,FALSE)</f>
        <v>BAG25</v>
      </c>
    </row>
    <row r="513" spans="1:28" x14ac:dyDescent="0.25">
      <c r="A513" t="str">
        <f>TEXT(Table2[[#This Row],[dated]],"mmm")</f>
        <v>Mar</v>
      </c>
      <c r="B513" t="s">
        <v>158</v>
      </c>
      <c r="C513" s="1" t="s">
        <v>536</v>
      </c>
      <c r="D513" t="str">
        <f>VLOOKUP(Table2[[#This Row],[product]],Ref[#All],7,FALSE)</f>
        <v>Lentils</v>
      </c>
      <c r="E513" t="s">
        <v>39</v>
      </c>
      <c r="F513" t="str">
        <f>VLOOKUP(Table2[[#This Row],[product]],Ref[#All],2,FALSE)</f>
        <v>Lentil TAT 20KG</v>
      </c>
      <c r="G513" t="str">
        <f>VLOOKUP(Table2[[#This Row],[product]],Ref[#All],3,FALSE)</f>
        <v>Lentils</v>
      </c>
      <c r="H513" t="str">
        <f>VLOOKUP(Table2[[#This Row],[product]],Ref[#All],4,FALSE)</f>
        <v>Import</v>
      </c>
      <c r="I513" s="1">
        <v>45721</v>
      </c>
      <c r="J513" t="s">
        <v>53</v>
      </c>
      <c r="K513" t="s">
        <v>533</v>
      </c>
      <c r="L513" t="s">
        <v>1651</v>
      </c>
      <c r="M513" t="s">
        <v>1586</v>
      </c>
      <c r="N513" t="s">
        <v>784</v>
      </c>
      <c r="O513" t="s">
        <v>785</v>
      </c>
      <c r="P513" t="s">
        <v>788</v>
      </c>
      <c r="Q513" t="s">
        <v>55</v>
      </c>
      <c r="R513">
        <v>-3</v>
      </c>
      <c r="S513" s="15">
        <f>Table2[[#This Row],[movement_quantity]]/VLOOKUP(Table2[[#This Row],[product]],Ref[#All],5,FALSE)</f>
        <v>-0.06</v>
      </c>
      <c r="T513">
        <v>50018.234799999998</v>
      </c>
      <c r="U513" t="s">
        <v>17</v>
      </c>
      <c r="V513" t="s">
        <v>18</v>
      </c>
      <c r="W513" t="s">
        <v>534</v>
      </c>
      <c r="X513" t="s">
        <v>17</v>
      </c>
      <c r="Y513" t="s">
        <v>159</v>
      </c>
      <c r="Z513">
        <v>0</v>
      </c>
      <c r="AA513" s="2">
        <v>-150054.70439999999</v>
      </c>
      <c r="AB513" t="str">
        <f>VLOOKUP(Table2[[#This Row],[product]],Ref[#All],6,FALSE)</f>
        <v>BAG20</v>
      </c>
    </row>
    <row r="514" spans="1:28" x14ac:dyDescent="0.25">
      <c r="A514" t="str">
        <f>TEXT(Table2[[#This Row],[dated]],"mmm")</f>
        <v>Mar</v>
      </c>
      <c r="B514" t="s">
        <v>52</v>
      </c>
      <c r="C514" s="1" t="s">
        <v>536</v>
      </c>
      <c r="D514" t="str">
        <f>VLOOKUP(Table2[[#This Row],[product]],Ref[#All],7,FALSE)</f>
        <v>Flour</v>
      </c>
      <c r="E514" t="s">
        <v>36</v>
      </c>
      <c r="F514" t="str">
        <f>VLOOKUP(Table2[[#This Row],[product]],Ref[#All],2,FALSE)</f>
        <v>Flour Import Elngm 25Kg</v>
      </c>
      <c r="G514" t="str">
        <f>VLOOKUP(Table2[[#This Row],[product]],Ref[#All],3,FALSE)</f>
        <v>Flour Al-Nagm (Imported)</v>
      </c>
      <c r="H514" t="str">
        <f>VLOOKUP(Table2[[#This Row],[product]],Ref[#All],4,FALSE)</f>
        <v>Import</v>
      </c>
      <c r="I514" s="1">
        <v>45733</v>
      </c>
      <c r="J514" t="s">
        <v>53</v>
      </c>
      <c r="K514" t="s">
        <v>683</v>
      </c>
      <c r="L514" t="s">
        <v>1651</v>
      </c>
      <c r="M514" t="s">
        <v>1586</v>
      </c>
      <c r="N514" t="s">
        <v>784</v>
      </c>
      <c r="O514" t="s">
        <v>785</v>
      </c>
      <c r="P514" t="s">
        <v>788</v>
      </c>
      <c r="Q514" t="s">
        <v>55</v>
      </c>
      <c r="R514">
        <v>-1</v>
      </c>
      <c r="S514" s="15">
        <f>Table2[[#This Row],[movement_quantity]]/VLOOKUP(Table2[[#This Row],[product]],Ref[#All],5,FALSE)</f>
        <v>-2.5000000000000001E-2</v>
      </c>
      <c r="T514">
        <v>31777.27522</v>
      </c>
      <c r="U514" t="s">
        <v>17</v>
      </c>
      <c r="V514" t="s">
        <v>18</v>
      </c>
      <c r="W514" t="s">
        <v>684</v>
      </c>
      <c r="X514" t="s">
        <v>17</v>
      </c>
      <c r="Y514" t="s">
        <v>582</v>
      </c>
      <c r="Z514">
        <v>0</v>
      </c>
      <c r="AA514" s="2">
        <v>-31777.27522</v>
      </c>
      <c r="AB514" t="str">
        <f>VLOOKUP(Table2[[#This Row],[product]],Ref[#All],6,FALSE)</f>
        <v>BAG25</v>
      </c>
    </row>
    <row r="515" spans="1:28" x14ac:dyDescent="0.25">
      <c r="A515" t="str">
        <f>TEXT(Table2[[#This Row],[dated]],"mmm")</f>
        <v>Mar</v>
      </c>
      <c r="B515" t="s">
        <v>52</v>
      </c>
      <c r="C515" s="1" t="s">
        <v>536</v>
      </c>
      <c r="D515" t="str">
        <f>VLOOKUP(Table2[[#This Row],[product]],Ref[#All],7,FALSE)</f>
        <v>Flour</v>
      </c>
      <c r="E515" t="s">
        <v>36</v>
      </c>
      <c r="F515" t="str">
        <f>VLOOKUP(Table2[[#This Row],[product]],Ref[#All],2,FALSE)</f>
        <v>Flour Import Elngm 25Kg</v>
      </c>
      <c r="G515" t="str">
        <f>VLOOKUP(Table2[[#This Row],[product]],Ref[#All],3,FALSE)</f>
        <v>Flour Al-Nagm (Imported)</v>
      </c>
      <c r="H515" t="str">
        <f>VLOOKUP(Table2[[#This Row],[product]],Ref[#All],4,FALSE)</f>
        <v>Import</v>
      </c>
      <c r="I515" s="1">
        <v>45733</v>
      </c>
      <c r="J515" t="s">
        <v>53</v>
      </c>
      <c r="K515" t="s">
        <v>685</v>
      </c>
      <c r="L515" t="s">
        <v>1651</v>
      </c>
      <c r="M515" t="s">
        <v>1586</v>
      </c>
      <c r="N515" t="s">
        <v>784</v>
      </c>
      <c r="O515" t="s">
        <v>785</v>
      </c>
      <c r="P515" t="s">
        <v>788</v>
      </c>
      <c r="Q515" t="s">
        <v>55</v>
      </c>
      <c r="R515">
        <v>-1</v>
      </c>
      <c r="S515" s="15">
        <f>Table2[[#This Row],[movement_quantity]]/VLOOKUP(Table2[[#This Row],[product]],Ref[#All],5,FALSE)</f>
        <v>-2.5000000000000001E-2</v>
      </c>
      <c r="T515">
        <v>31777.27522</v>
      </c>
      <c r="U515" t="s">
        <v>17</v>
      </c>
      <c r="V515" t="s">
        <v>21</v>
      </c>
      <c r="W515" t="s">
        <v>686</v>
      </c>
      <c r="X515" t="s">
        <v>17</v>
      </c>
      <c r="Y515" t="s">
        <v>582</v>
      </c>
      <c r="Z515">
        <v>0</v>
      </c>
      <c r="AA515" s="2">
        <v>-31777.27522</v>
      </c>
      <c r="AB515" t="str">
        <f>VLOOKUP(Table2[[#This Row],[product]],Ref[#All],6,FALSE)</f>
        <v>BAG25</v>
      </c>
    </row>
    <row r="516" spans="1:28" x14ac:dyDescent="0.25">
      <c r="A516" t="str">
        <f>TEXT(Table2[[#This Row],[dated]],"mmm")</f>
        <v>Mar</v>
      </c>
      <c r="B516" t="s">
        <v>52</v>
      </c>
      <c r="C516" s="1" t="s">
        <v>536</v>
      </c>
      <c r="D516" t="str">
        <f>VLOOKUP(Table2[[#This Row],[product]],Ref[#All],7,FALSE)</f>
        <v>Flour</v>
      </c>
      <c r="E516" t="s">
        <v>36</v>
      </c>
      <c r="F516" t="str">
        <f>VLOOKUP(Table2[[#This Row],[product]],Ref[#All],2,FALSE)</f>
        <v>Flour Import Elngm 25Kg</v>
      </c>
      <c r="G516" t="str">
        <f>VLOOKUP(Table2[[#This Row],[product]],Ref[#All],3,FALSE)</f>
        <v>Flour Al-Nagm (Imported)</v>
      </c>
      <c r="H516" t="str">
        <f>VLOOKUP(Table2[[#This Row],[product]],Ref[#All],4,FALSE)</f>
        <v>Import</v>
      </c>
      <c r="I516" s="1">
        <v>45733</v>
      </c>
      <c r="J516" t="s">
        <v>53</v>
      </c>
      <c r="K516" t="s">
        <v>687</v>
      </c>
      <c r="L516" t="s">
        <v>1651</v>
      </c>
      <c r="M516" t="s">
        <v>1586</v>
      </c>
      <c r="N516" t="s">
        <v>784</v>
      </c>
      <c r="O516" t="s">
        <v>785</v>
      </c>
      <c r="P516" t="s">
        <v>788</v>
      </c>
      <c r="Q516" t="s">
        <v>55</v>
      </c>
      <c r="R516">
        <v>-1</v>
      </c>
      <c r="S516" s="15">
        <f>Table2[[#This Row],[movement_quantity]]/VLOOKUP(Table2[[#This Row],[product]],Ref[#All],5,FALSE)</f>
        <v>-2.5000000000000001E-2</v>
      </c>
      <c r="T516">
        <v>31777.27522</v>
      </c>
      <c r="U516" t="s">
        <v>17</v>
      </c>
      <c r="V516" t="s">
        <v>22</v>
      </c>
      <c r="W516" t="s">
        <v>688</v>
      </c>
      <c r="X516" t="s">
        <v>17</v>
      </c>
      <c r="Y516" t="s">
        <v>582</v>
      </c>
      <c r="Z516">
        <v>0</v>
      </c>
      <c r="AA516" s="2">
        <v>-31777.27522</v>
      </c>
      <c r="AB516" t="str">
        <f>VLOOKUP(Table2[[#This Row],[product]],Ref[#All],6,FALSE)</f>
        <v>BAG25</v>
      </c>
    </row>
    <row r="517" spans="1:28" x14ac:dyDescent="0.25">
      <c r="A517" t="str">
        <f>TEXT(Table2[[#This Row],[dated]],"mmm")</f>
        <v>Mar</v>
      </c>
      <c r="B517" t="s">
        <v>52</v>
      </c>
      <c r="C517" s="1" t="s">
        <v>536</v>
      </c>
      <c r="D517" t="str">
        <f>VLOOKUP(Table2[[#This Row],[product]],Ref[#All],7,FALSE)</f>
        <v>Flour</v>
      </c>
      <c r="E517" t="s">
        <v>36</v>
      </c>
      <c r="F517" t="str">
        <f>VLOOKUP(Table2[[#This Row],[product]],Ref[#All],2,FALSE)</f>
        <v>Flour Import Elngm 25Kg</v>
      </c>
      <c r="G517" t="str">
        <f>VLOOKUP(Table2[[#This Row],[product]],Ref[#All],3,FALSE)</f>
        <v>Flour Al-Nagm (Imported)</v>
      </c>
      <c r="H517" t="str">
        <f>VLOOKUP(Table2[[#This Row],[product]],Ref[#All],4,FALSE)</f>
        <v>Import</v>
      </c>
      <c r="I517" s="1">
        <v>45733</v>
      </c>
      <c r="J517" t="s">
        <v>53</v>
      </c>
      <c r="K517" t="s">
        <v>689</v>
      </c>
      <c r="L517" t="s">
        <v>1651</v>
      </c>
      <c r="M517" t="s">
        <v>1586</v>
      </c>
      <c r="N517" t="s">
        <v>784</v>
      </c>
      <c r="O517" t="s">
        <v>785</v>
      </c>
      <c r="P517" t="s">
        <v>788</v>
      </c>
      <c r="Q517" t="s">
        <v>55</v>
      </c>
      <c r="R517">
        <v>-1</v>
      </c>
      <c r="S517" s="15">
        <f>Table2[[#This Row],[movement_quantity]]/VLOOKUP(Table2[[#This Row],[product]],Ref[#All],5,FALSE)</f>
        <v>-2.5000000000000001E-2</v>
      </c>
      <c r="T517">
        <v>31777.27522</v>
      </c>
      <c r="U517" t="s">
        <v>17</v>
      </c>
      <c r="V517" t="s">
        <v>23</v>
      </c>
      <c r="W517" t="s">
        <v>690</v>
      </c>
      <c r="X517" t="s">
        <v>17</v>
      </c>
      <c r="Y517" t="s">
        <v>582</v>
      </c>
      <c r="Z517">
        <v>0</v>
      </c>
      <c r="AA517" s="2">
        <v>-31777.27522</v>
      </c>
      <c r="AB517" t="str">
        <f>VLOOKUP(Table2[[#This Row],[product]],Ref[#All],6,FALSE)</f>
        <v>BAG25</v>
      </c>
    </row>
    <row r="518" spans="1:28" x14ac:dyDescent="0.25">
      <c r="A518" t="str">
        <f>TEXT(Table2[[#This Row],[dated]],"mmm")</f>
        <v>Mar</v>
      </c>
      <c r="B518" t="s">
        <v>52</v>
      </c>
      <c r="C518" s="1" t="s">
        <v>536</v>
      </c>
      <c r="D518" t="str">
        <f>VLOOKUP(Table2[[#This Row],[product]],Ref[#All],7,FALSE)</f>
        <v>Flour</v>
      </c>
      <c r="E518" t="s">
        <v>36</v>
      </c>
      <c r="F518" t="str">
        <f>VLOOKUP(Table2[[#This Row],[product]],Ref[#All],2,FALSE)</f>
        <v>Flour Import Elngm 25Kg</v>
      </c>
      <c r="G518" t="str">
        <f>VLOOKUP(Table2[[#This Row],[product]],Ref[#All],3,FALSE)</f>
        <v>Flour Al-Nagm (Imported)</v>
      </c>
      <c r="H518" t="str">
        <f>VLOOKUP(Table2[[#This Row],[product]],Ref[#All],4,FALSE)</f>
        <v>Import</v>
      </c>
      <c r="I518" s="1">
        <v>45733</v>
      </c>
      <c r="J518" t="s">
        <v>53</v>
      </c>
      <c r="K518" t="s">
        <v>691</v>
      </c>
      <c r="L518" t="s">
        <v>1651</v>
      </c>
      <c r="M518" t="s">
        <v>1586</v>
      </c>
      <c r="N518" t="s">
        <v>784</v>
      </c>
      <c r="O518" t="s">
        <v>785</v>
      </c>
      <c r="P518" t="s">
        <v>788</v>
      </c>
      <c r="Q518" t="s">
        <v>55</v>
      </c>
      <c r="R518">
        <v>-2</v>
      </c>
      <c r="S518" s="15">
        <f>Table2[[#This Row],[movement_quantity]]/VLOOKUP(Table2[[#This Row],[product]],Ref[#All],5,FALSE)</f>
        <v>-0.05</v>
      </c>
      <c r="T518">
        <v>31777.27522</v>
      </c>
      <c r="U518" t="s">
        <v>17</v>
      </c>
      <c r="V518" t="s">
        <v>24</v>
      </c>
      <c r="W518" t="s">
        <v>692</v>
      </c>
      <c r="X518" t="s">
        <v>17</v>
      </c>
      <c r="Y518" t="s">
        <v>582</v>
      </c>
      <c r="Z518">
        <v>0</v>
      </c>
      <c r="AA518" s="2">
        <v>-63554.550439999999</v>
      </c>
      <c r="AB518" t="str">
        <f>VLOOKUP(Table2[[#This Row],[product]],Ref[#All],6,FALSE)</f>
        <v>BAG25</v>
      </c>
    </row>
    <row r="519" spans="1:28" x14ac:dyDescent="0.25">
      <c r="A519" t="str">
        <f>TEXT(Table2[[#This Row],[dated]],"mmm")</f>
        <v>Mar</v>
      </c>
      <c r="B519" t="s">
        <v>52</v>
      </c>
      <c r="C519" s="1" t="s">
        <v>536</v>
      </c>
      <c r="D519" t="str">
        <f>VLOOKUP(Table2[[#This Row],[product]],Ref[#All],7,FALSE)</f>
        <v>Flour</v>
      </c>
      <c r="E519" t="s">
        <v>36</v>
      </c>
      <c r="F519" t="str">
        <f>VLOOKUP(Table2[[#This Row],[product]],Ref[#All],2,FALSE)</f>
        <v>Flour Import Elngm 25Kg</v>
      </c>
      <c r="G519" t="str">
        <f>VLOOKUP(Table2[[#This Row],[product]],Ref[#All],3,FALSE)</f>
        <v>Flour Al-Nagm (Imported)</v>
      </c>
      <c r="H519" t="str">
        <f>VLOOKUP(Table2[[#This Row],[product]],Ref[#All],4,FALSE)</f>
        <v>Import</v>
      </c>
      <c r="I519" s="1">
        <v>45733</v>
      </c>
      <c r="J519" t="s">
        <v>53</v>
      </c>
      <c r="K519" t="s">
        <v>693</v>
      </c>
      <c r="L519" t="s">
        <v>1651</v>
      </c>
      <c r="M519" t="s">
        <v>1586</v>
      </c>
      <c r="N519" t="s">
        <v>784</v>
      </c>
      <c r="O519" t="s">
        <v>785</v>
      </c>
      <c r="P519" t="s">
        <v>788</v>
      </c>
      <c r="Q519" t="s">
        <v>55</v>
      </c>
      <c r="R519">
        <v>-17</v>
      </c>
      <c r="S519" s="15">
        <f>Table2[[#This Row],[movement_quantity]]/VLOOKUP(Table2[[#This Row],[product]],Ref[#All],5,FALSE)</f>
        <v>-0.42499999999999999</v>
      </c>
      <c r="T519">
        <v>31777.27522</v>
      </c>
      <c r="U519" t="s">
        <v>17</v>
      </c>
      <c r="V519" t="s">
        <v>25</v>
      </c>
      <c r="W519" t="s">
        <v>694</v>
      </c>
      <c r="X519" t="s">
        <v>17</v>
      </c>
      <c r="Y519" t="s">
        <v>582</v>
      </c>
      <c r="Z519">
        <v>0</v>
      </c>
      <c r="AA519" s="2">
        <v>-540213.67874</v>
      </c>
      <c r="AB519" t="str">
        <f>VLOOKUP(Table2[[#This Row],[product]],Ref[#All],6,FALSE)</f>
        <v>BAG25</v>
      </c>
    </row>
    <row r="520" spans="1:28" x14ac:dyDescent="0.25">
      <c r="A520" t="str">
        <f>TEXT(Table2[[#This Row],[dated]],"mmm")</f>
        <v>Mar</v>
      </c>
      <c r="B520" t="s">
        <v>52</v>
      </c>
      <c r="C520" s="1" t="s">
        <v>536</v>
      </c>
      <c r="D520" t="str">
        <f>VLOOKUP(Table2[[#This Row],[product]],Ref[#All],7,FALSE)</f>
        <v>Flour</v>
      </c>
      <c r="E520" t="s">
        <v>36</v>
      </c>
      <c r="F520" t="str">
        <f>VLOOKUP(Table2[[#This Row],[product]],Ref[#All],2,FALSE)</f>
        <v>Flour Import Elngm 25Kg</v>
      </c>
      <c r="G520" t="str">
        <f>VLOOKUP(Table2[[#This Row],[product]],Ref[#All],3,FALSE)</f>
        <v>Flour Al-Nagm (Imported)</v>
      </c>
      <c r="H520" t="str">
        <f>VLOOKUP(Table2[[#This Row],[product]],Ref[#All],4,FALSE)</f>
        <v>Import</v>
      </c>
      <c r="I520" s="1">
        <v>45733</v>
      </c>
      <c r="J520" t="s">
        <v>53</v>
      </c>
      <c r="K520" t="s">
        <v>695</v>
      </c>
      <c r="L520" t="s">
        <v>1651</v>
      </c>
      <c r="M520" t="s">
        <v>1586</v>
      </c>
      <c r="N520" t="s">
        <v>784</v>
      </c>
      <c r="O520" t="s">
        <v>785</v>
      </c>
      <c r="P520" t="s">
        <v>788</v>
      </c>
      <c r="Q520" t="s">
        <v>55</v>
      </c>
      <c r="R520">
        <v>-1</v>
      </c>
      <c r="S520" s="15">
        <f>Table2[[#This Row],[movement_quantity]]/VLOOKUP(Table2[[#This Row],[product]],Ref[#All],5,FALSE)</f>
        <v>-2.5000000000000001E-2</v>
      </c>
      <c r="T520">
        <v>31777.27522</v>
      </c>
      <c r="U520" t="s">
        <v>17</v>
      </c>
      <c r="V520" t="s">
        <v>26</v>
      </c>
      <c r="W520" t="s">
        <v>696</v>
      </c>
      <c r="X520" t="s">
        <v>17</v>
      </c>
      <c r="Y520" t="s">
        <v>582</v>
      </c>
      <c r="Z520">
        <v>0</v>
      </c>
      <c r="AA520" s="2">
        <v>-31777.27522</v>
      </c>
      <c r="AB520" t="str">
        <f>VLOOKUP(Table2[[#This Row],[product]],Ref[#All],6,FALSE)</f>
        <v>BAG25</v>
      </c>
    </row>
    <row r="521" spans="1:28" x14ac:dyDescent="0.25">
      <c r="A521" t="str">
        <f>TEXT(Table2[[#This Row],[dated]],"mmm")</f>
        <v>Mar</v>
      </c>
      <c r="B521" t="s">
        <v>52</v>
      </c>
      <c r="C521" s="1" t="s">
        <v>536</v>
      </c>
      <c r="D521" t="str">
        <f>VLOOKUP(Table2[[#This Row],[product]],Ref[#All],7,FALSE)</f>
        <v>Flour</v>
      </c>
      <c r="E521" t="s">
        <v>36</v>
      </c>
      <c r="F521" t="str">
        <f>VLOOKUP(Table2[[#This Row],[product]],Ref[#All],2,FALSE)</f>
        <v>Flour Import Elngm 25Kg</v>
      </c>
      <c r="G521" t="str">
        <f>VLOOKUP(Table2[[#This Row],[product]],Ref[#All],3,FALSE)</f>
        <v>Flour Al-Nagm (Imported)</v>
      </c>
      <c r="H521" t="str">
        <f>VLOOKUP(Table2[[#This Row],[product]],Ref[#All],4,FALSE)</f>
        <v>Import</v>
      </c>
      <c r="I521" s="1">
        <v>45733</v>
      </c>
      <c r="J521" t="s">
        <v>53</v>
      </c>
      <c r="K521" t="s">
        <v>697</v>
      </c>
      <c r="L521" t="s">
        <v>1651</v>
      </c>
      <c r="M521" t="s">
        <v>1586</v>
      </c>
      <c r="N521" t="s">
        <v>784</v>
      </c>
      <c r="O521" t="s">
        <v>785</v>
      </c>
      <c r="P521" t="s">
        <v>788</v>
      </c>
      <c r="Q521" t="s">
        <v>55</v>
      </c>
      <c r="R521">
        <v>-3</v>
      </c>
      <c r="S521" s="15">
        <f>Table2[[#This Row],[movement_quantity]]/VLOOKUP(Table2[[#This Row],[product]],Ref[#All],5,FALSE)</f>
        <v>-7.4999999999999997E-2</v>
      </c>
      <c r="T521">
        <v>31777.27522</v>
      </c>
      <c r="U521" t="s">
        <v>17</v>
      </c>
      <c r="V521" t="s">
        <v>27</v>
      </c>
      <c r="W521" t="s">
        <v>698</v>
      </c>
      <c r="X521" t="s">
        <v>17</v>
      </c>
      <c r="Y521" t="s">
        <v>582</v>
      </c>
      <c r="Z521">
        <v>0</v>
      </c>
      <c r="AA521" s="2">
        <v>-95331.825660000002</v>
      </c>
      <c r="AB521" t="str">
        <f>VLOOKUP(Table2[[#This Row],[product]],Ref[#All],6,FALSE)</f>
        <v>BAG25</v>
      </c>
    </row>
    <row r="522" spans="1:28" x14ac:dyDescent="0.25">
      <c r="A522" t="str">
        <f>TEXT(Table2[[#This Row],[dated]],"mmm")</f>
        <v>Mar</v>
      </c>
      <c r="B522" t="s">
        <v>52</v>
      </c>
      <c r="C522" s="1" t="s">
        <v>536</v>
      </c>
      <c r="D522" t="str">
        <f>VLOOKUP(Table2[[#This Row],[product]],Ref[#All],7,FALSE)</f>
        <v>Flour</v>
      </c>
      <c r="E522" t="s">
        <v>36</v>
      </c>
      <c r="F522" t="str">
        <f>VLOOKUP(Table2[[#This Row],[product]],Ref[#All],2,FALSE)</f>
        <v>Flour Import Elngm 25Kg</v>
      </c>
      <c r="G522" t="str">
        <f>VLOOKUP(Table2[[#This Row],[product]],Ref[#All],3,FALSE)</f>
        <v>Flour Al-Nagm (Imported)</v>
      </c>
      <c r="H522" t="str">
        <f>VLOOKUP(Table2[[#This Row],[product]],Ref[#All],4,FALSE)</f>
        <v>Import</v>
      </c>
      <c r="I522" s="1">
        <v>45733</v>
      </c>
      <c r="J522" t="s">
        <v>53</v>
      </c>
      <c r="K522" t="s">
        <v>699</v>
      </c>
      <c r="L522" t="s">
        <v>1651</v>
      </c>
      <c r="M522" t="s">
        <v>1586</v>
      </c>
      <c r="N522" t="s">
        <v>784</v>
      </c>
      <c r="O522" t="s">
        <v>785</v>
      </c>
      <c r="P522" t="s">
        <v>788</v>
      </c>
      <c r="Q522" t="s">
        <v>55</v>
      </c>
      <c r="R522">
        <v>-1</v>
      </c>
      <c r="S522" s="15">
        <f>Table2[[#This Row],[movement_quantity]]/VLOOKUP(Table2[[#This Row],[product]],Ref[#All],5,FALSE)</f>
        <v>-2.5000000000000001E-2</v>
      </c>
      <c r="T522">
        <v>31777.27522</v>
      </c>
      <c r="U522" t="s">
        <v>17</v>
      </c>
      <c r="V522" t="s">
        <v>28</v>
      </c>
      <c r="W522" t="s">
        <v>700</v>
      </c>
      <c r="X522" t="s">
        <v>17</v>
      </c>
      <c r="Y522" t="s">
        <v>582</v>
      </c>
      <c r="Z522">
        <v>0</v>
      </c>
      <c r="AA522" s="2">
        <v>-31777.27522</v>
      </c>
      <c r="AB522" t="str">
        <f>VLOOKUP(Table2[[#This Row],[product]],Ref[#All],6,FALSE)</f>
        <v>BAG25</v>
      </c>
    </row>
    <row r="523" spans="1:28" x14ac:dyDescent="0.25">
      <c r="A523" t="str">
        <f>TEXT(Table2[[#This Row],[dated]],"mmm")</f>
        <v>Mar</v>
      </c>
      <c r="B523" t="s">
        <v>52</v>
      </c>
      <c r="C523" s="1" t="s">
        <v>536</v>
      </c>
      <c r="D523" t="str">
        <f>VLOOKUP(Table2[[#This Row],[product]],Ref[#All],7,FALSE)</f>
        <v>Flour</v>
      </c>
      <c r="E523" t="s">
        <v>36</v>
      </c>
      <c r="F523" t="str">
        <f>VLOOKUP(Table2[[#This Row],[product]],Ref[#All],2,FALSE)</f>
        <v>Flour Import Elngm 25Kg</v>
      </c>
      <c r="G523" t="str">
        <f>VLOOKUP(Table2[[#This Row],[product]],Ref[#All],3,FALSE)</f>
        <v>Flour Al-Nagm (Imported)</v>
      </c>
      <c r="H523" t="str">
        <f>VLOOKUP(Table2[[#This Row],[product]],Ref[#All],4,FALSE)</f>
        <v>Import</v>
      </c>
      <c r="I523" s="1">
        <v>45733</v>
      </c>
      <c r="J523" t="s">
        <v>53</v>
      </c>
      <c r="K523" t="s">
        <v>701</v>
      </c>
      <c r="L523" t="s">
        <v>1651</v>
      </c>
      <c r="M523" t="s">
        <v>1586</v>
      </c>
      <c r="N523" t="s">
        <v>784</v>
      </c>
      <c r="O523" t="s">
        <v>785</v>
      </c>
      <c r="P523" t="s">
        <v>788</v>
      </c>
      <c r="Q523" t="s">
        <v>55</v>
      </c>
      <c r="R523">
        <v>-5</v>
      </c>
      <c r="S523" s="15">
        <f>Table2[[#This Row],[movement_quantity]]/VLOOKUP(Table2[[#This Row],[product]],Ref[#All],5,FALSE)</f>
        <v>-0.125</v>
      </c>
      <c r="T523">
        <v>31777.27522</v>
      </c>
      <c r="U523" t="s">
        <v>17</v>
      </c>
      <c r="V523" t="s">
        <v>29</v>
      </c>
      <c r="W523" t="s">
        <v>702</v>
      </c>
      <c r="X523" t="s">
        <v>17</v>
      </c>
      <c r="Y523" t="s">
        <v>582</v>
      </c>
      <c r="Z523">
        <v>0</v>
      </c>
      <c r="AA523" s="2">
        <v>-158886.37609999999</v>
      </c>
      <c r="AB523" t="str">
        <f>VLOOKUP(Table2[[#This Row],[product]],Ref[#All],6,FALSE)</f>
        <v>BAG25</v>
      </c>
    </row>
    <row r="524" spans="1:28" x14ac:dyDescent="0.25">
      <c r="A524" t="str">
        <f>TEXT(Table2[[#This Row],[dated]],"mmm")</f>
        <v>Mar</v>
      </c>
      <c r="B524" t="s">
        <v>52</v>
      </c>
      <c r="C524" s="1" t="s">
        <v>536</v>
      </c>
      <c r="D524" t="str">
        <f>VLOOKUP(Table2[[#This Row],[product]],Ref[#All],7,FALSE)</f>
        <v>Lentils</v>
      </c>
      <c r="E524" t="s">
        <v>39</v>
      </c>
      <c r="F524" t="str">
        <f>VLOOKUP(Table2[[#This Row],[product]],Ref[#All],2,FALSE)</f>
        <v>Lentil TAT 20KG</v>
      </c>
      <c r="G524" t="str">
        <f>VLOOKUP(Table2[[#This Row],[product]],Ref[#All],3,FALSE)</f>
        <v>Lentils</v>
      </c>
      <c r="H524" t="str">
        <f>VLOOKUP(Table2[[#This Row],[product]],Ref[#All],4,FALSE)</f>
        <v>Import</v>
      </c>
      <c r="I524" s="1">
        <v>45733</v>
      </c>
      <c r="J524" t="s">
        <v>53</v>
      </c>
      <c r="K524" t="s">
        <v>703</v>
      </c>
      <c r="L524" t="s">
        <v>1651</v>
      </c>
      <c r="M524" t="s">
        <v>1586</v>
      </c>
      <c r="N524" t="s">
        <v>784</v>
      </c>
      <c r="O524" t="s">
        <v>785</v>
      </c>
      <c r="P524" t="s">
        <v>788</v>
      </c>
      <c r="Q524" t="s">
        <v>55</v>
      </c>
      <c r="R524">
        <v>-2</v>
      </c>
      <c r="S524" s="15">
        <f>Table2[[#This Row],[movement_quantity]]/VLOOKUP(Table2[[#This Row],[product]],Ref[#All],5,FALSE)</f>
        <v>-0.04</v>
      </c>
      <c r="T524">
        <v>50018.234799999998</v>
      </c>
      <c r="U524" t="s">
        <v>17</v>
      </c>
      <c r="V524" t="s">
        <v>18</v>
      </c>
      <c r="W524" t="s">
        <v>704</v>
      </c>
      <c r="X524" t="s">
        <v>17</v>
      </c>
      <c r="Y524" t="s">
        <v>705</v>
      </c>
      <c r="Z524">
        <v>0</v>
      </c>
      <c r="AA524" s="2">
        <v>-100036.4696</v>
      </c>
      <c r="AB524" t="str">
        <f>VLOOKUP(Table2[[#This Row],[product]],Ref[#All],6,FALSE)</f>
        <v>BAG20</v>
      </c>
    </row>
    <row r="525" spans="1:28" x14ac:dyDescent="0.25">
      <c r="A525" t="str">
        <f>TEXT(Table2[[#This Row],[dated]],"mmm")</f>
        <v>Mar</v>
      </c>
      <c r="B525" t="s">
        <v>52</v>
      </c>
      <c r="C525" s="1" t="s">
        <v>536</v>
      </c>
      <c r="D525" t="str">
        <f>VLOOKUP(Table2[[#This Row],[product]],Ref[#All],7,FALSE)</f>
        <v>Sugar</v>
      </c>
      <c r="E525" t="s">
        <v>16</v>
      </c>
      <c r="F525" t="str">
        <f>VLOOKUP(Table2[[#This Row],[product]],Ref[#All],2,FALSE)</f>
        <v>White Sugar</v>
      </c>
      <c r="G525" t="str">
        <f>VLOOKUP(Table2[[#This Row],[product]],Ref[#All],3,FALSE)</f>
        <v>White Sugar</v>
      </c>
      <c r="H525" t="str">
        <f>VLOOKUP(Table2[[#This Row],[product]],Ref[#All],4,FALSE)</f>
        <v>Import</v>
      </c>
      <c r="I525" s="1">
        <v>45733</v>
      </c>
      <c r="J525" t="s">
        <v>53</v>
      </c>
      <c r="K525" t="s">
        <v>706</v>
      </c>
      <c r="L525" t="s">
        <v>1651</v>
      </c>
      <c r="M525" t="s">
        <v>1586</v>
      </c>
      <c r="N525" t="s">
        <v>784</v>
      </c>
      <c r="O525" t="s">
        <v>785</v>
      </c>
      <c r="P525" t="s">
        <v>788</v>
      </c>
      <c r="Q525" t="s">
        <v>55</v>
      </c>
      <c r="R525">
        <v>-2</v>
      </c>
      <c r="S525" s="15">
        <f>Table2[[#This Row],[movement_quantity]]/VLOOKUP(Table2[[#This Row],[product]],Ref[#All],5,FALSE)</f>
        <v>-0.1</v>
      </c>
      <c r="T525">
        <v>81012.933590000001</v>
      </c>
      <c r="U525" t="s">
        <v>17</v>
      </c>
      <c r="V525" t="s">
        <v>18</v>
      </c>
      <c r="W525" t="s">
        <v>707</v>
      </c>
      <c r="X525" t="s">
        <v>17</v>
      </c>
      <c r="Y525" t="s">
        <v>19</v>
      </c>
      <c r="Z525">
        <v>0</v>
      </c>
      <c r="AA525" s="2">
        <v>-162025.86718</v>
      </c>
      <c r="AB525" t="str">
        <f>VLOOKUP(Table2[[#This Row],[product]],Ref[#All],6,FALSE)</f>
        <v>BAG50</v>
      </c>
    </row>
    <row r="526" spans="1:28" x14ac:dyDescent="0.25">
      <c r="A526" t="str">
        <f>TEXT(Table2[[#This Row],[dated]],"mmm")</f>
        <v>Mar</v>
      </c>
      <c r="B526" t="s">
        <v>52</v>
      </c>
      <c r="C526" s="1" t="s">
        <v>536</v>
      </c>
      <c r="D526" t="str">
        <f>VLOOKUP(Table2[[#This Row],[product]],Ref[#All],7,FALSE)</f>
        <v>Sugar</v>
      </c>
      <c r="E526" t="s">
        <v>16</v>
      </c>
      <c r="F526" t="str">
        <f>VLOOKUP(Table2[[#This Row],[product]],Ref[#All],2,FALSE)</f>
        <v>White Sugar</v>
      </c>
      <c r="G526" t="str">
        <f>VLOOKUP(Table2[[#This Row],[product]],Ref[#All],3,FALSE)</f>
        <v>White Sugar</v>
      </c>
      <c r="H526" t="str">
        <f>VLOOKUP(Table2[[#This Row],[product]],Ref[#All],4,FALSE)</f>
        <v>Import</v>
      </c>
      <c r="I526" s="1">
        <v>45733</v>
      </c>
      <c r="J526" t="s">
        <v>53</v>
      </c>
      <c r="K526" t="s">
        <v>708</v>
      </c>
      <c r="L526" t="s">
        <v>1651</v>
      </c>
      <c r="M526" t="s">
        <v>1586</v>
      </c>
      <c r="N526" t="s">
        <v>784</v>
      </c>
      <c r="O526" t="s">
        <v>785</v>
      </c>
      <c r="P526" t="s">
        <v>788</v>
      </c>
      <c r="Q526" t="s">
        <v>55</v>
      </c>
      <c r="R526">
        <v>-2</v>
      </c>
      <c r="S526" s="15">
        <f>Table2[[#This Row],[movement_quantity]]/VLOOKUP(Table2[[#This Row],[product]],Ref[#All],5,FALSE)</f>
        <v>-0.1</v>
      </c>
      <c r="T526">
        <v>81012.933590000001</v>
      </c>
      <c r="U526" t="s">
        <v>17</v>
      </c>
      <c r="V526" t="s">
        <v>21</v>
      </c>
      <c r="W526" t="s">
        <v>709</v>
      </c>
      <c r="X526" t="s">
        <v>17</v>
      </c>
      <c r="Y526" t="s">
        <v>19</v>
      </c>
      <c r="Z526">
        <v>0</v>
      </c>
      <c r="AA526" s="2">
        <v>-162025.86718</v>
      </c>
      <c r="AB526" t="str">
        <f>VLOOKUP(Table2[[#This Row],[product]],Ref[#All],6,FALSE)</f>
        <v>BAG50</v>
      </c>
    </row>
    <row r="527" spans="1:28" x14ac:dyDescent="0.25">
      <c r="A527" t="str">
        <f>TEXT(Table2[[#This Row],[dated]],"mmm")</f>
        <v>Mar</v>
      </c>
      <c r="B527" t="s">
        <v>52</v>
      </c>
      <c r="C527" s="1" t="s">
        <v>536</v>
      </c>
      <c r="D527" t="str">
        <f>VLOOKUP(Table2[[#This Row],[product]],Ref[#All],7,FALSE)</f>
        <v>Sugar</v>
      </c>
      <c r="E527" t="s">
        <v>16</v>
      </c>
      <c r="F527" t="str">
        <f>VLOOKUP(Table2[[#This Row],[product]],Ref[#All],2,FALSE)</f>
        <v>White Sugar</v>
      </c>
      <c r="G527" t="str">
        <f>VLOOKUP(Table2[[#This Row],[product]],Ref[#All],3,FALSE)</f>
        <v>White Sugar</v>
      </c>
      <c r="H527" t="str">
        <f>VLOOKUP(Table2[[#This Row],[product]],Ref[#All],4,FALSE)</f>
        <v>Import</v>
      </c>
      <c r="I527" s="1">
        <v>45733</v>
      </c>
      <c r="J527" t="s">
        <v>53</v>
      </c>
      <c r="K527" t="s">
        <v>710</v>
      </c>
      <c r="L527" t="s">
        <v>1651</v>
      </c>
      <c r="M527" t="s">
        <v>1586</v>
      </c>
      <c r="N527" t="s">
        <v>784</v>
      </c>
      <c r="O527" t="s">
        <v>785</v>
      </c>
      <c r="P527" t="s">
        <v>788</v>
      </c>
      <c r="Q527" t="s">
        <v>55</v>
      </c>
      <c r="R527">
        <v>-1</v>
      </c>
      <c r="S527" s="15">
        <f>Table2[[#This Row],[movement_quantity]]/VLOOKUP(Table2[[#This Row],[product]],Ref[#All],5,FALSE)</f>
        <v>-0.05</v>
      </c>
      <c r="T527">
        <v>81012.933590000001</v>
      </c>
      <c r="U527" t="s">
        <v>17</v>
      </c>
      <c r="V527" t="s">
        <v>22</v>
      </c>
      <c r="W527" t="s">
        <v>711</v>
      </c>
      <c r="X527" t="s">
        <v>17</v>
      </c>
      <c r="Y527" t="s">
        <v>19</v>
      </c>
      <c r="Z527">
        <v>0</v>
      </c>
      <c r="AA527" s="2">
        <v>-81012.933590000001</v>
      </c>
      <c r="AB527" t="str">
        <f>VLOOKUP(Table2[[#This Row],[product]],Ref[#All],6,FALSE)</f>
        <v>BAG50</v>
      </c>
    </row>
    <row r="528" spans="1:28" x14ac:dyDescent="0.25">
      <c r="A528" t="str">
        <f>TEXT(Table2[[#This Row],[dated]],"mmm")</f>
        <v>Mar</v>
      </c>
      <c r="B528" t="s">
        <v>96</v>
      </c>
      <c r="C528" s="1" t="s">
        <v>536</v>
      </c>
      <c r="D528" t="str">
        <f>VLOOKUP(Table2[[#This Row],[product]],Ref[#All],7,FALSE)</f>
        <v>Rice</v>
      </c>
      <c r="E528" t="s">
        <v>47</v>
      </c>
      <c r="F528" t="str">
        <f>VLOOKUP(Table2[[#This Row],[product]],Ref[#All],2,FALSE)</f>
        <v>Rice Long Grade 2 Elngm 20Kg</v>
      </c>
      <c r="G528" t="str">
        <f>VLOOKUP(Table2[[#This Row],[product]],Ref[#All],3,FALSE)</f>
        <v>Rice Long Grain</v>
      </c>
      <c r="H528" t="str">
        <f>VLOOKUP(Table2[[#This Row],[product]],Ref[#All],4,FALSE)</f>
        <v>Import</v>
      </c>
      <c r="I528" s="1">
        <v>45733</v>
      </c>
      <c r="J528" t="s">
        <v>53</v>
      </c>
      <c r="K528" t="s">
        <v>712</v>
      </c>
      <c r="L528" t="s">
        <v>1651</v>
      </c>
      <c r="M528" t="s">
        <v>1586</v>
      </c>
      <c r="N528" t="s">
        <v>784</v>
      </c>
      <c r="O528" t="s">
        <v>785</v>
      </c>
      <c r="P528" t="s">
        <v>788</v>
      </c>
      <c r="Q528" t="s">
        <v>55</v>
      </c>
      <c r="R528">
        <v>-1</v>
      </c>
      <c r="S528" s="15">
        <f>Table2[[#This Row],[movement_quantity]]/VLOOKUP(Table2[[#This Row],[product]],Ref[#All],5,FALSE)</f>
        <v>-0.02</v>
      </c>
      <c r="T528">
        <v>32720.865839999999</v>
      </c>
      <c r="U528" t="s">
        <v>17</v>
      </c>
      <c r="V528" t="s">
        <v>18</v>
      </c>
      <c r="W528" t="s">
        <v>713</v>
      </c>
      <c r="X528" t="s">
        <v>17</v>
      </c>
      <c r="Y528" t="s">
        <v>160</v>
      </c>
      <c r="Z528">
        <v>0</v>
      </c>
      <c r="AA528" s="2">
        <v>-32720.865839999999</v>
      </c>
      <c r="AB528" t="str">
        <f>VLOOKUP(Table2[[#This Row],[product]],Ref[#All],6,FALSE)</f>
        <v>BAG20</v>
      </c>
    </row>
    <row r="529" spans="1:28" x14ac:dyDescent="0.25">
      <c r="A529" t="str">
        <f>TEXT(Table2[[#This Row],[dated]],"mmm")</f>
        <v>Mar</v>
      </c>
      <c r="B529" t="s">
        <v>642</v>
      </c>
      <c r="C529" s="1" t="s">
        <v>536</v>
      </c>
      <c r="D529" t="str">
        <f>VLOOKUP(Table2[[#This Row],[product]],Ref[#All],7,FALSE)</f>
        <v>Rice</v>
      </c>
      <c r="E529" t="s">
        <v>45</v>
      </c>
      <c r="F529" t="str">
        <f>VLOOKUP(Table2[[#This Row],[product]],Ref[#All],2,FALSE)</f>
        <v>Rice Short Grain Elngm 25Kg</v>
      </c>
      <c r="G529" t="str">
        <f>VLOOKUP(Table2[[#This Row],[product]],Ref[#All],3,FALSE)</f>
        <v>Rice Short Grain</v>
      </c>
      <c r="H529" t="str">
        <f>VLOOKUP(Table2[[#This Row],[product]],Ref[#All],4,FALSE)</f>
        <v>Import</v>
      </c>
      <c r="I529" s="1">
        <v>45733</v>
      </c>
      <c r="J529" t="s">
        <v>53</v>
      </c>
      <c r="K529" t="s">
        <v>714</v>
      </c>
      <c r="L529" t="s">
        <v>1651</v>
      </c>
      <c r="M529" t="s">
        <v>1586</v>
      </c>
      <c r="N529" t="s">
        <v>784</v>
      </c>
      <c r="O529" t="s">
        <v>785</v>
      </c>
      <c r="P529" t="s">
        <v>788</v>
      </c>
      <c r="Q529" t="s">
        <v>55</v>
      </c>
      <c r="R529">
        <v>-2</v>
      </c>
      <c r="S529" s="15">
        <f>Table2[[#This Row],[movement_quantity]]/VLOOKUP(Table2[[#This Row],[product]],Ref[#All],5,FALSE)</f>
        <v>-0.05</v>
      </c>
      <c r="T529">
        <v>50522.55</v>
      </c>
      <c r="U529" t="s">
        <v>17</v>
      </c>
      <c r="V529" t="s">
        <v>18</v>
      </c>
      <c r="W529" t="s">
        <v>715</v>
      </c>
      <c r="X529" t="s">
        <v>17</v>
      </c>
      <c r="Y529" t="s">
        <v>145</v>
      </c>
      <c r="Z529">
        <v>0</v>
      </c>
      <c r="AA529" s="2">
        <v>-101045.1</v>
      </c>
      <c r="AB529" t="str">
        <f>VLOOKUP(Table2[[#This Row],[product]],Ref[#All],6,FALSE)</f>
        <v>BAG25</v>
      </c>
    </row>
    <row r="530" spans="1:28" x14ac:dyDescent="0.25">
      <c r="A530" t="str">
        <f>TEXT(Table2[[#This Row],[dated]],"mmm")</f>
        <v>Mar</v>
      </c>
      <c r="B530" t="s">
        <v>642</v>
      </c>
      <c r="C530" s="1" t="s">
        <v>536</v>
      </c>
      <c r="D530" t="str">
        <f>VLOOKUP(Table2[[#This Row],[product]],Ref[#All],7,FALSE)</f>
        <v>Rice</v>
      </c>
      <c r="E530" t="s">
        <v>45</v>
      </c>
      <c r="F530" t="str">
        <f>VLOOKUP(Table2[[#This Row],[product]],Ref[#All],2,FALSE)</f>
        <v>Rice Short Grain Elngm 25Kg</v>
      </c>
      <c r="G530" t="str">
        <f>VLOOKUP(Table2[[#This Row],[product]],Ref[#All],3,FALSE)</f>
        <v>Rice Short Grain</v>
      </c>
      <c r="H530" t="str">
        <f>VLOOKUP(Table2[[#This Row],[product]],Ref[#All],4,FALSE)</f>
        <v>Import</v>
      </c>
      <c r="I530" s="1">
        <v>45733</v>
      </c>
      <c r="J530" t="s">
        <v>53</v>
      </c>
      <c r="K530" t="s">
        <v>716</v>
      </c>
      <c r="L530" t="s">
        <v>1651</v>
      </c>
      <c r="M530" t="s">
        <v>1586</v>
      </c>
      <c r="N530" t="s">
        <v>784</v>
      </c>
      <c r="O530" t="s">
        <v>785</v>
      </c>
      <c r="P530" t="s">
        <v>788</v>
      </c>
      <c r="Q530" t="s">
        <v>55</v>
      </c>
      <c r="R530">
        <v>-28</v>
      </c>
      <c r="S530" s="15">
        <f>Table2[[#This Row],[movement_quantity]]/VLOOKUP(Table2[[#This Row],[product]],Ref[#All],5,FALSE)</f>
        <v>-0.7</v>
      </c>
      <c r="T530">
        <v>50522.55</v>
      </c>
      <c r="U530" t="s">
        <v>17</v>
      </c>
      <c r="V530" t="s">
        <v>21</v>
      </c>
      <c r="W530" t="s">
        <v>717</v>
      </c>
      <c r="X530" t="s">
        <v>17</v>
      </c>
      <c r="Y530" t="s">
        <v>145</v>
      </c>
      <c r="Z530">
        <v>0</v>
      </c>
      <c r="AA530" s="2">
        <v>-1414631.4000000001</v>
      </c>
      <c r="AB530" t="str">
        <f>VLOOKUP(Table2[[#This Row],[product]],Ref[#All],6,FALSE)</f>
        <v>BAG25</v>
      </c>
    </row>
    <row r="531" spans="1:28" x14ac:dyDescent="0.25">
      <c r="A531" t="str">
        <f>TEXT(Table2[[#This Row],[dated]],"mmm")</f>
        <v>Mar</v>
      </c>
      <c r="B531" t="s">
        <v>46</v>
      </c>
      <c r="C531" s="1" t="s">
        <v>536</v>
      </c>
      <c r="D531" t="str">
        <f>VLOOKUP(Table2[[#This Row],[product]],Ref[#All],7,FALSE)</f>
        <v>Flour</v>
      </c>
      <c r="E531" t="s">
        <v>42</v>
      </c>
      <c r="F531" t="str">
        <f>VLOOKUP(Table2[[#This Row],[product]],Ref[#All],2,FALSE)</f>
        <v>Alnajm Flour from Mill 25KG</v>
      </c>
      <c r="G531" t="str">
        <f>VLOOKUP(Table2[[#This Row],[product]],Ref[#All],3,FALSE)</f>
        <v>Flour Al-Nagm (Mill)</v>
      </c>
      <c r="H531" t="str">
        <f>VLOOKUP(Table2[[#This Row],[product]],Ref[#All],4,FALSE)</f>
        <v>Import</v>
      </c>
      <c r="I531" s="1">
        <v>45733</v>
      </c>
      <c r="J531" t="s">
        <v>53</v>
      </c>
      <c r="K531" t="s">
        <v>718</v>
      </c>
      <c r="L531" t="s">
        <v>1651</v>
      </c>
      <c r="M531" t="s">
        <v>1586</v>
      </c>
      <c r="N531" t="s">
        <v>784</v>
      </c>
      <c r="O531" t="s">
        <v>785</v>
      </c>
      <c r="P531" t="s">
        <v>788</v>
      </c>
      <c r="Q531" t="s">
        <v>55</v>
      </c>
      <c r="R531">
        <v>-2</v>
      </c>
      <c r="S531" s="15">
        <f>Table2[[#This Row],[movement_quantity]]/VLOOKUP(Table2[[#This Row],[product]],Ref[#All],5,FALSE)</f>
        <v>-0.05</v>
      </c>
      <c r="T531">
        <v>31777.27522</v>
      </c>
      <c r="U531" t="s">
        <v>17</v>
      </c>
      <c r="V531" t="s">
        <v>18</v>
      </c>
      <c r="W531" t="s">
        <v>719</v>
      </c>
      <c r="X531" t="s">
        <v>17</v>
      </c>
      <c r="Y531" t="s">
        <v>720</v>
      </c>
      <c r="Z531">
        <v>0</v>
      </c>
      <c r="AA531" s="2">
        <v>-63554.550439999999</v>
      </c>
      <c r="AB531" t="str">
        <f>VLOOKUP(Table2[[#This Row],[product]],Ref[#All],6,FALSE)</f>
        <v>BAG25</v>
      </c>
    </row>
    <row r="532" spans="1:28" x14ac:dyDescent="0.25">
      <c r="A532" t="str">
        <f>TEXT(Table2[[#This Row],[dated]],"mmm")</f>
        <v>Mar</v>
      </c>
      <c r="B532" t="s">
        <v>46</v>
      </c>
      <c r="C532" s="1" t="s">
        <v>536</v>
      </c>
      <c r="D532" t="str">
        <f>VLOOKUP(Table2[[#This Row],[product]],Ref[#All],7,FALSE)</f>
        <v>Flour</v>
      </c>
      <c r="E532" t="s">
        <v>42</v>
      </c>
      <c r="F532" t="str">
        <f>VLOOKUP(Table2[[#This Row],[product]],Ref[#All],2,FALSE)</f>
        <v>Alnajm Flour from Mill 25KG</v>
      </c>
      <c r="G532" t="str">
        <f>VLOOKUP(Table2[[#This Row],[product]],Ref[#All],3,FALSE)</f>
        <v>Flour Al-Nagm (Mill)</v>
      </c>
      <c r="H532" t="str">
        <f>VLOOKUP(Table2[[#This Row],[product]],Ref[#All],4,FALSE)</f>
        <v>Import</v>
      </c>
      <c r="I532" s="1">
        <v>45733</v>
      </c>
      <c r="J532" t="s">
        <v>53</v>
      </c>
      <c r="K532" t="s">
        <v>721</v>
      </c>
      <c r="L532" t="s">
        <v>1651</v>
      </c>
      <c r="M532" t="s">
        <v>1586</v>
      </c>
      <c r="N532" t="s">
        <v>784</v>
      </c>
      <c r="O532" t="s">
        <v>785</v>
      </c>
      <c r="P532" t="s">
        <v>788</v>
      </c>
      <c r="Q532" t="s">
        <v>55</v>
      </c>
      <c r="R532">
        <v>-15</v>
      </c>
      <c r="S532" s="15">
        <f>Table2[[#This Row],[movement_quantity]]/VLOOKUP(Table2[[#This Row],[product]],Ref[#All],5,FALSE)</f>
        <v>-0.375</v>
      </c>
      <c r="T532">
        <v>31777.27522</v>
      </c>
      <c r="U532" t="s">
        <v>17</v>
      </c>
      <c r="V532" t="s">
        <v>21</v>
      </c>
      <c r="W532" t="s">
        <v>722</v>
      </c>
      <c r="X532" t="s">
        <v>17</v>
      </c>
      <c r="Y532" t="s">
        <v>720</v>
      </c>
      <c r="Z532">
        <v>0</v>
      </c>
      <c r="AA532" s="2">
        <v>-476659.12829999998</v>
      </c>
      <c r="AB532" t="str">
        <f>VLOOKUP(Table2[[#This Row],[product]],Ref[#All],6,FALSE)</f>
        <v>BAG25</v>
      </c>
    </row>
    <row r="533" spans="1:28" x14ac:dyDescent="0.25">
      <c r="A533" t="str">
        <f>TEXT(Table2[[#This Row],[dated]],"mmm")</f>
        <v>Mar</v>
      </c>
      <c r="B533" t="s">
        <v>46</v>
      </c>
      <c r="C533" s="1" t="s">
        <v>536</v>
      </c>
      <c r="D533" t="str">
        <f>VLOOKUP(Table2[[#This Row],[product]],Ref[#All],7,FALSE)</f>
        <v>Flour</v>
      </c>
      <c r="E533" t="s">
        <v>36</v>
      </c>
      <c r="F533" t="str">
        <f>VLOOKUP(Table2[[#This Row],[product]],Ref[#All],2,FALSE)</f>
        <v>Flour Import Elngm 25Kg</v>
      </c>
      <c r="G533" t="str">
        <f>VLOOKUP(Table2[[#This Row],[product]],Ref[#All],3,FALSE)</f>
        <v>Flour Al-Nagm (Imported)</v>
      </c>
      <c r="H533" t="str">
        <f>VLOOKUP(Table2[[#This Row],[product]],Ref[#All],4,FALSE)</f>
        <v>Import</v>
      </c>
      <c r="I533" s="1">
        <v>45733</v>
      </c>
      <c r="J533" t="s">
        <v>53</v>
      </c>
      <c r="K533" t="s">
        <v>723</v>
      </c>
      <c r="L533" t="s">
        <v>1651</v>
      </c>
      <c r="M533" t="s">
        <v>1586</v>
      </c>
      <c r="N533" t="s">
        <v>784</v>
      </c>
      <c r="O533" t="s">
        <v>785</v>
      </c>
      <c r="P533" t="s">
        <v>788</v>
      </c>
      <c r="Q533" t="s">
        <v>55</v>
      </c>
      <c r="R533">
        <v>-1</v>
      </c>
      <c r="S533" s="15">
        <f>Table2[[#This Row],[movement_quantity]]/VLOOKUP(Table2[[#This Row],[product]],Ref[#All],5,FALSE)</f>
        <v>-2.5000000000000001E-2</v>
      </c>
      <c r="T533">
        <v>31777.27522</v>
      </c>
      <c r="U533" t="s">
        <v>17</v>
      </c>
      <c r="V533" t="s">
        <v>18</v>
      </c>
      <c r="W533" t="s">
        <v>724</v>
      </c>
      <c r="X533" t="s">
        <v>17</v>
      </c>
      <c r="Y533" t="s">
        <v>157</v>
      </c>
      <c r="Z533">
        <v>0</v>
      </c>
      <c r="AA533" s="2">
        <v>-31777.27522</v>
      </c>
      <c r="AB533" t="str">
        <f>VLOOKUP(Table2[[#This Row],[product]],Ref[#All],6,FALSE)</f>
        <v>BAG25</v>
      </c>
    </row>
    <row r="534" spans="1:28" x14ac:dyDescent="0.25">
      <c r="A534" t="str">
        <f>TEXT(Table2[[#This Row],[dated]],"mmm")</f>
        <v>Mar</v>
      </c>
      <c r="B534" t="s">
        <v>46</v>
      </c>
      <c r="C534" s="1" t="s">
        <v>536</v>
      </c>
      <c r="D534" t="str">
        <f>VLOOKUP(Table2[[#This Row],[product]],Ref[#All],7,FALSE)</f>
        <v>Flour</v>
      </c>
      <c r="E534" t="s">
        <v>36</v>
      </c>
      <c r="F534" t="str">
        <f>VLOOKUP(Table2[[#This Row],[product]],Ref[#All],2,FALSE)</f>
        <v>Flour Import Elngm 25Kg</v>
      </c>
      <c r="G534" t="str">
        <f>VLOOKUP(Table2[[#This Row],[product]],Ref[#All],3,FALSE)</f>
        <v>Flour Al-Nagm (Imported)</v>
      </c>
      <c r="H534" t="str">
        <f>VLOOKUP(Table2[[#This Row],[product]],Ref[#All],4,FALSE)</f>
        <v>Import</v>
      </c>
      <c r="I534" s="1">
        <v>45733</v>
      </c>
      <c r="J534" t="s">
        <v>53</v>
      </c>
      <c r="K534" t="s">
        <v>725</v>
      </c>
      <c r="L534" t="s">
        <v>1651</v>
      </c>
      <c r="M534" t="s">
        <v>1586</v>
      </c>
      <c r="N534" t="s">
        <v>784</v>
      </c>
      <c r="O534" t="s">
        <v>785</v>
      </c>
      <c r="P534" t="s">
        <v>788</v>
      </c>
      <c r="Q534" t="s">
        <v>55</v>
      </c>
      <c r="R534">
        <v>-7</v>
      </c>
      <c r="S534" s="15">
        <f>Table2[[#This Row],[movement_quantity]]/VLOOKUP(Table2[[#This Row],[product]],Ref[#All],5,FALSE)</f>
        <v>-0.17499999999999999</v>
      </c>
      <c r="T534">
        <v>31777.27522</v>
      </c>
      <c r="U534" t="s">
        <v>17</v>
      </c>
      <c r="V534" t="s">
        <v>21</v>
      </c>
      <c r="W534" t="s">
        <v>726</v>
      </c>
      <c r="X534" t="s">
        <v>17</v>
      </c>
      <c r="Y534" t="s">
        <v>157</v>
      </c>
      <c r="Z534">
        <v>0</v>
      </c>
      <c r="AA534" s="2">
        <v>-222440.92653999999</v>
      </c>
      <c r="AB534" t="str">
        <f>VLOOKUP(Table2[[#This Row],[product]],Ref[#All],6,FALSE)</f>
        <v>BAG25</v>
      </c>
    </row>
    <row r="535" spans="1:28" x14ac:dyDescent="0.25">
      <c r="A535" t="str">
        <f>TEXT(Table2[[#This Row],[dated]],"mmm")</f>
        <v>Mar</v>
      </c>
      <c r="B535" t="s">
        <v>46</v>
      </c>
      <c r="C535" s="1" t="s">
        <v>536</v>
      </c>
      <c r="D535" t="str">
        <f>VLOOKUP(Table2[[#This Row],[product]],Ref[#All],7,FALSE)</f>
        <v>Lentils</v>
      </c>
      <c r="E535" t="s">
        <v>39</v>
      </c>
      <c r="F535" t="str">
        <f>VLOOKUP(Table2[[#This Row],[product]],Ref[#All],2,FALSE)</f>
        <v>Lentil TAT 20KG</v>
      </c>
      <c r="G535" t="str">
        <f>VLOOKUP(Table2[[#This Row],[product]],Ref[#All],3,FALSE)</f>
        <v>Lentils</v>
      </c>
      <c r="H535" t="str">
        <f>VLOOKUP(Table2[[#This Row],[product]],Ref[#All],4,FALSE)</f>
        <v>Import</v>
      </c>
      <c r="I535" s="1">
        <v>45733</v>
      </c>
      <c r="J535" t="s">
        <v>53</v>
      </c>
      <c r="K535" t="s">
        <v>727</v>
      </c>
      <c r="L535" t="s">
        <v>1651</v>
      </c>
      <c r="M535" t="s">
        <v>1586</v>
      </c>
      <c r="N535" t="s">
        <v>784</v>
      </c>
      <c r="O535" t="s">
        <v>785</v>
      </c>
      <c r="P535" t="s">
        <v>788</v>
      </c>
      <c r="Q535" t="s">
        <v>55</v>
      </c>
      <c r="R535">
        <v>-5</v>
      </c>
      <c r="S535" s="15">
        <f>Table2[[#This Row],[movement_quantity]]/VLOOKUP(Table2[[#This Row],[product]],Ref[#All],5,FALSE)</f>
        <v>-0.1</v>
      </c>
      <c r="T535">
        <v>50018.234799999998</v>
      </c>
      <c r="U535" t="s">
        <v>17</v>
      </c>
      <c r="V535" t="s">
        <v>18</v>
      </c>
      <c r="W535" t="s">
        <v>728</v>
      </c>
      <c r="X535" t="s">
        <v>17</v>
      </c>
      <c r="Y535" t="s">
        <v>705</v>
      </c>
      <c r="Z535">
        <v>0</v>
      </c>
      <c r="AA535" s="2">
        <v>-250091.174</v>
      </c>
      <c r="AB535" t="str">
        <f>VLOOKUP(Table2[[#This Row],[product]],Ref[#All],6,FALSE)</f>
        <v>BAG20</v>
      </c>
    </row>
    <row r="536" spans="1:28" x14ac:dyDescent="0.25">
      <c r="A536" t="str">
        <f>TEXT(Table2[[#This Row],[dated]],"mmm")</f>
        <v>Mar</v>
      </c>
      <c r="B536" t="s">
        <v>46</v>
      </c>
      <c r="C536" s="1" t="s">
        <v>536</v>
      </c>
      <c r="D536" t="str">
        <f>VLOOKUP(Table2[[#This Row],[product]],Ref[#All],7,FALSE)</f>
        <v>Lentils</v>
      </c>
      <c r="E536" t="s">
        <v>39</v>
      </c>
      <c r="F536" t="str">
        <f>VLOOKUP(Table2[[#This Row],[product]],Ref[#All],2,FALSE)</f>
        <v>Lentil TAT 20KG</v>
      </c>
      <c r="G536" t="str">
        <f>VLOOKUP(Table2[[#This Row],[product]],Ref[#All],3,FALSE)</f>
        <v>Lentils</v>
      </c>
      <c r="H536" t="str">
        <f>VLOOKUP(Table2[[#This Row],[product]],Ref[#All],4,FALSE)</f>
        <v>Import</v>
      </c>
      <c r="I536" s="1">
        <v>45733</v>
      </c>
      <c r="J536" t="s">
        <v>53</v>
      </c>
      <c r="K536" t="s">
        <v>729</v>
      </c>
      <c r="L536" t="s">
        <v>1651</v>
      </c>
      <c r="M536" t="s">
        <v>1586</v>
      </c>
      <c r="N536" t="s">
        <v>784</v>
      </c>
      <c r="O536" t="s">
        <v>785</v>
      </c>
      <c r="P536" t="s">
        <v>788</v>
      </c>
      <c r="Q536" t="s">
        <v>55</v>
      </c>
      <c r="R536">
        <v>-1</v>
      </c>
      <c r="S536" s="15">
        <f>Table2[[#This Row],[movement_quantity]]/VLOOKUP(Table2[[#This Row],[product]],Ref[#All],5,FALSE)</f>
        <v>-0.02</v>
      </c>
      <c r="T536">
        <v>50018.234799999998</v>
      </c>
      <c r="U536" t="s">
        <v>17</v>
      </c>
      <c r="V536" t="s">
        <v>21</v>
      </c>
      <c r="W536" t="s">
        <v>730</v>
      </c>
      <c r="X536" t="s">
        <v>17</v>
      </c>
      <c r="Y536" t="s">
        <v>705</v>
      </c>
      <c r="Z536">
        <v>0</v>
      </c>
      <c r="AA536" s="2">
        <v>-50018.234799999998</v>
      </c>
      <c r="AB536" t="str">
        <f>VLOOKUP(Table2[[#This Row],[product]],Ref[#All],6,FALSE)</f>
        <v>BAG20</v>
      </c>
    </row>
    <row r="537" spans="1:28" x14ac:dyDescent="0.25">
      <c r="A537" t="str">
        <f>TEXT(Table2[[#This Row],[dated]],"mmm")</f>
        <v>Mar</v>
      </c>
      <c r="B537" t="s">
        <v>46</v>
      </c>
      <c r="C537" s="1" t="s">
        <v>536</v>
      </c>
      <c r="D537" t="str">
        <f>VLOOKUP(Table2[[#This Row],[product]],Ref[#All],7,FALSE)</f>
        <v>Lentils</v>
      </c>
      <c r="E537" t="s">
        <v>39</v>
      </c>
      <c r="F537" t="str">
        <f>VLOOKUP(Table2[[#This Row],[product]],Ref[#All],2,FALSE)</f>
        <v>Lentil TAT 20KG</v>
      </c>
      <c r="G537" t="str">
        <f>VLOOKUP(Table2[[#This Row],[product]],Ref[#All],3,FALSE)</f>
        <v>Lentils</v>
      </c>
      <c r="H537" t="str">
        <f>VLOOKUP(Table2[[#This Row],[product]],Ref[#All],4,FALSE)</f>
        <v>Import</v>
      </c>
      <c r="I537" s="1">
        <v>45733</v>
      </c>
      <c r="J537" t="s">
        <v>53</v>
      </c>
      <c r="K537" t="s">
        <v>731</v>
      </c>
      <c r="L537" t="s">
        <v>1651</v>
      </c>
      <c r="M537" t="s">
        <v>1586</v>
      </c>
      <c r="N537" t="s">
        <v>784</v>
      </c>
      <c r="O537" t="s">
        <v>785</v>
      </c>
      <c r="P537" t="s">
        <v>788</v>
      </c>
      <c r="Q537" t="s">
        <v>55</v>
      </c>
      <c r="R537">
        <v>-1</v>
      </c>
      <c r="S537" s="15">
        <f>Table2[[#This Row],[movement_quantity]]/VLOOKUP(Table2[[#This Row],[product]],Ref[#All],5,FALSE)</f>
        <v>-0.02</v>
      </c>
      <c r="T537">
        <v>50018.234799999998</v>
      </c>
      <c r="U537" t="s">
        <v>17</v>
      </c>
      <c r="V537" t="s">
        <v>22</v>
      </c>
      <c r="W537" t="s">
        <v>732</v>
      </c>
      <c r="X537" t="s">
        <v>17</v>
      </c>
      <c r="Y537" t="s">
        <v>705</v>
      </c>
      <c r="Z537">
        <v>0</v>
      </c>
      <c r="AA537" s="2">
        <v>-50018.234799999998</v>
      </c>
      <c r="AB537" t="str">
        <f>VLOOKUP(Table2[[#This Row],[product]],Ref[#All],6,FALSE)</f>
        <v>BAG20</v>
      </c>
    </row>
    <row r="538" spans="1:28" x14ac:dyDescent="0.25">
      <c r="A538" t="str">
        <f>TEXT(Table2[[#This Row],[dated]],"mmm")</f>
        <v>Mar</v>
      </c>
      <c r="B538" t="s">
        <v>46</v>
      </c>
      <c r="C538" s="1" t="s">
        <v>536</v>
      </c>
      <c r="D538" t="str">
        <f>VLOOKUP(Table2[[#This Row],[product]],Ref[#All],7,FALSE)</f>
        <v>Rice</v>
      </c>
      <c r="E538" t="s">
        <v>45</v>
      </c>
      <c r="F538" t="str">
        <f>VLOOKUP(Table2[[#This Row],[product]],Ref[#All],2,FALSE)</f>
        <v>Rice Short Grain Elngm 25Kg</v>
      </c>
      <c r="G538" t="str">
        <f>VLOOKUP(Table2[[#This Row],[product]],Ref[#All],3,FALSE)</f>
        <v>Rice Short Grain</v>
      </c>
      <c r="H538" t="str">
        <f>VLOOKUP(Table2[[#This Row],[product]],Ref[#All],4,FALSE)</f>
        <v>Import</v>
      </c>
      <c r="I538" s="1">
        <v>45733</v>
      </c>
      <c r="J538" t="s">
        <v>53</v>
      </c>
      <c r="K538" t="s">
        <v>733</v>
      </c>
      <c r="L538" t="s">
        <v>1651</v>
      </c>
      <c r="M538" t="s">
        <v>1586</v>
      </c>
      <c r="N538" t="s">
        <v>784</v>
      </c>
      <c r="O538" t="s">
        <v>785</v>
      </c>
      <c r="P538" t="s">
        <v>788</v>
      </c>
      <c r="Q538" t="s">
        <v>55</v>
      </c>
      <c r="R538">
        <v>-1</v>
      </c>
      <c r="S538" s="15">
        <f>Table2[[#This Row],[movement_quantity]]/VLOOKUP(Table2[[#This Row],[product]],Ref[#All],5,FALSE)</f>
        <v>-2.5000000000000001E-2</v>
      </c>
      <c r="T538">
        <v>50522.55</v>
      </c>
      <c r="U538" t="s">
        <v>17</v>
      </c>
      <c r="V538" t="s">
        <v>18</v>
      </c>
      <c r="W538" t="s">
        <v>734</v>
      </c>
      <c r="X538" t="s">
        <v>17</v>
      </c>
      <c r="Y538" t="s">
        <v>145</v>
      </c>
      <c r="Z538">
        <v>0</v>
      </c>
      <c r="AA538" s="2">
        <v>-50522.55</v>
      </c>
      <c r="AB538" t="str">
        <f>VLOOKUP(Table2[[#This Row],[product]],Ref[#All],6,FALSE)</f>
        <v>BAG25</v>
      </c>
    </row>
    <row r="539" spans="1:28" x14ac:dyDescent="0.25">
      <c r="A539" t="str">
        <f>TEXT(Table2[[#This Row],[dated]],"mmm")</f>
        <v>Mar</v>
      </c>
      <c r="B539" t="s">
        <v>46</v>
      </c>
      <c r="C539" s="1" t="s">
        <v>536</v>
      </c>
      <c r="D539" t="str">
        <f>VLOOKUP(Table2[[#This Row],[product]],Ref[#All],7,FALSE)</f>
        <v>Rice</v>
      </c>
      <c r="E539" t="s">
        <v>45</v>
      </c>
      <c r="F539" t="str">
        <f>VLOOKUP(Table2[[#This Row],[product]],Ref[#All],2,FALSE)</f>
        <v>Rice Short Grain Elngm 25Kg</v>
      </c>
      <c r="G539" t="str">
        <f>VLOOKUP(Table2[[#This Row],[product]],Ref[#All],3,FALSE)</f>
        <v>Rice Short Grain</v>
      </c>
      <c r="H539" t="str">
        <f>VLOOKUP(Table2[[#This Row],[product]],Ref[#All],4,FALSE)</f>
        <v>Import</v>
      </c>
      <c r="I539" s="1">
        <v>45733</v>
      </c>
      <c r="J539" t="s">
        <v>53</v>
      </c>
      <c r="K539" t="s">
        <v>735</v>
      </c>
      <c r="L539" t="s">
        <v>1651</v>
      </c>
      <c r="M539" t="s">
        <v>1586</v>
      </c>
      <c r="N539" t="s">
        <v>784</v>
      </c>
      <c r="O539" t="s">
        <v>785</v>
      </c>
      <c r="P539" t="s">
        <v>788</v>
      </c>
      <c r="Q539" t="s">
        <v>55</v>
      </c>
      <c r="R539">
        <v>-9</v>
      </c>
      <c r="S539" s="15">
        <f>Table2[[#This Row],[movement_quantity]]/VLOOKUP(Table2[[#This Row],[product]],Ref[#All],5,FALSE)</f>
        <v>-0.22500000000000001</v>
      </c>
      <c r="T539">
        <v>50522.55</v>
      </c>
      <c r="U539" t="s">
        <v>17</v>
      </c>
      <c r="V539" t="s">
        <v>21</v>
      </c>
      <c r="W539" t="s">
        <v>736</v>
      </c>
      <c r="X539" t="s">
        <v>17</v>
      </c>
      <c r="Y539" t="s">
        <v>145</v>
      </c>
      <c r="Z539">
        <v>0</v>
      </c>
      <c r="AA539" s="2">
        <v>-454702.95</v>
      </c>
      <c r="AB539" t="str">
        <f>VLOOKUP(Table2[[#This Row],[product]],Ref[#All],6,FALSE)</f>
        <v>BAG25</v>
      </c>
    </row>
    <row r="540" spans="1:28" x14ac:dyDescent="0.25">
      <c r="A540" t="str">
        <f>TEXT(Table2[[#This Row],[dated]],"mmm")</f>
        <v>Mar</v>
      </c>
      <c r="B540" t="s">
        <v>46</v>
      </c>
      <c r="C540" s="1" t="s">
        <v>536</v>
      </c>
      <c r="D540" t="str">
        <f>VLOOKUP(Table2[[#This Row],[product]],Ref[#All],7,FALSE)</f>
        <v>Rice</v>
      </c>
      <c r="E540" t="s">
        <v>45</v>
      </c>
      <c r="F540" t="str">
        <f>VLOOKUP(Table2[[#This Row],[product]],Ref[#All],2,FALSE)</f>
        <v>Rice Short Grain Elngm 25Kg</v>
      </c>
      <c r="G540" t="str">
        <f>VLOOKUP(Table2[[#This Row],[product]],Ref[#All],3,FALSE)</f>
        <v>Rice Short Grain</v>
      </c>
      <c r="H540" t="str">
        <f>VLOOKUP(Table2[[#This Row],[product]],Ref[#All],4,FALSE)</f>
        <v>Import</v>
      </c>
      <c r="I540" s="1">
        <v>45733</v>
      </c>
      <c r="J540" t="s">
        <v>53</v>
      </c>
      <c r="K540" t="s">
        <v>737</v>
      </c>
      <c r="L540" t="s">
        <v>1651</v>
      </c>
      <c r="M540" t="s">
        <v>1586</v>
      </c>
      <c r="N540" t="s">
        <v>784</v>
      </c>
      <c r="O540" t="s">
        <v>785</v>
      </c>
      <c r="P540" t="s">
        <v>788</v>
      </c>
      <c r="Q540" t="s">
        <v>55</v>
      </c>
      <c r="R540">
        <v>-2</v>
      </c>
      <c r="S540" s="15">
        <f>Table2[[#This Row],[movement_quantity]]/VLOOKUP(Table2[[#This Row],[product]],Ref[#All],5,FALSE)</f>
        <v>-0.05</v>
      </c>
      <c r="T540">
        <v>50522.55</v>
      </c>
      <c r="U540" t="s">
        <v>17</v>
      </c>
      <c r="V540" t="s">
        <v>22</v>
      </c>
      <c r="W540" t="s">
        <v>738</v>
      </c>
      <c r="X540" t="s">
        <v>17</v>
      </c>
      <c r="Y540" t="s">
        <v>145</v>
      </c>
      <c r="Z540">
        <v>0</v>
      </c>
      <c r="AA540" s="2">
        <v>-101045.1</v>
      </c>
      <c r="AB540" t="str">
        <f>VLOOKUP(Table2[[#This Row],[product]],Ref[#All],6,FALSE)</f>
        <v>BAG25</v>
      </c>
    </row>
    <row r="541" spans="1:28" x14ac:dyDescent="0.25">
      <c r="A541" t="str">
        <f>TEXT(Table2[[#This Row],[dated]],"mmm")</f>
        <v>Mar</v>
      </c>
      <c r="B541" t="s">
        <v>46</v>
      </c>
      <c r="C541" s="1" t="s">
        <v>536</v>
      </c>
      <c r="D541" t="str">
        <f>VLOOKUP(Table2[[#This Row],[product]],Ref[#All],7,FALSE)</f>
        <v>Rice</v>
      </c>
      <c r="E541" t="s">
        <v>45</v>
      </c>
      <c r="F541" t="str">
        <f>VLOOKUP(Table2[[#This Row],[product]],Ref[#All],2,FALSE)</f>
        <v>Rice Short Grain Elngm 25Kg</v>
      </c>
      <c r="G541" t="str">
        <f>VLOOKUP(Table2[[#This Row],[product]],Ref[#All],3,FALSE)</f>
        <v>Rice Short Grain</v>
      </c>
      <c r="H541" t="str">
        <f>VLOOKUP(Table2[[#This Row],[product]],Ref[#All],4,FALSE)</f>
        <v>Import</v>
      </c>
      <c r="I541" s="1">
        <v>45733</v>
      </c>
      <c r="J541" t="s">
        <v>53</v>
      </c>
      <c r="K541" t="s">
        <v>739</v>
      </c>
      <c r="L541" t="s">
        <v>1651</v>
      </c>
      <c r="M541" t="s">
        <v>1586</v>
      </c>
      <c r="N541" t="s">
        <v>784</v>
      </c>
      <c r="O541" t="s">
        <v>785</v>
      </c>
      <c r="P541" t="s">
        <v>788</v>
      </c>
      <c r="Q541" t="s">
        <v>55</v>
      </c>
      <c r="R541">
        <v>-2</v>
      </c>
      <c r="S541" s="15">
        <f>Table2[[#This Row],[movement_quantity]]/VLOOKUP(Table2[[#This Row],[product]],Ref[#All],5,FALSE)</f>
        <v>-0.05</v>
      </c>
      <c r="T541">
        <v>50522.55</v>
      </c>
      <c r="U541" t="s">
        <v>17</v>
      </c>
      <c r="V541" t="s">
        <v>23</v>
      </c>
      <c r="W541" t="s">
        <v>740</v>
      </c>
      <c r="X541" t="s">
        <v>17</v>
      </c>
      <c r="Y541" t="s">
        <v>145</v>
      </c>
      <c r="Z541">
        <v>0</v>
      </c>
      <c r="AA541" s="2">
        <v>-101045.1</v>
      </c>
      <c r="AB541" t="str">
        <f>VLOOKUP(Table2[[#This Row],[product]],Ref[#All],6,FALSE)</f>
        <v>BAG25</v>
      </c>
    </row>
    <row r="542" spans="1:28" x14ac:dyDescent="0.25">
      <c r="A542" t="str">
        <f>TEXT(Table2[[#This Row],[dated]],"mmm")</f>
        <v>Mar</v>
      </c>
      <c r="B542" t="s">
        <v>46</v>
      </c>
      <c r="C542" s="1" t="s">
        <v>536</v>
      </c>
      <c r="D542" t="str">
        <f>VLOOKUP(Table2[[#This Row],[product]],Ref[#All],7,FALSE)</f>
        <v>Rice</v>
      </c>
      <c r="E542" t="s">
        <v>45</v>
      </c>
      <c r="F542" t="str">
        <f>VLOOKUP(Table2[[#This Row],[product]],Ref[#All],2,FALSE)</f>
        <v>Rice Short Grain Elngm 25Kg</v>
      </c>
      <c r="G542" t="str">
        <f>VLOOKUP(Table2[[#This Row],[product]],Ref[#All],3,FALSE)</f>
        <v>Rice Short Grain</v>
      </c>
      <c r="H542" t="str">
        <f>VLOOKUP(Table2[[#This Row],[product]],Ref[#All],4,FALSE)</f>
        <v>Import</v>
      </c>
      <c r="I542" s="1">
        <v>45733</v>
      </c>
      <c r="J542" t="s">
        <v>53</v>
      </c>
      <c r="K542" t="s">
        <v>741</v>
      </c>
      <c r="L542" t="s">
        <v>1651</v>
      </c>
      <c r="M542" t="s">
        <v>1586</v>
      </c>
      <c r="N542" t="s">
        <v>784</v>
      </c>
      <c r="O542" t="s">
        <v>785</v>
      </c>
      <c r="P542" t="s">
        <v>788</v>
      </c>
      <c r="Q542" t="s">
        <v>55</v>
      </c>
      <c r="R542">
        <v>-8</v>
      </c>
      <c r="S542" s="15">
        <f>Table2[[#This Row],[movement_quantity]]/VLOOKUP(Table2[[#This Row],[product]],Ref[#All],5,FALSE)</f>
        <v>-0.2</v>
      </c>
      <c r="T542">
        <v>50522.55</v>
      </c>
      <c r="U542" t="s">
        <v>17</v>
      </c>
      <c r="V542" t="s">
        <v>24</v>
      </c>
      <c r="W542" t="s">
        <v>742</v>
      </c>
      <c r="X542" t="s">
        <v>17</v>
      </c>
      <c r="Y542" t="s">
        <v>145</v>
      </c>
      <c r="Z542">
        <v>0</v>
      </c>
      <c r="AA542" s="2">
        <v>-404180.4</v>
      </c>
      <c r="AB542" t="str">
        <f>VLOOKUP(Table2[[#This Row],[product]],Ref[#All],6,FALSE)</f>
        <v>BAG25</v>
      </c>
    </row>
    <row r="543" spans="1:28" x14ac:dyDescent="0.25">
      <c r="A543" t="str">
        <f>TEXT(Table2[[#This Row],[dated]],"mmm")</f>
        <v>Mar</v>
      </c>
      <c r="B543" t="s">
        <v>52</v>
      </c>
      <c r="C543" s="1" t="s">
        <v>536</v>
      </c>
      <c r="D543" t="str">
        <f>VLOOKUP(Table2[[#This Row],[product]],Ref[#All],7,FALSE)</f>
        <v>Flour</v>
      </c>
      <c r="E543" t="s">
        <v>36</v>
      </c>
      <c r="F543" t="str">
        <f>VLOOKUP(Table2[[#This Row],[product]],Ref[#All],2,FALSE)</f>
        <v>Flour Import Elngm 25Kg</v>
      </c>
      <c r="G543" t="str">
        <f>VLOOKUP(Table2[[#This Row],[product]],Ref[#All],3,FALSE)</f>
        <v>Flour Al-Nagm (Imported)</v>
      </c>
      <c r="H543" t="str">
        <f>VLOOKUP(Table2[[#This Row],[product]],Ref[#All],4,FALSE)</f>
        <v>Import</v>
      </c>
      <c r="I543" s="1">
        <v>45743</v>
      </c>
      <c r="J543" t="s">
        <v>53</v>
      </c>
      <c r="K543" t="s">
        <v>617</v>
      </c>
      <c r="L543" t="s">
        <v>1651</v>
      </c>
      <c r="M543" t="s">
        <v>1586</v>
      </c>
      <c r="N543" t="s">
        <v>784</v>
      </c>
      <c r="O543" t="s">
        <v>785</v>
      </c>
      <c r="P543" t="s">
        <v>788</v>
      </c>
      <c r="Q543" t="s">
        <v>55</v>
      </c>
      <c r="R543">
        <v>-3</v>
      </c>
      <c r="S543" s="15">
        <f>Table2[[#This Row],[movement_quantity]]/VLOOKUP(Table2[[#This Row],[product]],Ref[#All],5,FALSE)</f>
        <v>-7.4999999999999997E-2</v>
      </c>
      <c r="T543">
        <v>31777.27522</v>
      </c>
      <c r="U543" t="s">
        <v>17</v>
      </c>
      <c r="V543" t="s">
        <v>618</v>
      </c>
      <c r="W543" t="s">
        <v>619</v>
      </c>
      <c r="X543" t="s">
        <v>17</v>
      </c>
      <c r="Y543" t="s">
        <v>157</v>
      </c>
      <c r="Z543">
        <v>0</v>
      </c>
      <c r="AA543" s="2">
        <v>-95331.825660000002</v>
      </c>
      <c r="AB543" t="str">
        <f>VLOOKUP(Table2[[#This Row],[product]],Ref[#All],6,FALSE)</f>
        <v>BAG25</v>
      </c>
    </row>
    <row r="544" spans="1:28" x14ac:dyDescent="0.25">
      <c r="A544" t="str">
        <f>TEXT(Table2[[#This Row],[dated]],"mmm")</f>
        <v>Mar</v>
      </c>
      <c r="B544" t="s">
        <v>52</v>
      </c>
      <c r="C544" s="1" t="s">
        <v>536</v>
      </c>
      <c r="D544" t="str">
        <f>VLOOKUP(Table2[[#This Row],[product]],Ref[#All],7,FALSE)</f>
        <v>Flour</v>
      </c>
      <c r="E544" t="s">
        <v>36</v>
      </c>
      <c r="F544" t="str">
        <f>VLOOKUP(Table2[[#This Row],[product]],Ref[#All],2,FALSE)</f>
        <v>Flour Import Elngm 25Kg</v>
      </c>
      <c r="G544" t="str">
        <f>VLOOKUP(Table2[[#This Row],[product]],Ref[#All],3,FALSE)</f>
        <v>Flour Al-Nagm (Imported)</v>
      </c>
      <c r="H544" t="str">
        <f>VLOOKUP(Table2[[#This Row],[product]],Ref[#All],4,FALSE)</f>
        <v>Import</v>
      </c>
      <c r="I544" s="1">
        <v>45743</v>
      </c>
      <c r="J544" t="s">
        <v>53</v>
      </c>
      <c r="K544" t="s">
        <v>620</v>
      </c>
      <c r="L544" t="s">
        <v>1651</v>
      </c>
      <c r="M544" t="s">
        <v>1586</v>
      </c>
      <c r="N544" t="s">
        <v>784</v>
      </c>
      <c r="O544" t="s">
        <v>785</v>
      </c>
      <c r="P544" t="s">
        <v>788</v>
      </c>
      <c r="Q544" t="s">
        <v>55</v>
      </c>
      <c r="R544">
        <v>-1</v>
      </c>
      <c r="S544" s="15">
        <f>Table2[[#This Row],[movement_quantity]]/VLOOKUP(Table2[[#This Row],[product]],Ref[#All],5,FALSE)</f>
        <v>-2.5000000000000001E-2</v>
      </c>
      <c r="T544">
        <v>31777.27522</v>
      </c>
      <c r="U544" t="s">
        <v>17</v>
      </c>
      <c r="V544" t="s">
        <v>621</v>
      </c>
      <c r="W544" t="s">
        <v>622</v>
      </c>
      <c r="X544" t="s">
        <v>17</v>
      </c>
      <c r="Y544" t="s">
        <v>157</v>
      </c>
      <c r="Z544">
        <v>0</v>
      </c>
      <c r="AA544" s="2">
        <v>-31777.27522</v>
      </c>
      <c r="AB544" t="str">
        <f>VLOOKUP(Table2[[#This Row],[product]],Ref[#All],6,FALSE)</f>
        <v>BAG25</v>
      </c>
    </row>
    <row r="545" spans="1:28" x14ac:dyDescent="0.25">
      <c r="A545" t="str">
        <f>TEXT(Table2[[#This Row],[dated]],"mmm")</f>
        <v>Mar</v>
      </c>
      <c r="B545" t="s">
        <v>52</v>
      </c>
      <c r="C545" s="1" t="s">
        <v>536</v>
      </c>
      <c r="D545" t="str">
        <f>VLOOKUP(Table2[[#This Row],[product]],Ref[#All],7,FALSE)</f>
        <v>Flour</v>
      </c>
      <c r="E545" t="s">
        <v>36</v>
      </c>
      <c r="F545" t="str">
        <f>VLOOKUP(Table2[[#This Row],[product]],Ref[#All],2,FALSE)</f>
        <v>Flour Import Elngm 25Kg</v>
      </c>
      <c r="G545" t="str">
        <f>VLOOKUP(Table2[[#This Row],[product]],Ref[#All],3,FALSE)</f>
        <v>Flour Al-Nagm (Imported)</v>
      </c>
      <c r="H545" t="str">
        <f>VLOOKUP(Table2[[#This Row],[product]],Ref[#All],4,FALSE)</f>
        <v>Import</v>
      </c>
      <c r="I545" s="1">
        <v>45743</v>
      </c>
      <c r="J545" t="s">
        <v>53</v>
      </c>
      <c r="K545" t="s">
        <v>623</v>
      </c>
      <c r="L545" t="s">
        <v>1651</v>
      </c>
      <c r="M545" t="s">
        <v>1586</v>
      </c>
      <c r="N545" t="s">
        <v>784</v>
      </c>
      <c r="O545" t="s">
        <v>785</v>
      </c>
      <c r="P545" t="s">
        <v>788</v>
      </c>
      <c r="Q545" t="s">
        <v>55</v>
      </c>
      <c r="R545">
        <v>-1</v>
      </c>
      <c r="S545" s="15">
        <f>Table2[[#This Row],[movement_quantity]]/VLOOKUP(Table2[[#This Row],[product]],Ref[#All],5,FALSE)</f>
        <v>-2.5000000000000001E-2</v>
      </c>
      <c r="T545">
        <v>31777.27522</v>
      </c>
      <c r="U545" t="s">
        <v>17</v>
      </c>
      <c r="V545" t="s">
        <v>624</v>
      </c>
      <c r="W545" t="s">
        <v>625</v>
      </c>
      <c r="X545" t="s">
        <v>17</v>
      </c>
      <c r="Y545" t="s">
        <v>157</v>
      </c>
      <c r="Z545">
        <v>0</v>
      </c>
      <c r="AA545" s="2">
        <v>-31777.27522</v>
      </c>
      <c r="AB545" t="str">
        <f>VLOOKUP(Table2[[#This Row],[product]],Ref[#All],6,FALSE)</f>
        <v>BAG25</v>
      </c>
    </row>
    <row r="546" spans="1:28" x14ac:dyDescent="0.25">
      <c r="A546" t="str">
        <f>TEXT(Table2[[#This Row],[dated]],"mmm")</f>
        <v>Mar</v>
      </c>
      <c r="B546" t="s">
        <v>52</v>
      </c>
      <c r="C546" s="1" t="s">
        <v>536</v>
      </c>
      <c r="D546" t="str">
        <f>VLOOKUP(Table2[[#This Row],[product]],Ref[#All],7,FALSE)</f>
        <v>Lentils</v>
      </c>
      <c r="E546" t="s">
        <v>39</v>
      </c>
      <c r="F546" t="str">
        <f>VLOOKUP(Table2[[#This Row],[product]],Ref[#All],2,FALSE)</f>
        <v>Lentil TAT 20KG</v>
      </c>
      <c r="G546" t="str">
        <f>VLOOKUP(Table2[[#This Row],[product]],Ref[#All],3,FALSE)</f>
        <v>Lentils</v>
      </c>
      <c r="H546" t="str">
        <f>VLOOKUP(Table2[[#This Row],[product]],Ref[#All],4,FALSE)</f>
        <v>Import</v>
      </c>
      <c r="I546" s="1">
        <v>45743</v>
      </c>
      <c r="J546" t="s">
        <v>53</v>
      </c>
      <c r="K546" t="s">
        <v>626</v>
      </c>
      <c r="L546" t="s">
        <v>1651</v>
      </c>
      <c r="M546" t="s">
        <v>1586</v>
      </c>
      <c r="N546" t="s">
        <v>784</v>
      </c>
      <c r="O546" t="s">
        <v>785</v>
      </c>
      <c r="P546" t="s">
        <v>788</v>
      </c>
      <c r="Q546" t="s">
        <v>55</v>
      </c>
      <c r="R546">
        <v>-1</v>
      </c>
      <c r="S546" s="15">
        <f>Table2[[#This Row],[movement_quantity]]/VLOOKUP(Table2[[#This Row],[product]],Ref[#All],5,FALSE)</f>
        <v>-0.02</v>
      </c>
      <c r="T546">
        <v>50018.234799999998</v>
      </c>
      <c r="U546" t="s">
        <v>17</v>
      </c>
      <c r="V546" t="s">
        <v>627</v>
      </c>
      <c r="W546" t="s">
        <v>628</v>
      </c>
      <c r="X546" t="s">
        <v>17</v>
      </c>
      <c r="Y546" t="s">
        <v>562</v>
      </c>
      <c r="Z546">
        <v>0</v>
      </c>
      <c r="AA546" s="2">
        <v>-50018.234799999998</v>
      </c>
      <c r="AB546" t="str">
        <f>VLOOKUP(Table2[[#This Row],[product]],Ref[#All],6,FALSE)</f>
        <v>BAG20</v>
      </c>
    </row>
    <row r="547" spans="1:28" x14ac:dyDescent="0.25">
      <c r="A547" t="str">
        <f>TEXT(Table2[[#This Row],[dated]],"mmm")</f>
        <v>Mar</v>
      </c>
      <c r="B547" t="s">
        <v>52</v>
      </c>
      <c r="C547" s="1" t="s">
        <v>536</v>
      </c>
      <c r="D547" t="str">
        <f>VLOOKUP(Table2[[#This Row],[product]],Ref[#All],7,FALSE)</f>
        <v>Lentils</v>
      </c>
      <c r="E547" t="s">
        <v>39</v>
      </c>
      <c r="F547" t="str">
        <f>VLOOKUP(Table2[[#This Row],[product]],Ref[#All],2,FALSE)</f>
        <v>Lentil TAT 20KG</v>
      </c>
      <c r="G547" t="str">
        <f>VLOOKUP(Table2[[#This Row],[product]],Ref[#All],3,FALSE)</f>
        <v>Lentils</v>
      </c>
      <c r="H547" t="str">
        <f>VLOOKUP(Table2[[#This Row],[product]],Ref[#All],4,FALSE)</f>
        <v>Import</v>
      </c>
      <c r="I547" s="1">
        <v>45743</v>
      </c>
      <c r="J547" t="s">
        <v>53</v>
      </c>
      <c r="K547" t="s">
        <v>629</v>
      </c>
      <c r="L547" t="s">
        <v>1651</v>
      </c>
      <c r="M547" t="s">
        <v>1586</v>
      </c>
      <c r="N547" t="s">
        <v>784</v>
      </c>
      <c r="O547" t="s">
        <v>785</v>
      </c>
      <c r="P547" t="s">
        <v>788</v>
      </c>
      <c r="Q547" t="s">
        <v>55</v>
      </c>
      <c r="R547">
        <v>-2</v>
      </c>
      <c r="S547" s="15">
        <f>Table2[[#This Row],[movement_quantity]]/VLOOKUP(Table2[[#This Row],[product]],Ref[#All],5,FALSE)</f>
        <v>-0.04</v>
      </c>
      <c r="T547">
        <v>50018.234799999998</v>
      </c>
      <c r="U547" t="s">
        <v>17</v>
      </c>
      <c r="V547" t="s">
        <v>630</v>
      </c>
      <c r="W547" t="s">
        <v>631</v>
      </c>
      <c r="X547" t="s">
        <v>17</v>
      </c>
      <c r="Y547" t="s">
        <v>562</v>
      </c>
      <c r="Z547">
        <v>0</v>
      </c>
      <c r="AA547" s="2">
        <v>-100036.4696</v>
      </c>
      <c r="AB547" t="str">
        <f>VLOOKUP(Table2[[#This Row],[product]],Ref[#All],6,FALSE)</f>
        <v>BAG20</v>
      </c>
    </row>
    <row r="548" spans="1:28" x14ac:dyDescent="0.25">
      <c r="A548" t="str">
        <f>TEXT(Table2[[#This Row],[dated]],"mmm")</f>
        <v>Mar</v>
      </c>
      <c r="B548" t="s">
        <v>52</v>
      </c>
      <c r="C548" s="1" t="s">
        <v>536</v>
      </c>
      <c r="D548" t="str">
        <f>VLOOKUP(Table2[[#This Row],[product]],Ref[#All],7,FALSE)</f>
        <v>Lentils</v>
      </c>
      <c r="E548" t="s">
        <v>39</v>
      </c>
      <c r="F548" t="str">
        <f>VLOOKUP(Table2[[#This Row],[product]],Ref[#All],2,FALSE)</f>
        <v>Lentil TAT 20KG</v>
      </c>
      <c r="G548" t="str">
        <f>VLOOKUP(Table2[[#This Row],[product]],Ref[#All],3,FALSE)</f>
        <v>Lentils</v>
      </c>
      <c r="H548" t="str">
        <f>VLOOKUP(Table2[[#This Row],[product]],Ref[#All],4,FALSE)</f>
        <v>Import</v>
      </c>
      <c r="I548" s="1">
        <v>45743</v>
      </c>
      <c r="J548" t="s">
        <v>53</v>
      </c>
      <c r="K548" t="s">
        <v>632</v>
      </c>
      <c r="L548" t="s">
        <v>1651</v>
      </c>
      <c r="M548" t="s">
        <v>1586</v>
      </c>
      <c r="N548" t="s">
        <v>784</v>
      </c>
      <c r="O548" t="s">
        <v>785</v>
      </c>
      <c r="P548" t="s">
        <v>788</v>
      </c>
      <c r="Q548" t="s">
        <v>55</v>
      </c>
      <c r="R548">
        <v>-1</v>
      </c>
      <c r="S548" s="15">
        <f>Table2[[#This Row],[movement_quantity]]/VLOOKUP(Table2[[#This Row],[product]],Ref[#All],5,FALSE)</f>
        <v>-0.02</v>
      </c>
      <c r="T548">
        <v>50018.234799999998</v>
      </c>
      <c r="U548" t="s">
        <v>17</v>
      </c>
      <c r="V548" t="s">
        <v>633</v>
      </c>
      <c r="W548" t="s">
        <v>634</v>
      </c>
      <c r="X548" t="s">
        <v>17</v>
      </c>
      <c r="Y548" t="s">
        <v>562</v>
      </c>
      <c r="Z548">
        <v>0</v>
      </c>
      <c r="AA548" s="2">
        <v>-50018.234799999998</v>
      </c>
      <c r="AB548" t="str">
        <f>VLOOKUP(Table2[[#This Row],[product]],Ref[#All],6,FALSE)</f>
        <v>BAG20</v>
      </c>
    </row>
    <row r="549" spans="1:28" x14ac:dyDescent="0.25">
      <c r="A549" t="str">
        <f>TEXT(Table2[[#This Row],[dated]],"mmm")</f>
        <v>Mar</v>
      </c>
      <c r="B549" t="s">
        <v>52</v>
      </c>
      <c r="C549" s="1" t="s">
        <v>536</v>
      </c>
      <c r="D549" t="str">
        <f>VLOOKUP(Table2[[#This Row],[product]],Ref[#All],7,FALSE)</f>
        <v>Lentils</v>
      </c>
      <c r="E549" t="s">
        <v>39</v>
      </c>
      <c r="F549" t="str">
        <f>VLOOKUP(Table2[[#This Row],[product]],Ref[#All],2,FALSE)</f>
        <v>Lentil TAT 20KG</v>
      </c>
      <c r="G549" t="str">
        <f>VLOOKUP(Table2[[#This Row],[product]],Ref[#All],3,FALSE)</f>
        <v>Lentils</v>
      </c>
      <c r="H549" t="str">
        <f>VLOOKUP(Table2[[#This Row],[product]],Ref[#All],4,FALSE)</f>
        <v>Import</v>
      </c>
      <c r="I549" s="1">
        <v>45743</v>
      </c>
      <c r="J549" t="s">
        <v>53</v>
      </c>
      <c r="K549" t="s">
        <v>635</v>
      </c>
      <c r="L549" t="s">
        <v>1651</v>
      </c>
      <c r="M549" t="s">
        <v>1586</v>
      </c>
      <c r="N549" t="s">
        <v>784</v>
      </c>
      <c r="O549" t="s">
        <v>785</v>
      </c>
      <c r="P549" t="s">
        <v>788</v>
      </c>
      <c r="Q549" t="s">
        <v>55</v>
      </c>
      <c r="R549">
        <v>-6</v>
      </c>
      <c r="S549" s="15">
        <f>Table2[[#This Row],[movement_quantity]]/VLOOKUP(Table2[[#This Row],[product]],Ref[#All],5,FALSE)</f>
        <v>-0.12</v>
      </c>
      <c r="T549">
        <v>50018.234799999998</v>
      </c>
      <c r="U549" t="s">
        <v>17</v>
      </c>
      <c r="V549" t="s">
        <v>636</v>
      </c>
      <c r="W549" t="s">
        <v>637</v>
      </c>
      <c r="X549" t="s">
        <v>17</v>
      </c>
      <c r="Y549" t="s">
        <v>562</v>
      </c>
      <c r="Z549">
        <v>0</v>
      </c>
      <c r="AA549" s="2">
        <v>-300109.40879999998</v>
      </c>
      <c r="AB549" t="str">
        <f>VLOOKUP(Table2[[#This Row],[product]],Ref[#All],6,FALSE)</f>
        <v>BAG20</v>
      </c>
    </row>
    <row r="550" spans="1:28" x14ac:dyDescent="0.25">
      <c r="A550" t="str">
        <f>TEXT(Table2[[#This Row],[dated]],"mmm")</f>
        <v>Mar</v>
      </c>
      <c r="B550" t="s">
        <v>596</v>
      </c>
      <c r="C550" s="1" t="s">
        <v>536</v>
      </c>
      <c r="D550" t="str">
        <f>VLOOKUP(Table2[[#This Row],[product]],Ref[#All],7,FALSE)</f>
        <v>Flour</v>
      </c>
      <c r="E550" t="s">
        <v>36</v>
      </c>
      <c r="F550" t="str">
        <f>VLOOKUP(Table2[[#This Row],[product]],Ref[#All],2,FALSE)</f>
        <v>Flour Import Elngm 25Kg</v>
      </c>
      <c r="G550" t="str">
        <f>VLOOKUP(Table2[[#This Row],[product]],Ref[#All],3,FALSE)</f>
        <v>Flour Al-Nagm (Imported)</v>
      </c>
      <c r="H550" t="str">
        <f>VLOOKUP(Table2[[#This Row],[product]],Ref[#All],4,FALSE)</f>
        <v>Import</v>
      </c>
      <c r="I550" s="1">
        <v>45743</v>
      </c>
      <c r="J550" t="s">
        <v>53</v>
      </c>
      <c r="K550" t="s">
        <v>638</v>
      </c>
      <c r="L550" t="s">
        <v>1651</v>
      </c>
      <c r="M550" t="s">
        <v>1586</v>
      </c>
      <c r="N550" t="s">
        <v>784</v>
      </c>
      <c r="O550" t="s">
        <v>785</v>
      </c>
      <c r="P550" t="s">
        <v>788</v>
      </c>
      <c r="Q550" t="s">
        <v>55</v>
      </c>
      <c r="R550">
        <v>-10</v>
      </c>
      <c r="S550" s="15">
        <f>Table2[[#This Row],[movement_quantity]]/VLOOKUP(Table2[[#This Row],[product]],Ref[#All],5,FALSE)</f>
        <v>-0.25</v>
      </c>
      <c r="T550">
        <v>31777.27522</v>
      </c>
      <c r="U550" t="s">
        <v>17</v>
      </c>
      <c r="V550" t="s">
        <v>24</v>
      </c>
      <c r="W550" t="s">
        <v>639</v>
      </c>
      <c r="X550" t="s">
        <v>17</v>
      </c>
      <c r="Y550" t="s">
        <v>587</v>
      </c>
      <c r="Z550">
        <v>0</v>
      </c>
      <c r="AA550" s="2">
        <v>-317772.75219999999</v>
      </c>
      <c r="AB550" t="str">
        <f>VLOOKUP(Table2[[#This Row],[product]],Ref[#All],6,FALSE)</f>
        <v>BAG25</v>
      </c>
    </row>
    <row r="551" spans="1:28" x14ac:dyDescent="0.25">
      <c r="A551" t="str">
        <f>TEXT(Table2[[#This Row],[dated]],"mmm")</f>
        <v>Mar</v>
      </c>
      <c r="B551" t="s">
        <v>596</v>
      </c>
      <c r="C551" s="1" t="s">
        <v>536</v>
      </c>
      <c r="D551" t="str">
        <f>VLOOKUP(Table2[[#This Row],[product]],Ref[#All],7,FALSE)</f>
        <v>Flour</v>
      </c>
      <c r="E551" t="s">
        <v>36</v>
      </c>
      <c r="F551" t="str">
        <f>VLOOKUP(Table2[[#This Row],[product]],Ref[#All],2,FALSE)</f>
        <v>Flour Import Elngm 25Kg</v>
      </c>
      <c r="G551" t="str">
        <f>VLOOKUP(Table2[[#This Row],[product]],Ref[#All],3,FALSE)</f>
        <v>Flour Al-Nagm (Imported)</v>
      </c>
      <c r="H551" t="str">
        <f>VLOOKUP(Table2[[#This Row],[product]],Ref[#All],4,FALSE)</f>
        <v>Import</v>
      </c>
      <c r="I551" s="1">
        <v>45743</v>
      </c>
      <c r="J551" t="s">
        <v>53</v>
      </c>
      <c r="K551" t="s">
        <v>640</v>
      </c>
      <c r="L551" t="s">
        <v>1651</v>
      </c>
      <c r="M551" t="s">
        <v>1586</v>
      </c>
      <c r="N551" t="s">
        <v>784</v>
      </c>
      <c r="O551" t="s">
        <v>785</v>
      </c>
      <c r="P551" t="s">
        <v>788</v>
      </c>
      <c r="Q551" t="s">
        <v>55</v>
      </c>
      <c r="R551">
        <v>-7</v>
      </c>
      <c r="S551" s="15">
        <f>Table2[[#This Row],[movement_quantity]]/VLOOKUP(Table2[[#This Row],[product]],Ref[#All],5,FALSE)</f>
        <v>-0.17499999999999999</v>
      </c>
      <c r="T551">
        <v>31777.27522</v>
      </c>
      <c r="U551" t="s">
        <v>17</v>
      </c>
      <c r="V551" t="s">
        <v>25</v>
      </c>
      <c r="W551" t="s">
        <v>641</v>
      </c>
      <c r="X551" t="s">
        <v>17</v>
      </c>
      <c r="Y551" t="s">
        <v>587</v>
      </c>
      <c r="Z551">
        <v>0</v>
      </c>
      <c r="AA551" s="2">
        <v>-222440.92653999999</v>
      </c>
      <c r="AB551" t="str">
        <f>VLOOKUP(Table2[[#This Row],[product]],Ref[#All],6,FALSE)</f>
        <v>BAG25</v>
      </c>
    </row>
    <row r="552" spans="1:28" x14ac:dyDescent="0.25">
      <c r="A552" t="str">
        <f>TEXT(Table2[[#This Row],[dated]],"mmm")</f>
        <v>Mar</v>
      </c>
      <c r="B552" t="s">
        <v>642</v>
      </c>
      <c r="C552" s="1" t="s">
        <v>536</v>
      </c>
      <c r="D552" t="str">
        <f>VLOOKUP(Table2[[#This Row],[product]],Ref[#All],7,FALSE)</f>
        <v>Flour</v>
      </c>
      <c r="E552" t="s">
        <v>36</v>
      </c>
      <c r="F552" t="str">
        <f>VLOOKUP(Table2[[#This Row],[product]],Ref[#All],2,FALSE)</f>
        <v>Flour Import Elngm 25Kg</v>
      </c>
      <c r="G552" t="str">
        <f>VLOOKUP(Table2[[#This Row],[product]],Ref[#All],3,FALSE)</f>
        <v>Flour Al-Nagm (Imported)</v>
      </c>
      <c r="H552" t="str">
        <f>VLOOKUP(Table2[[#This Row],[product]],Ref[#All],4,FALSE)</f>
        <v>Import</v>
      </c>
      <c r="I552" s="1">
        <v>45743</v>
      </c>
      <c r="J552" t="s">
        <v>53</v>
      </c>
      <c r="K552" t="s">
        <v>643</v>
      </c>
      <c r="L552" t="s">
        <v>1651</v>
      </c>
      <c r="M552" t="s">
        <v>1586</v>
      </c>
      <c r="N552" t="s">
        <v>784</v>
      </c>
      <c r="O552" t="s">
        <v>785</v>
      </c>
      <c r="P552" t="s">
        <v>788</v>
      </c>
      <c r="Q552" t="s">
        <v>55</v>
      </c>
      <c r="R552">
        <v>-2</v>
      </c>
      <c r="S552" s="15">
        <f>Table2[[#This Row],[movement_quantity]]/VLOOKUP(Table2[[#This Row],[product]],Ref[#All],5,FALSE)</f>
        <v>-0.05</v>
      </c>
      <c r="T552">
        <v>31777.27522</v>
      </c>
      <c r="U552" t="s">
        <v>17</v>
      </c>
      <c r="V552" t="s">
        <v>18</v>
      </c>
      <c r="W552" t="s">
        <v>644</v>
      </c>
      <c r="X552" t="s">
        <v>17</v>
      </c>
      <c r="Y552" t="s">
        <v>587</v>
      </c>
      <c r="Z552">
        <v>0</v>
      </c>
      <c r="AA552" s="2">
        <v>-63554.550439999999</v>
      </c>
      <c r="AB552" t="str">
        <f>VLOOKUP(Table2[[#This Row],[product]],Ref[#All],6,FALSE)</f>
        <v>BAG25</v>
      </c>
    </row>
    <row r="553" spans="1:28" x14ac:dyDescent="0.25">
      <c r="A553" t="str">
        <f>TEXT(Table2[[#This Row],[dated]],"mmm")</f>
        <v>Mar</v>
      </c>
      <c r="B553" t="s">
        <v>642</v>
      </c>
      <c r="C553" s="1" t="s">
        <v>536</v>
      </c>
      <c r="D553" t="str">
        <f>VLOOKUP(Table2[[#This Row],[product]],Ref[#All],7,FALSE)</f>
        <v>Flour</v>
      </c>
      <c r="E553" t="s">
        <v>36</v>
      </c>
      <c r="F553" t="str">
        <f>VLOOKUP(Table2[[#This Row],[product]],Ref[#All],2,FALSE)</f>
        <v>Flour Import Elngm 25Kg</v>
      </c>
      <c r="G553" t="str">
        <f>VLOOKUP(Table2[[#This Row],[product]],Ref[#All],3,FALSE)</f>
        <v>Flour Al-Nagm (Imported)</v>
      </c>
      <c r="H553" t="str">
        <f>VLOOKUP(Table2[[#This Row],[product]],Ref[#All],4,FALSE)</f>
        <v>Import</v>
      </c>
      <c r="I553" s="1">
        <v>45743</v>
      </c>
      <c r="J553" t="s">
        <v>53</v>
      </c>
      <c r="K553" t="s">
        <v>645</v>
      </c>
      <c r="L553" t="s">
        <v>1651</v>
      </c>
      <c r="M553" t="s">
        <v>1586</v>
      </c>
      <c r="N553" t="s">
        <v>784</v>
      </c>
      <c r="O553" t="s">
        <v>785</v>
      </c>
      <c r="P553" t="s">
        <v>788</v>
      </c>
      <c r="Q553" t="s">
        <v>55</v>
      </c>
      <c r="R553">
        <v>-6</v>
      </c>
      <c r="S553" s="15">
        <f>Table2[[#This Row],[movement_quantity]]/VLOOKUP(Table2[[#This Row],[product]],Ref[#All],5,FALSE)</f>
        <v>-0.15</v>
      </c>
      <c r="T553">
        <v>31777.27522</v>
      </c>
      <c r="U553" t="s">
        <v>17</v>
      </c>
      <c r="V553" t="s">
        <v>21</v>
      </c>
      <c r="W553" t="s">
        <v>646</v>
      </c>
      <c r="X553" t="s">
        <v>17</v>
      </c>
      <c r="Y553" t="s">
        <v>587</v>
      </c>
      <c r="Z553">
        <v>0</v>
      </c>
      <c r="AA553" s="2">
        <v>-190663.65132</v>
      </c>
      <c r="AB553" t="str">
        <f>VLOOKUP(Table2[[#This Row],[product]],Ref[#All],6,FALSE)</f>
        <v>BAG25</v>
      </c>
    </row>
    <row r="554" spans="1:28" x14ac:dyDescent="0.25">
      <c r="A554" t="str">
        <f>TEXT(Table2[[#This Row],[dated]],"mmm")</f>
        <v>Apr</v>
      </c>
      <c r="B554" t="s">
        <v>52</v>
      </c>
      <c r="C554" s="1" t="s">
        <v>536</v>
      </c>
      <c r="D554" t="str">
        <f>VLOOKUP(Table2[[#This Row],[product]],Ref[#All],7,FALSE)</f>
        <v>Flour</v>
      </c>
      <c r="E554" t="s">
        <v>36</v>
      </c>
      <c r="F554" t="str">
        <f>VLOOKUP(Table2[[#This Row],[product]],Ref[#All],2,FALSE)</f>
        <v>Flour Import Elngm 25Kg</v>
      </c>
      <c r="G554" t="str">
        <f>VLOOKUP(Table2[[#This Row],[product]],Ref[#All],3,FALSE)</f>
        <v>Flour Al-Nagm (Imported)</v>
      </c>
      <c r="H554" t="str">
        <f>VLOOKUP(Table2[[#This Row],[product]],Ref[#All],4,FALSE)</f>
        <v>Import</v>
      </c>
      <c r="I554" s="1">
        <v>45760</v>
      </c>
      <c r="J554" t="s">
        <v>53</v>
      </c>
      <c r="K554" t="s">
        <v>592</v>
      </c>
      <c r="L554" t="s">
        <v>1651</v>
      </c>
      <c r="M554" t="s">
        <v>1586</v>
      </c>
      <c r="N554" t="s">
        <v>784</v>
      </c>
      <c r="O554" t="s">
        <v>785</v>
      </c>
      <c r="P554" t="s">
        <v>788</v>
      </c>
      <c r="Q554" t="s">
        <v>55</v>
      </c>
      <c r="R554">
        <v>-2</v>
      </c>
      <c r="S554" s="15">
        <f>Table2[[#This Row],[movement_quantity]]/VLOOKUP(Table2[[#This Row],[product]],Ref[#All],5,FALSE)</f>
        <v>-0.05</v>
      </c>
      <c r="T554">
        <v>30927.350320000001</v>
      </c>
      <c r="U554" t="s">
        <v>17</v>
      </c>
      <c r="V554" t="s">
        <v>18</v>
      </c>
      <c r="W554" t="s">
        <v>593</v>
      </c>
      <c r="X554" t="s">
        <v>17</v>
      </c>
      <c r="Y554" t="s">
        <v>157</v>
      </c>
      <c r="Z554">
        <v>0</v>
      </c>
      <c r="AA554" s="2">
        <v>-61854.700640000003</v>
      </c>
      <c r="AB554" t="str">
        <f>VLOOKUP(Table2[[#This Row],[product]],Ref[#All],6,FALSE)</f>
        <v>BAG25</v>
      </c>
    </row>
    <row r="555" spans="1:28" x14ac:dyDescent="0.25">
      <c r="A555" t="str">
        <f>TEXT(Table2[[#This Row],[dated]],"mmm")</f>
        <v>Apr</v>
      </c>
      <c r="B555" t="s">
        <v>52</v>
      </c>
      <c r="C555" s="1" t="s">
        <v>536</v>
      </c>
      <c r="D555" t="str">
        <f>VLOOKUP(Table2[[#This Row],[product]],Ref[#All],7,FALSE)</f>
        <v>Flour</v>
      </c>
      <c r="E555" t="s">
        <v>36</v>
      </c>
      <c r="F555" t="str">
        <f>VLOOKUP(Table2[[#This Row],[product]],Ref[#All],2,FALSE)</f>
        <v>Flour Import Elngm 25Kg</v>
      </c>
      <c r="G555" t="str">
        <f>VLOOKUP(Table2[[#This Row],[product]],Ref[#All],3,FALSE)</f>
        <v>Flour Al-Nagm (Imported)</v>
      </c>
      <c r="H555" t="str">
        <f>VLOOKUP(Table2[[#This Row],[product]],Ref[#All],4,FALSE)</f>
        <v>Import</v>
      </c>
      <c r="I555" s="1">
        <v>45760</v>
      </c>
      <c r="J555" t="s">
        <v>53</v>
      </c>
      <c r="K555" t="s">
        <v>594</v>
      </c>
      <c r="L555" t="s">
        <v>1651</v>
      </c>
      <c r="M555" t="s">
        <v>1586</v>
      </c>
      <c r="N555" t="s">
        <v>784</v>
      </c>
      <c r="O555" t="s">
        <v>785</v>
      </c>
      <c r="P555" t="s">
        <v>788</v>
      </c>
      <c r="Q555" t="s">
        <v>55</v>
      </c>
      <c r="R555">
        <v>-4</v>
      </c>
      <c r="S555" s="15">
        <f>Table2[[#This Row],[movement_quantity]]/VLOOKUP(Table2[[#This Row],[product]],Ref[#All],5,FALSE)</f>
        <v>-0.1</v>
      </c>
      <c r="T555">
        <v>30927.350320000001</v>
      </c>
      <c r="U555" t="s">
        <v>17</v>
      </c>
      <c r="V555" t="s">
        <v>21</v>
      </c>
      <c r="W555" t="s">
        <v>595</v>
      </c>
      <c r="X555" t="s">
        <v>17</v>
      </c>
      <c r="Y555" t="s">
        <v>157</v>
      </c>
      <c r="Z555">
        <v>0</v>
      </c>
      <c r="AA555" s="2">
        <v>-123709.40128000001</v>
      </c>
      <c r="AB555" t="str">
        <f>VLOOKUP(Table2[[#This Row],[product]],Ref[#All],6,FALSE)</f>
        <v>BAG25</v>
      </c>
    </row>
    <row r="556" spans="1:28" x14ac:dyDescent="0.25">
      <c r="A556" t="str">
        <f>TEXT(Table2[[#This Row],[dated]],"mmm")</f>
        <v>Apr</v>
      </c>
      <c r="B556" t="s">
        <v>596</v>
      </c>
      <c r="C556" s="1" t="s">
        <v>536</v>
      </c>
      <c r="D556" t="str">
        <f>VLOOKUP(Table2[[#This Row],[product]],Ref[#All],7,FALSE)</f>
        <v>Lentils</v>
      </c>
      <c r="E556" t="s">
        <v>39</v>
      </c>
      <c r="F556" t="str">
        <f>VLOOKUP(Table2[[#This Row],[product]],Ref[#All],2,FALSE)</f>
        <v>Lentil TAT 20KG</v>
      </c>
      <c r="G556" t="str">
        <f>VLOOKUP(Table2[[#This Row],[product]],Ref[#All],3,FALSE)</f>
        <v>Lentils</v>
      </c>
      <c r="H556" t="str">
        <f>VLOOKUP(Table2[[#This Row],[product]],Ref[#All],4,FALSE)</f>
        <v>Import</v>
      </c>
      <c r="I556" s="1">
        <v>45760</v>
      </c>
      <c r="J556" t="s">
        <v>53</v>
      </c>
      <c r="K556" t="s">
        <v>597</v>
      </c>
      <c r="L556" t="s">
        <v>1651</v>
      </c>
      <c r="M556" t="s">
        <v>1586</v>
      </c>
      <c r="N556" t="s">
        <v>784</v>
      </c>
      <c r="O556" t="s">
        <v>785</v>
      </c>
      <c r="P556" t="s">
        <v>788</v>
      </c>
      <c r="Q556" t="s">
        <v>55</v>
      </c>
      <c r="R556">
        <v>-2</v>
      </c>
      <c r="S556" s="15">
        <f>Table2[[#This Row],[movement_quantity]]/VLOOKUP(Table2[[#This Row],[product]],Ref[#All],5,FALSE)</f>
        <v>-0.04</v>
      </c>
      <c r="T556">
        <v>48291.345670000002</v>
      </c>
      <c r="U556" t="s">
        <v>17</v>
      </c>
      <c r="V556" t="s">
        <v>18</v>
      </c>
      <c r="W556" t="s">
        <v>598</v>
      </c>
      <c r="X556" t="s">
        <v>17</v>
      </c>
      <c r="Y556" t="s">
        <v>599</v>
      </c>
      <c r="Z556">
        <v>0</v>
      </c>
      <c r="AA556" s="2">
        <v>-96582.691340000005</v>
      </c>
      <c r="AB556" t="str">
        <f>VLOOKUP(Table2[[#This Row],[product]],Ref[#All],6,FALSE)</f>
        <v>BAG20</v>
      </c>
    </row>
    <row r="557" spans="1:28" x14ac:dyDescent="0.25">
      <c r="A557" t="str">
        <f>TEXT(Table2[[#This Row],[dated]],"mmm")</f>
        <v>Apr</v>
      </c>
      <c r="B557" t="s">
        <v>596</v>
      </c>
      <c r="C557" s="1" t="s">
        <v>536</v>
      </c>
      <c r="D557" t="str">
        <f>VLOOKUP(Table2[[#This Row],[product]],Ref[#All],7,FALSE)</f>
        <v>Lentils</v>
      </c>
      <c r="E557" t="s">
        <v>39</v>
      </c>
      <c r="F557" t="str">
        <f>VLOOKUP(Table2[[#This Row],[product]],Ref[#All],2,FALSE)</f>
        <v>Lentil TAT 20KG</v>
      </c>
      <c r="G557" t="str">
        <f>VLOOKUP(Table2[[#This Row],[product]],Ref[#All],3,FALSE)</f>
        <v>Lentils</v>
      </c>
      <c r="H557" t="str">
        <f>VLOOKUP(Table2[[#This Row],[product]],Ref[#All],4,FALSE)</f>
        <v>Import</v>
      </c>
      <c r="I557" s="1">
        <v>45760</v>
      </c>
      <c r="J557" t="s">
        <v>53</v>
      </c>
      <c r="K557" t="s">
        <v>600</v>
      </c>
      <c r="L557" t="s">
        <v>1651</v>
      </c>
      <c r="M557" t="s">
        <v>1586</v>
      </c>
      <c r="N557" t="s">
        <v>784</v>
      </c>
      <c r="O557" t="s">
        <v>785</v>
      </c>
      <c r="P557" t="s">
        <v>788</v>
      </c>
      <c r="Q557" t="s">
        <v>55</v>
      </c>
      <c r="R557">
        <v>-2</v>
      </c>
      <c r="S557" s="15">
        <f>Table2[[#This Row],[movement_quantity]]/VLOOKUP(Table2[[#This Row],[product]],Ref[#All],5,FALSE)</f>
        <v>-0.04</v>
      </c>
      <c r="T557">
        <v>48291.345670000002</v>
      </c>
      <c r="U557" t="s">
        <v>17</v>
      </c>
      <c r="V557" t="s">
        <v>21</v>
      </c>
      <c r="W557" t="s">
        <v>601</v>
      </c>
      <c r="X557" t="s">
        <v>17</v>
      </c>
      <c r="Y557" t="s">
        <v>599</v>
      </c>
      <c r="Z557">
        <v>0</v>
      </c>
      <c r="AA557" s="2">
        <v>-96582.691340000005</v>
      </c>
      <c r="AB557" t="str">
        <f>VLOOKUP(Table2[[#This Row],[product]],Ref[#All],6,FALSE)</f>
        <v>BAG20</v>
      </c>
    </row>
    <row r="558" spans="1:28" x14ac:dyDescent="0.25">
      <c r="A558" t="str">
        <f>TEXT(Table2[[#This Row],[dated]],"mmm")</f>
        <v>Apr</v>
      </c>
      <c r="B558" t="s">
        <v>596</v>
      </c>
      <c r="C558" s="1" t="s">
        <v>536</v>
      </c>
      <c r="D558" t="str">
        <f>VLOOKUP(Table2[[#This Row],[product]],Ref[#All],7,FALSE)</f>
        <v>Lentils</v>
      </c>
      <c r="E558" t="s">
        <v>39</v>
      </c>
      <c r="F558" t="str">
        <f>VLOOKUP(Table2[[#This Row],[product]],Ref[#All],2,FALSE)</f>
        <v>Lentil TAT 20KG</v>
      </c>
      <c r="G558" t="str">
        <f>VLOOKUP(Table2[[#This Row],[product]],Ref[#All],3,FALSE)</f>
        <v>Lentils</v>
      </c>
      <c r="H558" t="str">
        <f>VLOOKUP(Table2[[#This Row],[product]],Ref[#All],4,FALSE)</f>
        <v>Import</v>
      </c>
      <c r="I558" s="1">
        <v>45760</v>
      </c>
      <c r="J558" t="s">
        <v>53</v>
      </c>
      <c r="K558" t="s">
        <v>602</v>
      </c>
      <c r="L558" t="s">
        <v>1651</v>
      </c>
      <c r="M558" t="s">
        <v>1586</v>
      </c>
      <c r="N558" t="s">
        <v>784</v>
      </c>
      <c r="O558" t="s">
        <v>785</v>
      </c>
      <c r="P558" t="s">
        <v>788</v>
      </c>
      <c r="Q558" t="s">
        <v>55</v>
      </c>
      <c r="R558">
        <v>-2</v>
      </c>
      <c r="S558" s="15">
        <f>Table2[[#This Row],[movement_quantity]]/VLOOKUP(Table2[[#This Row],[product]],Ref[#All],5,FALSE)</f>
        <v>-0.04</v>
      </c>
      <c r="T558">
        <v>48291.345670000002</v>
      </c>
      <c r="U558" t="s">
        <v>17</v>
      </c>
      <c r="V558" t="s">
        <v>22</v>
      </c>
      <c r="W558" t="s">
        <v>603</v>
      </c>
      <c r="X558" t="s">
        <v>17</v>
      </c>
      <c r="Y558" t="s">
        <v>599</v>
      </c>
      <c r="Z558">
        <v>0</v>
      </c>
      <c r="AA558" s="2">
        <v>-96582.691340000005</v>
      </c>
      <c r="AB558" t="str">
        <f>VLOOKUP(Table2[[#This Row],[product]],Ref[#All],6,FALSE)</f>
        <v>BAG20</v>
      </c>
    </row>
    <row r="559" spans="1:28" x14ac:dyDescent="0.25">
      <c r="A559" t="str">
        <f>TEXT(Table2[[#This Row],[dated]],"mmm")</f>
        <v>Apr</v>
      </c>
      <c r="B559" t="s">
        <v>596</v>
      </c>
      <c r="C559" s="1" t="s">
        <v>536</v>
      </c>
      <c r="D559" t="str">
        <f>VLOOKUP(Table2[[#This Row],[product]],Ref[#All],7,FALSE)</f>
        <v>Lentils</v>
      </c>
      <c r="E559" t="s">
        <v>39</v>
      </c>
      <c r="F559" t="str">
        <f>VLOOKUP(Table2[[#This Row],[product]],Ref[#All],2,FALSE)</f>
        <v>Lentil TAT 20KG</v>
      </c>
      <c r="G559" t="str">
        <f>VLOOKUP(Table2[[#This Row],[product]],Ref[#All],3,FALSE)</f>
        <v>Lentils</v>
      </c>
      <c r="H559" t="str">
        <f>VLOOKUP(Table2[[#This Row],[product]],Ref[#All],4,FALSE)</f>
        <v>Import</v>
      </c>
      <c r="I559" s="1">
        <v>45760</v>
      </c>
      <c r="J559" t="s">
        <v>53</v>
      </c>
      <c r="K559" t="s">
        <v>602</v>
      </c>
      <c r="L559" t="s">
        <v>1651</v>
      </c>
      <c r="M559" t="s">
        <v>1586</v>
      </c>
      <c r="N559" t="s">
        <v>784</v>
      </c>
      <c r="O559" t="s">
        <v>785</v>
      </c>
      <c r="P559" t="s">
        <v>788</v>
      </c>
      <c r="Q559" t="s">
        <v>55</v>
      </c>
      <c r="R559">
        <v>-2</v>
      </c>
      <c r="S559" s="15">
        <f>Table2[[#This Row],[movement_quantity]]/VLOOKUP(Table2[[#This Row],[product]],Ref[#All],5,FALSE)</f>
        <v>-0.04</v>
      </c>
      <c r="T559">
        <v>48291.345670000002</v>
      </c>
      <c r="U559" t="s">
        <v>17</v>
      </c>
      <c r="V559" t="s">
        <v>23</v>
      </c>
      <c r="W559" t="s">
        <v>603</v>
      </c>
      <c r="X559" t="s">
        <v>17</v>
      </c>
      <c r="Y559" t="s">
        <v>599</v>
      </c>
      <c r="Z559">
        <v>0</v>
      </c>
      <c r="AA559" s="2">
        <v>-96582.691340000005</v>
      </c>
      <c r="AB559" t="str">
        <f>VLOOKUP(Table2[[#This Row],[product]],Ref[#All],6,FALSE)</f>
        <v>BAG20</v>
      </c>
    </row>
    <row r="560" spans="1:28" x14ac:dyDescent="0.25">
      <c r="A560" t="str">
        <f>TEXT(Table2[[#This Row],[dated]],"mmm")</f>
        <v>Apr</v>
      </c>
      <c r="B560" t="s">
        <v>596</v>
      </c>
      <c r="C560" s="1" t="s">
        <v>536</v>
      </c>
      <c r="D560" t="str">
        <f>VLOOKUP(Table2[[#This Row],[product]],Ref[#All],7,FALSE)</f>
        <v>Lentils</v>
      </c>
      <c r="E560" t="s">
        <v>39</v>
      </c>
      <c r="F560" t="str">
        <f>VLOOKUP(Table2[[#This Row],[product]],Ref[#All],2,FALSE)</f>
        <v>Lentil TAT 20KG</v>
      </c>
      <c r="G560" t="str">
        <f>VLOOKUP(Table2[[#This Row],[product]],Ref[#All],3,FALSE)</f>
        <v>Lentils</v>
      </c>
      <c r="H560" t="str">
        <f>VLOOKUP(Table2[[#This Row],[product]],Ref[#All],4,FALSE)</f>
        <v>Import</v>
      </c>
      <c r="I560" s="1">
        <v>45760</v>
      </c>
      <c r="J560" t="s">
        <v>53</v>
      </c>
      <c r="K560" t="s">
        <v>604</v>
      </c>
      <c r="L560" t="s">
        <v>1651</v>
      </c>
      <c r="M560" t="s">
        <v>1586</v>
      </c>
      <c r="N560" t="s">
        <v>784</v>
      </c>
      <c r="O560" t="s">
        <v>785</v>
      </c>
      <c r="P560" t="s">
        <v>788</v>
      </c>
      <c r="Q560" t="s">
        <v>55</v>
      </c>
      <c r="R560">
        <v>-2</v>
      </c>
      <c r="S560" s="15">
        <f>Table2[[#This Row],[movement_quantity]]/VLOOKUP(Table2[[#This Row],[product]],Ref[#All],5,FALSE)</f>
        <v>-0.04</v>
      </c>
      <c r="T560">
        <v>48291.345670000002</v>
      </c>
      <c r="U560" t="s">
        <v>17</v>
      </c>
      <c r="V560" t="s">
        <v>24</v>
      </c>
      <c r="W560" t="s">
        <v>605</v>
      </c>
      <c r="X560" t="s">
        <v>17</v>
      </c>
      <c r="Y560" t="s">
        <v>599</v>
      </c>
      <c r="Z560">
        <v>0</v>
      </c>
      <c r="AA560" s="2">
        <v>-96582.691340000005</v>
      </c>
      <c r="AB560" t="str">
        <f>VLOOKUP(Table2[[#This Row],[product]],Ref[#All],6,FALSE)</f>
        <v>BAG20</v>
      </c>
    </row>
    <row r="561" spans="1:28" x14ac:dyDescent="0.25">
      <c r="A561" t="str">
        <f>TEXT(Table2[[#This Row],[dated]],"mmm")</f>
        <v>Apr</v>
      </c>
      <c r="B561" t="s">
        <v>52</v>
      </c>
      <c r="C561" s="1" t="s">
        <v>536</v>
      </c>
      <c r="D561" t="str">
        <f>VLOOKUP(Table2[[#This Row],[product]],Ref[#All],7,FALSE)</f>
        <v>Lentils</v>
      </c>
      <c r="E561" t="s">
        <v>39</v>
      </c>
      <c r="F561" t="str">
        <f>VLOOKUP(Table2[[#This Row],[product]],Ref[#All],2,FALSE)</f>
        <v>Lentil TAT 20KG</v>
      </c>
      <c r="G561" t="str">
        <f>VLOOKUP(Table2[[#This Row],[product]],Ref[#All],3,FALSE)</f>
        <v>Lentils</v>
      </c>
      <c r="H561" t="str">
        <f>VLOOKUP(Table2[[#This Row],[product]],Ref[#All],4,FALSE)</f>
        <v>Import</v>
      </c>
      <c r="I561" s="1">
        <v>45761</v>
      </c>
      <c r="J561" t="s">
        <v>53</v>
      </c>
      <c r="K561" t="s">
        <v>560</v>
      </c>
      <c r="L561" t="s">
        <v>1651</v>
      </c>
      <c r="M561" t="s">
        <v>1586</v>
      </c>
      <c r="N561" t="s">
        <v>784</v>
      </c>
      <c r="O561" t="s">
        <v>785</v>
      </c>
      <c r="P561" t="s">
        <v>788</v>
      </c>
      <c r="Q561" t="s">
        <v>55</v>
      </c>
      <c r="R561">
        <v>-1</v>
      </c>
      <c r="S561" s="15">
        <f>Table2[[#This Row],[movement_quantity]]/VLOOKUP(Table2[[#This Row],[product]],Ref[#All],5,FALSE)</f>
        <v>-0.02</v>
      </c>
      <c r="T561">
        <v>48291.345670000002</v>
      </c>
      <c r="U561" t="s">
        <v>17</v>
      </c>
      <c r="V561" t="s">
        <v>18</v>
      </c>
      <c r="W561" t="s">
        <v>561</v>
      </c>
      <c r="X561" t="s">
        <v>17</v>
      </c>
      <c r="Y561" t="s">
        <v>562</v>
      </c>
      <c r="Z561">
        <v>0</v>
      </c>
      <c r="AA561" s="2">
        <v>-48291.345670000002</v>
      </c>
      <c r="AB561" t="str">
        <f>VLOOKUP(Table2[[#This Row],[product]],Ref[#All],6,FALSE)</f>
        <v>BAG20</v>
      </c>
    </row>
    <row r="562" spans="1:28" x14ac:dyDescent="0.25">
      <c r="A562" t="str">
        <f>TEXT(Table2[[#This Row],[dated]],"mmm")</f>
        <v>Apr</v>
      </c>
      <c r="B562" t="s">
        <v>52</v>
      </c>
      <c r="C562" s="1" t="s">
        <v>536</v>
      </c>
      <c r="D562" t="str">
        <f>VLOOKUP(Table2[[#This Row],[product]],Ref[#All],7,FALSE)</f>
        <v>Flour</v>
      </c>
      <c r="E562" t="s">
        <v>42</v>
      </c>
      <c r="F562" t="str">
        <f>VLOOKUP(Table2[[#This Row],[product]],Ref[#All],2,FALSE)</f>
        <v>Alnajm Flour from Mill 25KG</v>
      </c>
      <c r="G562" t="str">
        <f>VLOOKUP(Table2[[#This Row],[product]],Ref[#All],3,FALSE)</f>
        <v>Flour Al-Nagm (Mill)</v>
      </c>
      <c r="H562" t="str">
        <f>VLOOKUP(Table2[[#This Row],[product]],Ref[#All],4,FALSE)</f>
        <v>Import</v>
      </c>
      <c r="I562" s="1">
        <v>45761</v>
      </c>
      <c r="J562" t="s">
        <v>53</v>
      </c>
      <c r="K562" t="s">
        <v>563</v>
      </c>
      <c r="L562" t="s">
        <v>1651</v>
      </c>
      <c r="M562" t="s">
        <v>1586</v>
      </c>
      <c r="N562" t="s">
        <v>784</v>
      </c>
      <c r="O562" t="s">
        <v>785</v>
      </c>
      <c r="P562" t="s">
        <v>788</v>
      </c>
      <c r="Q562" t="s">
        <v>55</v>
      </c>
      <c r="R562">
        <v>-2</v>
      </c>
      <c r="S562" s="15">
        <f>Table2[[#This Row],[movement_quantity]]/VLOOKUP(Table2[[#This Row],[product]],Ref[#All],5,FALSE)</f>
        <v>-0.05</v>
      </c>
      <c r="T562">
        <v>30927.350320000001</v>
      </c>
      <c r="U562" t="s">
        <v>17</v>
      </c>
      <c r="V562" t="s">
        <v>18</v>
      </c>
      <c r="W562" t="s">
        <v>564</v>
      </c>
      <c r="X562" t="s">
        <v>17</v>
      </c>
      <c r="Y562" t="s">
        <v>565</v>
      </c>
      <c r="Z562">
        <v>0</v>
      </c>
      <c r="AA562" s="2">
        <v>-61854.700640000003</v>
      </c>
      <c r="AB562" t="str">
        <f>VLOOKUP(Table2[[#This Row],[product]],Ref[#All],6,FALSE)</f>
        <v>BAG25</v>
      </c>
    </row>
    <row r="563" spans="1:28" x14ac:dyDescent="0.25">
      <c r="A563" t="str">
        <f>TEXT(Table2[[#This Row],[dated]],"mmm")</f>
        <v>Apr</v>
      </c>
      <c r="B563" t="s">
        <v>52</v>
      </c>
      <c r="C563" s="1" t="s">
        <v>536</v>
      </c>
      <c r="D563" t="str">
        <f>VLOOKUP(Table2[[#This Row],[product]],Ref[#All],7,FALSE)</f>
        <v>Sugar</v>
      </c>
      <c r="E563" t="s">
        <v>16</v>
      </c>
      <c r="F563" t="str">
        <f>VLOOKUP(Table2[[#This Row],[product]],Ref[#All],2,FALSE)</f>
        <v>White Sugar</v>
      </c>
      <c r="G563" t="str">
        <f>VLOOKUP(Table2[[#This Row],[product]],Ref[#All],3,FALSE)</f>
        <v>White Sugar</v>
      </c>
      <c r="H563" t="str">
        <f>VLOOKUP(Table2[[#This Row],[product]],Ref[#All],4,FALSE)</f>
        <v>Import</v>
      </c>
      <c r="I563" s="1">
        <v>45761</v>
      </c>
      <c r="J563" t="s">
        <v>53</v>
      </c>
      <c r="K563" t="s">
        <v>566</v>
      </c>
      <c r="L563" t="s">
        <v>1651</v>
      </c>
      <c r="M563" t="s">
        <v>1586</v>
      </c>
      <c r="N563" t="s">
        <v>784</v>
      </c>
      <c r="O563" t="s">
        <v>785</v>
      </c>
      <c r="P563" t="s">
        <v>788</v>
      </c>
      <c r="Q563" t="s">
        <v>55</v>
      </c>
      <c r="R563">
        <v>-4</v>
      </c>
      <c r="S563" s="15">
        <f>Table2[[#This Row],[movement_quantity]]/VLOOKUP(Table2[[#This Row],[product]],Ref[#All],5,FALSE)</f>
        <v>-0.2</v>
      </c>
      <c r="T563">
        <v>81012.933590000001</v>
      </c>
      <c r="U563" t="s">
        <v>17</v>
      </c>
      <c r="V563" t="s">
        <v>18</v>
      </c>
      <c r="W563" t="s">
        <v>567</v>
      </c>
      <c r="X563" t="s">
        <v>17</v>
      </c>
      <c r="Y563" t="s">
        <v>19</v>
      </c>
      <c r="Z563">
        <v>0</v>
      </c>
      <c r="AA563" s="2">
        <v>-324051.73436</v>
      </c>
      <c r="AB563" t="str">
        <f>VLOOKUP(Table2[[#This Row],[product]],Ref[#All],6,FALSE)</f>
        <v>BAG50</v>
      </c>
    </row>
    <row r="564" spans="1:28" x14ac:dyDescent="0.25">
      <c r="A564" t="str">
        <f>TEXT(Table2[[#This Row],[dated]],"mmm")</f>
        <v>Apr</v>
      </c>
      <c r="B564" t="s">
        <v>52</v>
      </c>
      <c r="C564" s="1" t="s">
        <v>536</v>
      </c>
      <c r="D564" t="str">
        <f>VLOOKUP(Table2[[#This Row],[product]],Ref[#All],7,FALSE)</f>
        <v>Sugar</v>
      </c>
      <c r="E564" t="s">
        <v>16</v>
      </c>
      <c r="F564" t="str">
        <f>VLOOKUP(Table2[[#This Row],[product]],Ref[#All],2,FALSE)</f>
        <v>White Sugar</v>
      </c>
      <c r="G564" t="str">
        <f>VLOOKUP(Table2[[#This Row],[product]],Ref[#All],3,FALSE)</f>
        <v>White Sugar</v>
      </c>
      <c r="H564" t="str">
        <f>VLOOKUP(Table2[[#This Row],[product]],Ref[#All],4,FALSE)</f>
        <v>Import</v>
      </c>
      <c r="I564" s="1">
        <v>45761</v>
      </c>
      <c r="J564" t="s">
        <v>53</v>
      </c>
      <c r="K564" t="s">
        <v>568</v>
      </c>
      <c r="L564" t="s">
        <v>1651</v>
      </c>
      <c r="M564" t="s">
        <v>1586</v>
      </c>
      <c r="N564" t="s">
        <v>784</v>
      </c>
      <c r="O564" t="s">
        <v>785</v>
      </c>
      <c r="P564" t="s">
        <v>788</v>
      </c>
      <c r="Q564" t="s">
        <v>55</v>
      </c>
      <c r="R564">
        <v>-1</v>
      </c>
      <c r="S564" s="15">
        <f>Table2[[#This Row],[movement_quantity]]/VLOOKUP(Table2[[#This Row],[product]],Ref[#All],5,FALSE)</f>
        <v>-0.05</v>
      </c>
      <c r="T564">
        <v>81012.933590000001</v>
      </c>
      <c r="U564" t="s">
        <v>17</v>
      </c>
      <c r="V564" t="s">
        <v>21</v>
      </c>
      <c r="W564" t="s">
        <v>569</v>
      </c>
      <c r="X564" t="s">
        <v>17</v>
      </c>
      <c r="Y564" t="s">
        <v>19</v>
      </c>
      <c r="Z564">
        <v>0</v>
      </c>
      <c r="AA564" s="2">
        <v>-81012.933590000001</v>
      </c>
      <c r="AB564" t="str">
        <f>VLOOKUP(Table2[[#This Row],[product]],Ref[#All],6,FALSE)</f>
        <v>BAG50</v>
      </c>
    </row>
    <row r="565" spans="1:28" x14ac:dyDescent="0.25">
      <c r="A565" t="str">
        <f>TEXT(Table2[[#This Row],[dated]],"mmm")</f>
        <v>Apr</v>
      </c>
      <c r="B565" t="s">
        <v>52</v>
      </c>
      <c r="C565" s="1" t="s">
        <v>536</v>
      </c>
      <c r="D565" t="str">
        <f>VLOOKUP(Table2[[#This Row],[product]],Ref[#All],7,FALSE)</f>
        <v>Sugar</v>
      </c>
      <c r="E565" t="s">
        <v>16</v>
      </c>
      <c r="F565" t="str">
        <f>VLOOKUP(Table2[[#This Row],[product]],Ref[#All],2,FALSE)</f>
        <v>White Sugar</v>
      </c>
      <c r="G565" t="str">
        <f>VLOOKUP(Table2[[#This Row],[product]],Ref[#All],3,FALSE)</f>
        <v>White Sugar</v>
      </c>
      <c r="H565" t="str">
        <f>VLOOKUP(Table2[[#This Row],[product]],Ref[#All],4,FALSE)</f>
        <v>Import</v>
      </c>
      <c r="I565" s="1">
        <v>45761</v>
      </c>
      <c r="J565" t="s">
        <v>53</v>
      </c>
      <c r="K565" t="s">
        <v>570</v>
      </c>
      <c r="L565" t="s">
        <v>1651</v>
      </c>
      <c r="M565" t="s">
        <v>1586</v>
      </c>
      <c r="N565" t="s">
        <v>784</v>
      </c>
      <c r="O565" t="s">
        <v>785</v>
      </c>
      <c r="P565" t="s">
        <v>788</v>
      </c>
      <c r="Q565" t="s">
        <v>55</v>
      </c>
      <c r="R565">
        <v>-1</v>
      </c>
      <c r="S565" s="15">
        <f>Table2[[#This Row],[movement_quantity]]/VLOOKUP(Table2[[#This Row],[product]],Ref[#All],5,FALSE)</f>
        <v>-0.05</v>
      </c>
      <c r="T565">
        <v>81012.933590000001</v>
      </c>
      <c r="U565" t="s">
        <v>17</v>
      </c>
      <c r="V565" t="s">
        <v>22</v>
      </c>
      <c r="W565" t="s">
        <v>571</v>
      </c>
      <c r="X565" t="s">
        <v>17</v>
      </c>
      <c r="Y565" t="s">
        <v>19</v>
      </c>
      <c r="Z565">
        <v>0</v>
      </c>
      <c r="AA565" s="2">
        <v>-81012.933590000001</v>
      </c>
      <c r="AB565" t="str">
        <f>VLOOKUP(Table2[[#This Row],[product]],Ref[#All],6,FALSE)</f>
        <v>BAG50</v>
      </c>
    </row>
    <row r="566" spans="1:28" x14ac:dyDescent="0.25">
      <c r="A566" t="str">
        <f>TEXT(Table2[[#This Row],[dated]],"mmm")</f>
        <v>Apr</v>
      </c>
      <c r="B566" t="s">
        <v>52</v>
      </c>
      <c r="C566" s="1" t="s">
        <v>536</v>
      </c>
      <c r="D566" t="str">
        <f>VLOOKUP(Table2[[#This Row],[product]],Ref[#All],7,FALSE)</f>
        <v>Sugar</v>
      </c>
      <c r="E566" t="s">
        <v>16</v>
      </c>
      <c r="F566" t="str">
        <f>VLOOKUP(Table2[[#This Row],[product]],Ref[#All],2,FALSE)</f>
        <v>White Sugar</v>
      </c>
      <c r="G566" t="str">
        <f>VLOOKUP(Table2[[#This Row],[product]],Ref[#All],3,FALSE)</f>
        <v>White Sugar</v>
      </c>
      <c r="H566" t="str">
        <f>VLOOKUP(Table2[[#This Row],[product]],Ref[#All],4,FALSE)</f>
        <v>Import</v>
      </c>
      <c r="I566" s="1">
        <v>45761</v>
      </c>
      <c r="J566" t="s">
        <v>53</v>
      </c>
      <c r="K566" t="s">
        <v>572</v>
      </c>
      <c r="L566" t="s">
        <v>1651</v>
      </c>
      <c r="M566" t="s">
        <v>1586</v>
      </c>
      <c r="N566" t="s">
        <v>784</v>
      </c>
      <c r="O566" t="s">
        <v>785</v>
      </c>
      <c r="P566" t="s">
        <v>788</v>
      </c>
      <c r="Q566" t="s">
        <v>55</v>
      </c>
      <c r="R566">
        <v>-1</v>
      </c>
      <c r="S566" s="15">
        <f>Table2[[#This Row],[movement_quantity]]/VLOOKUP(Table2[[#This Row],[product]],Ref[#All],5,FALSE)</f>
        <v>-0.05</v>
      </c>
      <c r="T566">
        <v>81012.933590000001</v>
      </c>
      <c r="U566" t="s">
        <v>17</v>
      </c>
      <c r="V566" t="s">
        <v>23</v>
      </c>
      <c r="W566" t="s">
        <v>573</v>
      </c>
      <c r="X566" t="s">
        <v>17</v>
      </c>
      <c r="Y566" t="s">
        <v>19</v>
      </c>
      <c r="Z566">
        <v>0</v>
      </c>
      <c r="AA566" s="2">
        <v>-81012.933590000001</v>
      </c>
      <c r="AB566" t="str">
        <f>VLOOKUP(Table2[[#This Row],[product]],Ref[#All],6,FALSE)</f>
        <v>BAG50</v>
      </c>
    </row>
    <row r="567" spans="1:28" x14ac:dyDescent="0.25">
      <c r="A567" t="str">
        <f>TEXT(Table2[[#This Row],[dated]],"mmm")</f>
        <v>Apr</v>
      </c>
      <c r="B567" t="s">
        <v>52</v>
      </c>
      <c r="C567" s="1" t="s">
        <v>536</v>
      </c>
      <c r="D567" t="str">
        <f>VLOOKUP(Table2[[#This Row],[product]],Ref[#All],7,FALSE)</f>
        <v>Sugar</v>
      </c>
      <c r="E567" t="s">
        <v>16</v>
      </c>
      <c r="F567" t="str">
        <f>VLOOKUP(Table2[[#This Row],[product]],Ref[#All],2,FALSE)</f>
        <v>White Sugar</v>
      </c>
      <c r="G567" t="str">
        <f>VLOOKUP(Table2[[#This Row],[product]],Ref[#All],3,FALSE)</f>
        <v>White Sugar</v>
      </c>
      <c r="H567" t="str">
        <f>VLOOKUP(Table2[[#This Row],[product]],Ref[#All],4,FALSE)</f>
        <v>Import</v>
      </c>
      <c r="I567" s="1">
        <v>45761</v>
      </c>
      <c r="J567" t="s">
        <v>53</v>
      </c>
      <c r="K567" t="s">
        <v>574</v>
      </c>
      <c r="L567" t="s">
        <v>1651</v>
      </c>
      <c r="M567" t="s">
        <v>1586</v>
      </c>
      <c r="N567" t="s">
        <v>784</v>
      </c>
      <c r="O567" t="s">
        <v>785</v>
      </c>
      <c r="P567" t="s">
        <v>788</v>
      </c>
      <c r="Q567" t="s">
        <v>55</v>
      </c>
      <c r="R567">
        <v>-1</v>
      </c>
      <c r="S567" s="15">
        <f>Table2[[#This Row],[movement_quantity]]/VLOOKUP(Table2[[#This Row],[product]],Ref[#All],5,FALSE)</f>
        <v>-0.05</v>
      </c>
      <c r="T567">
        <v>81012.933590000001</v>
      </c>
      <c r="U567" t="s">
        <v>17</v>
      </c>
      <c r="V567" t="s">
        <v>24</v>
      </c>
      <c r="W567" t="s">
        <v>575</v>
      </c>
      <c r="X567" t="s">
        <v>17</v>
      </c>
      <c r="Y567" t="s">
        <v>19</v>
      </c>
      <c r="Z567">
        <v>0</v>
      </c>
      <c r="AA567" s="2">
        <v>-81012.933590000001</v>
      </c>
      <c r="AB567" t="str">
        <f>VLOOKUP(Table2[[#This Row],[product]],Ref[#All],6,FALSE)</f>
        <v>BAG50</v>
      </c>
    </row>
    <row r="568" spans="1:28" x14ac:dyDescent="0.25">
      <c r="A568" t="str">
        <f>TEXT(Table2[[#This Row],[dated]],"mmm")</f>
        <v>Apr</v>
      </c>
      <c r="B568" t="s">
        <v>52</v>
      </c>
      <c r="C568" s="1" t="s">
        <v>536</v>
      </c>
      <c r="D568" t="str">
        <f>VLOOKUP(Table2[[#This Row],[product]],Ref[#All],7,FALSE)</f>
        <v>Sugar</v>
      </c>
      <c r="E568" t="s">
        <v>16</v>
      </c>
      <c r="F568" t="str">
        <f>VLOOKUP(Table2[[#This Row],[product]],Ref[#All],2,FALSE)</f>
        <v>White Sugar</v>
      </c>
      <c r="G568" t="str">
        <f>VLOOKUP(Table2[[#This Row],[product]],Ref[#All],3,FALSE)</f>
        <v>White Sugar</v>
      </c>
      <c r="H568" t="str">
        <f>VLOOKUP(Table2[[#This Row],[product]],Ref[#All],4,FALSE)</f>
        <v>Import</v>
      </c>
      <c r="I568" s="1">
        <v>45761</v>
      </c>
      <c r="J568" t="s">
        <v>53</v>
      </c>
      <c r="K568" t="s">
        <v>576</v>
      </c>
      <c r="L568" t="s">
        <v>1651</v>
      </c>
      <c r="M568" t="s">
        <v>1586</v>
      </c>
      <c r="N568" t="s">
        <v>784</v>
      </c>
      <c r="O568" t="s">
        <v>785</v>
      </c>
      <c r="P568" t="s">
        <v>788</v>
      </c>
      <c r="Q568" t="s">
        <v>55</v>
      </c>
      <c r="R568">
        <v>-2</v>
      </c>
      <c r="S568" s="15">
        <f>Table2[[#This Row],[movement_quantity]]/VLOOKUP(Table2[[#This Row],[product]],Ref[#All],5,FALSE)</f>
        <v>-0.1</v>
      </c>
      <c r="T568">
        <v>81012.933590000001</v>
      </c>
      <c r="U568" t="s">
        <v>17</v>
      </c>
      <c r="V568" t="s">
        <v>25</v>
      </c>
      <c r="W568" t="s">
        <v>577</v>
      </c>
      <c r="X568" t="s">
        <v>17</v>
      </c>
      <c r="Y568" t="s">
        <v>19</v>
      </c>
      <c r="Z568">
        <v>0</v>
      </c>
      <c r="AA568" s="2">
        <v>-162025.86718</v>
      </c>
      <c r="AB568" t="str">
        <f>VLOOKUP(Table2[[#This Row],[product]],Ref[#All],6,FALSE)</f>
        <v>BAG50</v>
      </c>
    </row>
    <row r="569" spans="1:28" x14ac:dyDescent="0.25">
      <c r="A569" t="str">
        <f>TEXT(Table2[[#This Row],[dated]],"mmm")</f>
        <v>Apr</v>
      </c>
      <c r="B569" t="s">
        <v>52</v>
      </c>
      <c r="C569" s="1" t="s">
        <v>536</v>
      </c>
      <c r="D569" t="str">
        <f>VLOOKUP(Table2[[#This Row],[product]],Ref[#All],7,FALSE)</f>
        <v>Sugar</v>
      </c>
      <c r="E569" t="s">
        <v>16</v>
      </c>
      <c r="F569" t="str">
        <f>VLOOKUP(Table2[[#This Row],[product]],Ref[#All],2,FALSE)</f>
        <v>White Sugar</v>
      </c>
      <c r="G569" t="str">
        <f>VLOOKUP(Table2[[#This Row],[product]],Ref[#All],3,FALSE)</f>
        <v>White Sugar</v>
      </c>
      <c r="H569" t="str">
        <f>VLOOKUP(Table2[[#This Row],[product]],Ref[#All],4,FALSE)</f>
        <v>Import</v>
      </c>
      <c r="I569" s="1">
        <v>45761</v>
      </c>
      <c r="J569" t="s">
        <v>53</v>
      </c>
      <c r="K569" t="s">
        <v>578</v>
      </c>
      <c r="L569" t="s">
        <v>1651</v>
      </c>
      <c r="M569" t="s">
        <v>1586</v>
      </c>
      <c r="N569" t="s">
        <v>784</v>
      </c>
      <c r="O569" t="s">
        <v>785</v>
      </c>
      <c r="P569" t="s">
        <v>788</v>
      </c>
      <c r="Q569" t="s">
        <v>55</v>
      </c>
      <c r="R569">
        <v>-3</v>
      </c>
      <c r="S569" s="15">
        <f>Table2[[#This Row],[movement_quantity]]/VLOOKUP(Table2[[#This Row],[product]],Ref[#All],5,FALSE)</f>
        <v>-0.15</v>
      </c>
      <c r="T569">
        <v>81012.933590000001</v>
      </c>
      <c r="U569" t="s">
        <v>17</v>
      </c>
      <c r="V569" t="s">
        <v>26</v>
      </c>
      <c r="W569" t="s">
        <v>579</v>
      </c>
      <c r="X569" t="s">
        <v>17</v>
      </c>
      <c r="Y569" t="s">
        <v>19</v>
      </c>
      <c r="Z569">
        <v>0</v>
      </c>
      <c r="AA569" s="2">
        <v>-243038.80077</v>
      </c>
      <c r="AB569" t="str">
        <f>VLOOKUP(Table2[[#This Row],[product]],Ref[#All],6,FALSE)</f>
        <v>BAG50</v>
      </c>
    </row>
    <row r="570" spans="1:28" x14ac:dyDescent="0.25">
      <c r="A570" t="str">
        <f>TEXT(Table2[[#This Row],[dated]],"mmm")</f>
        <v>Apr</v>
      </c>
      <c r="B570" t="s">
        <v>96</v>
      </c>
      <c r="C570" s="1" t="s">
        <v>536</v>
      </c>
      <c r="D570" t="str">
        <f>VLOOKUP(Table2[[#This Row],[product]],Ref[#All],7,FALSE)</f>
        <v>Flour</v>
      </c>
      <c r="E570" t="s">
        <v>36</v>
      </c>
      <c r="F570" t="str">
        <f>VLOOKUP(Table2[[#This Row],[product]],Ref[#All],2,FALSE)</f>
        <v>Flour Import Elngm 25Kg</v>
      </c>
      <c r="G570" t="str">
        <f>VLOOKUP(Table2[[#This Row],[product]],Ref[#All],3,FALSE)</f>
        <v>Flour Al-Nagm (Imported)</v>
      </c>
      <c r="H570" t="str">
        <f>VLOOKUP(Table2[[#This Row],[product]],Ref[#All],4,FALSE)</f>
        <v>Import</v>
      </c>
      <c r="I570" s="1">
        <v>45761</v>
      </c>
      <c r="J570" t="s">
        <v>53</v>
      </c>
      <c r="K570" t="s">
        <v>580</v>
      </c>
      <c r="L570" t="s">
        <v>1651</v>
      </c>
      <c r="M570" t="s">
        <v>1586</v>
      </c>
      <c r="N570" t="s">
        <v>784</v>
      </c>
      <c r="O570" t="s">
        <v>785</v>
      </c>
      <c r="P570" t="s">
        <v>788</v>
      </c>
      <c r="Q570" t="s">
        <v>55</v>
      </c>
      <c r="R570">
        <v>-1</v>
      </c>
      <c r="S570" s="15">
        <f>Table2[[#This Row],[movement_quantity]]/VLOOKUP(Table2[[#This Row],[product]],Ref[#All],5,FALSE)</f>
        <v>-2.5000000000000001E-2</v>
      </c>
      <c r="T570">
        <v>30927.350320000001</v>
      </c>
      <c r="U570" t="s">
        <v>17</v>
      </c>
      <c r="V570" t="s">
        <v>18</v>
      </c>
      <c r="W570" t="s">
        <v>581</v>
      </c>
      <c r="X570" t="s">
        <v>17</v>
      </c>
      <c r="Y570" t="s">
        <v>582</v>
      </c>
      <c r="Z570">
        <v>0</v>
      </c>
      <c r="AA570" s="2">
        <v>-30927.350320000001</v>
      </c>
      <c r="AB570" t="str">
        <f>VLOOKUP(Table2[[#This Row],[product]],Ref[#All],6,FALSE)</f>
        <v>BAG25</v>
      </c>
    </row>
    <row r="571" spans="1:28" x14ac:dyDescent="0.25">
      <c r="A571" t="str">
        <f>TEXT(Table2[[#This Row],[dated]],"mmm")</f>
        <v>Apr</v>
      </c>
      <c r="B571" t="s">
        <v>15</v>
      </c>
      <c r="C571" s="1" t="s">
        <v>536</v>
      </c>
      <c r="D571" t="str">
        <f>VLOOKUP(Table2[[#This Row],[product]],Ref[#All],7,FALSE)</f>
        <v>Sugar</v>
      </c>
      <c r="E571" t="s">
        <v>16</v>
      </c>
      <c r="F571" t="str">
        <f>VLOOKUP(Table2[[#This Row],[product]],Ref[#All],2,FALSE)</f>
        <v>White Sugar</v>
      </c>
      <c r="G571" t="str">
        <f>VLOOKUP(Table2[[#This Row],[product]],Ref[#All],3,FALSE)</f>
        <v>White Sugar</v>
      </c>
      <c r="H571" t="str">
        <f>VLOOKUP(Table2[[#This Row],[product]],Ref[#All],4,FALSE)</f>
        <v>Import</v>
      </c>
      <c r="I571" s="1">
        <v>45761</v>
      </c>
      <c r="J571" t="s">
        <v>53</v>
      </c>
      <c r="K571" t="s">
        <v>583</v>
      </c>
      <c r="L571" t="s">
        <v>1651</v>
      </c>
      <c r="M571" t="s">
        <v>1586</v>
      </c>
      <c r="N571" t="s">
        <v>784</v>
      </c>
      <c r="O571" t="s">
        <v>785</v>
      </c>
      <c r="P571" t="s">
        <v>788</v>
      </c>
      <c r="Q571" t="s">
        <v>55</v>
      </c>
      <c r="R571">
        <v>-2</v>
      </c>
      <c r="S571" s="15">
        <f>Table2[[#This Row],[movement_quantity]]/VLOOKUP(Table2[[#This Row],[product]],Ref[#All],5,FALSE)</f>
        <v>-0.1</v>
      </c>
      <c r="T571">
        <v>81012.933590000001</v>
      </c>
      <c r="U571" t="s">
        <v>17</v>
      </c>
      <c r="V571" t="s">
        <v>18</v>
      </c>
      <c r="W571" t="s">
        <v>584</v>
      </c>
      <c r="X571" t="s">
        <v>17</v>
      </c>
      <c r="Y571" t="s">
        <v>19</v>
      </c>
      <c r="Z571">
        <v>0</v>
      </c>
      <c r="AA571" s="2">
        <v>-162025.86718</v>
      </c>
      <c r="AB571" t="str">
        <f>VLOOKUP(Table2[[#This Row],[product]],Ref[#All],6,FALSE)</f>
        <v>BAG50</v>
      </c>
    </row>
    <row r="572" spans="1:28" x14ac:dyDescent="0.25">
      <c r="A572" t="str">
        <f>TEXT(Table2[[#This Row],[dated]],"mmm")</f>
        <v>Apr</v>
      </c>
      <c r="B572" t="s">
        <v>46</v>
      </c>
      <c r="C572" s="1" t="s">
        <v>536</v>
      </c>
      <c r="D572" t="str">
        <f>VLOOKUP(Table2[[#This Row],[product]],Ref[#All],7,FALSE)</f>
        <v>Flour</v>
      </c>
      <c r="E572" t="s">
        <v>36</v>
      </c>
      <c r="F572" t="str">
        <f>VLOOKUP(Table2[[#This Row],[product]],Ref[#All],2,FALSE)</f>
        <v>Flour Import Elngm 25Kg</v>
      </c>
      <c r="G572" t="str">
        <f>VLOOKUP(Table2[[#This Row],[product]],Ref[#All],3,FALSE)</f>
        <v>Flour Al-Nagm (Imported)</v>
      </c>
      <c r="H572" t="str">
        <f>VLOOKUP(Table2[[#This Row],[product]],Ref[#All],4,FALSE)</f>
        <v>Import</v>
      </c>
      <c r="I572" s="1">
        <v>45761</v>
      </c>
      <c r="J572" t="s">
        <v>53</v>
      </c>
      <c r="K572" t="s">
        <v>585</v>
      </c>
      <c r="L572" t="s">
        <v>1651</v>
      </c>
      <c r="M572" t="s">
        <v>1586</v>
      </c>
      <c r="N572" t="s">
        <v>784</v>
      </c>
      <c r="O572" t="s">
        <v>785</v>
      </c>
      <c r="P572" t="s">
        <v>788</v>
      </c>
      <c r="Q572" t="s">
        <v>55</v>
      </c>
      <c r="R572">
        <v>-1</v>
      </c>
      <c r="S572" s="15">
        <f>Table2[[#This Row],[movement_quantity]]/VLOOKUP(Table2[[#This Row],[product]],Ref[#All],5,FALSE)</f>
        <v>-2.5000000000000001E-2</v>
      </c>
      <c r="T572">
        <v>30927.350320000001</v>
      </c>
      <c r="U572" t="s">
        <v>17</v>
      </c>
      <c r="V572" t="s">
        <v>18</v>
      </c>
      <c r="W572" t="s">
        <v>586</v>
      </c>
      <c r="X572" t="s">
        <v>17</v>
      </c>
      <c r="Y572" t="s">
        <v>587</v>
      </c>
      <c r="Z572">
        <v>0</v>
      </c>
      <c r="AA572" s="2">
        <v>-30927.350320000001</v>
      </c>
      <c r="AB572" t="str">
        <f>VLOOKUP(Table2[[#This Row],[product]],Ref[#All],6,FALSE)</f>
        <v>BAG25</v>
      </c>
    </row>
    <row r="573" spans="1:28" x14ac:dyDescent="0.25">
      <c r="A573" t="str">
        <f>TEXT(Table2[[#This Row],[dated]],"mmm")</f>
        <v>Apr</v>
      </c>
      <c r="B573" t="s">
        <v>46</v>
      </c>
      <c r="C573" s="1" t="s">
        <v>536</v>
      </c>
      <c r="D573" t="str">
        <f>VLOOKUP(Table2[[#This Row],[product]],Ref[#All],7,FALSE)</f>
        <v>Flour</v>
      </c>
      <c r="E573" t="s">
        <v>36</v>
      </c>
      <c r="F573" t="str">
        <f>VLOOKUP(Table2[[#This Row],[product]],Ref[#All],2,FALSE)</f>
        <v>Flour Import Elngm 25Kg</v>
      </c>
      <c r="G573" t="str">
        <f>VLOOKUP(Table2[[#This Row],[product]],Ref[#All],3,FALSE)</f>
        <v>Flour Al-Nagm (Imported)</v>
      </c>
      <c r="H573" t="str">
        <f>VLOOKUP(Table2[[#This Row],[product]],Ref[#All],4,FALSE)</f>
        <v>Import</v>
      </c>
      <c r="I573" s="1">
        <v>45761</v>
      </c>
      <c r="J573" t="s">
        <v>53</v>
      </c>
      <c r="K573" t="s">
        <v>588</v>
      </c>
      <c r="L573" t="s">
        <v>1651</v>
      </c>
      <c r="M573" t="s">
        <v>1586</v>
      </c>
      <c r="N573" t="s">
        <v>784</v>
      </c>
      <c r="O573" t="s">
        <v>785</v>
      </c>
      <c r="P573" t="s">
        <v>788</v>
      </c>
      <c r="Q573" t="s">
        <v>55</v>
      </c>
      <c r="R573">
        <v>-1</v>
      </c>
      <c r="S573" s="15">
        <f>Table2[[#This Row],[movement_quantity]]/VLOOKUP(Table2[[#This Row],[product]],Ref[#All],5,FALSE)</f>
        <v>-2.5000000000000001E-2</v>
      </c>
      <c r="T573">
        <v>30927.350320000001</v>
      </c>
      <c r="U573" t="s">
        <v>17</v>
      </c>
      <c r="V573" t="s">
        <v>21</v>
      </c>
      <c r="W573" t="s">
        <v>589</v>
      </c>
      <c r="X573" t="s">
        <v>17</v>
      </c>
      <c r="Y573" t="s">
        <v>587</v>
      </c>
      <c r="Z573">
        <v>0</v>
      </c>
      <c r="AA573" s="2">
        <v>-30927.350320000001</v>
      </c>
      <c r="AB573" t="str">
        <f>VLOOKUP(Table2[[#This Row],[product]],Ref[#All],6,FALSE)</f>
        <v>BAG25</v>
      </c>
    </row>
    <row r="574" spans="1:28" x14ac:dyDescent="0.25">
      <c r="A574" t="str">
        <f>TEXT(Table2[[#This Row],[dated]],"mmm")</f>
        <v>Apr</v>
      </c>
      <c r="B574" t="s">
        <v>46</v>
      </c>
      <c r="C574" s="1" t="s">
        <v>536</v>
      </c>
      <c r="D574" t="str">
        <f>VLOOKUP(Table2[[#This Row],[product]],Ref[#All],7,FALSE)</f>
        <v>Flour</v>
      </c>
      <c r="E574" t="s">
        <v>36</v>
      </c>
      <c r="F574" t="str">
        <f>VLOOKUP(Table2[[#This Row],[product]],Ref[#All],2,FALSE)</f>
        <v>Flour Import Elngm 25Kg</v>
      </c>
      <c r="G574" t="str">
        <f>VLOOKUP(Table2[[#This Row],[product]],Ref[#All],3,FALSE)</f>
        <v>Flour Al-Nagm (Imported)</v>
      </c>
      <c r="H574" t="str">
        <f>VLOOKUP(Table2[[#This Row],[product]],Ref[#All],4,FALSE)</f>
        <v>Import</v>
      </c>
      <c r="I574" s="1">
        <v>45761</v>
      </c>
      <c r="J574" t="s">
        <v>53</v>
      </c>
      <c r="K574" t="s">
        <v>590</v>
      </c>
      <c r="L574" t="s">
        <v>1651</v>
      </c>
      <c r="M574" t="s">
        <v>1586</v>
      </c>
      <c r="N574" t="s">
        <v>784</v>
      </c>
      <c r="O574" t="s">
        <v>785</v>
      </c>
      <c r="P574" t="s">
        <v>788</v>
      </c>
      <c r="Q574" t="s">
        <v>55</v>
      </c>
      <c r="R574">
        <v>-3</v>
      </c>
      <c r="S574" s="15">
        <f>Table2[[#This Row],[movement_quantity]]/VLOOKUP(Table2[[#This Row],[product]],Ref[#All],5,FALSE)</f>
        <v>-7.4999999999999997E-2</v>
      </c>
      <c r="T574">
        <v>30927.350320000001</v>
      </c>
      <c r="U574" t="s">
        <v>17</v>
      </c>
      <c r="V574" t="s">
        <v>22</v>
      </c>
      <c r="W574" t="s">
        <v>591</v>
      </c>
      <c r="X574" t="s">
        <v>17</v>
      </c>
      <c r="Y574" t="s">
        <v>587</v>
      </c>
      <c r="Z574">
        <v>0</v>
      </c>
      <c r="AA574" s="2">
        <v>-92782.050960000008</v>
      </c>
      <c r="AB574" t="str">
        <f>VLOOKUP(Table2[[#This Row],[product]],Ref[#All],6,FALSE)</f>
        <v>BAG25</v>
      </c>
    </row>
    <row r="575" spans="1:28" x14ac:dyDescent="0.25">
      <c r="A575" t="str">
        <f>TEXT(Table2[[#This Row],[dated]],"mmm")</f>
        <v>Apr</v>
      </c>
      <c r="B575" t="s">
        <v>46</v>
      </c>
      <c r="C575" s="1" t="s">
        <v>536</v>
      </c>
      <c r="D575" t="str">
        <f>VLOOKUP(Table2[[#This Row],[product]],Ref[#All],7,FALSE)</f>
        <v>Rice</v>
      </c>
      <c r="E575" t="s">
        <v>45</v>
      </c>
      <c r="F575" t="str">
        <f>VLOOKUP(Table2[[#This Row],[product]],Ref[#All],2,FALSE)</f>
        <v>Rice Short Grain Elngm 25Kg</v>
      </c>
      <c r="G575" t="str">
        <f>VLOOKUP(Table2[[#This Row],[product]],Ref[#All],3,FALSE)</f>
        <v>Rice Short Grain</v>
      </c>
      <c r="H575" t="str">
        <f>VLOOKUP(Table2[[#This Row],[product]],Ref[#All],4,FALSE)</f>
        <v>Import</v>
      </c>
      <c r="I575" s="1">
        <v>45763</v>
      </c>
      <c r="J575" t="s">
        <v>53</v>
      </c>
      <c r="K575" t="s">
        <v>558</v>
      </c>
      <c r="L575" t="s">
        <v>1651</v>
      </c>
      <c r="M575" t="s">
        <v>1586</v>
      </c>
      <c r="N575" t="s">
        <v>784</v>
      </c>
      <c r="O575" t="s">
        <v>785</v>
      </c>
      <c r="P575" t="s">
        <v>788</v>
      </c>
      <c r="Q575" t="s">
        <v>55</v>
      </c>
      <c r="R575">
        <v>-1</v>
      </c>
      <c r="S575" s="15">
        <f>Table2[[#This Row],[movement_quantity]]/VLOOKUP(Table2[[#This Row],[product]],Ref[#All],5,FALSE)</f>
        <v>-2.5000000000000001E-2</v>
      </c>
      <c r="T575">
        <v>49550.962500000001</v>
      </c>
      <c r="U575" t="s">
        <v>17</v>
      </c>
      <c r="V575" t="s">
        <v>21</v>
      </c>
      <c r="W575" t="s">
        <v>559</v>
      </c>
      <c r="X575" t="s">
        <v>17</v>
      </c>
      <c r="Y575" t="s">
        <v>556</v>
      </c>
      <c r="Z575">
        <v>0</v>
      </c>
      <c r="AA575" s="2">
        <v>-49550.962500000001</v>
      </c>
      <c r="AB575" t="str">
        <f>VLOOKUP(Table2[[#This Row],[product]],Ref[#All],6,FALSE)</f>
        <v>BAG25</v>
      </c>
    </row>
    <row r="576" spans="1:28" x14ac:dyDescent="0.25">
      <c r="A576" t="str">
        <f>TEXT(Table2[[#This Row],[dated]],"mmm")</f>
        <v>May</v>
      </c>
      <c r="B576" t="s">
        <v>52</v>
      </c>
      <c r="C576" s="1" t="s">
        <v>536</v>
      </c>
      <c r="D576" t="str">
        <f>VLOOKUP(Table2[[#This Row],[product]],Ref[#All],7,FALSE)</f>
        <v>Lentils</v>
      </c>
      <c r="E576" s="1" t="s">
        <v>39</v>
      </c>
      <c r="F576" t="str">
        <f>VLOOKUP(Table2[[#This Row],[product]],Ref[#All],2,FALSE)</f>
        <v>Lentil TAT 20KG</v>
      </c>
      <c r="G576" t="str">
        <f>VLOOKUP(Table2[[#This Row],[product]],Ref[#All],3,FALSE)</f>
        <v>Lentils</v>
      </c>
      <c r="H576" t="str">
        <f>VLOOKUP(Table2[[#This Row],[product]],Ref[#All],4,FALSE)</f>
        <v>Import</v>
      </c>
      <c r="I576" s="1">
        <v>45782</v>
      </c>
      <c r="J576" t="s">
        <v>53</v>
      </c>
      <c r="K576" t="s">
        <v>801</v>
      </c>
      <c r="L576" t="s">
        <v>1651</v>
      </c>
      <c r="M576" t="s">
        <v>1586</v>
      </c>
      <c r="N576" t="s">
        <v>784</v>
      </c>
      <c r="O576" t="s">
        <v>785</v>
      </c>
      <c r="P576" t="s">
        <v>788</v>
      </c>
      <c r="Q576" t="s">
        <v>55</v>
      </c>
      <c r="R576">
        <v>-2</v>
      </c>
      <c r="S576" s="15">
        <f>Table2[[#This Row],[movement_quantity]]/VLOOKUP(Table2[[#This Row],[product]],Ref[#All],5,FALSE)</f>
        <v>-0.04</v>
      </c>
      <c r="T576">
        <v>49211.972889999997</v>
      </c>
      <c r="U576" t="s">
        <v>17</v>
      </c>
      <c r="V576" t="s">
        <v>18</v>
      </c>
      <c r="W576" t="s">
        <v>802</v>
      </c>
      <c r="X576" t="s">
        <v>17</v>
      </c>
      <c r="Y576" t="s">
        <v>803</v>
      </c>
      <c r="Z576">
        <v>0</v>
      </c>
      <c r="AA576" s="2">
        <v>-98423.945779999995</v>
      </c>
      <c r="AB576" t="str">
        <f>VLOOKUP(Table2[[#This Row],[product]],Ref[#All],6,FALSE)</f>
        <v>BAG20</v>
      </c>
    </row>
    <row r="577" spans="1:28" x14ac:dyDescent="0.25">
      <c r="A577" t="str">
        <f>TEXT(Table2[[#This Row],[dated]],"mmm")</f>
        <v>May</v>
      </c>
      <c r="B577" t="s">
        <v>52</v>
      </c>
      <c r="C577" s="1" t="s">
        <v>536</v>
      </c>
      <c r="D577" t="str">
        <f>VLOOKUP(Table2[[#This Row],[product]],Ref[#All],7,FALSE)</f>
        <v>Sugar</v>
      </c>
      <c r="E577" s="1" t="s">
        <v>72</v>
      </c>
      <c r="F577" t="str">
        <f>VLOOKUP(Table2[[#This Row],[product]],Ref[#All],2,FALSE)</f>
        <v>White Sugar</v>
      </c>
      <c r="G577" t="str">
        <f>VLOOKUP(Table2[[#This Row],[product]],Ref[#All],3,FALSE)</f>
        <v>White Sugar</v>
      </c>
      <c r="H577" t="str">
        <f>VLOOKUP(Table2[[#This Row],[product]],Ref[#All],4,FALSE)</f>
        <v>Import</v>
      </c>
      <c r="I577" s="1">
        <v>45782</v>
      </c>
      <c r="J577" t="s">
        <v>53</v>
      </c>
      <c r="K577" t="s">
        <v>804</v>
      </c>
      <c r="L577" t="s">
        <v>1651</v>
      </c>
      <c r="M577" t="s">
        <v>1586</v>
      </c>
      <c r="N577" t="s">
        <v>784</v>
      </c>
      <c r="O577" t="s">
        <v>785</v>
      </c>
      <c r="P577" t="s">
        <v>788</v>
      </c>
      <c r="Q577" t="s">
        <v>55</v>
      </c>
      <c r="R577">
        <v>-2</v>
      </c>
      <c r="S577" s="15">
        <f>Table2[[#This Row],[movement_quantity]]/VLOOKUP(Table2[[#This Row],[product]],Ref[#All],5,FALSE)</f>
        <v>-0.1</v>
      </c>
      <c r="T577">
        <v>96566.186310000005</v>
      </c>
      <c r="U577" t="s">
        <v>17</v>
      </c>
      <c r="V577" t="s">
        <v>18</v>
      </c>
      <c r="W577" t="s">
        <v>805</v>
      </c>
      <c r="X577" t="s">
        <v>17</v>
      </c>
      <c r="Y577" t="s">
        <v>75</v>
      </c>
      <c r="Z577">
        <v>0</v>
      </c>
      <c r="AA577" s="2">
        <v>-193132.37262000001</v>
      </c>
      <c r="AB577" t="str">
        <f>VLOOKUP(Table2[[#This Row],[product]],Ref[#All],6,FALSE)</f>
        <v>BAG50</v>
      </c>
    </row>
    <row r="578" spans="1:28" x14ac:dyDescent="0.25">
      <c r="A578" t="str">
        <f>TEXT(Table2[[#This Row],[dated]],"mmm")</f>
        <v>May</v>
      </c>
      <c r="B578" t="s">
        <v>52</v>
      </c>
      <c r="C578" s="1" t="s">
        <v>536</v>
      </c>
      <c r="D578" t="str">
        <f>VLOOKUP(Table2[[#This Row],[product]],Ref[#All],7,FALSE)</f>
        <v>Sugar</v>
      </c>
      <c r="E578" s="1" t="s">
        <v>72</v>
      </c>
      <c r="F578" t="str">
        <f>VLOOKUP(Table2[[#This Row],[product]],Ref[#All],2,FALSE)</f>
        <v>White Sugar</v>
      </c>
      <c r="G578" t="str">
        <f>VLOOKUP(Table2[[#This Row],[product]],Ref[#All],3,FALSE)</f>
        <v>White Sugar</v>
      </c>
      <c r="H578" t="str">
        <f>VLOOKUP(Table2[[#This Row],[product]],Ref[#All],4,FALSE)</f>
        <v>Import</v>
      </c>
      <c r="I578" s="1">
        <v>45782</v>
      </c>
      <c r="J578" t="s">
        <v>53</v>
      </c>
      <c r="K578" t="s">
        <v>806</v>
      </c>
      <c r="L578" t="s">
        <v>1651</v>
      </c>
      <c r="M578" t="s">
        <v>1586</v>
      </c>
      <c r="N578" t="s">
        <v>784</v>
      </c>
      <c r="O578" t="s">
        <v>785</v>
      </c>
      <c r="P578" t="s">
        <v>788</v>
      </c>
      <c r="Q578" t="s">
        <v>55</v>
      </c>
      <c r="R578">
        <v>-2</v>
      </c>
      <c r="S578" s="15">
        <f>Table2[[#This Row],[movement_quantity]]/VLOOKUP(Table2[[#This Row],[product]],Ref[#All],5,FALSE)</f>
        <v>-0.1</v>
      </c>
      <c r="T578">
        <v>96566.186310000005</v>
      </c>
      <c r="U578" t="s">
        <v>17</v>
      </c>
      <c r="V578" t="s">
        <v>21</v>
      </c>
      <c r="W578" t="s">
        <v>807</v>
      </c>
      <c r="X578" t="s">
        <v>17</v>
      </c>
      <c r="Y578" t="s">
        <v>75</v>
      </c>
      <c r="Z578">
        <v>0</v>
      </c>
      <c r="AA578" s="2">
        <v>-193132.37262000001</v>
      </c>
      <c r="AB578" t="str">
        <f>VLOOKUP(Table2[[#This Row],[product]],Ref[#All],6,FALSE)</f>
        <v>BAG50</v>
      </c>
    </row>
    <row r="579" spans="1:28" x14ac:dyDescent="0.25">
      <c r="A579" t="str">
        <f>TEXT(Table2[[#This Row],[dated]],"mmm")</f>
        <v>May</v>
      </c>
      <c r="B579" t="s">
        <v>96</v>
      </c>
      <c r="C579" s="1" t="s">
        <v>536</v>
      </c>
      <c r="D579" t="str">
        <f>VLOOKUP(Table2[[#This Row],[product]],Ref[#All],7,FALSE)</f>
        <v>Rice</v>
      </c>
      <c r="E579" s="1" t="s">
        <v>47</v>
      </c>
      <c r="F579" t="str">
        <f>VLOOKUP(Table2[[#This Row],[product]],Ref[#All],2,FALSE)</f>
        <v>Rice Long Grade 2 Elngm 20Kg</v>
      </c>
      <c r="G579" t="str">
        <f>VLOOKUP(Table2[[#This Row],[product]],Ref[#All],3,FALSE)</f>
        <v>Rice Long Grain</v>
      </c>
      <c r="H579" t="str">
        <f>VLOOKUP(Table2[[#This Row],[product]],Ref[#All],4,FALSE)</f>
        <v>Import</v>
      </c>
      <c r="I579" s="1">
        <v>45782</v>
      </c>
      <c r="J579" t="s">
        <v>53</v>
      </c>
      <c r="K579" t="s">
        <v>808</v>
      </c>
      <c r="L579" t="s">
        <v>1651</v>
      </c>
      <c r="M579" t="s">
        <v>1586</v>
      </c>
      <c r="N579" t="s">
        <v>784</v>
      </c>
      <c r="O579" t="s">
        <v>785</v>
      </c>
      <c r="P579" t="s">
        <v>788</v>
      </c>
      <c r="Q579" t="s">
        <v>55</v>
      </c>
      <c r="R579">
        <v>-1</v>
      </c>
      <c r="S579" s="15">
        <f>Table2[[#This Row],[movement_quantity]]/VLOOKUP(Table2[[#This Row],[product]],Ref[#All],5,FALSE)</f>
        <v>-0.02</v>
      </c>
      <c r="T579">
        <v>31067.20391</v>
      </c>
      <c r="U579" t="s">
        <v>17</v>
      </c>
      <c r="V579" t="s">
        <v>18</v>
      </c>
      <c r="W579" t="s">
        <v>809</v>
      </c>
      <c r="X579" t="s">
        <v>17</v>
      </c>
      <c r="Y579" t="s">
        <v>810</v>
      </c>
      <c r="Z579">
        <v>0</v>
      </c>
      <c r="AA579" s="2">
        <v>-31067.20391</v>
      </c>
      <c r="AB579" t="str">
        <f>VLOOKUP(Table2[[#This Row],[product]],Ref[#All],6,FALSE)</f>
        <v>BAG20</v>
      </c>
    </row>
    <row r="580" spans="1:28" x14ac:dyDescent="0.25">
      <c r="A580" t="str">
        <f>TEXT(Table2[[#This Row],[dated]],"mmm")</f>
        <v>May</v>
      </c>
      <c r="B580" t="s">
        <v>596</v>
      </c>
      <c r="C580" s="1" t="s">
        <v>536</v>
      </c>
      <c r="D580" t="str">
        <f>VLOOKUP(Table2[[#This Row],[product]],Ref[#All],7,FALSE)</f>
        <v>Flour</v>
      </c>
      <c r="E580" s="1" t="s">
        <v>36</v>
      </c>
      <c r="F580" t="str">
        <f>VLOOKUP(Table2[[#This Row],[product]],Ref[#All],2,FALSE)</f>
        <v>Flour Import Elngm 25Kg</v>
      </c>
      <c r="G580" t="str">
        <f>VLOOKUP(Table2[[#This Row],[product]],Ref[#All],3,FALSE)</f>
        <v>Flour Al-Nagm (Imported)</v>
      </c>
      <c r="H580" t="str">
        <f>VLOOKUP(Table2[[#This Row],[product]],Ref[#All],4,FALSE)</f>
        <v>Import</v>
      </c>
      <c r="I580" s="1">
        <v>45782</v>
      </c>
      <c r="J580" t="s">
        <v>53</v>
      </c>
      <c r="K580" t="s">
        <v>821</v>
      </c>
      <c r="L580" t="s">
        <v>1651</v>
      </c>
      <c r="M580" t="s">
        <v>1586</v>
      </c>
      <c r="N580" t="s">
        <v>784</v>
      </c>
      <c r="O580" t="s">
        <v>785</v>
      </c>
      <c r="P580" t="s">
        <v>788</v>
      </c>
      <c r="Q580" t="s">
        <v>55</v>
      </c>
      <c r="R580">
        <v>-2</v>
      </c>
      <c r="S580" s="15">
        <f>Table2[[#This Row],[movement_quantity]]/VLOOKUP(Table2[[#This Row],[product]],Ref[#All],5,FALSE)</f>
        <v>-0.05</v>
      </c>
      <c r="T580">
        <v>31301.811430000002</v>
      </c>
      <c r="U580" t="s">
        <v>17</v>
      </c>
      <c r="V580" t="s">
        <v>18</v>
      </c>
      <c r="W580" t="s">
        <v>822</v>
      </c>
      <c r="X580" t="s">
        <v>17</v>
      </c>
      <c r="Y580" t="s">
        <v>587</v>
      </c>
      <c r="Z580">
        <v>0</v>
      </c>
      <c r="AA580" s="2">
        <v>-62603.622860000003</v>
      </c>
      <c r="AB580" t="str">
        <f>VLOOKUP(Table2[[#This Row],[product]],Ref[#All],6,FALSE)</f>
        <v>BAG25</v>
      </c>
    </row>
    <row r="581" spans="1:28" x14ac:dyDescent="0.25">
      <c r="A581" t="str">
        <f>TEXT(Table2[[#This Row],[dated]],"mmm")</f>
        <v>May</v>
      </c>
      <c r="B581" t="s">
        <v>596</v>
      </c>
      <c r="C581" s="1" t="s">
        <v>536</v>
      </c>
      <c r="D581" t="str">
        <f>VLOOKUP(Table2[[#This Row],[product]],Ref[#All],7,FALSE)</f>
        <v>Flour</v>
      </c>
      <c r="E581" s="1" t="s">
        <v>36</v>
      </c>
      <c r="F581" t="str">
        <f>VLOOKUP(Table2[[#This Row],[product]],Ref[#All],2,FALSE)</f>
        <v>Flour Import Elngm 25Kg</v>
      </c>
      <c r="G581" t="str">
        <f>VLOOKUP(Table2[[#This Row],[product]],Ref[#All],3,FALSE)</f>
        <v>Flour Al-Nagm (Imported)</v>
      </c>
      <c r="H581" t="str">
        <f>VLOOKUP(Table2[[#This Row],[product]],Ref[#All],4,FALSE)</f>
        <v>Import</v>
      </c>
      <c r="I581" s="1">
        <v>45782</v>
      </c>
      <c r="J581" t="s">
        <v>53</v>
      </c>
      <c r="K581" t="s">
        <v>823</v>
      </c>
      <c r="L581" t="s">
        <v>1651</v>
      </c>
      <c r="M581" t="s">
        <v>1586</v>
      </c>
      <c r="N581" t="s">
        <v>784</v>
      </c>
      <c r="O581" t="s">
        <v>785</v>
      </c>
      <c r="P581" t="s">
        <v>788</v>
      </c>
      <c r="Q581" t="s">
        <v>55</v>
      </c>
      <c r="R581">
        <v>-3</v>
      </c>
      <c r="S581" s="15">
        <f>Table2[[#This Row],[movement_quantity]]/VLOOKUP(Table2[[#This Row],[product]],Ref[#All],5,FALSE)</f>
        <v>-7.4999999999999997E-2</v>
      </c>
      <c r="T581">
        <v>31301.811430000002</v>
      </c>
      <c r="U581" t="s">
        <v>17</v>
      </c>
      <c r="V581" t="s">
        <v>21</v>
      </c>
      <c r="W581" t="s">
        <v>824</v>
      </c>
      <c r="X581" t="s">
        <v>17</v>
      </c>
      <c r="Y581" t="s">
        <v>587</v>
      </c>
      <c r="Z581">
        <v>0</v>
      </c>
      <c r="AA581" s="2">
        <v>-93905.434290000005</v>
      </c>
      <c r="AB581" t="str">
        <f>VLOOKUP(Table2[[#This Row],[product]],Ref[#All],6,FALSE)</f>
        <v>BAG25</v>
      </c>
    </row>
    <row r="582" spans="1:28" x14ac:dyDescent="0.25">
      <c r="A582" t="str">
        <f>TEXT(Table2[[#This Row],[dated]],"mmm")</f>
        <v>May</v>
      </c>
      <c r="B582" t="s">
        <v>596</v>
      </c>
      <c r="C582" s="1" t="s">
        <v>536</v>
      </c>
      <c r="D582" t="str">
        <f>VLOOKUP(Table2[[#This Row],[product]],Ref[#All],7,FALSE)</f>
        <v>Flour</v>
      </c>
      <c r="E582" s="1" t="s">
        <v>36</v>
      </c>
      <c r="F582" t="str">
        <f>VLOOKUP(Table2[[#This Row],[product]],Ref[#All],2,FALSE)</f>
        <v>Flour Import Elngm 25Kg</v>
      </c>
      <c r="G582" t="str">
        <f>VLOOKUP(Table2[[#This Row],[product]],Ref[#All],3,FALSE)</f>
        <v>Flour Al-Nagm (Imported)</v>
      </c>
      <c r="H582" t="str">
        <f>VLOOKUP(Table2[[#This Row],[product]],Ref[#All],4,FALSE)</f>
        <v>Import</v>
      </c>
      <c r="I582" s="1">
        <v>45782</v>
      </c>
      <c r="J582" t="s">
        <v>53</v>
      </c>
      <c r="K582" t="s">
        <v>825</v>
      </c>
      <c r="L582" t="s">
        <v>1651</v>
      </c>
      <c r="M582" t="s">
        <v>1586</v>
      </c>
      <c r="N582" t="s">
        <v>784</v>
      </c>
      <c r="O582" t="s">
        <v>785</v>
      </c>
      <c r="P582" t="s">
        <v>788</v>
      </c>
      <c r="Q582" t="s">
        <v>55</v>
      </c>
      <c r="R582">
        <v>-1</v>
      </c>
      <c r="S582" s="15">
        <f>Table2[[#This Row],[movement_quantity]]/VLOOKUP(Table2[[#This Row],[product]],Ref[#All],5,FALSE)</f>
        <v>-2.5000000000000001E-2</v>
      </c>
      <c r="T582">
        <v>31301.811430000002</v>
      </c>
      <c r="U582" t="s">
        <v>17</v>
      </c>
      <c r="V582" t="s">
        <v>22</v>
      </c>
      <c r="W582" t="s">
        <v>826</v>
      </c>
      <c r="X582" t="s">
        <v>17</v>
      </c>
      <c r="Y582" t="s">
        <v>587</v>
      </c>
      <c r="Z582">
        <v>0</v>
      </c>
      <c r="AA582" s="2">
        <v>-31301.811430000002</v>
      </c>
      <c r="AB582" t="str">
        <f>VLOOKUP(Table2[[#This Row],[product]],Ref[#All],6,FALSE)</f>
        <v>BAG25</v>
      </c>
    </row>
    <row r="583" spans="1:28" x14ac:dyDescent="0.25">
      <c r="A583" t="str">
        <f>TEXT(Table2[[#This Row],[dated]],"mmm")</f>
        <v>May</v>
      </c>
      <c r="B583" t="s">
        <v>596</v>
      </c>
      <c r="C583" s="1" t="s">
        <v>536</v>
      </c>
      <c r="D583" t="str">
        <f>VLOOKUP(Table2[[#This Row],[product]],Ref[#All],7,FALSE)</f>
        <v>Flour</v>
      </c>
      <c r="E583" s="1" t="s">
        <v>36</v>
      </c>
      <c r="F583" t="str">
        <f>VLOOKUP(Table2[[#This Row],[product]],Ref[#All],2,FALSE)</f>
        <v>Flour Import Elngm 25Kg</v>
      </c>
      <c r="G583" t="str">
        <f>VLOOKUP(Table2[[#This Row],[product]],Ref[#All],3,FALSE)</f>
        <v>Flour Al-Nagm (Imported)</v>
      </c>
      <c r="H583" t="str">
        <f>VLOOKUP(Table2[[#This Row],[product]],Ref[#All],4,FALSE)</f>
        <v>Import</v>
      </c>
      <c r="I583" s="1">
        <v>45782</v>
      </c>
      <c r="J583" t="s">
        <v>53</v>
      </c>
      <c r="K583" t="s">
        <v>825</v>
      </c>
      <c r="L583" t="s">
        <v>1651</v>
      </c>
      <c r="M583" t="s">
        <v>1586</v>
      </c>
      <c r="N583" t="s">
        <v>784</v>
      </c>
      <c r="O583" t="s">
        <v>785</v>
      </c>
      <c r="P583" t="s">
        <v>788</v>
      </c>
      <c r="Q583" t="s">
        <v>55</v>
      </c>
      <c r="R583">
        <v>-2</v>
      </c>
      <c r="S583" s="15">
        <f>Table2[[#This Row],[movement_quantity]]/VLOOKUP(Table2[[#This Row],[product]],Ref[#All],5,FALSE)</f>
        <v>-0.05</v>
      </c>
      <c r="T583">
        <v>31301.811430000002</v>
      </c>
      <c r="U583" t="s">
        <v>17</v>
      </c>
      <c r="V583" t="s">
        <v>23</v>
      </c>
      <c r="W583" t="s">
        <v>826</v>
      </c>
      <c r="X583" t="s">
        <v>17</v>
      </c>
      <c r="Y583" t="s">
        <v>587</v>
      </c>
      <c r="Z583">
        <v>0</v>
      </c>
      <c r="AA583" s="2">
        <v>-62603.622860000003</v>
      </c>
      <c r="AB583" t="str">
        <f>VLOOKUP(Table2[[#This Row],[product]],Ref[#All],6,FALSE)</f>
        <v>BAG25</v>
      </c>
    </row>
    <row r="584" spans="1:28" x14ac:dyDescent="0.25">
      <c r="A584" t="str">
        <f>TEXT(Table2[[#This Row],[dated]],"mmm")</f>
        <v>May</v>
      </c>
      <c r="B584" t="s">
        <v>596</v>
      </c>
      <c r="C584" s="1" t="s">
        <v>536</v>
      </c>
      <c r="D584" t="str">
        <f>VLOOKUP(Table2[[#This Row],[product]],Ref[#All],7,FALSE)</f>
        <v>Flour</v>
      </c>
      <c r="E584" s="1" t="s">
        <v>36</v>
      </c>
      <c r="F584" t="str">
        <f>VLOOKUP(Table2[[#This Row],[product]],Ref[#All],2,FALSE)</f>
        <v>Flour Import Elngm 25Kg</v>
      </c>
      <c r="G584" t="str">
        <f>VLOOKUP(Table2[[#This Row],[product]],Ref[#All],3,FALSE)</f>
        <v>Flour Al-Nagm (Imported)</v>
      </c>
      <c r="H584" t="str">
        <f>VLOOKUP(Table2[[#This Row],[product]],Ref[#All],4,FALSE)</f>
        <v>Import</v>
      </c>
      <c r="I584" s="1">
        <v>45782</v>
      </c>
      <c r="J584" t="s">
        <v>53</v>
      </c>
      <c r="K584" t="s">
        <v>825</v>
      </c>
      <c r="L584" t="s">
        <v>1651</v>
      </c>
      <c r="M584" t="s">
        <v>1586</v>
      </c>
      <c r="N584" t="s">
        <v>784</v>
      </c>
      <c r="O584" t="s">
        <v>785</v>
      </c>
      <c r="P584" t="s">
        <v>788</v>
      </c>
      <c r="Q584" t="s">
        <v>55</v>
      </c>
      <c r="R584">
        <v>-1</v>
      </c>
      <c r="S584" s="15">
        <f>Table2[[#This Row],[movement_quantity]]/VLOOKUP(Table2[[#This Row],[product]],Ref[#All],5,FALSE)</f>
        <v>-2.5000000000000001E-2</v>
      </c>
      <c r="T584">
        <v>31301.811430000002</v>
      </c>
      <c r="U584" t="s">
        <v>17</v>
      </c>
      <c r="V584" t="s">
        <v>24</v>
      </c>
      <c r="W584" t="s">
        <v>826</v>
      </c>
      <c r="X584" t="s">
        <v>17</v>
      </c>
      <c r="Y584" t="s">
        <v>587</v>
      </c>
      <c r="Z584">
        <v>0</v>
      </c>
      <c r="AA584" s="2">
        <v>-31301.811430000002</v>
      </c>
      <c r="AB584" t="str">
        <f>VLOOKUP(Table2[[#This Row],[product]],Ref[#All],6,FALSE)</f>
        <v>BAG25</v>
      </c>
    </row>
    <row r="585" spans="1:28" x14ac:dyDescent="0.25">
      <c r="A585" t="str">
        <f>TEXT(Table2[[#This Row],[dated]],"mmm")</f>
        <v>May</v>
      </c>
      <c r="B585" t="s">
        <v>596</v>
      </c>
      <c r="C585" s="1" t="s">
        <v>536</v>
      </c>
      <c r="D585" t="str">
        <f>VLOOKUP(Table2[[#This Row],[product]],Ref[#All],7,FALSE)</f>
        <v>Flour</v>
      </c>
      <c r="E585" s="1" t="s">
        <v>36</v>
      </c>
      <c r="F585" t="str">
        <f>VLOOKUP(Table2[[#This Row],[product]],Ref[#All],2,FALSE)</f>
        <v>Flour Import Elngm 25Kg</v>
      </c>
      <c r="G585" t="str">
        <f>VLOOKUP(Table2[[#This Row],[product]],Ref[#All],3,FALSE)</f>
        <v>Flour Al-Nagm (Imported)</v>
      </c>
      <c r="H585" t="str">
        <f>VLOOKUP(Table2[[#This Row],[product]],Ref[#All],4,FALSE)</f>
        <v>Import</v>
      </c>
      <c r="I585" s="1">
        <v>45782</v>
      </c>
      <c r="J585" t="s">
        <v>53</v>
      </c>
      <c r="K585" t="s">
        <v>825</v>
      </c>
      <c r="L585" t="s">
        <v>1651</v>
      </c>
      <c r="M585" t="s">
        <v>1586</v>
      </c>
      <c r="N585" t="s">
        <v>784</v>
      </c>
      <c r="O585" t="s">
        <v>785</v>
      </c>
      <c r="P585" t="s">
        <v>788</v>
      </c>
      <c r="Q585" t="s">
        <v>55</v>
      </c>
      <c r="R585">
        <v>-1</v>
      </c>
      <c r="S585" s="15">
        <f>Table2[[#This Row],[movement_quantity]]/VLOOKUP(Table2[[#This Row],[product]],Ref[#All],5,FALSE)</f>
        <v>-2.5000000000000001E-2</v>
      </c>
      <c r="T585">
        <v>31301.811430000002</v>
      </c>
      <c r="U585" t="s">
        <v>17</v>
      </c>
      <c r="V585" t="s">
        <v>25</v>
      </c>
      <c r="W585" t="s">
        <v>826</v>
      </c>
      <c r="X585" t="s">
        <v>17</v>
      </c>
      <c r="Y585" t="s">
        <v>587</v>
      </c>
      <c r="Z585">
        <v>0</v>
      </c>
      <c r="AA585" s="2">
        <v>-31301.811430000002</v>
      </c>
      <c r="AB585" t="str">
        <f>VLOOKUP(Table2[[#This Row],[product]],Ref[#All],6,FALSE)</f>
        <v>BAG25</v>
      </c>
    </row>
    <row r="586" spans="1:28" x14ac:dyDescent="0.25">
      <c r="A586" t="str">
        <f>TEXT(Table2[[#This Row],[dated]],"mmm")</f>
        <v>May</v>
      </c>
      <c r="B586" t="s">
        <v>596</v>
      </c>
      <c r="C586" s="1" t="s">
        <v>536</v>
      </c>
      <c r="D586" t="str">
        <f>VLOOKUP(Table2[[#This Row],[product]],Ref[#All],7,FALSE)</f>
        <v>Flour</v>
      </c>
      <c r="E586" s="1" t="s">
        <v>36</v>
      </c>
      <c r="F586" t="str">
        <f>VLOOKUP(Table2[[#This Row],[product]],Ref[#All],2,FALSE)</f>
        <v>Flour Import Elngm 25Kg</v>
      </c>
      <c r="G586" t="str">
        <f>VLOOKUP(Table2[[#This Row],[product]],Ref[#All],3,FALSE)</f>
        <v>Flour Al-Nagm (Imported)</v>
      </c>
      <c r="H586" t="str">
        <f>VLOOKUP(Table2[[#This Row],[product]],Ref[#All],4,FALSE)</f>
        <v>Import</v>
      </c>
      <c r="I586" s="1">
        <v>45782</v>
      </c>
      <c r="J586" t="s">
        <v>53</v>
      </c>
      <c r="K586" t="s">
        <v>827</v>
      </c>
      <c r="L586" t="s">
        <v>1651</v>
      </c>
      <c r="M586" t="s">
        <v>1586</v>
      </c>
      <c r="N586" t="s">
        <v>784</v>
      </c>
      <c r="O586" t="s">
        <v>785</v>
      </c>
      <c r="P586" t="s">
        <v>788</v>
      </c>
      <c r="Q586" t="s">
        <v>55</v>
      </c>
      <c r="R586">
        <v>-1</v>
      </c>
      <c r="S586" s="15">
        <f>Table2[[#This Row],[movement_quantity]]/VLOOKUP(Table2[[#This Row],[product]],Ref[#All],5,FALSE)</f>
        <v>-2.5000000000000001E-2</v>
      </c>
      <c r="T586">
        <v>31301.811430000002</v>
      </c>
      <c r="U586" t="s">
        <v>17</v>
      </c>
      <c r="V586" t="s">
        <v>26</v>
      </c>
      <c r="W586" t="s">
        <v>828</v>
      </c>
      <c r="X586" t="s">
        <v>17</v>
      </c>
      <c r="Y586" t="s">
        <v>587</v>
      </c>
      <c r="Z586">
        <v>0</v>
      </c>
      <c r="AA586" s="2">
        <v>-31301.811430000002</v>
      </c>
      <c r="AB586" t="str">
        <f>VLOOKUP(Table2[[#This Row],[product]],Ref[#All],6,FALSE)</f>
        <v>BAG25</v>
      </c>
    </row>
    <row r="587" spans="1:28" x14ac:dyDescent="0.25">
      <c r="A587" t="str">
        <f>TEXT(Table2[[#This Row],[dated]],"mmm")</f>
        <v>May</v>
      </c>
      <c r="B587" t="s">
        <v>596</v>
      </c>
      <c r="C587" s="1" t="s">
        <v>536</v>
      </c>
      <c r="D587" t="str">
        <f>VLOOKUP(Table2[[#This Row],[product]],Ref[#All],7,FALSE)</f>
        <v>Flour</v>
      </c>
      <c r="E587" s="1" t="s">
        <v>36</v>
      </c>
      <c r="F587" t="str">
        <f>VLOOKUP(Table2[[#This Row],[product]],Ref[#All],2,FALSE)</f>
        <v>Flour Import Elngm 25Kg</v>
      </c>
      <c r="G587" t="str">
        <f>VLOOKUP(Table2[[#This Row],[product]],Ref[#All],3,FALSE)</f>
        <v>Flour Al-Nagm (Imported)</v>
      </c>
      <c r="H587" t="str">
        <f>VLOOKUP(Table2[[#This Row],[product]],Ref[#All],4,FALSE)</f>
        <v>Import</v>
      </c>
      <c r="I587" s="1">
        <v>45782</v>
      </c>
      <c r="J587" t="s">
        <v>53</v>
      </c>
      <c r="K587" t="s">
        <v>829</v>
      </c>
      <c r="L587" t="s">
        <v>1651</v>
      </c>
      <c r="M587" t="s">
        <v>1586</v>
      </c>
      <c r="N587" t="s">
        <v>784</v>
      </c>
      <c r="O587" t="s">
        <v>785</v>
      </c>
      <c r="P587" t="s">
        <v>788</v>
      </c>
      <c r="Q587" t="s">
        <v>55</v>
      </c>
      <c r="R587">
        <v>-1</v>
      </c>
      <c r="S587" s="15">
        <f>Table2[[#This Row],[movement_quantity]]/VLOOKUP(Table2[[#This Row],[product]],Ref[#All],5,FALSE)</f>
        <v>-2.5000000000000001E-2</v>
      </c>
      <c r="T587">
        <v>31301.811430000002</v>
      </c>
      <c r="U587" t="s">
        <v>17</v>
      </c>
      <c r="V587" t="s">
        <v>27</v>
      </c>
      <c r="W587" t="s">
        <v>830</v>
      </c>
      <c r="X587" t="s">
        <v>17</v>
      </c>
      <c r="Y587" t="s">
        <v>587</v>
      </c>
      <c r="Z587">
        <v>0</v>
      </c>
      <c r="AA587" s="2">
        <v>-31301.811430000002</v>
      </c>
      <c r="AB587" t="str">
        <f>VLOOKUP(Table2[[#This Row],[product]],Ref[#All],6,FALSE)</f>
        <v>BAG25</v>
      </c>
    </row>
    <row r="588" spans="1:28" x14ac:dyDescent="0.25">
      <c r="A588" t="str">
        <f>TEXT(Table2[[#This Row],[dated]],"mmm")</f>
        <v>May</v>
      </c>
      <c r="B588" t="s">
        <v>46</v>
      </c>
      <c r="C588" s="1" t="s">
        <v>536</v>
      </c>
      <c r="D588" t="str">
        <f>VLOOKUP(Table2[[#This Row],[product]],Ref[#All],7,FALSE)</f>
        <v>Flour</v>
      </c>
      <c r="E588" s="1" t="s">
        <v>36</v>
      </c>
      <c r="F588" t="str">
        <f>VLOOKUP(Table2[[#This Row],[product]],Ref[#All],2,FALSE)</f>
        <v>Flour Import Elngm 25Kg</v>
      </c>
      <c r="G588" t="str">
        <f>VLOOKUP(Table2[[#This Row],[product]],Ref[#All],3,FALSE)</f>
        <v>Flour Al-Nagm (Imported)</v>
      </c>
      <c r="H588" t="str">
        <f>VLOOKUP(Table2[[#This Row],[product]],Ref[#All],4,FALSE)</f>
        <v>Import</v>
      </c>
      <c r="I588" s="1">
        <v>45782</v>
      </c>
      <c r="J588" t="s">
        <v>53</v>
      </c>
      <c r="K588" t="s">
        <v>831</v>
      </c>
      <c r="L588" t="s">
        <v>1651</v>
      </c>
      <c r="M588" t="s">
        <v>1586</v>
      </c>
      <c r="N588" t="s">
        <v>784</v>
      </c>
      <c r="O588" t="s">
        <v>785</v>
      </c>
      <c r="P588" t="s">
        <v>788</v>
      </c>
      <c r="Q588" t="s">
        <v>55</v>
      </c>
      <c r="R588">
        <v>-1</v>
      </c>
      <c r="S588" s="15">
        <f>Table2[[#This Row],[movement_quantity]]/VLOOKUP(Table2[[#This Row],[product]],Ref[#All],5,FALSE)</f>
        <v>-2.5000000000000001E-2</v>
      </c>
      <c r="T588">
        <v>31301.811430000002</v>
      </c>
      <c r="U588" t="s">
        <v>17</v>
      </c>
      <c r="V588" t="s">
        <v>18</v>
      </c>
      <c r="W588" t="s">
        <v>832</v>
      </c>
      <c r="X588" t="s">
        <v>17</v>
      </c>
      <c r="Y588" t="s">
        <v>833</v>
      </c>
      <c r="Z588">
        <v>0</v>
      </c>
      <c r="AA588" s="2">
        <v>-31301.811430000002</v>
      </c>
      <c r="AB588" t="str">
        <f>VLOOKUP(Table2[[#This Row],[product]],Ref[#All],6,FALSE)</f>
        <v>BAG25</v>
      </c>
    </row>
    <row r="589" spans="1:28" x14ac:dyDescent="0.25">
      <c r="A589" t="str">
        <f>TEXT(Table2[[#This Row],[dated]],"mmm")</f>
        <v>May</v>
      </c>
      <c r="B589" t="s">
        <v>46</v>
      </c>
      <c r="C589" s="1" t="s">
        <v>536</v>
      </c>
      <c r="D589" t="str">
        <f>VLOOKUP(Table2[[#This Row],[product]],Ref[#All],7,FALSE)</f>
        <v>Flour</v>
      </c>
      <c r="E589" s="1" t="s">
        <v>36</v>
      </c>
      <c r="F589" t="str">
        <f>VLOOKUP(Table2[[#This Row],[product]],Ref[#All],2,FALSE)</f>
        <v>Flour Import Elngm 25Kg</v>
      </c>
      <c r="G589" t="str">
        <f>VLOOKUP(Table2[[#This Row],[product]],Ref[#All],3,FALSE)</f>
        <v>Flour Al-Nagm (Imported)</v>
      </c>
      <c r="H589" t="str">
        <f>VLOOKUP(Table2[[#This Row],[product]],Ref[#All],4,FALSE)</f>
        <v>Import</v>
      </c>
      <c r="I589" s="1">
        <v>45782</v>
      </c>
      <c r="J589" t="s">
        <v>53</v>
      </c>
      <c r="K589" t="s">
        <v>834</v>
      </c>
      <c r="L589" t="s">
        <v>1651</v>
      </c>
      <c r="M589" t="s">
        <v>1586</v>
      </c>
      <c r="N589" t="s">
        <v>784</v>
      </c>
      <c r="O589" t="s">
        <v>785</v>
      </c>
      <c r="P589" t="s">
        <v>788</v>
      </c>
      <c r="Q589" t="s">
        <v>55</v>
      </c>
      <c r="R589">
        <v>-1</v>
      </c>
      <c r="S589" s="15">
        <f>Table2[[#This Row],[movement_quantity]]/VLOOKUP(Table2[[#This Row],[product]],Ref[#All],5,FALSE)</f>
        <v>-2.5000000000000001E-2</v>
      </c>
      <c r="T589">
        <v>31301.811430000002</v>
      </c>
      <c r="U589" t="s">
        <v>17</v>
      </c>
      <c r="V589" t="s">
        <v>21</v>
      </c>
      <c r="W589" t="s">
        <v>835</v>
      </c>
      <c r="X589" t="s">
        <v>17</v>
      </c>
      <c r="Y589" t="s">
        <v>833</v>
      </c>
      <c r="Z589">
        <v>0</v>
      </c>
      <c r="AA589" s="2">
        <v>-31301.811430000002</v>
      </c>
      <c r="AB589" t="str">
        <f>VLOOKUP(Table2[[#This Row],[product]],Ref[#All],6,FALSE)</f>
        <v>BAG25</v>
      </c>
    </row>
    <row r="590" spans="1:28" x14ac:dyDescent="0.25">
      <c r="A590" t="str">
        <f>TEXT(Table2[[#This Row],[dated]],"mmm")</f>
        <v>May</v>
      </c>
      <c r="B590" t="s">
        <v>46</v>
      </c>
      <c r="C590" s="1" t="s">
        <v>536</v>
      </c>
      <c r="D590" t="str">
        <f>VLOOKUP(Table2[[#This Row],[product]],Ref[#All],7,FALSE)</f>
        <v>Flour</v>
      </c>
      <c r="E590" s="1" t="s">
        <v>36</v>
      </c>
      <c r="F590" t="str">
        <f>VLOOKUP(Table2[[#This Row],[product]],Ref[#All],2,FALSE)</f>
        <v>Flour Import Elngm 25Kg</v>
      </c>
      <c r="G590" t="str">
        <f>VLOOKUP(Table2[[#This Row],[product]],Ref[#All],3,FALSE)</f>
        <v>Flour Al-Nagm (Imported)</v>
      </c>
      <c r="H590" t="str">
        <f>VLOOKUP(Table2[[#This Row],[product]],Ref[#All],4,FALSE)</f>
        <v>Import</v>
      </c>
      <c r="I590" s="1">
        <v>45782</v>
      </c>
      <c r="J590" t="s">
        <v>53</v>
      </c>
      <c r="K590" t="s">
        <v>836</v>
      </c>
      <c r="L590" t="s">
        <v>1651</v>
      </c>
      <c r="M590" t="s">
        <v>1586</v>
      </c>
      <c r="N590" t="s">
        <v>784</v>
      </c>
      <c r="O590" t="s">
        <v>785</v>
      </c>
      <c r="P590" t="s">
        <v>788</v>
      </c>
      <c r="Q590" t="s">
        <v>55</v>
      </c>
      <c r="R590">
        <v>-1</v>
      </c>
      <c r="S590" s="15">
        <f>Table2[[#This Row],[movement_quantity]]/VLOOKUP(Table2[[#This Row],[product]],Ref[#All],5,FALSE)</f>
        <v>-2.5000000000000001E-2</v>
      </c>
      <c r="T590">
        <v>31301.811430000002</v>
      </c>
      <c r="U590" t="s">
        <v>17</v>
      </c>
      <c r="V590" t="s">
        <v>22</v>
      </c>
      <c r="W590" t="s">
        <v>837</v>
      </c>
      <c r="X590" t="s">
        <v>17</v>
      </c>
      <c r="Y590" t="s">
        <v>833</v>
      </c>
      <c r="Z590">
        <v>0</v>
      </c>
      <c r="AA590" s="2">
        <v>-31301.811430000002</v>
      </c>
      <c r="AB590" t="str">
        <f>VLOOKUP(Table2[[#This Row],[product]],Ref[#All],6,FALSE)</f>
        <v>BAG25</v>
      </c>
    </row>
    <row r="591" spans="1:28" x14ac:dyDescent="0.25">
      <c r="A591" t="str">
        <f>TEXT(Table2[[#This Row],[dated]],"mmm")</f>
        <v>May</v>
      </c>
      <c r="B591" t="s">
        <v>46</v>
      </c>
      <c r="C591" s="1" t="s">
        <v>536</v>
      </c>
      <c r="D591" t="str">
        <f>VLOOKUP(Table2[[#This Row],[product]],Ref[#All],7,FALSE)</f>
        <v>Flour</v>
      </c>
      <c r="E591" s="1" t="s">
        <v>36</v>
      </c>
      <c r="F591" t="str">
        <f>VLOOKUP(Table2[[#This Row],[product]],Ref[#All],2,FALSE)</f>
        <v>Flour Import Elngm 25Kg</v>
      </c>
      <c r="G591" t="str">
        <f>VLOOKUP(Table2[[#This Row],[product]],Ref[#All],3,FALSE)</f>
        <v>Flour Al-Nagm (Imported)</v>
      </c>
      <c r="H591" t="str">
        <f>VLOOKUP(Table2[[#This Row],[product]],Ref[#All],4,FALSE)</f>
        <v>Import</v>
      </c>
      <c r="I591" s="1">
        <v>45782</v>
      </c>
      <c r="J591" t="s">
        <v>53</v>
      </c>
      <c r="K591" t="s">
        <v>838</v>
      </c>
      <c r="L591" t="s">
        <v>1651</v>
      </c>
      <c r="M591" t="s">
        <v>1586</v>
      </c>
      <c r="N591" t="s">
        <v>784</v>
      </c>
      <c r="O591" t="s">
        <v>785</v>
      </c>
      <c r="P591" t="s">
        <v>788</v>
      </c>
      <c r="Q591" t="s">
        <v>55</v>
      </c>
      <c r="R591">
        <v>-2</v>
      </c>
      <c r="S591" s="15">
        <f>Table2[[#This Row],[movement_quantity]]/VLOOKUP(Table2[[#This Row],[product]],Ref[#All],5,FALSE)</f>
        <v>-0.05</v>
      </c>
      <c r="T591">
        <v>31301.811430000002</v>
      </c>
      <c r="U591" t="s">
        <v>17</v>
      </c>
      <c r="V591" t="s">
        <v>23</v>
      </c>
      <c r="W591" t="s">
        <v>839</v>
      </c>
      <c r="X591" t="s">
        <v>17</v>
      </c>
      <c r="Y591" t="s">
        <v>833</v>
      </c>
      <c r="Z591">
        <v>0</v>
      </c>
      <c r="AA591" s="2">
        <v>-62603.622860000003</v>
      </c>
      <c r="AB591" t="str">
        <f>VLOOKUP(Table2[[#This Row],[product]],Ref[#All],6,FALSE)</f>
        <v>BAG25</v>
      </c>
    </row>
    <row r="592" spans="1:28" x14ac:dyDescent="0.25">
      <c r="A592" t="str">
        <f>TEXT(Table2[[#This Row],[dated]],"mmm")</f>
        <v>May</v>
      </c>
      <c r="B592" t="s">
        <v>46</v>
      </c>
      <c r="C592" s="1" t="s">
        <v>536</v>
      </c>
      <c r="D592" t="str">
        <f>VLOOKUP(Table2[[#This Row],[product]],Ref[#All],7,FALSE)</f>
        <v>Flour</v>
      </c>
      <c r="E592" s="1" t="s">
        <v>36</v>
      </c>
      <c r="F592" t="str">
        <f>VLOOKUP(Table2[[#This Row],[product]],Ref[#All],2,FALSE)</f>
        <v>Flour Import Elngm 25Kg</v>
      </c>
      <c r="G592" t="str">
        <f>VLOOKUP(Table2[[#This Row],[product]],Ref[#All],3,FALSE)</f>
        <v>Flour Al-Nagm (Imported)</v>
      </c>
      <c r="H592" t="str">
        <f>VLOOKUP(Table2[[#This Row],[product]],Ref[#All],4,FALSE)</f>
        <v>Import</v>
      </c>
      <c r="I592" s="1">
        <v>45782</v>
      </c>
      <c r="J592" t="s">
        <v>53</v>
      </c>
      <c r="K592" t="s">
        <v>840</v>
      </c>
      <c r="L592" t="s">
        <v>1651</v>
      </c>
      <c r="M592" t="s">
        <v>1586</v>
      </c>
      <c r="N592" t="s">
        <v>784</v>
      </c>
      <c r="O592" t="s">
        <v>785</v>
      </c>
      <c r="P592" t="s">
        <v>788</v>
      </c>
      <c r="Q592" t="s">
        <v>55</v>
      </c>
      <c r="R592">
        <v>-1</v>
      </c>
      <c r="S592" s="15">
        <f>Table2[[#This Row],[movement_quantity]]/VLOOKUP(Table2[[#This Row],[product]],Ref[#All],5,FALSE)</f>
        <v>-2.5000000000000001E-2</v>
      </c>
      <c r="T592">
        <v>31301.811430000002</v>
      </c>
      <c r="U592" t="s">
        <v>17</v>
      </c>
      <c r="V592" t="s">
        <v>24</v>
      </c>
      <c r="W592" t="s">
        <v>841</v>
      </c>
      <c r="X592" t="s">
        <v>17</v>
      </c>
      <c r="Y592" t="s">
        <v>833</v>
      </c>
      <c r="Z592">
        <v>0</v>
      </c>
      <c r="AA592" s="2">
        <v>-31301.811430000002</v>
      </c>
      <c r="AB592" t="str">
        <f>VLOOKUP(Table2[[#This Row],[product]],Ref[#All],6,FALSE)</f>
        <v>BAG25</v>
      </c>
    </row>
    <row r="593" spans="1:28" x14ac:dyDescent="0.25">
      <c r="A593" t="str">
        <f>TEXT(Table2[[#This Row],[dated]],"mmm")</f>
        <v>May</v>
      </c>
      <c r="B593" t="s">
        <v>46</v>
      </c>
      <c r="C593" s="1" t="s">
        <v>536</v>
      </c>
      <c r="D593" t="str">
        <f>VLOOKUP(Table2[[#This Row],[product]],Ref[#All],7,FALSE)</f>
        <v>Flour</v>
      </c>
      <c r="E593" s="1" t="s">
        <v>36</v>
      </c>
      <c r="F593" t="str">
        <f>VLOOKUP(Table2[[#This Row],[product]],Ref[#All],2,FALSE)</f>
        <v>Flour Import Elngm 25Kg</v>
      </c>
      <c r="G593" t="str">
        <f>VLOOKUP(Table2[[#This Row],[product]],Ref[#All],3,FALSE)</f>
        <v>Flour Al-Nagm (Imported)</v>
      </c>
      <c r="H593" t="str">
        <f>VLOOKUP(Table2[[#This Row],[product]],Ref[#All],4,FALSE)</f>
        <v>Import</v>
      </c>
      <c r="I593" s="1">
        <v>45782</v>
      </c>
      <c r="J593" t="s">
        <v>53</v>
      </c>
      <c r="K593" t="s">
        <v>842</v>
      </c>
      <c r="L593" t="s">
        <v>1651</v>
      </c>
      <c r="M593" t="s">
        <v>1586</v>
      </c>
      <c r="N593" t="s">
        <v>784</v>
      </c>
      <c r="O593" t="s">
        <v>785</v>
      </c>
      <c r="P593" t="s">
        <v>788</v>
      </c>
      <c r="Q593" t="s">
        <v>55</v>
      </c>
      <c r="R593">
        <v>-2</v>
      </c>
      <c r="S593" s="15">
        <f>Table2[[#This Row],[movement_quantity]]/VLOOKUP(Table2[[#This Row],[product]],Ref[#All],5,FALSE)</f>
        <v>-0.05</v>
      </c>
      <c r="T593">
        <v>31301.811430000002</v>
      </c>
      <c r="U593" t="s">
        <v>17</v>
      </c>
      <c r="V593" t="s">
        <v>25</v>
      </c>
      <c r="W593" t="s">
        <v>843</v>
      </c>
      <c r="X593" t="s">
        <v>17</v>
      </c>
      <c r="Y593" t="s">
        <v>833</v>
      </c>
      <c r="Z593">
        <v>0</v>
      </c>
      <c r="AA593" s="2">
        <v>-62603.622860000003</v>
      </c>
      <c r="AB593" t="str">
        <f>VLOOKUP(Table2[[#This Row],[product]],Ref[#All],6,FALSE)</f>
        <v>BAG25</v>
      </c>
    </row>
    <row r="594" spans="1:28" x14ac:dyDescent="0.25">
      <c r="A594" t="str">
        <f>TEXT(Table2[[#This Row],[dated]],"mmm")</f>
        <v>May</v>
      </c>
      <c r="B594" t="s">
        <v>46</v>
      </c>
      <c r="C594" s="1" t="s">
        <v>536</v>
      </c>
      <c r="D594" t="str">
        <f>VLOOKUP(Table2[[#This Row],[product]],Ref[#All],7,FALSE)</f>
        <v>Flour</v>
      </c>
      <c r="E594" s="1" t="s">
        <v>42</v>
      </c>
      <c r="F594" t="str">
        <f>VLOOKUP(Table2[[#This Row],[product]],Ref[#All],2,FALSE)</f>
        <v>Alnajm Flour from Mill 25KG</v>
      </c>
      <c r="G594" t="str">
        <f>VLOOKUP(Table2[[#This Row],[product]],Ref[#All],3,FALSE)</f>
        <v>Flour Al-Nagm (Mill)</v>
      </c>
      <c r="H594" t="str">
        <f>VLOOKUP(Table2[[#This Row],[product]],Ref[#All],4,FALSE)</f>
        <v>Import</v>
      </c>
      <c r="I594" s="1">
        <v>45782</v>
      </c>
      <c r="J594" t="s">
        <v>53</v>
      </c>
      <c r="K594" t="s">
        <v>844</v>
      </c>
      <c r="L594" t="s">
        <v>1651</v>
      </c>
      <c r="M594" t="s">
        <v>1586</v>
      </c>
      <c r="N594" t="s">
        <v>784</v>
      </c>
      <c r="O594" t="s">
        <v>785</v>
      </c>
      <c r="P594" t="s">
        <v>788</v>
      </c>
      <c r="Q594" t="s">
        <v>55</v>
      </c>
      <c r="R594">
        <v>-2</v>
      </c>
      <c r="S594" s="15">
        <f>Table2[[#This Row],[movement_quantity]]/VLOOKUP(Table2[[#This Row],[product]],Ref[#All],5,FALSE)</f>
        <v>-0.05</v>
      </c>
      <c r="T594">
        <v>31301.811430000002</v>
      </c>
      <c r="U594" t="s">
        <v>17</v>
      </c>
      <c r="V594" t="s">
        <v>18</v>
      </c>
      <c r="W594" t="s">
        <v>845</v>
      </c>
      <c r="X594" t="s">
        <v>17</v>
      </c>
      <c r="Y594" t="s">
        <v>846</v>
      </c>
      <c r="Z594">
        <v>0</v>
      </c>
      <c r="AA594" s="2">
        <v>-62603.622860000003</v>
      </c>
      <c r="AB594" t="str">
        <f>VLOOKUP(Table2[[#This Row],[product]],Ref[#All],6,FALSE)</f>
        <v>BAG25</v>
      </c>
    </row>
    <row r="595" spans="1:28" x14ac:dyDescent="0.25">
      <c r="A595" t="str">
        <f>TEXT(Table2[[#This Row],[dated]],"mmm")</f>
        <v>Apr</v>
      </c>
      <c r="B595" t="s">
        <v>138</v>
      </c>
      <c r="C595" s="1" t="s">
        <v>536</v>
      </c>
      <c r="D595" t="str">
        <f>VLOOKUP(Table2[[#This Row],[product]],Ref[#All],7,FALSE)</f>
        <v>Sesame Non Gadarif</v>
      </c>
      <c r="E595" s="1" t="s">
        <v>77</v>
      </c>
      <c r="F595" t="str">
        <f>VLOOKUP(Table2[[#This Row],[product]],Ref[#All],2,FALSE)</f>
        <v xml:space="preserve">White Sesame Non Gadarif - FG </v>
      </c>
      <c r="G595" t="str">
        <f>VLOOKUP(Table2[[#This Row],[product]],Ref[#All],3,FALSE)</f>
        <v xml:space="preserve">White Sesame Non Gadarif - FG </v>
      </c>
      <c r="H595" t="str">
        <f>VLOOKUP(Table2[[#This Row],[product]],Ref[#All],4,FALSE)</f>
        <v>Export</v>
      </c>
      <c r="I595" s="1">
        <v>45770</v>
      </c>
      <c r="J595" t="s">
        <v>53</v>
      </c>
      <c r="K595" t="s">
        <v>988</v>
      </c>
      <c r="L595" t="s">
        <v>1651</v>
      </c>
      <c r="M595" t="s">
        <v>1586</v>
      </c>
      <c r="N595" t="s">
        <v>784</v>
      </c>
      <c r="O595" t="s">
        <v>785</v>
      </c>
      <c r="P595" t="s">
        <v>788</v>
      </c>
      <c r="Q595" t="s">
        <v>55</v>
      </c>
      <c r="R595">
        <v>-1</v>
      </c>
      <c r="S595" s="15">
        <f>Table2[[#This Row],[movement_quantity]]/VLOOKUP(Table2[[#This Row],[product]],Ref[#All],5,FALSE)</f>
        <v>-0.05</v>
      </c>
      <c r="T595">
        <v>188251.76316</v>
      </c>
      <c r="U595" t="s">
        <v>17</v>
      </c>
      <c r="V595" t="s">
        <v>18</v>
      </c>
      <c r="W595" t="s">
        <v>989</v>
      </c>
      <c r="X595" t="s">
        <v>17</v>
      </c>
      <c r="Y595" t="s">
        <v>795</v>
      </c>
      <c r="Z595">
        <v>0</v>
      </c>
      <c r="AA595" s="2">
        <v>-188251.76316</v>
      </c>
      <c r="AB595" t="str">
        <f>VLOOKUP(Table2[[#This Row],[product]],Ref[#All],6,FALSE)</f>
        <v>BAG50</v>
      </c>
    </row>
    <row r="596" spans="1:28" x14ac:dyDescent="0.25">
      <c r="A596" t="str">
        <f>TEXT(Table2[[#This Row],[dated]],"mmm")</f>
        <v>Apr</v>
      </c>
      <c r="B596" t="s">
        <v>138</v>
      </c>
      <c r="C596" s="1" t="s">
        <v>536</v>
      </c>
      <c r="D596" t="str">
        <f>VLOOKUP(Table2[[#This Row],[product]],Ref[#All],7,FALSE)</f>
        <v>Sesame Non Gadarif</v>
      </c>
      <c r="E596" s="1" t="s">
        <v>77</v>
      </c>
      <c r="F596" t="str">
        <f>VLOOKUP(Table2[[#This Row],[product]],Ref[#All],2,FALSE)</f>
        <v xml:space="preserve">White Sesame Non Gadarif - FG </v>
      </c>
      <c r="G596" t="str">
        <f>VLOOKUP(Table2[[#This Row],[product]],Ref[#All],3,FALSE)</f>
        <v xml:space="preserve">White Sesame Non Gadarif - FG </v>
      </c>
      <c r="H596" t="str">
        <f>VLOOKUP(Table2[[#This Row],[product]],Ref[#All],4,FALSE)</f>
        <v>Export</v>
      </c>
      <c r="I596" s="1">
        <v>45770</v>
      </c>
      <c r="J596" t="s">
        <v>53</v>
      </c>
      <c r="K596" t="s">
        <v>990</v>
      </c>
      <c r="L596" t="s">
        <v>1651</v>
      </c>
      <c r="M596" t="s">
        <v>1586</v>
      </c>
      <c r="N596" t="s">
        <v>784</v>
      </c>
      <c r="O596" t="s">
        <v>785</v>
      </c>
      <c r="P596" t="s">
        <v>788</v>
      </c>
      <c r="Q596" t="s">
        <v>55</v>
      </c>
      <c r="R596">
        <v>-1</v>
      </c>
      <c r="S596" s="15">
        <f>Table2[[#This Row],[movement_quantity]]/VLOOKUP(Table2[[#This Row],[product]],Ref[#All],5,FALSE)</f>
        <v>-0.05</v>
      </c>
      <c r="T596">
        <v>188251.76316</v>
      </c>
      <c r="U596" t="s">
        <v>17</v>
      </c>
      <c r="V596" t="s">
        <v>21</v>
      </c>
      <c r="W596" t="s">
        <v>991</v>
      </c>
      <c r="X596" t="s">
        <v>17</v>
      </c>
      <c r="Y596" t="s">
        <v>795</v>
      </c>
      <c r="Z596">
        <v>0</v>
      </c>
      <c r="AA596" s="2">
        <v>-188251.76316</v>
      </c>
      <c r="AB596" t="str">
        <f>VLOOKUP(Table2[[#This Row],[product]],Ref[#All],6,FALSE)</f>
        <v>BAG50</v>
      </c>
    </row>
    <row r="597" spans="1:28" x14ac:dyDescent="0.25">
      <c r="A597" t="str">
        <f>TEXT(Table2[[#This Row],[dated]],"mmm")</f>
        <v>Apr</v>
      </c>
      <c r="B597" t="s">
        <v>52</v>
      </c>
      <c r="C597" s="1" t="s">
        <v>536</v>
      </c>
      <c r="D597" t="str">
        <f>VLOOKUP(Table2[[#This Row],[product]],Ref[#All],7,FALSE)</f>
        <v>Flour</v>
      </c>
      <c r="E597" s="1" t="s">
        <v>36</v>
      </c>
      <c r="F597" t="str">
        <f>VLOOKUP(Table2[[#This Row],[product]],Ref[#All],2,FALSE)</f>
        <v>Flour Import Elngm 25Kg</v>
      </c>
      <c r="G597" t="str">
        <f>VLOOKUP(Table2[[#This Row],[product]],Ref[#All],3,FALSE)</f>
        <v>Flour Al-Nagm (Imported)</v>
      </c>
      <c r="H597" t="str">
        <f>VLOOKUP(Table2[[#This Row],[product]],Ref[#All],4,FALSE)</f>
        <v>Import</v>
      </c>
      <c r="I597" s="1">
        <v>45771</v>
      </c>
      <c r="J597" t="s">
        <v>53</v>
      </c>
      <c r="K597" t="s">
        <v>992</v>
      </c>
      <c r="L597" t="s">
        <v>1651</v>
      </c>
      <c r="M597" t="s">
        <v>1586</v>
      </c>
      <c r="N597" t="s">
        <v>784</v>
      </c>
      <c r="O597" t="s">
        <v>785</v>
      </c>
      <c r="P597" t="s">
        <v>788</v>
      </c>
      <c r="Q597" t="s">
        <v>55</v>
      </c>
      <c r="R597">
        <v>-1</v>
      </c>
      <c r="S597" s="15">
        <f>Table2[[#This Row],[movement_quantity]]/VLOOKUP(Table2[[#This Row],[product]],Ref[#All],5,FALSE)</f>
        <v>-2.5000000000000001E-2</v>
      </c>
      <c r="T597">
        <v>30927.350320000001</v>
      </c>
      <c r="U597" t="s">
        <v>17</v>
      </c>
      <c r="V597" t="s">
        <v>993</v>
      </c>
      <c r="W597" t="s">
        <v>994</v>
      </c>
      <c r="X597" t="s">
        <v>17</v>
      </c>
      <c r="Y597" t="s">
        <v>582</v>
      </c>
      <c r="Z597">
        <v>0</v>
      </c>
      <c r="AA597" s="2">
        <v>-30927.350320000001</v>
      </c>
      <c r="AB597" t="str">
        <f>VLOOKUP(Table2[[#This Row],[product]],Ref[#All],6,FALSE)</f>
        <v>BAG25</v>
      </c>
    </row>
    <row r="598" spans="1:28" x14ac:dyDescent="0.25">
      <c r="A598" t="str">
        <f>TEXT(Table2[[#This Row],[dated]],"mmm")</f>
        <v>Apr</v>
      </c>
      <c r="B598" t="s">
        <v>52</v>
      </c>
      <c r="C598" s="1" t="s">
        <v>536</v>
      </c>
      <c r="D598" t="str">
        <f>VLOOKUP(Table2[[#This Row],[product]],Ref[#All],7,FALSE)</f>
        <v>Flour</v>
      </c>
      <c r="E598" s="1" t="s">
        <v>36</v>
      </c>
      <c r="F598" t="str">
        <f>VLOOKUP(Table2[[#This Row],[product]],Ref[#All],2,FALSE)</f>
        <v>Flour Import Elngm 25Kg</v>
      </c>
      <c r="G598" t="str">
        <f>VLOOKUP(Table2[[#This Row],[product]],Ref[#All],3,FALSE)</f>
        <v>Flour Al-Nagm (Imported)</v>
      </c>
      <c r="H598" t="str">
        <f>VLOOKUP(Table2[[#This Row],[product]],Ref[#All],4,FALSE)</f>
        <v>Import</v>
      </c>
      <c r="I598" s="1">
        <v>45771</v>
      </c>
      <c r="J598" t="s">
        <v>53</v>
      </c>
      <c r="K598" t="s">
        <v>995</v>
      </c>
      <c r="L598" t="s">
        <v>1651</v>
      </c>
      <c r="M598" t="s">
        <v>1586</v>
      </c>
      <c r="N598" t="s">
        <v>784</v>
      </c>
      <c r="O598" t="s">
        <v>785</v>
      </c>
      <c r="P598" t="s">
        <v>788</v>
      </c>
      <c r="Q598" t="s">
        <v>55</v>
      </c>
      <c r="R598">
        <v>-4</v>
      </c>
      <c r="S598" s="15">
        <f>Table2[[#This Row],[movement_quantity]]/VLOOKUP(Table2[[#This Row],[product]],Ref[#All],5,FALSE)</f>
        <v>-0.1</v>
      </c>
      <c r="T598">
        <v>30927.350320000001</v>
      </c>
      <c r="U598" t="s">
        <v>17</v>
      </c>
      <c r="V598" t="s">
        <v>996</v>
      </c>
      <c r="W598" t="s">
        <v>997</v>
      </c>
      <c r="X598" t="s">
        <v>17</v>
      </c>
      <c r="Y598" t="s">
        <v>582</v>
      </c>
      <c r="Z598">
        <v>0</v>
      </c>
      <c r="AA598" s="2">
        <v>-123709.40128000001</v>
      </c>
      <c r="AB598" t="str">
        <f>VLOOKUP(Table2[[#This Row],[product]],Ref[#All],6,FALSE)</f>
        <v>BAG25</v>
      </c>
    </row>
    <row r="599" spans="1:28" x14ac:dyDescent="0.25">
      <c r="A599" t="str">
        <f>TEXT(Table2[[#This Row],[dated]],"mmm")</f>
        <v>Apr</v>
      </c>
      <c r="B599" t="s">
        <v>52</v>
      </c>
      <c r="C599" s="1" t="s">
        <v>536</v>
      </c>
      <c r="D599" t="str">
        <f>VLOOKUP(Table2[[#This Row],[product]],Ref[#All],7,FALSE)</f>
        <v>Flour</v>
      </c>
      <c r="E599" s="1" t="s">
        <v>36</v>
      </c>
      <c r="F599" t="str">
        <f>VLOOKUP(Table2[[#This Row],[product]],Ref[#All],2,FALSE)</f>
        <v>Flour Import Elngm 25Kg</v>
      </c>
      <c r="G599" t="str">
        <f>VLOOKUP(Table2[[#This Row],[product]],Ref[#All],3,FALSE)</f>
        <v>Flour Al-Nagm (Imported)</v>
      </c>
      <c r="H599" t="str">
        <f>VLOOKUP(Table2[[#This Row],[product]],Ref[#All],4,FALSE)</f>
        <v>Import</v>
      </c>
      <c r="I599" s="1">
        <v>45771</v>
      </c>
      <c r="J599" t="s">
        <v>53</v>
      </c>
      <c r="K599" t="s">
        <v>995</v>
      </c>
      <c r="L599" t="s">
        <v>1651</v>
      </c>
      <c r="M599" t="s">
        <v>1586</v>
      </c>
      <c r="N599" t="s">
        <v>784</v>
      </c>
      <c r="O599" t="s">
        <v>785</v>
      </c>
      <c r="P599" t="s">
        <v>788</v>
      </c>
      <c r="Q599" t="s">
        <v>55</v>
      </c>
      <c r="R599">
        <v>-6</v>
      </c>
      <c r="S599" s="15">
        <f>Table2[[#This Row],[movement_quantity]]/VLOOKUP(Table2[[#This Row],[product]],Ref[#All],5,FALSE)</f>
        <v>-0.15</v>
      </c>
      <c r="T599">
        <v>30927.350320000001</v>
      </c>
      <c r="U599" t="s">
        <v>17</v>
      </c>
      <c r="V599" t="s">
        <v>998</v>
      </c>
      <c r="W599" t="s">
        <v>997</v>
      </c>
      <c r="X599" t="s">
        <v>17</v>
      </c>
      <c r="Y599" t="s">
        <v>582</v>
      </c>
      <c r="Z599">
        <v>0</v>
      </c>
      <c r="AA599" s="2">
        <v>-185564.10192000002</v>
      </c>
      <c r="AB599" t="str">
        <f>VLOOKUP(Table2[[#This Row],[product]],Ref[#All],6,FALSE)</f>
        <v>BAG25</v>
      </c>
    </row>
    <row r="600" spans="1:28" x14ac:dyDescent="0.25">
      <c r="A600" t="str">
        <f>TEXT(Table2[[#This Row],[dated]],"mmm")</f>
        <v>Apr</v>
      </c>
      <c r="B600" t="s">
        <v>52</v>
      </c>
      <c r="C600" s="1" t="s">
        <v>536</v>
      </c>
      <c r="D600" t="str">
        <f>VLOOKUP(Table2[[#This Row],[product]],Ref[#All],7,FALSE)</f>
        <v>Flour</v>
      </c>
      <c r="E600" s="1" t="s">
        <v>36</v>
      </c>
      <c r="F600" t="str">
        <f>VLOOKUP(Table2[[#This Row],[product]],Ref[#All],2,FALSE)</f>
        <v>Flour Import Elngm 25Kg</v>
      </c>
      <c r="G600" t="str">
        <f>VLOOKUP(Table2[[#This Row],[product]],Ref[#All],3,FALSE)</f>
        <v>Flour Al-Nagm (Imported)</v>
      </c>
      <c r="H600" t="str">
        <f>VLOOKUP(Table2[[#This Row],[product]],Ref[#All],4,FALSE)</f>
        <v>Import</v>
      </c>
      <c r="I600" s="1">
        <v>45771</v>
      </c>
      <c r="J600" t="s">
        <v>53</v>
      </c>
      <c r="K600" t="s">
        <v>999</v>
      </c>
      <c r="L600" t="s">
        <v>1651</v>
      </c>
      <c r="M600" t="s">
        <v>1586</v>
      </c>
      <c r="N600" t="s">
        <v>784</v>
      </c>
      <c r="O600" t="s">
        <v>785</v>
      </c>
      <c r="P600" t="s">
        <v>788</v>
      </c>
      <c r="Q600" t="s">
        <v>55</v>
      </c>
      <c r="R600">
        <v>-2</v>
      </c>
      <c r="S600" s="15">
        <f>Table2[[#This Row],[movement_quantity]]/VLOOKUP(Table2[[#This Row],[product]],Ref[#All],5,FALSE)</f>
        <v>-0.05</v>
      </c>
      <c r="T600">
        <v>30927.350320000001</v>
      </c>
      <c r="U600" t="s">
        <v>17</v>
      </c>
      <c r="V600" t="s">
        <v>1000</v>
      </c>
      <c r="W600" t="s">
        <v>1001</v>
      </c>
      <c r="X600" t="s">
        <v>17</v>
      </c>
      <c r="Y600" t="s">
        <v>582</v>
      </c>
      <c r="Z600">
        <v>0</v>
      </c>
      <c r="AA600" s="2">
        <v>-61854.700640000003</v>
      </c>
      <c r="AB600" t="str">
        <f>VLOOKUP(Table2[[#This Row],[product]],Ref[#All],6,FALSE)</f>
        <v>BAG25</v>
      </c>
    </row>
    <row r="601" spans="1:28" x14ac:dyDescent="0.25">
      <c r="A601" t="str">
        <f>TEXT(Table2[[#This Row],[dated]],"mmm")</f>
        <v>Apr</v>
      </c>
      <c r="B601" t="s">
        <v>52</v>
      </c>
      <c r="C601" s="1" t="s">
        <v>536</v>
      </c>
      <c r="D601" t="str">
        <f>VLOOKUP(Table2[[#This Row],[product]],Ref[#All],7,FALSE)</f>
        <v>Flour</v>
      </c>
      <c r="E601" s="1" t="s">
        <v>36</v>
      </c>
      <c r="F601" t="str">
        <f>VLOOKUP(Table2[[#This Row],[product]],Ref[#All],2,FALSE)</f>
        <v>Flour Import Elngm 25Kg</v>
      </c>
      <c r="G601" t="str">
        <f>VLOOKUP(Table2[[#This Row],[product]],Ref[#All],3,FALSE)</f>
        <v>Flour Al-Nagm (Imported)</v>
      </c>
      <c r="H601" t="str">
        <f>VLOOKUP(Table2[[#This Row],[product]],Ref[#All],4,FALSE)</f>
        <v>Import</v>
      </c>
      <c r="I601" s="1">
        <v>45771</v>
      </c>
      <c r="J601" t="s">
        <v>53</v>
      </c>
      <c r="K601" t="s">
        <v>1002</v>
      </c>
      <c r="L601" t="s">
        <v>1651</v>
      </c>
      <c r="M601" t="s">
        <v>1586</v>
      </c>
      <c r="N601" t="s">
        <v>784</v>
      </c>
      <c r="O601" t="s">
        <v>785</v>
      </c>
      <c r="P601" t="s">
        <v>788</v>
      </c>
      <c r="Q601" t="s">
        <v>55</v>
      </c>
      <c r="R601">
        <v>-2</v>
      </c>
      <c r="S601" s="15">
        <f>Table2[[#This Row],[movement_quantity]]/VLOOKUP(Table2[[#This Row],[product]],Ref[#All],5,FALSE)</f>
        <v>-0.05</v>
      </c>
      <c r="T601">
        <v>30927.350320000001</v>
      </c>
      <c r="U601" t="s">
        <v>17</v>
      </c>
      <c r="V601" t="s">
        <v>1003</v>
      </c>
      <c r="W601" t="s">
        <v>1004</v>
      </c>
      <c r="X601" t="s">
        <v>17</v>
      </c>
      <c r="Y601" t="s">
        <v>582</v>
      </c>
      <c r="Z601">
        <v>0</v>
      </c>
      <c r="AA601" s="2">
        <v>-61854.700640000003</v>
      </c>
      <c r="AB601" t="str">
        <f>VLOOKUP(Table2[[#This Row],[product]],Ref[#All],6,FALSE)</f>
        <v>BAG25</v>
      </c>
    </row>
    <row r="602" spans="1:28" x14ac:dyDescent="0.25">
      <c r="A602" t="str">
        <f>TEXT(Table2[[#This Row],[dated]],"mmm")</f>
        <v>Apr</v>
      </c>
      <c r="B602" t="s">
        <v>52</v>
      </c>
      <c r="C602" s="1" t="s">
        <v>536</v>
      </c>
      <c r="D602" t="str">
        <f>VLOOKUP(Table2[[#This Row],[product]],Ref[#All],7,FALSE)</f>
        <v>Flour</v>
      </c>
      <c r="E602" s="1" t="s">
        <v>36</v>
      </c>
      <c r="F602" t="str">
        <f>VLOOKUP(Table2[[#This Row],[product]],Ref[#All],2,FALSE)</f>
        <v>Flour Import Elngm 25Kg</v>
      </c>
      <c r="G602" t="str">
        <f>VLOOKUP(Table2[[#This Row],[product]],Ref[#All],3,FALSE)</f>
        <v>Flour Al-Nagm (Imported)</v>
      </c>
      <c r="H602" t="str">
        <f>VLOOKUP(Table2[[#This Row],[product]],Ref[#All],4,FALSE)</f>
        <v>Import</v>
      </c>
      <c r="I602" s="1">
        <v>45771</v>
      </c>
      <c r="J602" t="s">
        <v>53</v>
      </c>
      <c r="K602" t="s">
        <v>1005</v>
      </c>
      <c r="L602" t="s">
        <v>1651</v>
      </c>
      <c r="M602" t="s">
        <v>1586</v>
      </c>
      <c r="N602" t="s">
        <v>784</v>
      </c>
      <c r="O602" t="s">
        <v>785</v>
      </c>
      <c r="P602" t="s">
        <v>788</v>
      </c>
      <c r="Q602" t="s">
        <v>55</v>
      </c>
      <c r="R602">
        <v>-1</v>
      </c>
      <c r="S602" s="15">
        <f>Table2[[#This Row],[movement_quantity]]/VLOOKUP(Table2[[#This Row],[product]],Ref[#All],5,FALSE)</f>
        <v>-2.5000000000000001E-2</v>
      </c>
      <c r="T602">
        <v>30927.350320000001</v>
      </c>
      <c r="U602" t="s">
        <v>17</v>
      </c>
      <c r="V602" t="s">
        <v>1006</v>
      </c>
      <c r="W602" t="s">
        <v>1007</v>
      </c>
      <c r="X602" t="s">
        <v>17</v>
      </c>
      <c r="Y602" t="s">
        <v>582</v>
      </c>
      <c r="Z602">
        <v>0</v>
      </c>
      <c r="AA602" s="2">
        <v>-30927.350320000001</v>
      </c>
      <c r="AB602" t="str">
        <f>VLOOKUP(Table2[[#This Row],[product]],Ref[#All],6,FALSE)</f>
        <v>BAG25</v>
      </c>
    </row>
    <row r="603" spans="1:28" x14ac:dyDescent="0.25">
      <c r="A603" t="str">
        <f>TEXT(Table2[[#This Row],[dated]],"mmm")</f>
        <v>Apr</v>
      </c>
      <c r="B603" t="s">
        <v>52</v>
      </c>
      <c r="C603" s="1" t="s">
        <v>536</v>
      </c>
      <c r="D603" t="str">
        <f>VLOOKUP(Table2[[#This Row],[product]],Ref[#All],7,FALSE)</f>
        <v>Flour</v>
      </c>
      <c r="E603" s="1" t="s">
        <v>36</v>
      </c>
      <c r="F603" t="str">
        <f>VLOOKUP(Table2[[#This Row],[product]],Ref[#All],2,FALSE)</f>
        <v>Flour Import Elngm 25Kg</v>
      </c>
      <c r="G603" t="str">
        <f>VLOOKUP(Table2[[#This Row],[product]],Ref[#All],3,FALSE)</f>
        <v>Flour Al-Nagm (Imported)</v>
      </c>
      <c r="H603" t="str">
        <f>VLOOKUP(Table2[[#This Row],[product]],Ref[#All],4,FALSE)</f>
        <v>Import</v>
      </c>
      <c r="I603" s="1">
        <v>45771</v>
      </c>
      <c r="J603" t="s">
        <v>53</v>
      </c>
      <c r="K603" t="s">
        <v>1008</v>
      </c>
      <c r="L603" t="s">
        <v>1651</v>
      </c>
      <c r="M603" t="s">
        <v>1586</v>
      </c>
      <c r="N603" t="s">
        <v>784</v>
      </c>
      <c r="O603" t="s">
        <v>785</v>
      </c>
      <c r="P603" t="s">
        <v>788</v>
      </c>
      <c r="Q603" t="s">
        <v>55</v>
      </c>
      <c r="R603">
        <v>-1</v>
      </c>
      <c r="S603" s="15">
        <f>Table2[[#This Row],[movement_quantity]]/VLOOKUP(Table2[[#This Row],[product]],Ref[#All],5,FALSE)</f>
        <v>-2.5000000000000001E-2</v>
      </c>
      <c r="T603">
        <v>30927.350320000001</v>
      </c>
      <c r="U603" t="s">
        <v>17</v>
      </c>
      <c r="V603" t="s">
        <v>627</v>
      </c>
      <c r="W603" t="s">
        <v>1009</v>
      </c>
      <c r="X603" t="s">
        <v>17</v>
      </c>
      <c r="Y603" t="s">
        <v>582</v>
      </c>
      <c r="Z603">
        <v>0</v>
      </c>
      <c r="AA603" s="2">
        <v>-30927.350320000001</v>
      </c>
      <c r="AB603" t="str">
        <f>VLOOKUP(Table2[[#This Row],[product]],Ref[#All],6,FALSE)</f>
        <v>BAG25</v>
      </c>
    </row>
    <row r="604" spans="1:28" x14ac:dyDescent="0.25">
      <c r="A604" t="str">
        <f>TEXT(Table2[[#This Row],[dated]],"mmm")</f>
        <v>Apr</v>
      </c>
      <c r="B604" t="s">
        <v>52</v>
      </c>
      <c r="C604" s="1" t="s">
        <v>536</v>
      </c>
      <c r="D604" t="str">
        <f>VLOOKUP(Table2[[#This Row],[product]],Ref[#All],7,FALSE)</f>
        <v>Flour</v>
      </c>
      <c r="E604" s="1" t="s">
        <v>36</v>
      </c>
      <c r="F604" t="str">
        <f>VLOOKUP(Table2[[#This Row],[product]],Ref[#All],2,FALSE)</f>
        <v>Flour Import Elngm 25Kg</v>
      </c>
      <c r="G604" t="str">
        <f>VLOOKUP(Table2[[#This Row],[product]],Ref[#All],3,FALSE)</f>
        <v>Flour Al-Nagm (Imported)</v>
      </c>
      <c r="H604" t="str">
        <f>VLOOKUP(Table2[[#This Row],[product]],Ref[#All],4,FALSE)</f>
        <v>Import</v>
      </c>
      <c r="I604" s="1">
        <v>45771</v>
      </c>
      <c r="J604" t="s">
        <v>53</v>
      </c>
      <c r="K604" t="s">
        <v>1010</v>
      </c>
      <c r="L604" t="s">
        <v>1651</v>
      </c>
      <c r="M604" t="s">
        <v>1586</v>
      </c>
      <c r="N604" t="s">
        <v>784</v>
      </c>
      <c r="O604" t="s">
        <v>785</v>
      </c>
      <c r="P604" t="s">
        <v>788</v>
      </c>
      <c r="Q604" t="s">
        <v>55</v>
      </c>
      <c r="R604">
        <v>-1</v>
      </c>
      <c r="S604" s="15">
        <f>Table2[[#This Row],[movement_quantity]]/VLOOKUP(Table2[[#This Row],[product]],Ref[#All],5,FALSE)</f>
        <v>-2.5000000000000001E-2</v>
      </c>
      <c r="T604">
        <v>30927.350320000001</v>
      </c>
      <c r="U604" t="s">
        <v>17</v>
      </c>
      <c r="V604" t="s">
        <v>630</v>
      </c>
      <c r="W604" t="s">
        <v>1011</v>
      </c>
      <c r="X604" t="s">
        <v>17</v>
      </c>
      <c r="Y604" t="s">
        <v>582</v>
      </c>
      <c r="Z604">
        <v>0</v>
      </c>
      <c r="AA604" s="2">
        <v>-30927.350320000001</v>
      </c>
      <c r="AB604" t="str">
        <f>VLOOKUP(Table2[[#This Row],[product]],Ref[#All],6,FALSE)</f>
        <v>BAG25</v>
      </c>
    </row>
    <row r="605" spans="1:28" x14ac:dyDescent="0.25">
      <c r="A605" t="str">
        <f>TEXT(Table2[[#This Row],[dated]],"mmm")</f>
        <v>Apr</v>
      </c>
      <c r="B605" t="s">
        <v>52</v>
      </c>
      <c r="C605" s="1" t="s">
        <v>536</v>
      </c>
      <c r="D605" t="str">
        <f>VLOOKUP(Table2[[#This Row],[product]],Ref[#All],7,FALSE)</f>
        <v>Flour</v>
      </c>
      <c r="E605" s="1" t="s">
        <v>36</v>
      </c>
      <c r="F605" t="str">
        <f>VLOOKUP(Table2[[#This Row],[product]],Ref[#All],2,FALSE)</f>
        <v>Flour Import Elngm 25Kg</v>
      </c>
      <c r="G605" t="str">
        <f>VLOOKUP(Table2[[#This Row],[product]],Ref[#All],3,FALSE)</f>
        <v>Flour Al-Nagm (Imported)</v>
      </c>
      <c r="H605" t="str">
        <f>VLOOKUP(Table2[[#This Row],[product]],Ref[#All],4,FALSE)</f>
        <v>Import</v>
      </c>
      <c r="I605" s="1">
        <v>45771</v>
      </c>
      <c r="J605" t="s">
        <v>53</v>
      </c>
      <c r="K605" t="s">
        <v>1012</v>
      </c>
      <c r="L605" t="s">
        <v>1651</v>
      </c>
      <c r="M605" t="s">
        <v>1586</v>
      </c>
      <c r="N605" t="s">
        <v>784</v>
      </c>
      <c r="O605" t="s">
        <v>785</v>
      </c>
      <c r="P605" t="s">
        <v>788</v>
      </c>
      <c r="Q605" t="s">
        <v>55</v>
      </c>
      <c r="R605">
        <v>-1</v>
      </c>
      <c r="S605" s="15">
        <f>Table2[[#This Row],[movement_quantity]]/VLOOKUP(Table2[[#This Row],[product]],Ref[#All],5,FALSE)</f>
        <v>-2.5000000000000001E-2</v>
      </c>
      <c r="T605">
        <v>30927.350320000001</v>
      </c>
      <c r="U605" t="s">
        <v>17</v>
      </c>
      <c r="V605" t="s">
        <v>633</v>
      </c>
      <c r="W605" t="s">
        <v>1013</v>
      </c>
      <c r="X605" t="s">
        <v>17</v>
      </c>
      <c r="Y605" t="s">
        <v>582</v>
      </c>
      <c r="Z605">
        <v>0</v>
      </c>
      <c r="AA605" s="2">
        <v>-30927.350320000001</v>
      </c>
      <c r="AB605" t="str">
        <f>VLOOKUP(Table2[[#This Row],[product]],Ref[#All],6,FALSE)</f>
        <v>BAG25</v>
      </c>
    </row>
    <row r="606" spans="1:28" x14ac:dyDescent="0.25">
      <c r="A606" t="str">
        <f>TEXT(Table2[[#This Row],[dated]],"mmm")</f>
        <v>Apr</v>
      </c>
      <c r="B606" t="s">
        <v>52</v>
      </c>
      <c r="C606" s="1" t="s">
        <v>536</v>
      </c>
      <c r="D606" t="str">
        <f>VLOOKUP(Table2[[#This Row],[product]],Ref[#All],7,FALSE)</f>
        <v>Flour</v>
      </c>
      <c r="E606" s="1" t="s">
        <v>36</v>
      </c>
      <c r="F606" t="str">
        <f>VLOOKUP(Table2[[#This Row],[product]],Ref[#All],2,FALSE)</f>
        <v>Flour Import Elngm 25Kg</v>
      </c>
      <c r="G606" t="str">
        <f>VLOOKUP(Table2[[#This Row],[product]],Ref[#All],3,FALSE)</f>
        <v>Flour Al-Nagm (Imported)</v>
      </c>
      <c r="H606" t="str">
        <f>VLOOKUP(Table2[[#This Row],[product]],Ref[#All],4,FALSE)</f>
        <v>Import</v>
      </c>
      <c r="I606" s="1">
        <v>45771</v>
      </c>
      <c r="J606" t="s">
        <v>53</v>
      </c>
      <c r="K606" t="s">
        <v>1014</v>
      </c>
      <c r="L606" t="s">
        <v>1651</v>
      </c>
      <c r="M606" t="s">
        <v>1586</v>
      </c>
      <c r="N606" t="s">
        <v>784</v>
      </c>
      <c r="O606" t="s">
        <v>785</v>
      </c>
      <c r="P606" t="s">
        <v>788</v>
      </c>
      <c r="Q606" t="s">
        <v>55</v>
      </c>
      <c r="R606">
        <v>-1</v>
      </c>
      <c r="S606" s="15">
        <f>Table2[[#This Row],[movement_quantity]]/VLOOKUP(Table2[[#This Row],[product]],Ref[#All],5,FALSE)</f>
        <v>-2.5000000000000001E-2</v>
      </c>
      <c r="T606">
        <v>30927.350320000001</v>
      </c>
      <c r="U606" t="s">
        <v>17</v>
      </c>
      <c r="V606" t="s">
        <v>636</v>
      </c>
      <c r="W606" t="s">
        <v>1015</v>
      </c>
      <c r="X606" t="s">
        <v>17</v>
      </c>
      <c r="Y606" t="s">
        <v>582</v>
      </c>
      <c r="Z606">
        <v>0</v>
      </c>
      <c r="AA606" s="2">
        <v>-30927.350320000001</v>
      </c>
      <c r="AB606" t="str">
        <f>VLOOKUP(Table2[[#This Row],[product]],Ref[#All],6,FALSE)</f>
        <v>BAG25</v>
      </c>
    </row>
    <row r="607" spans="1:28" x14ac:dyDescent="0.25">
      <c r="A607" t="str">
        <f>TEXT(Table2[[#This Row],[dated]],"mmm")</f>
        <v>Apr</v>
      </c>
      <c r="B607" t="s">
        <v>52</v>
      </c>
      <c r="C607" s="1" t="s">
        <v>536</v>
      </c>
      <c r="D607" t="str">
        <f>VLOOKUP(Table2[[#This Row],[product]],Ref[#All],7,FALSE)</f>
        <v>Flour</v>
      </c>
      <c r="E607" s="1" t="s">
        <v>36</v>
      </c>
      <c r="F607" t="str">
        <f>VLOOKUP(Table2[[#This Row],[product]],Ref[#All],2,FALSE)</f>
        <v>Flour Import Elngm 25Kg</v>
      </c>
      <c r="G607" t="str">
        <f>VLOOKUP(Table2[[#This Row],[product]],Ref[#All],3,FALSE)</f>
        <v>Flour Al-Nagm (Imported)</v>
      </c>
      <c r="H607" t="str">
        <f>VLOOKUP(Table2[[#This Row],[product]],Ref[#All],4,FALSE)</f>
        <v>Import</v>
      </c>
      <c r="I607" s="1">
        <v>45771</v>
      </c>
      <c r="J607" t="s">
        <v>53</v>
      </c>
      <c r="K607" t="s">
        <v>1016</v>
      </c>
      <c r="L607" t="s">
        <v>1651</v>
      </c>
      <c r="M607" t="s">
        <v>1586</v>
      </c>
      <c r="N607" t="s">
        <v>784</v>
      </c>
      <c r="O607" t="s">
        <v>785</v>
      </c>
      <c r="P607" t="s">
        <v>788</v>
      </c>
      <c r="Q607" t="s">
        <v>55</v>
      </c>
      <c r="R607">
        <v>-8</v>
      </c>
      <c r="S607" s="15">
        <f>Table2[[#This Row],[movement_quantity]]/VLOOKUP(Table2[[#This Row],[product]],Ref[#All],5,FALSE)</f>
        <v>-0.2</v>
      </c>
      <c r="T607">
        <v>30927.350320000001</v>
      </c>
      <c r="U607" t="s">
        <v>17</v>
      </c>
      <c r="V607" t="s">
        <v>1017</v>
      </c>
      <c r="W607" t="s">
        <v>1018</v>
      </c>
      <c r="X607" t="s">
        <v>17</v>
      </c>
      <c r="Y607" t="s">
        <v>582</v>
      </c>
      <c r="Z607">
        <v>0</v>
      </c>
      <c r="AA607" s="2">
        <v>-247418.80256000001</v>
      </c>
      <c r="AB607" t="str">
        <f>VLOOKUP(Table2[[#This Row],[product]],Ref[#All],6,FALSE)</f>
        <v>BAG25</v>
      </c>
    </row>
    <row r="608" spans="1:28" x14ac:dyDescent="0.25">
      <c r="A608" t="str">
        <f>TEXT(Table2[[#This Row],[dated]],"mmm")</f>
        <v>Apr</v>
      </c>
      <c r="B608" t="s">
        <v>52</v>
      </c>
      <c r="C608" s="1" t="s">
        <v>536</v>
      </c>
      <c r="D608" t="str">
        <f>VLOOKUP(Table2[[#This Row],[product]],Ref[#All],7,FALSE)</f>
        <v>Flour</v>
      </c>
      <c r="E608" s="1" t="s">
        <v>36</v>
      </c>
      <c r="F608" t="str">
        <f>VLOOKUP(Table2[[#This Row],[product]],Ref[#All],2,FALSE)</f>
        <v>Flour Import Elngm 25Kg</v>
      </c>
      <c r="G608" t="str">
        <f>VLOOKUP(Table2[[#This Row],[product]],Ref[#All],3,FALSE)</f>
        <v>Flour Al-Nagm (Imported)</v>
      </c>
      <c r="H608" t="str">
        <f>VLOOKUP(Table2[[#This Row],[product]],Ref[#All],4,FALSE)</f>
        <v>Import</v>
      </c>
      <c r="I608" s="1">
        <v>45771</v>
      </c>
      <c r="J608" t="s">
        <v>53</v>
      </c>
      <c r="K608" t="s">
        <v>1019</v>
      </c>
      <c r="L608" t="s">
        <v>1651</v>
      </c>
      <c r="M608" t="s">
        <v>1586</v>
      </c>
      <c r="N608" t="s">
        <v>784</v>
      </c>
      <c r="O608" t="s">
        <v>785</v>
      </c>
      <c r="P608" t="s">
        <v>788</v>
      </c>
      <c r="Q608" t="s">
        <v>55</v>
      </c>
      <c r="R608">
        <v>-1</v>
      </c>
      <c r="S608" s="15">
        <f>Table2[[#This Row],[movement_quantity]]/VLOOKUP(Table2[[#This Row],[product]],Ref[#All],5,FALSE)</f>
        <v>-2.5000000000000001E-2</v>
      </c>
      <c r="T608">
        <v>30927.350320000001</v>
      </c>
      <c r="U608" t="s">
        <v>17</v>
      </c>
      <c r="V608" t="s">
        <v>1020</v>
      </c>
      <c r="W608" t="s">
        <v>1021</v>
      </c>
      <c r="X608" t="s">
        <v>17</v>
      </c>
      <c r="Y608" t="s">
        <v>582</v>
      </c>
      <c r="Z608">
        <v>0</v>
      </c>
      <c r="AA608" s="2">
        <v>-30927.350320000001</v>
      </c>
      <c r="AB608" t="str">
        <f>VLOOKUP(Table2[[#This Row],[product]],Ref[#All],6,FALSE)</f>
        <v>BAG25</v>
      </c>
    </row>
    <row r="609" spans="1:28" x14ac:dyDescent="0.25">
      <c r="A609" t="str">
        <f>TEXT(Table2[[#This Row],[dated]],"mmm")</f>
        <v>Apr</v>
      </c>
      <c r="B609" t="s">
        <v>52</v>
      </c>
      <c r="C609" s="1" t="s">
        <v>536</v>
      </c>
      <c r="D609" t="str">
        <f>VLOOKUP(Table2[[#This Row],[product]],Ref[#All],7,FALSE)</f>
        <v>Flour</v>
      </c>
      <c r="E609" s="1" t="s">
        <v>36</v>
      </c>
      <c r="F609" t="str">
        <f>VLOOKUP(Table2[[#This Row],[product]],Ref[#All],2,FALSE)</f>
        <v>Flour Import Elngm 25Kg</v>
      </c>
      <c r="G609" t="str">
        <f>VLOOKUP(Table2[[#This Row],[product]],Ref[#All],3,FALSE)</f>
        <v>Flour Al-Nagm (Imported)</v>
      </c>
      <c r="H609" t="str">
        <f>VLOOKUP(Table2[[#This Row],[product]],Ref[#All],4,FALSE)</f>
        <v>Import</v>
      </c>
      <c r="I609" s="1">
        <v>45771</v>
      </c>
      <c r="J609" t="s">
        <v>53</v>
      </c>
      <c r="K609" t="s">
        <v>1022</v>
      </c>
      <c r="L609" t="s">
        <v>1651</v>
      </c>
      <c r="M609" t="s">
        <v>1586</v>
      </c>
      <c r="N609" t="s">
        <v>784</v>
      </c>
      <c r="O609" t="s">
        <v>785</v>
      </c>
      <c r="P609" t="s">
        <v>788</v>
      </c>
      <c r="Q609" t="s">
        <v>55</v>
      </c>
      <c r="R609">
        <v>-6</v>
      </c>
      <c r="S609" s="15">
        <f>Table2[[#This Row],[movement_quantity]]/VLOOKUP(Table2[[#This Row],[product]],Ref[#All],5,FALSE)</f>
        <v>-0.15</v>
      </c>
      <c r="T609">
        <v>30927.350320000001</v>
      </c>
      <c r="U609" t="s">
        <v>17</v>
      </c>
      <c r="V609" t="s">
        <v>1023</v>
      </c>
      <c r="W609" t="s">
        <v>1024</v>
      </c>
      <c r="X609" t="s">
        <v>17</v>
      </c>
      <c r="Y609" t="s">
        <v>582</v>
      </c>
      <c r="Z609">
        <v>0</v>
      </c>
      <c r="AA609" s="2">
        <v>-185564.10192000002</v>
      </c>
      <c r="AB609" t="str">
        <f>VLOOKUP(Table2[[#This Row],[product]],Ref[#All],6,FALSE)</f>
        <v>BAG25</v>
      </c>
    </row>
    <row r="610" spans="1:28" x14ac:dyDescent="0.25">
      <c r="A610" t="str">
        <f>TEXT(Table2[[#This Row],[dated]],"mmm")</f>
        <v>Apr</v>
      </c>
      <c r="B610" t="s">
        <v>52</v>
      </c>
      <c r="C610" s="1" t="s">
        <v>536</v>
      </c>
      <c r="D610" t="str">
        <f>VLOOKUP(Table2[[#This Row],[product]],Ref[#All],7,FALSE)</f>
        <v>Flour</v>
      </c>
      <c r="E610" s="1" t="s">
        <v>36</v>
      </c>
      <c r="F610" t="str">
        <f>VLOOKUP(Table2[[#This Row],[product]],Ref[#All],2,FALSE)</f>
        <v>Flour Import Elngm 25Kg</v>
      </c>
      <c r="G610" t="str">
        <f>VLOOKUP(Table2[[#This Row],[product]],Ref[#All],3,FALSE)</f>
        <v>Flour Al-Nagm (Imported)</v>
      </c>
      <c r="H610" t="str">
        <f>VLOOKUP(Table2[[#This Row],[product]],Ref[#All],4,FALSE)</f>
        <v>Import</v>
      </c>
      <c r="I610" s="1">
        <v>45771</v>
      </c>
      <c r="J610" t="s">
        <v>53</v>
      </c>
      <c r="K610" t="s">
        <v>1025</v>
      </c>
      <c r="L610" t="s">
        <v>1651</v>
      </c>
      <c r="M610" t="s">
        <v>1586</v>
      </c>
      <c r="N610" t="s">
        <v>784</v>
      </c>
      <c r="O610" t="s">
        <v>785</v>
      </c>
      <c r="P610" t="s">
        <v>788</v>
      </c>
      <c r="Q610" t="s">
        <v>55</v>
      </c>
      <c r="R610">
        <v>-5</v>
      </c>
      <c r="S610" s="15">
        <f>Table2[[#This Row],[movement_quantity]]/VLOOKUP(Table2[[#This Row],[product]],Ref[#All],5,FALSE)</f>
        <v>-0.125</v>
      </c>
      <c r="T610">
        <v>30927.350320000001</v>
      </c>
      <c r="U610" t="s">
        <v>17</v>
      </c>
      <c r="V610" t="s">
        <v>1026</v>
      </c>
      <c r="W610" t="s">
        <v>1027</v>
      </c>
      <c r="X610" t="s">
        <v>17</v>
      </c>
      <c r="Y610" t="s">
        <v>582</v>
      </c>
      <c r="Z610">
        <v>0</v>
      </c>
      <c r="AA610" s="2">
        <v>-154636.75160000002</v>
      </c>
      <c r="AB610" t="str">
        <f>VLOOKUP(Table2[[#This Row],[product]],Ref[#All],6,FALSE)</f>
        <v>BAG25</v>
      </c>
    </row>
    <row r="611" spans="1:28" x14ac:dyDescent="0.25">
      <c r="A611" t="str">
        <f>TEXT(Table2[[#This Row],[dated]],"mmm")</f>
        <v>Apr</v>
      </c>
      <c r="B611" t="s">
        <v>52</v>
      </c>
      <c r="C611" s="1" t="s">
        <v>536</v>
      </c>
      <c r="D611" t="str">
        <f>VLOOKUP(Table2[[#This Row],[product]],Ref[#All],7,FALSE)</f>
        <v>Flour</v>
      </c>
      <c r="E611" s="1" t="s">
        <v>36</v>
      </c>
      <c r="F611" t="str">
        <f>VLOOKUP(Table2[[#This Row],[product]],Ref[#All],2,FALSE)</f>
        <v>Flour Import Elngm 25Kg</v>
      </c>
      <c r="G611" t="str">
        <f>VLOOKUP(Table2[[#This Row],[product]],Ref[#All],3,FALSE)</f>
        <v>Flour Al-Nagm (Imported)</v>
      </c>
      <c r="H611" t="str">
        <f>VLOOKUP(Table2[[#This Row],[product]],Ref[#All],4,FALSE)</f>
        <v>Import</v>
      </c>
      <c r="I611" s="1">
        <v>45771</v>
      </c>
      <c r="J611" t="s">
        <v>53</v>
      </c>
      <c r="K611" t="s">
        <v>1028</v>
      </c>
      <c r="L611" t="s">
        <v>1651</v>
      </c>
      <c r="M611" t="s">
        <v>1586</v>
      </c>
      <c r="N611" t="s">
        <v>784</v>
      </c>
      <c r="O611" t="s">
        <v>785</v>
      </c>
      <c r="P611" t="s">
        <v>788</v>
      </c>
      <c r="Q611" t="s">
        <v>55</v>
      </c>
      <c r="R611">
        <v>-6</v>
      </c>
      <c r="S611" s="15">
        <f>Table2[[#This Row],[movement_quantity]]/VLOOKUP(Table2[[#This Row],[product]],Ref[#All],5,FALSE)</f>
        <v>-0.15</v>
      </c>
      <c r="T611">
        <v>30927.350320000001</v>
      </c>
      <c r="U611" t="s">
        <v>17</v>
      </c>
      <c r="V611" t="s">
        <v>1029</v>
      </c>
      <c r="W611" t="s">
        <v>1030</v>
      </c>
      <c r="X611" t="s">
        <v>17</v>
      </c>
      <c r="Y611" t="s">
        <v>582</v>
      </c>
      <c r="Z611">
        <v>0</v>
      </c>
      <c r="AA611" s="2">
        <v>-185564.10192000002</v>
      </c>
      <c r="AB611" t="str">
        <f>VLOOKUP(Table2[[#This Row],[product]],Ref[#All],6,FALSE)</f>
        <v>BAG25</v>
      </c>
    </row>
    <row r="612" spans="1:28" x14ac:dyDescent="0.25">
      <c r="A612" t="str">
        <f>TEXT(Table2[[#This Row],[dated]],"mmm")</f>
        <v>Apr</v>
      </c>
      <c r="B612" t="s">
        <v>52</v>
      </c>
      <c r="C612" s="1" t="s">
        <v>536</v>
      </c>
      <c r="D612" t="str">
        <f>VLOOKUP(Table2[[#This Row],[product]],Ref[#All],7,FALSE)</f>
        <v>Flour</v>
      </c>
      <c r="E612" s="1" t="s">
        <v>36</v>
      </c>
      <c r="F612" t="str">
        <f>VLOOKUP(Table2[[#This Row],[product]],Ref[#All],2,FALSE)</f>
        <v>Flour Import Elngm 25Kg</v>
      </c>
      <c r="G612" t="str">
        <f>VLOOKUP(Table2[[#This Row],[product]],Ref[#All],3,FALSE)</f>
        <v>Flour Al-Nagm (Imported)</v>
      </c>
      <c r="H612" t="str">
        <f>VLOOKUP(Table2[[#This Row],[product]],Ref[#All],4,FALSE)</f>
        <v>Import</v>
      </c>
      <c r="I612" s="1">
        <v>45771</v>
      </c>
      <c r="J612" t="s">
        <v>53</v>
      </c>
      <c r="K612" t="s">
        <v>1031</v>
      </c>
      <c r="L612" t="s">
        <v>1651</v>
      </c>
      <c r="M612" t="s">
        <v>1586</v>
      </c>
      <c r="N612" t="s">
        <v>784</v>
      </c>
      <c r="O612" t="s">
        <v>785</v>
      </c>
      <c r="P612" t="s">
        <v>788</v>
      </c>
      <c r="Q612" t="s">
        <v>55</v>
      </c>
      <c r="R612">
        <v>-1</v>
      </c>
      <c r="S612" s="15">
        <f>Table2[[#This Row],[movement_quantity]]/VLOOKUP(Table2[[#This Row],[product]],Ref[#All],5,FALSE)</f>
        <v>-2.5000000000000001E-2</v>
      </c>
      <c r="T612">
        <v>30927.350320000001</v>
      </c>
      <c r="U612" t="s">
        <v>17</v>
      </c>
      <c r="V612" t="s">
        <v>1032</v>
      </c>
      <c r="W612" t="s">
        <v>1033</v>
      </c>
      <c r="X612" t="s">
        <v>17</v>
      </c>
      <c r="Y612" t="s">
        <v>582</v>
      </c>
      <c r="Z612">
        <v>0</v>
      </c>
      <c r="AA612" s="2">
        <v>-30927.350320000001</v>
      </c>
      <c r="AB612" t="str">
        <f>VLOOKUP(Table2[[#This Row],[product]],Ref[#All],6,FALSE)</f>
        <v>BAG25</v>
      </c>
    </row>
    <row r="613" spans="1:28" x14ac:dyDescent="0.25">
      <c r="A613" t="str">
        <f>TEXT(Table2[[#This Row],[dated]],"mmm")</f>
        <v>Apr</v>
      </c>
      <c r="B613" t="s">
        <v>52</v>
      </c>
      <c r="C613" s="1" t="s">
        <v>536</v>
      </c>
      <c r="D613" t="str">
        <f>VLOOKUP(Table2[[#This Row],[product]],Ref[#All],7,FALSE)</f>
        <v>Flour</v>
      </c>
      <c r="E613" s="1" t="s">
        <v>36</v>
      </c>
      <c r="F613" t="str">
        <f>VLOOKUP(Table2[[#This Row],[product]],Ref[#All],2,FALSE)</f>
        <v>Flour Import Elngm 25Kg</v>
      </c>
      <c r="G613" t="str">
        <f>VLOOKUP(Table2[[#This Row],[product]],Ref[#All],3,FALSE)</f>
        <v>Flour Al-Nagm (Imported)</v>
      </c>
      <c r="H613" t="str">
        <f>VLOOKUP(Table2[[#This Row],[product]],Ref[#All],4,FALSE)</f>
        <v>Import</v>
      </c>
      <c r="I613" s="1">
        <v>45771</v>
      </c>
      <c r="J613" t="s">
        <v>53</v>
      </c>
      <c r="K613" t="s">
        <v>1034</v>
      </c>
      <c r="L613" t="s">
        <v>1651</v>
      </c>
      <c r="M613" t="s">
        <v>1586</v>
      </c>
      <c r="N613" t="s">
        <v>784</v>
      </c>
      <c r="O613" t="s">
        <v>785</v>
      </c>
      <c r="P613" t="s">
        <v>788</v>
      </c>
      <c r="Q613" t="s">
        <v>55</v>
      </c>
      <c r="R613">
        <v>-6</v>
      </c>
      <c r="S613" s="15">
        <f>Table2[[#This Row],[movement_quantity]]/VLOOKUP(Table2[[#This Row],[product]],Ref[#All],5,FALSE)</f>
        <v>-0.15</v>
      </c>
      <c r="T613">
        <v>30927.350320000001</v>
      </c>
      <c r="U613" t="s">
        <v>17</v>
      </c>
      <c r="V613" t="s">
        <v>1035</v>
      </c>
      <c r="W613" t="s">
        <v>1036</v>
      </c>
      <c r="X613" t="s">
        <v>17</v>
      </c>
      <c r="Y613" t="s">
        <v>582</v>
      </c>
      <c r="Z613">
        <v>0</v>
      </c>
      <c r="AA613" s="2">
        <v>-185564.10192000002</v>
      </c>
      <c r="AB613" t="str">
        <f>VLOOKUP(Table2[[#This Row],[product]],Ref[#All],6,FALSE)</f>
        <v>BAG25</v>
      </c>
    </row>
    <row r="614" spans="1:28" x14ac:dyDescent="0.25">
      <c r="A614" t="str">
        <f>TEXT(Table2[[#This Row],[dated]],"mmm")</f>
        <v>Apr</v>
      </c>
      <c r="B614" t="s">
        <v>52</v>
      </c>
      <c r="C614" s="1" t="s">
        <v>536</v>
      </c>
      <c r="D614" t="str">
        <f>VLOOKUP(Table2[[#This Row],[product]],Ref[#All],7,FALSE)</f>
        <v>Flour</v>
      </c>
      <c r="E614" s="1" t="s">
        <v>36</v>
      </c>
      <c r="F614" t="str">
        <f>VLOOKUP(Table2[[#This Row],[product]],Ref[#All],2,FALSE)</f>
        <v>Flour Import Elngm 25Kg</v>
      </c>
      <c r="G614" t="str">
        <f>VLOOKUP(Table2[[#This Row],[product]],Ref[#All],3,FALSE)</f>
        <v>Flour Al-Nagm (Imported)</v>
      </c>
      <c r="H614" t="str">
        <f>VLOOKUP(Table2[[#This Row],[product]],Ref[#All],4,FALSE)</f>
        <v>Import</v>
      </c>
      <c r="I614" s="1">
        <v>45771</v>
      </c>
      <c r="J614" t="s">
        <v>53</v>
      </c>
      <c r="K614" t="s">
        <v>1037</v>
      </c>
      <c r="L614" t="s">
        <v>1651</v>
      </c>
      <c r="M614" t="s">
        <v>1586</v>
      </c>
      <c r="N614" t="s">
        <v>784</v>
      </c>
      <c r="O614" t="s">
        <v>785</v>
      </c>
      <c r="P614" t="s">
        <v>788</v>
      </c>
      <c r="Q614" t="s">
        <v>55</v>
      </c>
      <c r="R614">
        <v>-7</v>
      </c>
      <c r="S614" s="15">
        <f>Table2[[#This Row],[movement_quantity]]/VLOOKUP(Table2[[#This Row],[product]],Ref[#All],5,FALSE)</f>
        <v>-0.17499999999999999</v>
      </c>
      <c r="T614">
        <v>30927.350320000001</v>
      </c>
      <c r="U614" t="s">
        <v>17</v>
      </c>
      <c r="V614" t="s">
        <v>1038</v>
      </c>
      <c r="W614" t="s">
        <v>1039</v>
      </c>
      <c r="X614" t="s">
        <v>17</v>
      </c>
      <c r="Y614" t="s">
        <v>582</v>
      </c>
      <c r="Z614">
        <v>0</v>
      </c>
      <c r="AA614" s="2">
        <v>-216491.45224000001</v>
      </c>
      <c r="AB614" t="str">
        <f>VLOOKUP(Table2[[#This Row],[product]],Ref[#All],6,FALSE)</f>
        <v>BAG25</v>
      </c>
    </row>
    <row r="615" spans="1:28" x14ac:dyDescent="0.25">
      <c r="A615" t="str">
        <f>TEXT(Table2[[#This Row],[dated]],"mmm")</f>
        <v>Apr</v>
      </c>
      <c r="B615" t="s">
        <v>52</v>
      </c>
      <c r="C615" s="1" t="s">
        <v>536</v>
      </c>
      <c r="D615" t="str">
        <f>VLOOKUP(Table2[[#This Row],[product]],Ref[#All],7,FALSE)</f>
        <v>Flour</v>
      </c>
      <c r="E615" s="1" t="s">
        <v>36</v>
      </c>
      <c r="F615" t="str">
        <f>VLOOKUP(Table2[[#This Row],[product]],Ref[#All],2,FALSE)</f>
        <v>Flour Import Elngm 25Kg</v>
      </c>
      <c r="G615" t="str">
        <f>VLOOKUP(Table2[[#This Row],[product]],Ref[#All],3,FALSE)</f>
        <v>Flour Al-Nagm (Imported)</v>
      </c>
      <c r="H615" t="str">
        <f>VLOOKUP(Table2[[#This Row],[product]],Ref[#All],4,FALSE)</f>
        <v>Import</v>
      </c>
      <c r="I615" s="1">
        <v>45771</v>
      </c>
      <c r="J615" t="s">
        <v>53</v>
      </c>
      <c r="K615" t="s">
        <v>1040</v>
      </c>
      <c r="L615" t="s">
        <v>1651</v>
      </c>
      <c r="M615" t="s">
        <v>1586</v>
      </c>
      <c r="N615" t="s">
        <v>784</v>
      </c>
      <c r="O615" t="s">
        <v>785</v>
      </c>
      <c r="P615" t="s">
        <v>788</v>
      </c>
      <c r="Q615" t="s">
        <v>55</v>
      </c>
      <c r="R615">
        <v>-2</v>
      </c>
      <c r="S615" s="15">
        <f>Table2[[#This Row],[movement_quantity]]/VLOOKUP(Table2[[#This Row],[product]],Ref[#All],5,FALSE)</f>
        <v>-0.05</v>
      </c>
      <c r="T615">
        <v>30927.350320000001</v>
      </c>
      <c r="U615" t="s">
        <v>17</v>
      </c>
      <c r="V615" t="s">
        <v>1041</v>
      </c>
      <c r="W615" t="s">
        <v>1042</v>
      </c>
      <c r="X615" t="s">
        <v>17</v>
      </c>
      <c r="Y615" t="s">
        <v>582</v>
      </c>
      <c r="Z615">
        <v>0</v>
      </c>
      <c r="AA615" s="2">
        <v>-61854.700640000003</v>
      </c>
      <c r="AB615" t="str">
        <f>VLOOKUP(Table2[[#This Row],[product]],Ref[#All],6,FALSE)</f>
        <v>BAG25</v>
      </c>
    </row>
    <row r="616" spans="1:28" x14ac:dyDescent="0.25">
      <c r="A616" t="str">
        <f>TEXT(Table2[[#This Row],[dated]],"mmm")</f>
        <v>Apr</v>
      </c>
      <c r="B616" t="s">
        <v>52</v>
      </c>
      <c r="C616" s="1" t="s">
        <v>536</v>
      </c>
      <c r="D616" t="str">
        <f>VLOOKUP(Table2[[#This Row],[product]],Ref[#All],7,FALSE)</f>
        <v>Flour</v>
      </c>
      <c r="E616" s="1" t="s">
        <v>36</v>
      </c>
      <c r="F616" t="str">
        <f>VLOOKUP(Table2[[#This Row],[product]],Ref[#All],2,FALSE)</f>
        <v>Flour Import Elngm 25Kg</v>
      </c>
      <c r="G616" t="str">
        <f>VLOOKUP(Table2[[#This Row],[product]],Ref[#All],3,FALSE)</f>
        <v>Flour Al-Nagm (Imported)</v>
      </c>
      <c r="H616" t="str">
        <f>VLOOKUP(Table2[[#This Row],[product]],Ref[#All],4,FALSE)</f>
        <v>Import</v>
      </c>
      <c r="I616" s="1">
        <v>45771</v>
      </c>
      <c r="J616" t="s">
        <v>53</v>
      </c>
      <c r="K616" t="s">
        <v>1043</v>
      </c>
      <c r="L616" t="s">
        <v>1651</v>
      </c>
      <c r="M616" t="s">
        <v>1586</v>
      </c>
      <c r="N616" t="s">
        <v>784</v>
      </c>
      <c r="O616" t="s">
        <v>785</v>
      </c>
      <c r="P616" t="s">
        <v>788</v>
      </c>
      <c r="Q616" t="s">
        <v>55</v>
      </c>
      <c r="R616">
        <v>-2</v>
      </c>
      <c r="S616" s="15">
        <f>Table2[[#This Row],[movement_quantity]]/VLOOKUP(Table2[[#This Row],[product]],Ref[#All],5,FALSE)</f>
        <v>-0.05</v>
      </c>
      <c r="T616">
        <v>30927.350320000001</v>
      </c>
      <c r="U616" t="s">
        <v>17</v>
      </c>
      <c r="V616" t="s">
        <v>1044</v>
      </c>
      <c r="W616" t="s">
        <v>1045</v>
      </c>
      <c r="X616" t="s">
        <v>17</v>
      </c>
      <c r="Y616" t="s">
        <v>582</v>
      </c>
      <c r="Z616">
        <v>0</v>
      </c>
      <c r="AA616" s="2">
        <v>-61854.700640000003</v>
      </c>
      <c r="AB616" t="str">
        <f>VLOOKUP(Table2[[#This Row],[product]],Ref[#All],6,FALSE)</f>
        <v>BAG25</v>
      </c>
    </row>
    <row r="617" spans="1:28" x14ac:dyDescent="0.25">
      <c r="A617" t="str">
        <f>TEXT(Table2[[#This Row],[dated]],"mmm")</f>
        <v>Apr</v>
      </c>
      <c r="B617" t="s">
        <v>52</v>
      </c>
      <c r="C617" s="1" t="s">
        <v>536</v>
      </c>
      <c r="D617" t="str">
        <f>VLOOKUP(Table2[[#This Row],[product]],Ref[#All],7,FALSE)</f>
        <v>Flour</v>
      </c>
      <c r="E617" s="1" t="s">
        <v>36</v>
      </c>
      <c r="F617" t="str">
        <f>VLOOKUP(Table2[[#This Row],[product]],Ref[#All],2,FALSE)</f>
        <v>Flour Import Elngm 25Kg</v>
      </c>
      <c r="G617" t="str">
        <f>VLOOKUP(Table2[[#This Row],[product]],Ref[#All],3,FALSE)</f>
        <v>Flour Al-Nagm (Imported)</v>
      </c>
      <c r="H617" t="str">
        <f>VLOOKUP(Table2[[#This Row],[product]],Ref[#All],4,FALSE)</f>
        <v>Import</v>
      </c>
      <c r="I617" s="1">
        <v>45771</v>
      </c>
      <c r="J617" t="s">
        <v>53</v>
      </c>
      <c r="K617" t="s">
        <v>1046</v>
      </c>
      <c r="L617" t="s">
        <v>1651</v>
      </c>
      <c r="M617" t="s">
        <v>1586</v>
      </c>
      <c r="N617" t="s">
        <v>784</v>
      </c>
      <c r="O617" t="s">
        <v>785</v>
      </c>
      <c r="P617" t="s">
        <v>788</v>
      </c>
      <c r="Q617" t="s">
        <v>55</v>
      </c>
      <c r="R617">
        <v>-1</v>
      </c>
      <c r="S617" s="15">
        <f>Table2[[#This Row],[movement_quantity]]/VLOOKUP(Table2[[#This Row],[product]],Ref[#All],5,FALSE)</f>
        <v>-2.5000000000000001E-2</v>
      </c>
      <c r="T617">
        <v>30927.350320000001</v>
      </c>
      <c r="U617" t="s">
        <v>17</v>
      </c>
      <c r="V617" t="s">
        <v>1047</v>
      </c>
      <c r="W617" t="s">
        <v>1048</v>
      </c>
      <c r="X617" t="s">
        <v>17</v>
      </c>
      <c r="Y617" t="s">
        <v>582</v>
      </c>
      <c r="Z617">
        <v>0</v>
      </c>
      <c r="AA617" s="2">
        <v>-30927.350320000001</v>
      </c>
      <c r="AB617" t="str">
        <f>VLOOKUP(Table2[[#This Row],[product]],Ref[#All],6,FALSE)</f>
        <v>BAG25</v>
      </c>
    </row>
    <row r="618" spans="1:28" x14ac:dyDescent="0.25">
      <c r="A618" t="str">
        <f>TEXT(Table2[[#This Row],[dated]],"mmm")</f>
        <v>Apr</v>
      </c>
      <c r="B618" t="s">
        <v>52</v>
      </c>
      <c r="C618" s="1" t="s">
        <v>536</v>
      </c>
      <c r="D618" t="str">
        <f>VLOOKUP(Table2[[#This Row],[product]],Ref[#All],7,FALSE)</f>
        <v>Flour</v>
      </c>
      <c r="E618" s="1" t="s">
        <v>36</v>
      </c>
      <c r="F618" t="str">
        <f>VLOOKUP(Table2[[#This Row],[product]],Ref[#All],2,FALSE)</f>
        <v>Flour Import Elngm 25Kg</v>
      </c>
      <c r="G618" t="str">
        <f>VLOOKUP(Table2[[#This Row],[product]],Ref[#All],3,FALSE)</f>
        <v>Flour Al-Nagm (Imported)</v>
      </c>
      <c r="H618" t="str">
        <f>VLOOKUP(Table2[[#This Row],[product]],Ref[#All],4,FALSE)</f>
        <v>Import</v>
      </c>
      <c r="I618" s="1">
        <v>45771</v>
      </c>
      <c r="J618" t="s">
        <v>53</v>
      </c>
      <c r="K618" t="s">
        <v>1049</v>
      </c>
      <c r="L618" t="s">
        <v>1651</v>
      </c>
      <c r="M618" t="s">
        <v>1586</v>
      </c>
      <c r="N618" t="s">
        <v>784</v>
      </c>
      <c r="O618" t="s">
        <v>785</v>
      </c>
      <c r="P618" t="s">
        <v>788</v>
      </c>
      <c r="Q618" t="s">
        <v>55</v>
      </c>
      <c r="R618">
        <v>-1</v>
      </c>
      <c r="S618" s="15">
        <f>Table2[[#This Row],[movement_quantity]]/VLOOKUP(Table2[[#This Row],[product]],Ref[#All],5,FALSE)</f>
        <v>-2.5000000000000001E-2</v>
      </c>
      <c r="T618">
        <v>30927.350320000001</v>
      </c>
      <c r="U618" t="s">
        <v>17</v>
      </c>
      <c r="V618" t="s">
        <v>1050</v>
      </c>
      <c r="W618" t="s">
        <v>1051</v>
      </c>
      <c r="X618" t="s">
        <v>17</v>
      </c>
      <c r="Y618" t="s">
        <v>582</v>
      </c>
      <c r="Z618">
        <v>0</v>
      </c>
      <c r="AA618" s="2">
        <v>-30927.350320000001</v>
      </c>
      <c r="AB618" t="str">
        <f>VLOOKUP(Table2[[#This Row],[product]],Ref[#All],6,FALSE)</f>
        <v>BAG25</v>
      </c>
    </row>
    <row r="619" spans="1:28" x14ac:dyDescent="0.25">
      <c r="A619" t="str">
        <f>TEXT(Table2[[#This Row],[dated]],"mmm")</f>
        <v>Apr</v>
      </c>
      <c r="B619" t="s">
        <v>52</v>
      </c>
      <c r="C619" s="1" t="s">
        <v>536</v>
      </c>
      <c r="D619" t="str">
        <f>VLOOKUP(Table2[[#This Row],[product]],Ref[#All],7,FALSE)</f>
        <v>Flour</v>
      </c>
      <c r="E619" s="1" t="s">
        <v>36</v>
      </c>
      <c r="F619" t="str">
        <f>VLOOKUP(Table2[[#This Row],[product]],Ref[#All],2,FALSE)</f>
        <v>Flour Import Elngm 25Kg</v>
      </c>
      <c r="G619" t="str">
        <f>VLOOKUP(Table2[[#This Row],[product]],Ref[#All],3,FALSE)</f>
        <v>Flour Al-Nagm (Imported)</v>
      </c>
      <c r="H619" t="str">
        <f>VLOOKUP(Table2[[#This Row],[product]],Ref[#All],4,FALSE)</f>
        <v>Import</v>
      </c>
      <c r="I619" s="1">
        <v>45771</v>
      </c>
      <c r="J619" t="s">
        <v>53</v>
      </c>
      <c r="K619" t="s">
        <v>1052</v>
      </c>
      <c r="L619" t="s">
        <v>1651</v>
      </c>
      <c r="M619" t="s">
        <v>1586</v>
      </c>
      <c r="N619" t="s">
        <v>784</v>
      </c>
      <c r="O619" t="s">
        <v>785</v>
      </c>
      <c r="P619" t="s">
        <v>788</v>
      </c>
      <c r="Q619" t="s">
        <v>55</v>
      </c>
      <c r="R619">
        <v>-3</v>
      </c>
      <c r="S619" s="15">
        <f>Table2[[#This Row],[movement_quantity]]/VLOOKUP(Table2[[#This Row],[product]],Ref[#All],5,FALSE)</f>
        <v>-7.4999999999999997E-2</v>
      </c>
      <c r="T619">
        <v>30927.350320000001</v>
      </c>
      <c r="U619" t="s">
        <v>17</v>
      </c>
      <c r="V619" t="s">
        <v>1053</v>
      </c>
      <c r="W619" t="s">
        <v>1054</v>
      </c>
      <c r="X619" t="s">
        <v>17</v>
      </c>
      <c r="Y619" t="s">
        <v>582</v>
      </c>
      <c r="Z619">
        <v>0</v>
      </c>
      <c r="AA619" s="2">
        <v>-92782.050960000008</v>
      </c>
      <c r="AB619" t="str">
        <f>VLOOKUP(Table2[[#This Row],[product]],Ref[#All],6,FALSE)</f>
        <v>BAG25</v>
      </c>
    </row>
    <row r="620" spans="1:28" x14ac:dyDescent="0.25">
      <c r="A620" t="str">
        <f>TEXT(Table2[[#This Row],[dated]],"mmm")</f>
        <v>Apr</v>
      </c>
      <c r="B620" t="s">
        <v>52</v>
      </c>
      <c r="C620" s="1" t="s">
        <v>536</v>
      </c>
      <c r="D620" t="str">
        <f>VLOOKUP(Table2[[#This Row],[product]],Ref[#All],7,FALSE)</f>
        <v>Flour</v>
      </c>
      <c r="E620" s="1" t="s">
        <v>36</v>
      </c>
      <c r="F620" t="str">
        <f>VLOOKUP(Table2[[#This Row],[product]],Ref[#All],2,FALSE)</f>
        <v>Flour Import Elngm 25Kg</v>
      </c>
      <c r="G620" t="str">
        <f>VLOOKUP(Table2[[#This Row],[product]],Ref[#All],3,FALSE)</f>
        <v>Flour Al-Nagm (Imported)</v>
      </c>
      <c r="H620" t="str">
        <f>VLOOKUP(Table2[[#This Row],[product]],Ref[#All],4,FALSE)</f>
        <v>Import</v>
      </c>
      <c r="I620" s="1">
        <v>45771</v>
      </c>
      <c r="J620" t="s">
        <v>53</v>
      </c>
      <c r="K620" t="s">
        <v>1055</v>
      </c>
      <c r="L620" t="s">
        <v>1651</v>
      </c>
      <c r="M620" t="s">
        <v>1586</v>
      </c>
      <c r="N620" t="s">
        <v>784</v>
      </c>
      <c r="O620" t="s">
        <v>785</v>
      </c>
      <c r="P620" t="s">
        <v>788</v>
      </c>
      <c r="Q620" t="s">
        <v>55</v>
      </c>
      <c r="R620">
        <v>-1</v>
      </c>
      <c r="S620" s="15">
        <f>Table2[[#This Row],[movement_quantity]]/VLOOKUP(Table2[[#This Row],[product]],Ref[#All],5,FALSE)</f>
        <v>-2.5000000000000001E-2</v>
      </c>
      <c r="T620">
        <v>30927.350320000001</v>
      </c>
      <c r="U620" t="s">
        <v>17</v>
      </c>
      <c r="V620" t="s">
        <v>1056</v>
      </c>
      <c r="W620" t="s">
        <v>1057</v>
      </c>
      <c r="X620" t="s">
        <v>17</v>
      </c>
      <c r="Y620" t="s">
        <v>582</v>
      </c>
      <c r="Z620">
        <v>0</v>
      </c>
      <c r="AA620" s="2">
        <v>-30927.350320000001</v>
      </c>
      <c r="AB620" t="str">
        <f>VLOOKUP(Table2[[#This Row],[product]],Ref[#All],6,FALSE)</f>
        <v>BAG25</v>
      </c>
    </row>
    <row r="621" spans="1:28" x14ac:dyDescent="0.25">
      <c r="A621" t="str">
        <f>TEXT(Table2[[#This Row],[dated]],"mmm")</f>
        <v>Apr</v>
      </c>
      <c r="B621" t="s">
        <v>52</v>
      </c>
      <c r="C621" s="1" t="s">
        <v>536</v>
      </c>
      <c r="D621" t="str">
        <f>VLOOKUP(Table2[[#This Row],[product]],Ref[#All],7,FALSE)</f>
        <v>Flour</v>
      </c>
      <c r="E621" s="1" t="s">
        <v>36</v>
      </c>
      <c r="F621" t="str">
        <f>VLOOKUP(Table2[[#This Row],[product]],Ref[#All],2,FALSE)</f>
        <v>Flour Import Elngm 25Kg</v>
      </c>
      <c r="G621" t="str">
        <f>VLOOKUP(Table2[[#This Row],[product]],Ref[#All],3,FALSE)</f>
        <v>Flour Al-Nagm (Imported)</v>
      </c>
      <c r="H621" t="str">
        <f>VLOOKUP(Table2[[#This Row],[product]],Ref[#All],4,FALSE)</f>
        <v>Import</v>
      </c>
      <c r="I621" s="1">
        <v>45771</v>
      </c>
      <c r="J621" t="s">
        <v>53</v>
      </c>
      <c r="K621" t="s">
        <v>1058</v>
      </c>
      <c r="L621" t="s">
        <v>1651</v>
      </c>
      <c r="M621" t="s">
        <v>1586</v>
      </c>
      <c r="N621" t="s">
        <v>784</v>
      </c>
      <c r="O621" t="s">
        <v>785</v>
      </c>
      <c r="P621" t="s">
        <v>788</v>
      </c>
      <c r="Q621" t="s">
        <v>55</v>
      </c>
      <c r="R621">
        <v>-6</v>
      </c>
      <c r="S621" s="15">
        <f>Table2[[#This Row],[movement_quantity]]/VLOOKUP(Table2[[#This Row],[product]],Ref[#All],5,FALSE)</f>
        <v>-0.15</v>
      </c>
      <c r="T621">
        <v>30927.350320000001</v>
      </c>
      <c r="U621" t="s">
        <v>17</v>
      </c>
      <c r="V621" t="s">
        <v>1059</v>
      </c>
      <c r="W621" t="s">
        <v>1060</v>
      </c>
      <c r="X621" t="s">
        <v>17</v>
      </c>
      <c r="Y621" t="s">
        <v>582</v>
      </c>
      <c r="Z621">
        <v>0</v>
      </c>
      <c r="AA621" s="2">
        <v>-185564.10192000002</v>
      </c>
      <c r="AB621" t="str">
        <f>VLOOKUP(Table2[[#This Row],[product]],Ref[#All],6,FALSE)</f>
        <v>BAG25</v>
      </c>
    </row>
    <row r="622" spans="1:28" x14ac:dyDescent="0.25">
      <c r="A622" t="str">
        <f>TEXT(Table2[[#This Row],[dated]],"mmm")</f>
        <v>Apr</v>
      </c>
      <c r="B622" t="s">
        <v>52</v>
      </c>
      <c r="C622" s="1" t="s">
        <v>536</v>
      </c>
      <c r="D622" t="str">
        <f>VLOOKUP(Table2[[#This Row],[product]],Ref[#All],7,FALSE)</f>
        <v>Flour</v>
      </c>
      <c r="E622" s="1" t="s">
        <v>36</v>
      </c>
      <c r="F622" t="str">
        <f>VLOOKUP(Table2[[#This Row],[product]],Ref[#All],2,FALSE)</f>
        <v>Flour Import Elngm 25Kg</v>
      </c>
      <c r="G622" t="str">
        <f>VLOOKUP(Table2[[#This Row],[product]],Ref[#All],3,FALSE)</f>
        <v>Flour Al-Nagm (Imported)</v>
      </c>
      <c r="H622" t="str">
        <f>VLOOKUP(Table2[[#This Row],[product]],Ref[#All],4,FALSE)</f>
        <v>Import</v>
      </c>
      <c r="I622" s="1">
        <v>45771</v>
      </c>
      <c r="J622" t="s">
        <v>53</v>
      </c>
      <c r="K622" t="s">
        <v>1061</v>
      </c>
      <c r="L622" t="s">
        <v>1651</v>
      </c>
      <c r="M622" t="s">
        <v>1586</v>
      </c>
      <c r="N622" t="s">
        <v>784</v>
      </c>
      <c r="O622" t="s">
        <v>785</v>
      </c>
      <c r="P622" t="s">
        <v>788</v>
      </c>
      <c r="Q622" t="s">
        <v>55</v>
      </c>
      <c r="R622">
        <v>-4</v>
      </c>
      <c r="S622" s="15">
        <f>Table2[[#This Row],[movement_quantity]]/VLOOKUP(Table2[[#This Row],[product]],Ref[#All],5,FALSE)</f>
        <v>-0.1</v>
      </c>
      <c r="T622">
        <v>30927.350320000001</v>
      </c>
      <c r="U622" t="s">
        <v>17</v>
      </c>
      <c r="V622" t="s">
        <v>1062</v>
      </c>
      <c r="W622" t="s">
        <v>1063</v>
      </c>
      <c r="X622" t="s">
        <v>17</v>
      </c>
      <c r="Y622" t="s">
        <v>582</v>
      </c>
      <c r="Z622">
        <v>0</v>
      </c>
      <c r="AA622" s="2">
        <v>-123709.40128000001</v>
      </c>
      <c r="AB622" t="str">
        <f>VLOOKUP(Table2[[#This Row],[product]],Ref[#All],6,FALSE)</f>
        <v>BAG25</v>
      </c>
    </row>
    <row r="623" spans="1:28" x14ac:dyDescent="0.25">
      <c r="A623" t="str">
        <f>TEXT(Table2[[#This Row],[dated]],"mmm")</f>
        <v>Apr</v>
      </c>
      <c r="B623" t="s">
        <v>52</v>
      </c>
      <c r="C623" s="1" t="s">
        <v>536</v>
      </c>
      <c r="D623" t="str">
        <f>VLOOKUP(Table2[[#This Row],[product]],Ref[#All],7,FALSE)</f>
        <v>Flour</v>
      </c>
      <c r="E623" s="1" t="s">
        <v>36</v>
      </c>
      <c r="F623" t="str">
        <f>VLOOKUP(Table2[[#This Row],[product]],Ref[#All],2,FALSE)</f>
        <v>Flour Import Elngm 25Kg</v>
      </c>
      <c r="G623" t="str">
        <f>VLOOKUP(Table2[[#This Row],[product]],Ref[#All],3,FALSE)</f>
        <v>Flour Al-Nagm (Imported)</v>
      </c>
      <c r="H623" t="str">
        <f>VLOOKUP(Table2[[#This Row],[product]],Ref[#All],4,FALSE)</f>
        <v>Import</v>
      </c>
      <c r="I623" s="1">
        <v>45771</v>
      </c>
      <c r="J623" t="s">
        <v>53</v>
      </c>
      <c r="K623" t="s">
        <v>1064</v>
      </c>
      <c r="L623" t="s">
        <v>1651</v>
      </c>
      <c r="M623" t="s">
        <v>1586</v>
      </c>
      <c r="N623" t="s">
        <v>784</v>
      </c>
      <c r="O623" t="s">
        <v>785</v>
      </c>
      <c r="P623" t="s">
        <v>788</v>
      </c>
      <c r="Q623" t="s">
        <v>55</v>
      </c>
      <c r="R623">
        <v>-2</v>
      </c>
      <c r="S623" s="15">
        <f>Table2[[#This Row],[movement_quantity]]/VLOOKUP(Table2[[#This Row],[product]],Ref[#All],5,FALSE)</f>
        <v>-0.05</v>
      </c>
      <c r="T623">
        <v>30927.350320000001</v>
      </c>
      <c r="U623" t="s">
        <v>17</v>
      </c>
      <c r="V623" t="s">
        <v>1065</v>
      </c>
      <c r="W623" t="s">
        <v>1066</v>
      </c>
      <c r="X623" t="s">
        <v>17</v>
      </c>
      <c r="Y623" t="s">
        <v>582</v>
      </c>
      <c r="Z623">
        <v>0</v>
      </c>
      <c r="AA623" s="2">
        <v>-61854.700640000003</v>
      </c>
      <c r="AB623" t="str">
        <f>VLOOKUP(Table2[[#This Row],[product]],Ref[#All],6,FALSE)</f>
        <v>BAG25</v>
      </c>
    </row>
    <row r="624" spans="1:28" x14ac:dyDescent="0.25">
      <c r="A624" t="str">
        <f>TEXT(Table2[[#This Row],[dated]],"mmm")</f>
        <v>Apr</v>
      </c>
      <c r="B624" t="s">
        <v>52</v>
      </c>
      <c r="C624" s="1" t="s">
        <v>536</v>
      </c>
      <c r="D624" t="str">
        <f>VLOOKUP(Table2[[#This Row],[product]],Ref[#All],7,FALSE)</f>
        <v>Flour</v>
      </c>
      <c r="E624" s="1" t="s">
        <v>36</v>
      </c>
      <c r="F624" t="str">
        <f>VLOOKUP(Table2[[#This Row],[product]],Ref[#All],2,FALSE)</f>
        <v>Flour Import Elngm 25Kg</v>
      </c>
      <c r="G624" t="str">
        <f>VLOOKUP(Table2[[#This Row],[product]],Ref[#All],3,FALSE)</f>
        <v>Flour Al-Nagm (Imported)</v>
      </c>
      <c r="H624" t="str">
        <f>VLOOKUP(Table2[[#This Row],[product]],Ref[#All],4,FALSE)</f>
        <v>Import</v>
      </c>
      <c r="I624" s="1">
        <v>45771</v>
      </c>
      <c r="J624" t="s">
        <v>53</v>
      </c>
      <c r="K624" t="s">
        <v>1067</v>
      </c>
      <c r="L624" t="s">
        <v>1651</v>
      </c>
      <c r="M624" t="s">
        <v>1586</v>
      </c>
      <c r="N624" t="s">
        <v>784</v>
      </c>
      <c r="O624" t="s">
        <v>785</v>
      </c>
      <c r="P624" t="s">
        <v>788</v>
      </c>
      <c r="Q624" t="s">
        <v>55</v>
      </c>
      <c r="R624">
        <v>-4</v>
      </c>
      <c r="S624" s="15">
        <f>Table2[[#This Row],[movement_quantity]]/VLOOKUP(Table2[[#This Row],[product]],Ref[#All],5,FALSE)</f>
        <v>-0.1</v>
      </c>
      <c r="T624">
        <v>30927.350320000001</v>
      </c>
      <c r="U624" t="s">
        <v>17</v>
      </c>
      <c r="V624" t="s">
        <v>1068</v>
      </c>
      <c r="W624" t="s">
        <v>1069</v>
      </c>
      <c r="X624" t="s">
        <v>17</v>
      </c>
      <c r="Y624" t="s">
        <v>582</v>
      </c>
      <c r="Z624">
        <v>0</v>
      </c>
      <c r="AA624" s="2">
        <v>-123709.40128000001</v>
      </c>
      <c r="AB624" t="str">
        <f>VLOOKUP(Table2[[#This Row],[product]],Ref[#All],6,FALSE)</f>
        <v>BAG25</v>
      </c>
    </row>
    <row r="625" spans="1:28" x14ac:dyDescent="0.25">
      <c r="A625" t="str">
        <f>TEXT(Table2[[#This Row],[dated]],"mmm")</f>
        <v>Apr</v>
      </c>
      <c r="B625" t="s">
        <v>52</v>
      </c>
      <c r="C625" s="1" t="s">
        <v>536</v>
      </c>
      <c r="D625" t="str">
        <f>VLOOKUP(Table2[[#This Row],[product]],Ref[#All],7,FALSE)</f>
        <v>Flour</v>
      </c>
      <c r="E625" s="1" t="s">
        <v>36</v>
      </c>
      <c r="F625" t="str">
        <f>VLOOKUP(Table2[[#This Row],[product]],Ref[#All],2,FALSE)</f>
        <v>Flour Import Elngm 25Kg</v>
      </c>
      <c r="G625" t="str">
        <f>VLOOKUP(Table2[[#This Row],[product]],Ref[#All],3,FALSE)</f>
        <v>Flour Al-Nagm (Imported)</v>
      </c>
      <c r="H625" t="str">
        <f>VLOOKUP(Table2[[#This Row],[product]],Ref[#All],4,FALSE)</f>
        <v>Import</v>
      </c>
      <c r="I625" s="1">
        <v>45771</v>
      </c>
      <c r="J625" t="s">
        <v>53</v>
      </c>
      <c r="K625" t="s">
        <v>1072</v>
      </c>
      <c r="L625" t="s">
        <v>1651</v>
      </c>
      <c r="M625" t="s">
        <v>1586</v>
      </c>
      <c r="N625" t="s">
        <v>784</v>
      </c>
      <c r="O625" t="s">
        <v>785</v>
      </c>
      <c r="P625" t="s">
        <v>788</v>
      </c>
      <c r="Q625" t="s">
        <v>55</v>
      </c>
      <c r="R625">
        <v>-7</v>
      </c>
      <c r="S625" s="15">
        <f>Table2[[#This Row],[movement_quantity]]/VLOOKUP(Table2[[#This Row],[product]],Ref[#All],5,FALSE)</f>
        <v>-0.17499999999999999</v>
      </c>
      <c r="T625">
        <v>30927.350320000001</v>
      </c>
      <c r="U625" t="s">
        <v>17</v>
      </c>
      <c r="V625" t="s">
        <v>1073</v>
      </c>
      <c r="W625" t="s">
        <v>1074</v>
      </c>
      <c r="X625" t="s">
        <v>17</v>
      </c>
      <c r="Y625" t="s">
        <v>582</v>
      </c>
      <c r="Z625">
        <v>0</v>
      </c>
      <c r="AA625" s="2">
        <v>-216491.45224000001</v>
      </c>
      <c r="AB625" t="str">
        <f>VLOOKUP(Table2[[#This Row],[product]],Ref[#All],6,FALSE)</f>
        <v>BAG25</v>
      </c>
    </row>
    <row r="626" spans="1:28" x14ac:dyDescent="0.25">
      <c r="A626" t="str">
        <f>TEXT(Table2[[#This Row],[dated]],"mmm")</f>
        <v>Apr</v>
      </c>
      <c r="B626" t="s">
        <v>52</v>
      </c>
      <c r="C626" s="1" t="s">
        <v>536</v>
      </c>
      <c r="D626" t="str">
        <f>VLOOKUP(Table2[[#This Row],[product]],Ref[#All],7,FALSE)</f>
        <v>Flour</v>
      </c>
      <c r="E626" s="1" t="s">
        <v>36</v>
      </c>
      <c r="F626" t="str">
        <f>VLOOKUP(Table2[[#This Row],[product]],Ref[#All],2,FALSE)</f>
        <v>Flour Import Elngm 25Kg</v>
      </c>
      <c r="G626" t="str">
        <f>VLOOKUP(Table2[[#This Row],[product]],Ref[#All],3,FALSE)</f>
        <v>Flour Al-Nagm (Imported)</v>
      </c>
      <c r="H626" t="str">
        <f>VLOOKUP(Table2[[#This Row],[product]],Ref[#All],4,FALSE)</f>
        <v>Import</v>
      </c>
      <c r="I626" s="1">
        <v>45771</v>
      </c>
      <c r="J626" t="s">
        <v>53</v>
      </c>
      <c r="K626" t="s">
        <v>1075</v>
      </c>
      <c r="L626" t="s">
        <v>1651</v>
      </c>
      <c r="M626" t="s">
        <v>1586</v>
      </c>
      <c r="N626" t="s">
        <v>784</v>
      </c>
      <c r="O626" t="s">
        <v>785</v>
      </c>
      <c r="P626" t="s">
        <v>788</v>
      </c>
      <c r="Q626" t="s">
        <v>55</v>
      </c>
      <c r="R626">
        <v>-1</v>
      </c>
      <c r="S626" s="15">
        <f>Table2[[#This Row],[movement_quantity]]/VLOOKUP(Table2[[#This Row],[product]],Ref[#All],5,FALSE)</f>
        <v>-2.5000000000000001E-2</v>
      </c>
      <c r="T626">
        <v>30927.350320000001</v>
      </c>
      <c r="U626" t="s">
        <v>17</v>
      </c>
      <c r="V626" t="s">
        <v>1076</v>
      </c>
      <c r="W626" t="s">
        <v>1077</v>
      </c>
      <c r="X626" t="s">
        <v>17</v>
      </c>
      <c r="Y626" t="s">
        <v>582</v>
      </c>
      <c r="Z626">
        <v>0</v>
      </c>
      <c r="AA626" s="2">
        <v>-30927.350320000001</v>
      </c>
      <c r="AB626" t="str">
        <f>VLOOKUP(Table2[[#This Row],[product]],Ref[#All],6,FALSE)</f>
        <v>BAG25</v>
      </c>
    </row>
    <row r="627" spans="1:28" x14ac:dyDescent="0.25">
      <c r="A627" t="str">
        <f>TEXT(Table2[[#This Row],[dated]],"mmm")</f>
        <v>Apr</v>
      </c>
      <c r="B627" t="s">
        <v>52</v>
      </c>
      <c r="C627" s="1" t="s">
        <v>536</v>
      </c>
      <c r="D627" t="str">
        <f>VLOOKUP(Table2[[#This Row],[product]],Ref[#All],7,FALSE)</f>
        <v>Flour</v>
      </c>
      <c r="E627" s="1" t="s">
        <v>36</v>
      </c>
      <c r="F627" t="str">
        <f>VLOOKUP(Table2[[#This Row],[product]],Ref[#All],2,FALSE)</f>
        <v>Flour Import Elngm 25Kg</v>
      </c>
      <c r="G627" t="str">
        <f>VLOOKUP(Table2[[#This Row],[product]],Ref[#All],3,FALSE)</f>
        <v>Flour Al-Nagm (Imported)</v>
      </c>
      <c r="H627" t="str">
        <f>VLOOKUP(Table2[[#This Row],[product]],Ref[#All],4,FALSE)</f>
        <v>Import</v>
      </c>
      <c r="I627" s="1">
        <v>45771</v>
      </c>
      <c r="J627" t="s">
        <v>53</v>
      </c>
      <c r="K627" t="s">
        <v>1078</v>
      </c>
      <c r="L627" t="s">
        <v>1651</v>
      </c>
      <c r="M627" t="s">
        <v>1586</v>
      </c>
      <c r="N627" t="s">
        <v>784</v>
      </c>
      <c r="O627" t="s">
        <v>785</v>
      </c>
      <c r="P627" t="s">
        <v>788</v>
      </c>
      <c r="Q627" t="s">
        <v>55</v>
      </c>
      <c r="R627">
        <v>-1</v>
      </c>
      <c r="S627" s="15">
        <f>Table2[[#This Row],[movement_quantity]]/VLOOKUP(Table2[[#This Row],[product]],Ref[#All],5,FALSE)</f>
        <v>-2.5000000000000001E-2</v>
      </c>
      <c r="T627">
        <v>30927.350320000001</v>
      </c>
      <c r="U627" t="s">
        <v>17</v>
      </c>
      <c r="V627" t="s">
        <v>1079</v>
      </c>
      <c r="W627" t="s">
        <v>1080</v>
      </c>
      <c r="X627" t="s">
        <v>17</v>
      </c>
      <c r="Y627" t="s">
        <v>582</v>
      </c>
      <c r="Z627">
        <v>0</v>
      </c>
      <c r="AA627" s="2">
        <v>-30927.350320000001</v>
      </c>
      <c r="AB627" t="str">
        <f>VLOOKUP(Table2[[#This Row],[product]],Ref[#All],6,FALSE)</f>
        <v>BAG25</v>
      </c>
    </row>
    <row r="628" spans="1:28" x14ac:dyDescent="0.25">
      <c r="A628" t="str">
        <f>TEXT(Table2[[#This Row],[dated]],"mmm")</f>
        <v>Apr</v>
      </c>
      <c r="B628" t="s">
        <v>52</v>
      </c>
      <c r="C628" s="1" t="s">
        <v>536</v>
      </c>
      <c r="D628" t="str">
        <f>VLOOKUP(Table2[[#This Row],[product]],Ref[#All],7,FALSE)</f>
        <v>Flour</v>
      </c>
      <c r="E628" s="1" t="s">
        <v>36</v>
      </c>
      <c r="F628" t="str">
        <f>VLOOKUP(Table2[[#This Row],[product]],Ref[#All],2,FALSE)</f>
        <v>Flour Import Elngm 25Kg</v>
      </c>
      <c r="G628" t="str">
        <f>VLOOKUP(Table2[[#This Row],[product]],Ref[#All],3,FALSE)</f>
        <v>Flour Al-Nagm (Imported)</v>
      </c>
      <c r="H628" t="str">
        <f>VLOOKUP(Table2[[#This Row],[product]],Ref[#All],4,FALSE)</f>
        <v>Import</v>
      </c>
      <c r="I628" s="1">
        <v>45771</v>
      </c>
      <c r="J628" t="s">
        <v>53</v>
      </c>
      <c r="K628" t="s">
        <v>1081</v>
      </c>
      <c r="L628" t="s">
        <v>1651</v>
      </c>
      <c r="M628" t="s">
        <v>1586</v>
      </c>
      <c r="N628" t="s">
        <v>784</v>
      </c>
      <c r="O628" t="s">
        <v>785</v>
      </c>
      <c r="P628" t="s">
        <v>788</v>
      </c>
      <c r="Q628" t="s">
        <v>55</v>
      </c>
      <c r="R628">
        <v>-3</v>
      </c>
      <c r="S628" s="15">
        <f>Table2[[#This Row],[movement_quantity]]/VLOOKUP(Table2[[#This Row],[product]],Ref[#All],5,FALSE)</f>
        <v>-7.4999999999999997E-2</v>
      </c>
      <c r="T628">
        <v>30927.350320000001</v>
      </c>
      <c r="U628" t="s">
        <v>17</v>
      </c>
      <c r="V628" t="s">
        <v>1082</v>
      </c>
      <c r="W628" t="s">
        <v>1083</v>
      </c>
      <c r="X628" t="s">
        <v>17</v>
      </c>
      <c r="Y628" t="s">
        <v>582</v>
      </c>
      <c r="Z628">
        <v>0</v>
      </c>
      <c r="AA628" s="2">
        <v>-92782.050960000008</v>
      </c>
      <c r="AB628" t="str">
        <f>VLOOKUP(Table2[[#This Row],[product]],Ref[#All],6,FALSE)</f>
        <v>BAG25</v>
      </c>
    </row>
    <row r="629" spans="1:28" x14ac:dyDescent="0.25">
      <c r="A629" t="str">
        <f>TEXT(Table2[[#This Row],[dated]],"mmm")</f>
        <v>Apr</v>
      </c>
      <c r="B629" t="s">
        <v>52</v>
      </c>
      <c r="C629" s="1" t="s">
        <v>536</v>
      </c>
      <c r="D629" t="str">
        <f>VLOOKUP(Table2[[#This Row],[product]],Ref[#All],7,FALSE)</f>
        <v>Flour</v>
      </c>
      <c r="E629" s="1" t="s">
        <v>36</v>
      </c>
      <c r="F629" t="str">
        <f>VLOOKUP(Table2[[#This Row],[product]],Ref[#All],2,FALSE)</f>
        <v>Flour Import Elngm 25Kg</v>
      </c>
      <c r="G629" t="str">
        <f>VLOOKUP(Table2[[#This Row],[product]],Ref[#All],3,FALSE)</f>
        <v>Flour Al-Nagm (Imported)</v>
      </c>
      <c r="H629" t="str">
        <f>VLOOKUP(Table2[[#This Row],[product]],Ref[#All],4,FALSE)</f>
        <v>Import</v>
      </c>
      <c r="I629" s="1">
        <v>45771</v>
      </c>
      <c r="J629" t="s">
        <v>53</v>
      </c>
      <c r="K629" t="s">
        <v>1084</v>
      </c>
      <c r="L629" t="s">
        <v>1651</v>
      </c>
      <c r="M629" t="s">
        <v>1586</v>
      </c>
      <c r="N629" t="s">
        <v>784</v>
      </c>
      <c r="O629" t="s">
        <v>785</v>
      </c>
      <c r="P629" t="s">
        <v>788</v>
      </c>
      <c r="Q629" t="s">
        <v>55</v>
      </c>
      <c r="R629">
        <v>-1</v>
      </c>
      <c r="S629" s="15">
        <f>Table2[[#This Row],[movement_quantity]]/VLOOKUP(Table2[[#This Row],[product]],Ref[#All],5,FALSE)</f>
        <v>-2.5000000000000001E-2</v>
      </c>
      <c r="T629">
        <v>30927.350320000001</v>
      </c>
      <c r="U629" t="s">
        <v>17</v>
      </c>
      <c r="V629" t="s">
        <v>1085</v>
      </c>
      <c r="W629" t="s">
        <v>1086</v>
      </c>
      <c r="X629" t="s">
        <v>17</v>
      </c>
      <c r="Y629" t="s">
        <v>582</v>
      </c>
      <c r="Z629">
        <v>0</v>
      </c>
      <c r="AA629" s="2">
        <v>-30927.350320000001</v>
      </c>
      <c r="AB629" t="str">
        <f>VLOOKUP(Table2[[#This Row],[product]],Ref[#All],6,FALSE)</f>
        <v>BAG25</v>
      </c>
    </row>
    <row r="630" spans="1:28" x14ac:dyDescent="0.25">
      <c r="A630" t="str">
        <f>TEXT(Table2[[#This Row],[dated]],"mmm")</f>
        <v>Apr</v>
      </c>
      <c r="B630" t="s">
        <v>52</v>
      </c>
      <c r="C630" s="1" t="s">
        <v>536</v>
      </c>
      <c r="D630" t="str">
        <f>VLOOKUP(Table2[[#This Row],[product]],Ref[#All],7,FALSE)</f>
        <v>Flour</v>
      </c>
      <c r="E630" s="1" t="s">
        <v>36</v>
      </c>
      <c r="F630" t="str">
        <f>VLOOKUP(Table2[[#This Row],[product]],Ref[#All],2,FALSE)</f>
        <v>Flour Import Elngm 25Kg</v>
      </c>
      <c r="G630" t="str">
        <f>VLOOKUP(Table2[[#This Row],[product]],Ref[#All],3,FALSE)</f>
        <v>Flour Al-Nagm (Imported)</v>
      </c>
      <c r="H630" t="str">
        <f>VLOOKUP(Table2[[#This Row],[product]],Ref[#All],4,FALSE)</f>
        <v>Import</v>
      </c>
      <c r="I630" s="1">
        <v>45771</v>
      </c>
      <c r="J630" t="s">
        <v>53</v>
      </c>
      <c r="K630" t="s">
        <v>1087</v>
      </c>
      <c r="L630" t="s">
        <v>1651</v>
      </c>
      <c r="M630" t="s">
        <v>1586</v>
      </c>
      <c r="N630" t="s">
        <v>784</v>
      </c>
      <c r="O630" t="s">
        <v>785</v>
      </c>
      <c r="P630" t="s">
        <v>788</v>
      </c>
      <c r="Q630" t="s">
        <v>55</v>
      </c>
      <c r="R630">
        <v>-1</v>
      </c>
      <c r="S630" s="15">
        <f>Table2[[#This Row],[movement_quantity]]/VLOOKUP(Table2[[#This Row],[product]],Ref[#All],5,FALSE)</f>
        <v>-2.5000000000000001E-2</v>
      </c>
      <c r="T630">
        <v>30927.350320000001</v>
      </c>
      <c r="U630" t="s">
        <v>17</v>
      </c>
      <c r="V630" t="s">
        <v>1088</v>
      </c>
      <c r="W630" t="s">
        <v>1089</v>
      </c>
      <c r="X630" t="s">
        <v>17</v>
      </c>
      <c r="Y630" t="s">
        <v>582</v>
      </c>
      <c r="Z630">
        <v>0</v>
      </c>
      <c r="AA630" s="2">
        <v>-30927.350320000001</v>
      </c>
      <c r="AB630" t="str">
        <f>VLOOKUP(Table2[[#This Row],[product]],Ref[#All],6,FALSE)</f>
        <v>BAG25</v>
      </c>
    </row>
    <row r="631" spans="1:28" x14ac:dyDescent="0.25">
      <c r="A631" t="str">
        <f>TEXT(Table2[[#This Row],[dated]],"mmm")</f>
        <v>Apr</v>
      </c>
      <c r="B631" t="s">
        <v>52</v>
      </c>
      <c r="C631" s="1" t="s">
        <v>536</v>
      </c>
      <c r="D631" t="str">
        <f>VLOOKUP(Table2[[#This Row],[product]],Ref[#All],7,FALSE)</f>
        <v>Flour</v>
      </c>
      <c r="E631" s="1" t="s">
        <v>36</v>
      </c>
      <c r="F631" t="str">
        <f>VLOOKUP(Table2[[#This Row],[product]],Ref[#All],2,FALSE)</f>
        <v>Flour Import Elngm 25Kg</v>
      </c>
      <c r="G631" t="str">
        <f>VLOOKUP(Table2[[#This Row],[product]],Ref[#All],3,FALSE)</f>
        <v>Flour Al-Nagm (Imported)</v>
      </c>
      <c r="H631" t="str">
        <f>VLOOKUP(Table2[[#This Row],[product]],Ref[#All],4,FALSE)</f>
        <v>Import</v>
      </c>
      <c r="I631" s="1">
        <v>45771</v>
      </c>
      <c r="J631" t="s">
        <v>53</v>
      </c>
      <c r="K631" t="s">
        <v>1090</v>
      </c>
      <c r="L631" t="s">
        <v>1651</v>
      </c>
      <c r="M631" t="s">
        <v>1586</v>
      </c>
      <c r="N631" t="s">
        <v>784</v>
      </c>
      <c r="O631" t="s">
        <v>785</v>
      </c>
      <c r="P631" t="s">
        <v>788</v>
      </c>
      <c r="Q631" t="s">
        <v>55</v>
      </c>
      <c r="R631">
        <v>-1</v>
      </c>
      <c r="S631" s="15">
        <f>Table2[[#This Row],[movement_quantity]]/VLOOKUP(Table2[[#This Row],[product]],Ref[#All],5,FALSE)</f>
        <v>-2.5000000000000001E-2</v>
      </c>
      <c r="T631">
        <v>30927.350320000001</v>
      </c>
      <c r="U631" t="s">
        <v>17</v>
      </c>
      <c r="V631" t="s">
        <v>1091</v>
      </c>
      <c r="W631" t="s">
        <v>1092</v>
      </c>
      <c r="X631" t="s">
        <v>17</v>
      </c>
      <c r="Y631" t="s">
        <v>582</v>
      </c>
      <c r="Z631">
        <v>0</v>
      </c>
      <c r="AA631" s="2">
        <v>-30927.350320000001</v>
      </c>
      <c r="AB631" t="str">
        <f>VLOOKUP(Table2[[#This Row],[product]],Ref[#All],6,FALSE)</f>
        <v>BAG25</v>
      </c>
    </row>
    <row r="632" spans="1:28" x14ac:dyDescent="0.25">
      <c r="A632" t="str">
        <f>TEXT(Table2[[#This Row],[dated]],"mmm")</f>
        <v>Apr</v>
      </c>
      <c r="B632" t="s">
        <v>52</v>
      </c>
      <c r="C632" s="1" t="s">
        <v>536</v>
      </c>
      <c r="D632" t="str">
        <f>VLOOKUP(Table2[[#This Row],[product]],Ref[#All],7,FALSE)</f>
        <v>Flour</v>
      </c>
      <c r="E632" s="1" t="s">
        <v>36</v>
      </c>
      <c r="F632" t="str">
        <f>VLOOKUP(Table2[[#This Row],[product]],Ref[#All],2,FALSE)</f>
        <v>Flour Import Elngm 25Kg</v>
      </c>
      <c r="G632" t="str">
        <f>VLOOKUP(Table2[[#This Row],[product]],Ref[#All],3,FALSE)</f>
        <v>Flour Al-Nagm (Imported)</v>
      </c>
      <c r="H632" t="str">
        <f>VLOOKUP(Table2[[#This Row],[product]],Ref[#All],4,FALSE)</f>
        <v>Import</v>
      </c>
      <c r="I632" s="1">
        <v>45771</v>
      </c>
      <c r="J632" t="s">
        <v>53</v>
      </c>
      <c r="K632" t="s">
        <v>1093</v>
      </c>
      <c r="L632" t="s">
        <v>1651</v>
      </c>
      <c r="M632" t="s">
        <v>1586</v>
      </c>
      <c r="N632" t="s">
        <v>784</v>
      </c>
      <c r="O632" t="s">
        <v>785</v>
      </c>
      <c r="P632" t="s">
        <v>788</v>
      </c>
      <c r="Q632" t="s">
        <v>55</v>
      </c>
      <c r="R632">
        <v>-5</v>
      </c>
      <c r="S632" s="15">
        <f>Table2[[#This Row],[movement_quantity]]/VLOOKUP(Table2[[#This Row],[product]],Ref[#All],5,FALSE)</f>
        <v>-0.125</v>
      </c>
      <c r="T632">
        <v>30927.350320000001</v>
      </c>
      <c r="U632" t="s">
        <v>17</v>
      </c>
      <c r="V632" t="s">
        <v>1094</v>
      </c>
      <c r="W632" t="s">
        <v>1095</v>
      </c>
      <c r="X632" t="s">
        <v>17</v>
      </c>
      <c r="Y632" t="s">
        <v>582</v>
      </c>
      <c r="Z632">
        <v>0</v>
      </c>
      <c r="AA632" s="2">
        <v>-154636.75160000002</v>
      </c>
      <c r="AB632" t="str">
        <f>VLOOKUP(Table2[[#This Row],[product]],Ref[#All],6,FALSE)</f>
        <v>BAG25</v>
      </c>
    </row>
    <row r="633" spans="1:28" x14ac:dyDescent="0.25">
      <c r="A633" t="str">
        <f>TEXT(Table2[[#This Row],[dated]],"mmm")</f>
        <v>Apr</v>
      </c>
      <c r="B633" t="s">
        <v>52</v>
      </c>
      <c r="C633" s="1" t="s">
        <v>536</v>
      </c>
      <c r="D633" t="str">
        <f>VLOOKUP(Table2[[#This Row],[product]],Ref[#All],7,FALSE)</f>
        <v>Flour</v>
      </c>
      <c r="E633" s="1" t="s">
        <v>36</v>
      </c>
      <c r="F633" t="str">
        <f>VLOOKUP(Table2[[#This Row],[product]],Ref[#All],2,FALSE)</f>
        <v>Flour Import Elngm 25Kg</v>
      </c>
      <c r="G633" t="str">
        <f>VLOOKUP(Table2[[#This Row],[product]],Ref[#All],3,FALSE)</f>
        <v>Flour Al-Nagm (Imported)</v>
      </c>
      <c r="H633" t="str">
        <f>VLOOKUP(Table2[[#This Row],[product]],Ref[#All],4,FALSE)</f>
        <v>Import</v>
      </c>
      <c r="I633" s="1">
        <v>45771</v>
      </c>
      <c r="J633" t="s">
        <v>53</v>
      </c>
      <c r="K633" t="s">
        <v>1096</v>
      </c>
      <c r="L633" t="s">
        <v>1651</v>
      </c>
      <c r="M633" t="s">
        <v>1586</v>
      </c>
      <c r="N633" t="s">
        <v>784</v>
      </c>
      <c r="O633" t="s">
        <v>785</v>
      </c>
      <c r="P633" t="s">
        <v>788</v>
      </c>
      <c r="Q633" t="s">
        <v>55</v>
      </c>
      <c r="R633">
        <v>-2</v>
      </c>
      <c r="S633" s="15">
        <f>Table2[[#This Row],[movement_quantity]]/VLOOKUP(Table2[[#This Row],[product]],Ref[#All],5,FALSE)</f>
        <v>-0.05</v>
      </c>
      <c r="T633">
        <v>30927.350320000001</v>
      </c>
      <c r="U633" t="s">
        <v>17</v>
      </c>
      <c r="V633" t="s">
        <v>1097</v>
      </c>
      <c r="W633" t="s">
        <v>1098</v>
      </c>
      <c r="X633" t="s">
        <v>17</v>
      </c>
      <c r="Y633" t="s">
        <v>582</v>
      </c>
      <c r="Z633">
        <v>0</v>
      </c>
      <c r="AA633" s="2">
        <v>-61854.700640000003</v>
      </c>
      <c r="AB633" t="str">
        <f>VLOOKUP(Table2[[#This Row],[product]],Ref[#All],6,FALSE)</f>
        <v>BAG25</v>
      </c>
    </row>
    <row r="634" spans="1:28" x14ac:dyDescent="0.25">
      <c r="A634" t="str">
        <f>TEXT(Table2[[#This Row],[dated]],"mmm")</f>
        <v>Apr</v>
      </c>
      <c r="B634" t="s">
        <v>52</v>
      </c>
      <c r="C634" s="1" t="s">
        <v>536</v>
      </c>
      <c r="D634" t="str">
        <f>VLOOKUP(Table2[[#This Row],[product]],Ref[#All],7,FALSE)</f>
        <v>Lentils</v>
      </c>
      <c r="E634" s="1" t="s">
        <v>39</v>
      </c>
      <c r="F634" t="str">
        <f>VLOOKUP(Table2[[#This Row],[product]],Ref[#All],2,FALSE)</f>
        <v>Lentil TAT 20KG</v>
      </c>
      <c r="G634" t="str">
        <f>VLOOKUP(Table2[[#This Row],[product]],Ref[#All],3,FALSE)</f>
        <v>Lentils</v>
      </c>
      <c r="H634" t="str">
        <f>VLOOKUP(Table2[[#This Row],[product]],Ref[#All],4,FALSE)</f>
        <v>Import</v>
      </c>
      <c r="I634" s="1">
        <v>45771</v>
      </c>
      <c r="J634" t="s">
        <v>53</v>
      </c>
      <c r="K634" t="s">
        <v>1099</v>
      </c>
      <c r="L634" t="s">
        <v>1651</v>
      </c>
      <c r="M634" t="s">
        <v>1586</v>
      </c>
      <c r="N634" t="s">
        <v>784</v>
      </c>
      <c r="O634" t="s">
        <v>785</v>
      </c>
      <c r="P634" t="s">
        <v>788</v>
      </c>
      <c r="Q634" t="s">
        <v>55</v>
      </c>
      <c r="R634">
        <v>-3</v>
      </c>
      <c r="S634" s="15">
        <f>Table2[[#This Row],[movement_quantity]]/VLOOKUP(Table2[[#This Row],[product]],Ref[#All],5,FALSE)</f>
        <v>-0.06</v>
      </c>
      <c r="T634">
        <v>48291.345670000002</v>
      </c>
      <c r="U634" t="s">
        <v>17</v>
      </c>
      <c r="V634" t="s">
        <v>18</v>
      </c>
      <c r="W634" t="s">
        <v>1100</v>
      </c>
      <c r="X634" t="s">
        <v>17</v>
      </c>
      <c r="Y634" t="s">
        <v>649</v>
      </c>
      <c r="Z634">
        <v>0</v>
      </c>
      <c r="AA634" s="2">
        <v>-144874.03701</v>
      </c>
      <c r="AB634" t="str">
        <f>VLOOKUP(Table2[[#This Row],[product]],Ref[#All],6,FALSE)</f>
        <v>BAG20</v>
      </c>
    </row>
    <row r="635" spans="1:28" x14ac:dyDescent="0.25">
      <c r="A635" t="str">
        <f>TEXT(Table2[[#This Row],[dated]],"mmm")</f>
        <v>Apr</v>
      </c>
      <c r="B635" t="s">
        <v>52</v>
      </c>
      <c r="C635" s="1" t="s">
        <v>536</v>
      </c>
      <c r="D635" t="str">
        <f>VLOOKUP(Table2[[#This Row],[product]],Ref[#All],7,FALSE)</f>
        <v>Lentils</v>
      </c>
      <c r="E635" s="1" t="s">
        <v>39</v>
      </c>
      <c r="F635" t="str">
        <f>VLOOKUP(Table2[[#This Row],[product]],Ref[#All],2,FALSE)</f>
        <v>Lentil TAT 20KG</v>
      </c>
      <c r="G635" t="str">
        <f>VLOOKUP(Table2[[#This Row],[product]],Ref[#All],3,FALSE)</f>
        <v>Lentils</v>
      </c>
      <c r="H635" t="str">
        <f>VLOOKUP(Table2[[#This Row],[product]],Ref[#All],4,FALSE)</f>
        <v>Import</v>
      </c>
      <c r="I635" s="1">
        <v>45771</v>
      </c>
      <c r="J635" t="s">
        <v>53</v>
      </c>
      <c r="K635" t="s">
        <v>1101</v>
      </c>
      <c r="L635" t="s">
        <v>1651</v>
      </c>
      <c r="M635" t="s">
        <v>1586</v>
      </c>
      <c r="N635" t="s">
        <v>784</v>
      </c>
      <c r="O635" t="s">
        <v>785</v>
      </c>
      <c r="P635" t="s">
        <v>788</v>
      </c>
      <c r="Q635" t="s">
        <v>55</v>
      </c>
      <c r="R635">
        <v>-6</v>
      </c>
      <c r="S635" s="15">
        <f>Table2[[#This Row],[movement_quantity]]/VLOOKUP(Table2[[#This Row],[product]],Ref[#All],5,FALSE)</f>
        <v>-0.12</v>
      </c>
      <c r="T635">
        <v>48291.345670000002</v>
      </c>
      <c r="U635" t="s">
        <v>17</v>
      </c>
      <c r="V635" t="s">
        <v>21</v>
      </c>
      <c r="W635" t="s">
        <v>1102</v>
      </c>
      <c r="X635" t="s">
        <v>17</v>
      </c>
      <c r="Y635" t="s">
        <v>649</v>
      </c>
      <c r="Z635">
        <v>0</v>
      </c>
      <c r="AA635" s="2">
        <v>-289748.07402</v>
      </c>
      <c r="AB635" t="str">
        <f>VLOOKUP(Table2[[#This Row],[product]],Ref[#All],6,FALSE)</f>
        <v>BAG20</v>
      </c>
    </row>
    <row r="636" spans="1:28" x14ac:dyDescent="0.25">
      <c r="A636" t="str">
        <f>TEXT(Table2[[#This Row],[dated]],"mmm")</f>
        <v>Apr</v>
      </c>
      <c r="B636" t="s">
        <v>52</v>
      </c>
      <c r="C636" s="1" t="s">
        <v>536</v>
      </c>
      <c r="D636" t="str">
        <f>VLOOKUP(Table2[[#This Row],[product]],Ref[#All],7,FALSE)</f>
        <v>Lentils</v>
      </c>
      <c r="E636" s="1" t="s">
        <v>39</v>
      </c>
      <c r="F636" t="str">
        <f>VLOOKUP(Table2[[#This Row],[product]],Ref[#All],2,FALSE)</f>
        <v>Lentil TAT 20KG</v>
      </c>
      <c r="G636" t="str">
        <f>VLOOKUP(Table2[[#This Row],[product]],Ref[#All],3,FALSE)</f>
        <v>Lentils</v>
      </c>
      <c r="H636" t="str">
        <f>VLOOKUP(Table2[[#This Row],[product]],Ref[#All],4,FALSE)</f>
        <v>Import</v>
      </c>
      <c r="I636" s="1">
        <v>45771</v>
      </c>
      <c r="J636" t="s">
        <v>53</v>
      </c>
      <c r="K636" t="s">
        <v>1103</v>
      </c>
      <c r="L636" t="s">
        <v>1651</v>
      </c>
      <c r="M636" t="s">
        <v>1586</v>
      </c>
      <c r="N636" t="s">
        <v>784</v>
      </c>
      <c r="O636" t="s">
        <v>785</v>
      </c>
      <c r="P636" t="s">
        <v>788</v>
      </c>
      <c r="Q636" t="s">
        <v>55</v>
      </c>
      <c r="R636">
        <v>-1</v>
      </c>
      <c r="S636" s="15">
        <f>Table2[[#This Row],[movement_quantity]]/VLOOKUP(Table2[[#This Row],[product]],Ref[#All],5,FALSE)</f>
        <v>-0.02</v>
      </c>
      <c r="T636">
        <v>48291.345670000002</v>
      </c>
      <c r="U636" t="s">
        <v>17</v>
      </c>
      <c r="V636" t="s">
        <v>22</v>
      </c>
      <c r="W636" t="s">
        <v>1104</v>
      </c>
      <c r="X636" t="s">
        <v>17</v>
      </c>
      <c r="Y636" t="s">
        <v>649</v>
      </c>
      <c r="Z636">
        <v>0</v>
      </c>
      <c r="AA636" s="2">
        <v>-48291.345670000002</v>
      </c>
      <c r="AB636" t="str">
        <f>VLOOKUP(Table2[[#This Row],[product]],Ref[#All],6,FALSE)</f>
        <v>BAG20</v>
      </c>
    </row>
    <row r="637" spans="1:28" x14ac:dyDescent="0.25">
      <c r="A637" t="str">
        <f>TEXT(Table2[[#This Row],[dated]],"mmm")</f>
        <v>Apr</v>
      </c>
      <c r="B637" t="s">
        <v>52</v>
      </c>
      <c r="C637" s="1" t="s">
        <v>536</v>
      </c>
      <c r="D637" t="str">
        <f>VLOOKUP(Table2[[#This Row],[product]],Ref[#All],7,FALSE)</f>
        <v>Rice</v>
      </c>
      <c r="E637" s="1" t="s">
        <v>133</v>
      </c>
      <c r="F637" t="str">
        <f>VLOOKUP(Table2[[#This Row],[product]],Ref[#All],2,FALSE)</f>
        <v>Rice Short Grain Dalian</v>
      </c>
      <c r="G637" t="str">
        <f>VLOOKUP(Table2[[#This Row],[product]],Ref[#All],3,FALSE)</f>
        <v>Rice Short Grain</v>
      </c>
      <c r="H637" t="str">
        <f>VLOOKUP(Table2[[#This Row],[product]],Ref[#All],4,FALSE)</f>
        <v>Import</v>
      </c>
      <c r="I637" s="1">
        <v>45771</v>
      </c>
      <c r="J637" t="s">
        <v>53</v>
      </c>
      <c r="K637" t="s">
        <v>1105</v>
      </c>
      <c r="L637" t="s">
        <v>1651</v>
      </c>
      <c r="M637" t="s">
        <v>1586</v>
      </c>
      <c r="N637" t="s">
        <v>784</v>
      </c>
      <c r="O637" t="s">
        <v>785</v>
      </c>
      <c r="P637" t="s">
        <v>788</v>
      </c>
      <c r="Q637" t="s">
        <v>55</v>
      </c>
      <c r="R637">
        <v>-3</v>
      </c>
      <c r="S637" s="15">
        <f>Table2[[#This Row],[movement_quantity]]/VLOOKUP(Table2[[#This Row],[product]],Ref[#All],5,FALSE)</f>
        <v>-7.4999999999999997E-2</v>
      </c>
      <c r="T637">
        <v>49550.962500000001</v>
      </c>
      <c r="U637" t="s">
        <v>17</v>
      </c>
      <c r="V637" t="s">
        <v>18</v>
      </c>
      <c r="W637" t="s">
        <v>1106</v>
      </c>
      <c r="X637" t="s">
        <v>17</v>
      </c>
      <c r="Y637" t="s">
        <v>1107</v>
      </c>
      <c r="Z637">
        <v>0</v>
      </c>
      <c r="AA637" s="2">
        <v>-148652.88750000001</v>
      </c>
      <c r="AB637" t="str">
        <f>VLOOKUP(Table2[[#This Row],[product]],Ref[#All],6,FALSE)</f>
        <v>BAG25</v>
      </c>
    </row>
    <row r="638" spans="1:28" x14ac:dyDescent="0.25">
      <c r="A638" t="str">
        <f>TEXT(Table2[[#This Row],[dated]],"mmm")</f>
        <v>Apr</v>
      </c>
      <c r="B638" t="s">
        <v>52</v>
      </c>
      <c r="C638" s="1" t="s">
        <v>536</v>
      </c>
      <c r="D638" t="str">
        <f>VLOOKUP(Table2[[#This Row],[product]],Ref[#All],7,FALSE)</f>
        <v>Rice</v>
      </c>
      <c r="E638" s="1" t="s">
        <v>47</v>
      </c>
      <c r="F638" t="str">
        <f>VLOOKUP(Table2[[#This Row],[product]],Ref[#All],2,FALSE)</f>
        <v>Rice Long Grade 2 Elngm 20Kg</v>
      </c>
      <c r="G638" t="str">
        <f>VLOOKUP(Table2[[#This Row],[product]],Ref[#All],3,FALSE)</f>
        <v>Rice Long Grain</v>
      </c>
      <c r="H638" t="str">
        <f>VLOOKUP(Table2[[#This Row],[product]],Ref[#All],4,FALSE)</f>
        <v>Import</v>
      </c>
      <c r="I638" s="1">
        <v>45771</v>
      </c>
      <c r="J638" t="s">
        <v>53</v>
      </c>
      <c r="K638" t="s">
        <v>1108</v>
      </c>
      <c r="L638" t="s">
        <v>1651</v>
      </c>
      <c r="M638" t="s">
        <v>1586</v>
      </c>
      <c r="N638" t="s">
        <v>784</v>
      </c>
      <c r="O638" t="s">
        <v>785</v>
      </c>
      <c r="P638" t="s">
        <v>788</v>
      </c>
      <c r="Q638" t="s">
        <v>55</v>
      </c>
      <c r="R638">
        <v>-5</v>
      </c>
      <c r="S638" s="15">
        <f>Table2[[#This Row],[movement_quantity]]/VLOOKUP(Table2[[#This Row],[product]],Ref[#All],5,FALSE)</f>
        <v>-0.1</v>
      </c>
      <c r="T638">
        <v>32091.618419999999</v>
      </c>
      <c r="U638" t="s">
        <v>17</v>
      </c>
      <c r="V638" t="s">
        <v>18</v>
      </c>
      <c r="W638" t="s">
        <v>1109</v>
      </c>
      <c r="X638" t="s">
        <v>17</v>
      </c>
      <c r="Y638" t="s">
        <v>1110</v>
      </c>
      <c r="Z638">
        <v>0</v>
      </c>
      <c r="AA638" s="2">
        <v>-160458.09210000001</v>
      </c>
      <c r="AB638" t="str">
        <f>VLOOKUP(Table2[[#This Row],[product]],Ref[#All],6,FALSE)</f>
        <v>BAG20</v>
      </c>
    </row>
    <row r="639" spans="1:28" x14ac:dyDescent="0.25">
      <c r="A639" t="str">
        <f>TEXT(Table2[[#This Row],[dated]],"mmm")</f>
        <v>May</v>
      </c>
      <c r="B639" t="s">
        <v>52</v>
      </c>
      <c r="C639" s="1" t="s">
        <v>536</v>
      </c>
      <c r="D639" t="str">
        <f>VLOOKUP(Table2[[#This Row],[product]],Ref[#All],7,FALSE)</f>
        <v>Flour</v>
      </c>
      <c r="E639" s="1" t="s">
        <v>36</v>
      </c>
      <c r="F639" t="str">
        <f>VLOOKUP(Table2[[#This Row],[product]],Ref[#All],2,FALSE)</f>
        <v>Flour Import Elngm 25Kg</v>
      </c>
      <c r="G639" t="str">
        <f>VLOOKUP(Table2[[#This Row],[product]],Ref[#All],3,FALSE)</f>
        <v>Flour Al-Nagm (Imported)</v>
      </c>
      <c r="H639" t="str">
        <f>VLOOKUP(Table2[[#This Row],[product]],Ref[#All],4,FALSE)</f>
        <v>Import</v>
      </c>
      <c r="I639" s="1">
        <v>45792</v>
      </c>
      <c r="J639" t="s">
        <v>53</v>
      </c>
      <c r="K639" t="s">
        <v>1133</v>
      </c>
      <c r="L639" t="s">
        <v>1651</v>
      </c>
      <c r="M639" t="s">
        <v>1586</v>
      </c>
      <c r="N639" t="s">
        <v>784</v>
      </c>
      <c r="O639" t="s">
        <v>785</v>
      </c>
      <c r="P639" t="s">
        <v>788</v>
      </c>
      <c r="Q639" t="s">
        <v>55</v>
      </c>
      <c r="R639">
        <v>-4</v>
      </c>
      <c r="S639" s="15">
        <f>Table2[[#This Row],[movement_quantity]]/VLOOKUP(Table2[[#This Row],[product]],Ref[#All],5,FALSE)</f>
        <v>-0.1</v>
      </c>
      <c r="T639">
        <v>31301.811430000002</v>
      </c>
      <c r="U639" t="s">
        <v>17</v>
      </c>
      <c r="V639" t="s">
        <v>18</v>
      </c>
      <c r="W639" t="s">
        <v>1134</v>
      </c>
      <c r="X639" t="s">
        <v>17</v>
      </c>
      <c r="Y639" t="s">
        <v>905</v>
      </c>
      <c r="Z639" s="2">
        <v>0</v>
      </c>
      <c r="AA639" s="2">
        <v>-125207.24572000001</v>
      </c>
      <c r="AB639" t="str">
        <f>VLOOKUP(Table2[[#This Row],[product]],Ref[#All],6,FALSE)</f>
        <v>BAG25</v>
      </c>
    </row>
    <row r="640" spans="1:28" x14ac:dyDescent="0.25">
      <c r="A640" t="str">
        <f>TEXT(Table2[[#This Row],[dated]],"mmm")</f>
        <v>May</v>
      </c>
      <c r="B640" t="s">
        <v>52</v>
      </c>
      <c r="C640" s="1" t="s">
        <v>536</v>
      </c>
      <c r="D640" t="str">
        <f>VLOOKUP(Table2[[#This Row],[product]],Ref[#All],7,FALSE)</f>
        <v>Flour</v>
      </c>
      <c r="E640" s="1" t="s">
        <v>36</v>
      </c>
      <c r="F640" t="str">
        <f>VLOOKUP(Table2[[#This Row],[product]],Ref[#All],2,FALSE)</f>
        <v>Flour Import Elngm 25Kg</v>
      </c>
      <c r="G640" t="str">
        <f>VLOOKUP(Table2[[#This Row],[product]],Ref[#All],3,FALSE)</f>
        <v>Flour Al-Nagm (Imported)</v>
      </c>
      <c r="H640" t="str">
        <f>VLOOKUP(Table2[[#This Row],[product]],Ref[#All],4,FALSE)</f>
        <v>Import</v>
      </c>
      <c r="I640" s="1">
        <v>45792</v>
      </c>
      <c r="J640" t="s">
        <v>53</v>
      </c>
      <c r="K640" t="s">
        <v>1135</v>
      </c>
      <c r="L640" t="s">
        <v>1651</v>
      </c>
      <c r="M640" t="s">
        <v>1586</v>
      </c>
      <c r="N640" t="s">
        <v>784</v>
      </c>
      <c r="O640" t="s">
        <v>785</v>
      </c>
      <c r="P640" t="s">
        <v>788</v>
      </c>
      <c r="Q640" t="s">
        <v>55</v>
      </c>
      <c r="R640">
        <v>-1</v>
      </c>
      <c r="S640" s="15">
        <f>Table2[[#This Row],[movement_quantity]]/VLOOKUP(Table2[[#This Row],[product]],Ref[#All],5,FALSE)</f>
        <v>-2.5000000000000001E-2</v>
      </c>
      <c r="T640">
        <v>31301.811430000002</v>
      </c>
      <c r="U640" t="s">
        <v>17</v>
      </c>
      <c r="V640" t="s">
        <v>21</v>
      </c>
      <c r="W640" t="s">
        <v>1136</v>
      </c>
      <c r="X640" t="s">
        <v>17</v>
      </c>
      <c r="Y640" t="s">
        <v>905</v>
      </c>
      <c r="Z640" s="2">
        <v>0</v>
      </c>
      <c r="AA640" s="2">
        <v>-31301.811430000002</v>
      </c>
      <c r="AB640" t="str">
        <f>VLOOKUP(Table2[[#This Row],[product]],Ref[#All],6,FALSE)</f>
        <v>BAG25</v>
      </c>
    </row>
    <row r="641" spans="1:28" x14ac:dyDescent="0.25">
      <c r="A641" t="str">
        <f>TEXT(Table2[[#This Row],[dated]],"mmm")</f>
        <v>May</v>
      </c>
      <c r="B641" t="s">
        <v>52</v>
      </c>
      <c r="C641" s="1" t="s">
        <v>536</v>
      </c>
      <c r="D641" t="str">
        <f>VLOOKUP(Table2[[#This Row],[product]],Ref[#All],7,FALSE)</f>
        <v>Flour</v>
      </c>
      <c r="E641" s="1" t="s">
        <v>36</v>
      </c>
      <c r="F641" t="str">
        <f>VLOOKUP(Table2[[#This Row],[product]],Ref[#All],2,FALSE)</f>
        <v>Flour Import Elngm 25Kg</v>
      </c>
      <c r="G641" t="str">
        <f>VLOOKUP(Table2[[#This Row],[product]],Ref[#All],3,FALSE)</f>
        <v>Flour Al-Nagm (Imported)</v>
      </c>
      <c r="H641" t="str">
        <f>VLOOKUP(Table2[[#This Row],[product]],Ref[#All],4,FALSE)</f>
        <v>Import</v>
      </c>
      <c r="I641" s="1">
        <v>45792</v>
      </c>
      <c r="J641" t="s">
        <v>53</v>
      </c>
      <c r="K641" t="s">
        <v>1137</v>
      </c>
      <c r="L641" t="s">
        <v>1651</v>
      </c>
      <c r="M641" t="s">
        <v>1586</v>
      </c>
      <c r="N641" t="s">
        <v>784</v>
      </c>
      <c r="O641" t="s">
        <v>785</v>
      </c>
      <c r="P641" t="s">
        <v>788</v>
      </c>
      <c r="Q641" t="s">
        <v>55</v>
      </c>
      <c r="R641">
        <v>-1</v>
      </c>
      <c r="S641" s="15">
        <f>Table2[[#This Row],[movement_quantity]]/VLOOKUP(Table2[[#This Row],[product]],Ref[#All],5,FALSE)</f>
        <v>-2.5000000000000001E-2</v>
      </c>
      <c r="T641">
        <v>31301.811430000002</v>
      </c>
      <c r="U641" t="s">
        <v>17</v>
      </c>
      <c r="V641" t="s">
        <v>22</v>
      </c>
      <c r="W641" t="s">
        <v>1138</v>
      </c>
      <c r="X641" t="s">
        <v>17</v>
      </c>
      <c r="Y641" t="s">
        <v>905</v>
      </c>
      <c r="Z641" s="2">
        <v>0</v>
      </c>
      <c r="AA641" s="2">
        <v>-31301.811430000002</v>
      </c>
      <c r="AB641" t="str">
        <f>VLOOKUP(Table2[[#This Row],[product]],Ref[#All],6,FALSE)</f>
        <v>BAG25</v>
      </c>
    </row>
    <row r="642" spans="1:28" x14ac:dyDescent="0.25">
      <c r="A642" t="str">
        <f>TEXT(Table2[[#This Row],[dated]],"mmm")</f>
        <v>May</v>
      </c>
      <c r="B642" t="s">
        <v>52</v>
      </c>
      <c r="C642" s="1" t="s">
        <v>536</v>
      </c>
      <c r="D642" t="str">
        <f>VLOOKUP(Table2[[#This Row],[product]],Ref[#All],7,FALSE)</f>
        <v>Flour</v>
      </c>
      <c r="E642" s="1" t="s">
        <v>36</v>
      </c>
      <c r="F642" t="str">
        <f>VLOOKUP(Table2[[#This Row],[product]],Ref[#All],2,FALSE)</f>
        <v>Flour Import Elngm 25Kg</v>
      </c>
      <c r="G642" t="str">
        <f>VLOOKUP(Table2[[#This Row],[product]],Ref[#All],3,FALSE)</f>
        <v>Flour Al-Nagm (Imported)</v>
      </c>
      <c r="H642" t="str">
        <f>VLOOKUP(Table2[[#This Row],[product]],Ref[#All],4,FALSE)</f>
        <v>Import</v>
      </c>
      <c r="I642" s="1">
        <v>45792</v>
      </c>
      <c r="J642" t="s">
        <v>53</v>
      </c>
      <c r="K642" t="s">
        <v>1137</v>
      </c>
      <c r="L642" t="s">
        <v>1651</v>
      </c>
      <c r="M642" t="s">
        <v>1586</v>
      </c>
      <c r="N642" t="s">
        <v>784</v>
      </c>
      <c r="O642" t="s">
        <v>785</v>
      </c>
      <c r="P642" t="s">
        <v>788</v>
      </c>
      <c r="Q642" t="s">
        <v>55</v>
      </c>
      <c r="R642">
        <v>-1</v>
      </c>
      <c r="S642" s="15">
        <f>Table2[[#This Row],[movement_quantity]]/VLOOKUP(Table2[[#This Row],[product]],Ref[#All],5,FALSE)</f>
        <v>-2.5000000000000001E-2</v>
      </c>
      <c r="T642">
        <v>31301.811430000002</v>
      </c>
      <c r="U642" t="s">
        <v>17</v>
      </c>
      <c r="V642" t="s">
        <v>23</v>
      </c>
      <c r="W642" t="s">
        <v>1138</v>
      </c>
      <c r="X642" t="s">
        <v>17</v>
      </c>
      <c r="Y642" t="s">
        <v>908</v>
      </c>
      <c r="Z642" s="2">
        <v>0</v>
      </c>
      <c r="AA642" s="2">
        <v>-31301.811430000002</v>
      </c>
      <c r="AB642" t="str">
        <f>VLOOKUP(Table2[[#This Row],[product]],Ref[#All],6,FALSE)</f>
        <v>BAG25</v>
      </c>
    </row>
    <row r="643" spans="1:28" x14ac:dyDescent="0.25">
      <c r="A643" t="str">
        <f>TEXT(Table2[[#This Row],[dated]],"mmm")</f>
        <v>May</v>
      </c>
      <c r="B643" t="s">
        <v>52</v>
      </c>
      <c r="C643" s="1" t="s">
        <v>536</v>
      </c>
      <c r="D643" t="str">
        <f>VLOOKUP(Table2[[#This Row],[product]],Ref[#All],7,FALSE)</f>
        <v>Flour</v>
      </c>
      <c r="E643" s="1" t="s">
        <v>36</v>
      </c>
      <c r="F643" t="str">
        <f>VLOOKUP(Table2[[#This Row],[product]],Ref[#All],2,FALSE)</f>
        <v>Flour Import Elngm 25Kg</v>
      </c>
      <c r="G643" t="str">
        <f>VLOOKUP(Table2[[#This Row],[product]],Ref[#All],3,FALSE)</f>
        <v>Flour Al-Nagm (Imported)</v>
      </c>
      <c r="H643" t="str">
        <f>VLOOKUP(Table2[[#This Row],[product]],Ref[#All],4,FALSE)</f>
        <v>Import</v>
      </c>
      <c r="I643" s="1">
        <v>45792</v>
      </c>
      <c r="J643" t="s">
        <v>53</v>
      </c>
      <c r="K643" t="s">
        <v>1139</v>
      </c>
      <c r="L643" t="s">
        <v>1651</v>
      </c>
      <c r="M643" t="s">
        <v>1586</v>
      </c>
      <c r="N643" t="s">
        <v>784</v>
      </c>
      <c r="O643" t="s">
        <v>785</v>
      </c>
      <c r="P643" t="s">
        <v>788</v>
      </c>
      <c r="Q643" t="s">
        <v>55</v>
      </c>
      <c r="R643">
        <v>-1</v>
      </c>
      <c r="S643" s="15">
        <f>Table2[[#This Row],[movement_quantity]]/VLOOKUP(Table2[[#This Row],[product]],Ref[#All],5,FALSE)</f>
        <v>-2.5000000000000001E-2</v>
      </c>
      <c r="T643">
        <v>31301.811430000002</v>
      </c>
      <c r="U643" t="s">
        <v>17</v>
      </c>
      <c r="V643" t="s">
        <v>24</v>
      </c>
      <c r="W643" t="s">
        <v>1140</v>
      </c>
      <c r="X643" t="s">
        <v>17</v>
      </c>
      <c r="Y643" t="s">
        <v>908</v>
      </c>
      <c r="Z643" s="2">
        <v>0</v>
      </c>
      <c r="AA643" s="2">
        <v>-31301.811430000002</v>
      </c>
      <c r="AB643" t="str">
        <f>VLOOKUP(Table2[[#This Row],[product]],Ref[#All],6,FALSE)</f>
        <v>BAG25</v>
      </c>
    </row>
    <row r="644" spans="1:28" x14ac:dyDescent="0.25">
      <c r="A644" t="str">
        <f>TEXT(Table2[[#This Row],[dated]],"mmm")</f>
        <v>May</v>
      </c>
      <c r="B644" t="s">
        <v>52</v>
      </c>
      <c r="C644" s="1" t="s">
        <v>536</v>
      </c>
      <c r="D644" t="str">
        <f>VLOOKUP(Table2[[#This Row],[product]],Ref[#All],7,FALSE)</f>
        <v>Flour</v>
      </c>
      <c r="E644" s="1" t="s">
        <v>36</v>
      </c>
      <c r="F644" t="str">
        <f>VLOOKUP(Table2[[#This Row],[product]],Ref[#All],2,FALSE)</f>
        <v>Flour Import Elngm 25Kg</v>
      </c>
      <c r="G644" t="str">
        <f>VLOOKUP(Table2[[#This Row],[product]],Ref[#All],3,FALSE)</f>
        <v>Flour Al-Nagm (Imported)</v>
      </c>
      <c r="H644" t="str">
        <f>VLOOKUP(Table2[[#This Row],[product]],Ref[#All],4,FALSE)</f>
        <v>Import</v>
      </c>
      <c r="I644" s="1">
        <v>45792</v>
      </c>
      <c r="J644" t="s">
        <v>53</v>
      </c>
      <c r="K644" t="s">
        <v>1141</v>
      </c>
      <c r="L644" t="s">
        <v>1651</v>
      </c>
      <c r="M644" t="s">
        <v>1586</v>
      </c>
      <c r="N644" t="s">
        <v>784</v>
      </c>
      <c r="O644" t="s">
        <v>785</v>
      </c>
      <c r="P644" t="s">
        <v>788</v>
      </c>
      <c r="Q644" t="s">
        <v>55</v>
      </c>
      <c r="R644">
        <v>-4</v>
      </c>
      <c r="S644" s="15">
        <f>Table2[[#This Row],[movement_quantity]]/VLOOKUP(Table2[[#This Row],[product]],Ref[#All],5,FALSE)</f>
        <v>-0.1</v>
      </c>
      <c r="T644">
        <v>31301.811430000002</v>
      </c>
      <c r="U644" t="s">
        <v>17</v>
      </c>
      <c r="V644" t="s">
        <v>25</v>
      </c>
      <c r="W644" t="s">
        <v>1142</v>
      </c>
      <c r="X644" t="s">
        <v>17</v>
      </c>
      <c r="Y644" t="s">
        <v>908</v>
      </c>
      <c r="Z644" s="2">
        <v>0</v>
      </c>
      <c r="AA644" s="2">
        <v>-125207.24572000001</v>
      </c>
      <c r="AB644" t="str">
        <f>VLOOKUP(Table2[[#This Row],[product]],Ref[#All],6,FALSE)</f>
        <v>BAG25</v>
      </c>
    </row>
    <row r="645" spans="1:28" x14ac:dyDescent="0.25">
      <c r="A645" t="str">
        <f>TEXT(Table2[[#This Row],[dated]],"mmm")</f>
        <v>May</v>
      </c>
      <c r="B645" t="s">
        <v>52</v>
      </c>
      <c r="C645" s="1" t="s">
        <v>536</v>
      </c>
      <c r="D645" t="str">
        <f>VLOOKUP(Table2[[#This Row],[product]],Ref[#All],7,FALSE)</f>
        <v>Flour</v>
      </c>
      <c r="E645" s="1" t="s">
        <v>36</v>
      </c>
      <c r="F645" t="str">
        <f>VLOOKUP(Table2[[#This Row],[product]],Ref[#All],2,FALSE)</f>
        <v>Flour Import Elngm 25Kg</v>
      </c>
      <c r="G645" t="str">
        <f>VLOOKUP(Table2[[#This Row],[product]],Ref[#All],3,FALSE)</f>
        <v>Flour Al-Nagm (Imported)</v>
      </c>
      <c r="H645" t="str">
        <f>VLOOKUP(Table2[[#This Row],[product]],Ref[#All],4,FALSE)</f>
        <v>Import</v>
      </c>
      <c r="I645" s="1">
        <v>45792</v>
      </c>
      <c r="J645" t="s">
        <v>53</v>
      </c>
      <c r="K645" t="s">
        <v>1141</v>
      </c>
      <c r="L645" t="s">
        <v>1651</v>
      </c>
      <c r="M645" t="s">
        <v>1586</v>
      </c>
      <c r="N645" t="s">
        <v>784</v>
      </c>
      <c r="O645" t="s">
        <v>785</v>
      </c>
      <c r="P645" t="s">
        <v>788</v>
      </c>
      <c r="Q645" t="s">
        <v>55</v>
      </c>
      <c r="R645">
        <v>-1</v>
      </c>
      <c r="S645" s="15">
        <f>Table2[[#This Row],[movement_quantity]]/VLOOKUP(Table2[[#This Row],[product]],Ref[#All],5,FALSE)</f>
        <v>-2.5000000000000001E-2</v>
      </c>
      <c r="T645">
        <v>31301.811430000002</v>
      </c>
      <c r="U645" t="s">
        <v>17</v>
      </c>
      <c r="V645" t="s">
        <v>26</v>
      </c>
      <c r="W645" t="s">
        <v>1142</v>
      </c>
      <c r="X645" t="s">
        <v>17</v>
      </c>
      <c r="Y645" t="s">
        <v>911</v>
      </c>
      <c r="Z645" s="2">
        <v>0</v>
      </c>
      <c r="AA645" s="2">
        <v>-31301.811430000002</v>
      </c>
      <c r="AB645" t="str">
        <f>VLOOKUP(Table2[[#This Row],[product]],Ref[#All],6,FALSE)</f>
        <v>BAG25</v>
      </c>
    </row>
    <row r="646" spans="1:28" x14ac:dyDescent="0.25">
      <c r="A646" t="str">
        <f>TEXT(Table2[[#This Row],[dated]],"mmm")</f>
        <v>May</v>
      </c>
      <c r="B646" t="s">
        <v>52</v>
      </c>
      <c r="C646" s="1" t="s">
        <v>536</v>
      </c>
      <c r="D646" t="str">
        <f>VLOOKUP(Table2[[#This Row],[product]],Ref[#All],7,FALSE)</f>
        <v>Flour</v>
      </c>
      <c r="E646" s="1" t="s">
        <v>36</v>
      </c>
      <c r="F646" t="str">
        <f>VLOOKUP(Table2[[#This Row],[product]],Ref[#All],2,FALSE)</f>
        <v>Flour Import Elngm 25Kg</v>
      </c>
      <c r="G646" t="str">
        <f>VLOOKUP(Table2[[#This Row],[product]],Ref[#All],3,FALSE)</f>
        <v>Flour Al-Nagm (Imported)</v>
      </c>
      <c r="H646" t="str">
        <f>VLOOKUP(Table2[[#This Row],[product]],Ref[#All],4,FALSE)</f>
        <v>Import</v>
      </c>
      <c r="I646" s="1">
        <v>45792</v>
      </c>
      <c r="J646" t="s">
        <v>53</v>
      </c>
      <c r="K646" t="s">
        <v>1143</v>
      </c>
      <c r="L646" t="s">
        <v>1651</v>
      </c>
      <c r="M646" t="s">
        <v>1586</v>
      </c>
      <c r="N646" t="s">
        <v>784</v>
      </c>
      <c r="O646" t="s">
        <v>785</v>
      </c>
      <c r="P646" t="s">
        <v>788</v>
      </c>
      <c r="Q646" t="s">
        <v>55</v>
      </c>
      <c r="R646">
        <v>-7</v>
      </c>
      <c r="S646" s="15">
        <f>Table2[[#This Row],[movement_quantity]]/VLOOKUP(Table2[[#This Row],[product]],Ref[#All],5,FALSE)</f>
        <v>-0.17499999999999999</v>
      </c>
      <c r="T646">
        <v>31301.811430000002</v>
      </c>
      <c r="U646" t="s">
        <v>17</v>
      </c>
      <c r="V646" t="s">
        <v>27</v>
      </c>
      <c r="W646" t="s">
        <v>1144</v>
      </c>
      <c r="X646" t="s">
        <v>17</v>
      </c>
      <c r="Y646" t="s">
        <v>911</v>
      </c>
      <c r="Z646" s="2">
        <v>0</v>
      </c>
      <c r="AA646" s="2">
        <v>-219112.68001000001</v>
      </c>
      <c r="AB646" t="str">
        <f>VLOOKUP(Table2[[#This Row],[product]],Ref[#All],6,FALSE)</f>
        <v>BAG25</v>
      </c>
    </row>
    <row r="647" spans="1:28" x14ac:dyDescent="0.25">
      <c r="A647" t="str">
        <f>TEXT(Table2[[#This Row],[dated]],"mmm")</f>
        <v>May</v>
      </c>
      <c r="B647" t="s">
        <v>52</v>
      </c>
      <c r="C647" s="1" t="s">
        <v>536</v>
      </c>
      <c r="D647" t="str">
        <f>VLOOKUP(Table2[[#This Row],[product]],Ref[#All],7,FALSE)</f>
        <v>Flour</v>
      </c>
      <c r="E647" s="1" t="s">
        <v>36</v>
      </c>
      <c r="F647" t="str">
        <f>VLOOKUP(Table2[[#This Row],[product]],Ref[#All],2,FALSE)</f>
        <v>Flour Import Elngm 25Kg</v>
      </c>
      <c r="G647" t="str">
        <f>VLOOKUP(Table2[[#This Row],[product]],Ref[#All],3,FALSE)</f>
        <v>Flour Al-Nagm (Imported)</v>
      </c>
      <c r="H647" t="str">
        <f>VLOOKUP(Table2[[#This Row],[product]],Ref[#All],4,FALSE)</f>
        <v>Import</v>
      </c>
      <c r="I647" s="1">
        <v>45792</v>
      </c>
      <c r="J647" t="s">
        <v>53</v>
      </c>
      <c r="K647" t="s">
        <v>1145</v>
      </c>
      <c r="L647" t="s">
        <v>1651</v>
      </c>
      <c r="M647" t="s">
        <v>1586</v>
      </c>
      <c r="N647" t="s">
        <v>784</v>
      </c>
      <c r="O647" t="s">
        <v>785</v>
      </c>
      <c r="P647" t="s">
        <v>788</v>
      </c>
      <c r="Q647" t="s">
        <v>55</v>
      </c>
      <c r="R647">
        <v>-1</v>
      </c>
      <c r="S647" s="15">
        <f>Table2[[#This Row],[movement_quantity]]/VLOOKUP(Table2[[#This Row],[product]],Ref[#All],5,FALSE)</f>
        <v>-2.5000000000000001E-2</v>
      </c>
      <c r="T647">
        <v>31301.811430000002</v>
      </c>
      <c r="U647" t="s">
        <v>17</v>
      </c>
      <c r="V647" t="s">
        <v>28</v>
      </c>
      <c r="W647" t="s">
        <v>1146</v>
      </c>
      <c r="X647" t="s">
        <v>17</v>
      </c>
      <c r="Y647" t="s">
        <v>911</v>
      </c>
      <c r="Z647" s="2">
        <v>0</v>
      </c>
      <c r="AA647" s="2">
        <v>-31301.811430000002</v>
      </c>
      <c r="AB647" t="str">
        <f>VLOOKUP(Table2[[#This Row],[product]],Ref[#All],6,FALSE)</f>
        <v>BAG25</v>
      </c>
    </row>
    <row r="648" spans="1:28" x14ac:dyDescent="0.25">
      <c r="A648" t="str">
        <f>TEXT(Table2[[#This Row],[dated]],"mmm")</f>
        <v>May</v>
      </c>
      <c r="B648" t="s">
        <v>52</v>
      </c>
      <c r="C648" s="1" t="s">
        <v>536</v>
      </c>
      <c r="D648" t="str">
        <f>VLOOKUP(Table2[[#This Row],[product]],Ref[#All],7,FALSE)</f>
        <v>Flour</v>
      </c>
      <c r="E648" s="1" t="s">
        <v>36</v>
      </c>
      <c r="F648" t="str">
        <f>VLOOKUP(Table2[[#This Row],[product]],Ref[#All],2,FALSE)</f>
        <v>Flour Import Elngm 25Kg</v>
      </c>
      <c r="G648" t="str">
        <f>VLOOKUP(Table2[[#This Row],[product]],Ref[#All],3,FALSE)</f>
        <v>Flour Al-Nagm (Imported)</v>
      </c>
      <c r="H648" t="str">
        <f>VLOOKUP(Table2[[#This Row],[product]],Ref[#All],4,FALSE)</f>
        <v>Import</v>
      </c>
      <c r="I648" s="1">
        <v>45792</v>
      </c>
      <c r="J648" t="s">
        <v>53</v>
      </c>
      <c r="K648" t="s">
        <v>1147</v>
      </c>
      <c r="L648" t="s">
        <v>1651</v>
      </c>
      <c r="M648" t="s">
        <v>1586</v>
      </c>
      <c r="N648" t="s">
        <v>784</v>
      </c>
      <c r="O648" t="s">
        <v>785</v>
      </c>
      <c r="P648" t="s">
        <v>788</v>
      </c>
      <c r="Q648" t="s">
        <v>55</v>
      </c>
      <c r="R648">
        <v>-5</v>
      </c>
      <c r="S648" s="15">
        <f>Table2[[#This Row],[movement_quantity]]/VLOOKUP(Table2[[#This Row],[product]],Ref[#All],5,FALSE)</f>
        <v>-0.125</v>
      </c>
      <c r="T648">
        <v>31301.811430000002</v>
      </c>
      <c r="U648" t="s">
        <v>17</v>
      </c>
      <c r="V648" t="s">
        <v>29</v>
      </c>
      <c r="W648" t="s">
        <v>1148</v>
      </c>
      <c r="X648" t="s">
        <v>17</v>
      </c>
      <c r="Y648" t="s">
        <v>911</v>
      </c>
      <c r="Z648" s="2">
        <v>0</v>
      </c>
      <c r="AA648" s="2">
        <v>-156509.05715000001</v>
      </c>
      <c r="AB648" t="str">
        <f>VLOOKUP(Table2[[#This Row],[product]],Ref[#All],6,FALSE)</f>
        <v>BAG25</v>
      </c>
    </row>
    <row r="649" spans="1:28" x14ac:dyDescent="0.25">
      <c r="A649" t="str">
        <f>TEXT(Table2[[#This Row],[dated]],"mmm")</f>
        <v>May</v>
      </c>
      <c r="B649" t="s">
        <v>52</v>
      </c>
      <c r="C649" s="1" t="s">
        <v>536</v>
      </c>
      <c r="D649" t="str">
        <f>VLOOKUP(Table2[[#This Row],[product]],Ref[#All],7,FALSE)</f>
        <v>Flour</v>
      </c>
      <c r="E649" s="1" t="s">
        <v>36</v>
      </c>
      <c r="F649" t="str">
        <f>VLOOKUP(Table2[[#This Row],[product]],Ref[#All],2,FALSE)</f>
        <v>Flour Import Elngm 25Kg</v>
      </c>
      <c r="G649" t="str">
        <f>VLOOKUP(Table2[[#This Row],[product]],Ref[#All],3,FALSE)</f>
        <v>Flour Al-Nagm (Imported)</v>
      </c>
      <c r="H649" t="str">
        <f>VLOOKUP(Table2[[#This Row],[product]],Ref[#All],4,FALSE)</f>
        <v>Import</v>
      </c>
      <c r="I649" s="1">
        <v>45792</v>
      </c>
      <c r="J649" t="s">
        <v>53</v>
      </c>
      <c r="K649" t="s">
        <v>1149</v>
      </c>
      <c r="L649" t="s">
        <v>1651</v>
      </c>
      <c r="M649" t="s">
        <v>1586</v>
      </c>
      <c r="N649" t="s">
        <v>784</v>
      </c>
      <c r="O649" t="s">
        <v>785</v>
      </c>
      <c r="P649" t="s">
        <v>788</v>
      </c>
      <c r="Q649" t="s">
        <v>55</v>
      </c>
      <c r="R649">
        <v>-4</v>
      </c>
      <c r="S649" s="15">
        <f>Table2[[#This Row],[movement_quantity]]/VLOOKUP(Table2[[#This Row],[product]],Ref[#All],5,FALSE)</f>
        <v>-0.1</v>
      </c>
      <c r="T649">
        <v>31301.811430000002</v>
      </c>
      <c r="U649" t="s">
        <v>17</v>
      </c>
      <c r="V649" t="s">
        <v>31</v>
      </c>
      <c r="W649" t="s">
        <v>1150</v>
      </c>
      <c r="X649" t="s">
        <v>17</v>
      </c>
      <c r="Y649" t="s">
        <v>911</v>
      </c>
      <c r="Z649" s="2">
        <v>0</v>
      </c>
      <c r="AA649" s="2">
        <v>-125207.24572000001</v>
      </c>
      <c r="AB649" t="str">
        <f>VLOOKUP(Table2[[#This Row],[product]],Ref[#All],6,FALSE)</f>
        <v>BAG25</v>
      </c>
    </row>
    <row r="650" spans="1:28" x14ac:dyDescent="0.25">
      <c r="A650" t="str">
        <f>TEXT(Table2[[#This Row],[dated]],"mmm")</f>
        <v>May</v>
      </c>
      <c r="B650" t="s">
        <v>52</v>
      </c>
      <c r="C650" s="1" t="s">
        <v>536</v>
      </c>
      <c r="D650" t="str">
        <f>VLOOKUP(Table2[[#This Row],[product]],Ref[#All],7,FALSE)</f>
        <v>Flour</v>
      </c>
      <c r="E650" s="1" t="s">
        <v>36</v>
      </c>
      <c r="F650" t="str">
        <f>VLOOKUP(Table2[[#This Row],[product]],Ref[#All],2,FALSE)</f>
        <v>Flour Import Elngm 25Kg</v>
      </c>
      <c r="G650" t="str">
        <f>VLOOKUP(Table2[[#This Row],[product]],Ref[#All],3,FALSE)</f>
        <v>Flour Al-Nagm (Imported)</v>
      </c>
      <c r="H650" t="str">
        <f>VLOOKUP(Table2[[#This Row],[product]],Ref[#All],4,FALSE)</f>
        <v>Import</v>
      </c>
      <c r="I650" s="1">
        <v>45792</v>
      </c>
      <c r="J650" t="s">
        <v>53</v>
      </c>
      <c r="K650" t="s">
        <v>1151</v>
      </c>
      <c r="L650" t="s">
        <v>1651</v>
      </c>
      <c r="M650" t="s">
        <v>1586</v>
      </c>
      <c r="N650" t="s">
        <v>784</v>
      </c>
      <c r="O650" t="s">
        <v>785</v>
      </c>
      <c r="P650" t="s">
        <v>788</v>
      </c>
      <c r="Q650" t="s">
        <v>55</v>
      </c>
      <c r="R650">
        <v>-5</v>
      </c>
      <c r="S650" s="15">
        <f>Table2[[#This Row],[movement_quantity]]/VLOOKUP(Table2[[#This Row],[product]],Ref[#All],5,FALSE)</f>
        <v>-0.125</v>
      </c>
      <c r="T650">
        <v>31301.811430000002</v>
      </c>
      <c r="U650" t="s">
        <v>17</v>
      </c>
      <c r="V650" t="s">
        <v>32</v>
      </c>
      <c r="W650" t="s">
        <v>1152</v>
      </c>
      <c r="X650" t="s">
        <v>17</v>
      </c>
      <c r="Y650" t="s">
        <v>911</v>
      </c>
      <c r="Z650" s="2">
        <v>0</v>
      </c>
      <c r="AA650" s="2">
        <v>-156509.05715000001</v>
      </c>
      <c r="AB650" t="str">
        <f>VLOOKUP(Table2[[#This Row],[product]],Ref[#All],6,FALSE)</f>
        <v>BAG25</v>
      </c>
    </row>
    <row r="651" spans="1:28" x14ac:dyDescent="0.25">
      <c r="A651" t="str">
        <f>TEXT(Table2[[#This Row],[dated]],"mmm")</f>
        <v>May</v>
      </c>
      <c r="B651" t="s">
        <v>52</v>
      </c>
      <c r="C651" s="1" t="s">
        <v>536</v>
      </c>
      <c r="D651" t="str">
        <f>VLOOKUP(Table2[[#This Row],[product]],Ref[#All],7,FALSE)</f>
        <v>Flour</v>
      </c>
      <c r="E651" s="1" t="s">
        <v>36</v>
      </c>
      <c r="F651" t="str">
        <f>VLOOKUP(Table2[[#This Row],[product]],Ref[#All],2,FALSE)</f>
        <v>Flour Import Elngm 25Kg</v>
      </c>
      <c r="G651" t="str">
        <f>VLOOKUP(Table2[[#This Row],[product]],Ref[#All],3,FALSE)</f>
        <v>Flour Al-Nagm (Imported)</v>
      </c>
      <c r="H651" t="str">
        <f>VLOOKUP(Table2[[#This Row],[product]],Ref[#All],4,FALSE)</f>
        <v>Import</v>
      </c>
      <c r="I651" s="1">
        <v>45804</v>
      </c>
      <c r="J651" t="s">
        <v>53</v>
      </c>
      <c r="K651" t="s">
        <v>1156</v>
      </c>
      <c r="L651" t="s">
        <v>1651</v>
      </c>
      <c r="M651" t="s">
        <v>1586</v>
      </c>
      <c r="N651" t="s">
        <v>784</v>
      </c>
      <c r="O651" t="s">
        <v>785</v>
      </c>
      <c r="P651" t="s">
        <v>788</v>
      </c>
      <c r="Q651" t="s">
        <v>55</v>
      </c>
      <c r="R651">
        <v>-1</v>
      </c>
      <c r="S651" s="15">
        <f>Table2[[#This Row],[movement_quantity]]/VLOOKUP(Table2[[#This Row],[product]],Ref[#All],5,FALSE)</f>
        <v>-2.5000000000000001E-2</v>
      </c>
      <c r="T651">
        <v>31301.811430000002</v>
      </c>
      <c r="U651" t="s">
        <v>17</v>
      </c>
      <c r="V651" t="s">
        <v>1157</v>
      </c>
      <c r="W651" t="s">
        <v>1158</v>
      </c>
      <c r="X651" t="s">
        <v>17</v>
      </c>
      <c r="Y651" t="s">
        <v>587</v>
      </c>
      <c r="Z651" s="2">
        <v>0</v>
      </c>
      <c r="AA651" s="2">
        <v>-31301.811430000002</v>
      </c>
      <c r="AB651" t="str">
        <f>VLOOKUP(Table2[[#This Row],[product]],Ref[#All],6,FALSE)</f>
        <v>BAG25</v>
      </c>
    </row>
    <row r="652" spans="1:28" x14ac:dyDescent="0.25">
      <c r="A652" t="str">
        <f>TEXT(Table2[[#This Row],[dated]],"mmm")</f>
        <v>May</v>
      </c>
      <c r="B652" t="s">
        <v>52</v>
      </c>
      <c r="C652" s="1" t="s">
        <v>536</v>
      </c>
      <c r="D652" t="str">
        <f>VLOOKUP(Table2[[#This Row],[product]],Ref[#All],7,FALSE)</f>
        <v>Flour</v>
      </c>
      <c r="E652" s="1" t="s">
        <v>36</v>
      </c>
      <c r="F652" t="str">
        <f>VLOOKUP(Table2[[#This Row],[product]],Ref[#All],2,FALSE)</f>
        <v>Flour Import Elngm 25Kg</v>
      </c>
      <c r="G652" t="str">
        <f>VLOOKUP(Table2[[#This Row],[product]],Ref[#All],3,FALSE)</f>
        <v>Flour Al-Nagm (Imported)</v>
      </c>
      <c r="H652" t="str">
        <f>VLOOKUP(Table2[[#This Row],[product]],Ref[#All],4,FALSE)</f>
        <v>Import</v>
      </c>
      <c r="I652" s="1">
        <v>45804</v>
      </c>
      <c r="J652" t="s">
        <v>53</v>
      </c>
      <c r="K652" t="s">
        <v>1159</v>
      </c>
      <c r="L652" t="s">
        <v>1651</v>
      </c>
      <c r="M652" t="s">
        <v>1586</v>
      </c>
      <c r="N652" t="s">
        <v>784</v>
      </c>
      <c r="O652" t="s">
        <v>785</v>
      </c>
      <c r="P652" t="s">
        <v>788</v>
      </c>
      <c r="Q652" t="s">
        <v>55</v>
      </c>
      <c r="R652">
        <v>-2</v>
      </c>
      <c r="S652" s="15">
        <f>Table2[[#This Row],[movement_quantity]]/VLOOKUP(Table2[[#This Row],[product]],Ref[#All],5,FALSE)</f>
        <v>-0.05</v>
      </c>
      <c r="T652">
        <v>31301.811430000002</v>
      </c>
      <c r="U652" t="s">
        <v>17</v>
      </c>
      <c r="V652" t="s">
        <v>1160</v>
      </c>
      <c r="W652" t="s">
        <v>1161</v>
      </c>
      <c r="X652" t="s">
        <v>17</v>
      </c>
      <c r="Y652" t="s">
        <v>587</v>
      </c>
      <c r="Z652" s="2">
        <v>0</v>
      </c>
      <c r="AA652" s="2">
        <v>-62603.622860000003</v>
      </c>
      <c r="AB652" t="str">
        <f>VLOOKUP(Table2[[#This Row],[product]],Ref[#All],6,FALSE)</f>
        <v>BAG25</v>
      </c>
    </row>
    <row r="653" spans="1:28" x14ac:dyDescent="0.25">
      <c r="A653" t="str">
        <f>TEXT(Table2[[#This Row],[dated]],"mmm")</f>
        <v>May</v>
      </c>
      <c r="B653" t="s">
        <v>52</v>
      </c>
      <c r="C653" s="1" t="s">
        <v>536</v>
      </c>
      <c r="D653" t="str">
        <f>VLOOKUP(Table2[[#This Row],[product]],Ref[#All],7,FALSE)</f>
        <v>Flour</v>
      </c>
      <c r="E653" s="1" t="s">
        <v>36</v>
      </c>
      <c r="F653" t="str">
        <f>VLOOKUP(Table2[[#This Row],[product]],Ref[#All],2,FALSE)</f>
        <v>Flour Import Elngm 25Kg</v>
      </c>
      <c r="G653" t="str">
        <f>VLOOKUP(Table2[[#This Row],[product]],Ref[#All],3,FALSE)</f>
        <v>Flour Al-Nagm (Imported)</v>
      </c>
      <c r="H653" t="str">
        <f>VLOOKUP(Table2[[#This Row],[product]],Ref[#All],4,FALSE)</f>
        <v>Import</v>
      </c>
      <c r="I653" s="1">
        <v>45804</v>
      </c>
      <c r="J653" t="s">
        <v>53</v>
      </c>
      <c r="K653" t="s">
        <v>1162</v>
      </c>
      <c r="L653" t="s">
        <v>1651</v>
      </c>
      <c r="M653" t="s">
        <v>1586</v>
      </c>
      <c r="N653" t="s">
        <v>784</v>
      </c>
      <c r="O653" t="s">
        <v>785</v>
      </c>
      <c r="P653" t="s">
        <v>788</v>
      </c>
      <c r="Q653" t="s">
        <v>55</v>
      </c>
      <c r="R653">
        <v>-3</v>
      </c>
      <c r="S653" s="15">
        <f>Table2[[#This Row],[movement_quantity]]/VLOOKUP(Table2[[#This Row],[product]],Ref[#All],5,FALSE)</f>
        <v>-7.4999999999999997E-2</v>
      </c>
      <c r="T653">
        <v>31301.811430000002</v>
      </c>
      <c r="U653" t="s">
        <v>17</v>
      </c>
      <c r="V653" t="s">
        <v>1163</v>
      </c>
      <c r="W653" t="s">
        <v>1164</v>
      </c>
      <c r="X653" t="s">
        <v>17</v>
      </c>
      <c r="Y653" t="s">
        <v>587</v>
      </c>
      <c r="Z653" s="2">
        <v>0</v>
      </c>
      <c r="AA653" s="2">
        <v>-93905.434290000005</v>
      </c>
      <c r="AB653" t="str">
        <f>VLOOKUP(Table2[[#This Row],[product]],Ref[#All],6,FALSE)</f>
        <v>BAG25</v>
      </c>
    </row>
    <row r="654" spans="1:28" x14ac:dyDescent="0.25">
      <c r="A654" t="str">
        <f>TEXT(Table2[[#This Row],[dated]],"mmm")</f>
        <v>May</v>
      </c>
      <c r="B654" t="s">
        <v>52</v>
      </c>
      <c r="C654" s="1" t="s">
        <v>536</v>
      </c>
      <c r="D654" t="str">
        <f>VLOOKUP(Table2[[#This Row],[product]],Ref[#All],7,FALSE)</f>
        <v>Flour</v>
      </c>
      <c r="E654" s="1" t="s">
        <v>36</v>
      </c>
      <c r="F654" t="str">
        <f>VLOOKUP(Table2[[#This Row],[product]],Ref[#All],2,FALSE)</f>
        <v>Flour Import Elngm 25Kg</v>
      </c>
      <c r="G654" t="str">
        <f>VLOOKUP(Table2[[#This Row],[product]],Ref[#All],3,FALSE)</f>
        <v>Flour Al-Nagm (Imported)</v>
      </c>
      <c r="H654" t="str">
        <f>VLOOKUP(Table2[[#This Row],[product]],Ref[#All],4,FALSE)</f>
        <v>Import</v>
      </c>
      <c r="I654" s="1">
        <v>45804</v>
      </c>
      <c r="J654" t="s">
        <v>53</v>
      </c>
      <c r="K654" t="s">
        <v>1165</v>
      </c>
      <c r="L654" t="s">
        <v>1651</v>
      </c>
      <c r="M654" t="s">
        <v>1586</v>
      </c>
      <c r="N654" t="s">
        <v>784</v>
      </c>
      <c r="O654" t="s">
        <v>785</v>
      </c>
      <c r="P654" t="s">
        <v>788</v>
      </c>
      <c r="Q654" t="s">
        <v>55</v>
      </c>
      <c r="R654">
        <v>-2</v>
      </c>
      <c r="S654" s="15">
        <f>Table2[[#This Row],[movement_quantity]]/VLOOKUP(Table2[[#This Row],[product]],Ref[#All],5,FALSE)</f>
        <v>-0.05</v>
      </c>
      <c r="T654">
        <v>31301.811430000002</v>
      </c>
      <c r="U654" t="s">
        <v>17</v>
      </c>
      <c r="V654" t="s">
        <v>1166</v>
      </c>
      <c r="W654" t="s">
        <v>1167</v>
      </c>
      <c r="X654" t="s">
        <v>17</v>
      </c>
      <c r="Y654" t="s">
        <v>587</v>
      </c>
      <c r="Z654" s="2">
        <v>0</v>
      </c>
      <c r="AA654" s="2">
        <v>-62603.622860000003</v>
      </c>
      <c r="AB654" t="str">
        <f>VLOOKUP(Table2[[#This Row],[product]],Ref[#All],6,FALSE)</f>
        <v>BAG25</v>
      </c>
    </row>
    <row r="655" spans="1:28" x14ac:dyDescent="0.25">
      <c r="A655" t="str">
        <f>TEXT(Table2[[#This Row],[dated]],"mmm")</f>
        <v>May</v>
      </c>
      <c r="B655" t="s">
        <v>52</v>
      </c>
      <c r="C655" s="1" t="s">
        <v>536</v>
      </c>
      <c r="D655" t="str">
        <f>VLOOKUP(Table2[[#This Row],[product]],Ref[#All],7,FALSE)</f>
        <v>Flour</v>
      </c>
      <c r="E655" s="1" t="s">
        <v>36</v>
      </c>
      <c r="F655" t="str">
        <f>VLOOKUP(Table2[[#This Row],[product]],Ref[#All],2,FALSE)</f>
        <v>Flour Import Elngm 25Kg</v>
      </c>
      <c r="G655" t="str">
        <f>VLOOKUP(Table2[[#This Row],[product]],Ref[#All],3,FALSE)</f>
        <v>Flour Al-Nagm (Imported)</v>
      </c>
      <c r="H655" t="str">
        <f>VLOOKUP(Table2[[#This Row],[product]],Ref[#All],4,FALSE)</f>
        <v>Import</v>
      </c>
      <c r="I655" s="1">
        <v>45804</v>
      </c>
      <c r="J655" t="s">
        <v>53</v>
      </c>
      <c r="K655" t="s">
        <v>1168</v>
      </c>
      <c r="L655" t="s">
        <v>1651</v>
      </c>
      <c r="M655" t="s">
        <v>1586</v>
      </c>
      <c r="N655" t="s">
        <v>784</v>
      </c>
      <c r="O655" t="s">
        <v>785</v>
      </c>
      <c r="P655" t="s">
        <v>788</v>
      </c>
      <c r="Q655" t="s">
        <v>55</v>
      </c>
      <c r="R655">
        <v>-1</v>
      </c>
      <c r="S655" s="15">
        <f>Table2[[#This Row],[movement_quantity]]/VLOOKUP(Table2[[#This Row],[product]],Ref[#All],5,FALSE)</f>
        <v>-2.5000000000000001E-2</v>
      </c>
      <c r="T655">
        <v>31301.811430000002</v>
      </c>
      <c r="U655" t="s">
        <v>17</v>
      </c>
      <c r="V655" t="s">
        <v>1169</v>
      </c>
      <c r="W655" t="s">
        <v>1170</v>
      </c>
      <c r="X655" t="s">
        <v>17</v>
      </c>
      <c r="Y655" t="s">
        <v>587</v>
      </c>
      <c r="Z655" s="2">
        <v>0</v>
      </c>
      <c r="AA655" s="2">
        <v>-31301.811430000002</v>
      </c>
      <c r="AB655" t="str">
        <f>VLOOKUP(Table2[[#This Row],[product]],Ref[#All],6,FALSE)</f>
        <v>BAG25</v>
      </c>
    </row>
    <row r="656" spans="1:28" x14ac:dyDescent="0.25">
      <c r="A656" t="str">
        <f>TEXT(Table2[[#This Row],[dated]],"mmm")</f>
        <v>May</v>
      </c>
      <c r="B656" t="s">
        <v>52</v>
      </c>
      <c r="C656" s="1" t="s">
        <v>536</v>
      </c>
      <c r="D656" t="str">
        <f>VLOOKUP(Table2[[#This Row],[product]],Ref[#All],7,FALSE)</f>
        <v>Flour</v>
      </c>
      <c r="E656" s="1" t="s">
        <v>36</v>
      </c>
      <c r="F656" t="str">
        <f>VLOOKUP(Table2[[#This Row],[product]],Ref[#All],2,FALSE)</f>
        <v>Flour Import Elngm 25Kg</v>
      </c>
      <c r="G656" t="str">
        <f>VLOOKUP(Table2[[#This Row],[product]],Ref[#All],3,FALSE)</f>
        <v>Flour Al-Nagm (Imported)</v>
      </c>
      <c r="H656" t="str">
        <f>VLOOKUP(Table2[[#This Row],[product]],Ref[#All],4,FALSE)</f>
        <v>Import</v>
      </c>
      <c r="I656" s="1">
        <v>45804</v>
      </c>
      <c r="J656" t="s">
        <v>53</v>
      </c>
      <c r="K656" t="s">
        <v>1171</v>
      </c>
      <c r="L656" t="s">
        <v>1651</v>
      </c>
      <c r="M656" t="s">
        <v>1586</v>
      </c>
      <c r="N656" t="s">
        <v>784</v>
      </c>
      <c r="O656" t="s">
        <v>785</v>
      </c>
      <c r="P656" t="s">
        <v>788</v>
      </c>
      <c r="Q656" t="s">
        <v>55</v>
      </c>
      <c r="R656">
        <v>-1</v>
      </c>
      <c r="S656" s="15">
        <f>Table2[[#This Row],[movement_quantity]]/VLOOKUP(Table2[[#This Row],[product]],Ref[#All],5,FALSE)</f>
        <v>-2.5000000000000001E-2</v>
      </c>
      <c r="T656">
        <v>31301.811430000002</v>
      </c>
      <c r="U656" t="s">
        <v>17</v>
      </c>
      <c r="V656" t="s">
        <v>1172</v>
      </c>
      <c r="W656" t="s">
        <v>1173</v>
      </c>
      <c r="X656" t="s">
        <v>17</v>
      </c>
      <c r="Y656" t="s">
        <v>587</v>
      </c>
      <c r="Z656" s="2">
        <v>0</v>
      </c>
      <c r="AA656" s="2">
        <v>-31301.811430000002</v>
      </c>
      <c r="AB656" t="str">
        <f>VLOOKUP(Table2[[#This Row],[product]],Ref[#All],6,FALSE)</f>
        <v>BAG25</v>
      </c>
    </row>
    <row r="657" spans="1:28" x14ac:dyDescent="0.25">
      <c r="A657" t="str">
        <f>TEXT(Table2[[#This Row],[dated]],"mmm")</f>
        <v>May</v>
      </c>
      <c r="B657" t="s">
        <v>52</v>
      </c>
      <c r="C657" s="1" t="s">
        <v>536</v>
      </c>
      <c r="D657" t="str">
        <f>VLOOKUP(Table2[[#This Row],[product]],Ref[#All],7,FALSE)</f>
        <v>Flour</v>
      </c>
      <c r="E657" s="1" t="s">
        <v>36</v>
      </c>
      <c r="F657" t="str">
        <f>VLOOKUP(Table2[[#This Row],[product]],Ref[#All],2,FALSE)</f>
        <v>Flour Import Elngm 25Kg</v>
      </c>
      <c r="G657" t="str">
        <f>VLOOKUP(Table2[[#This Row],[product]],Ref[#All],3,FALSE)</f>
        <v>Flour Al-Nagm (Imported)</v>
      </c>
      <c r="H657" t="str">
        <f>VLOOKUP(Table2[[#This Row],[product]],Ref[#All],4,FALSE)</f>
        <v>Import</v>
      </c>
      <c r="I657" s="1">
        <v>45804</v>
      </c>
      <c r="J657" t="s">
        <v>53</v>
      </c>
      <c r="K657" t="s">
        <v>1174</v>
      </c>
      <c r="L657" t="s">
        <v>1651</v>
      </c>
      <c r="M657" t="s">
        <v>1586</v>
      </c>
      <c r="N657" t="s">
        <v>784</v>
      </c>
      <c r="O657" t="s">
        <v>785</v>
      </c>
      <c r="P657" t="s">
        <v>788</v>
      </c>
      <c r="Q657" t="s">
        <v>55</v>
      </c>
      <c r="R657">
        <v>-15</v>
      </c>
      <c r="S657" s="15">
        <f>Table2[[#This Row],[movement_quantity]]/VLOOKUP(Table2[[#This Row],[product]],Ref[#All],5,FALSE)</f>
        <v>-0.375</v>
      </c>
      <c r="T657">
        <v>31301.811430000002</v>
      </c>
      <c r="U657" t="s">
        <v>17</v>
      </c>
      <c r="V657" t="s">
        <v>1175</v>
      </c>
      <c r="W657" t="s">
        <v>1176</v>
      </c>
      <c r="X657" t="s">
        <v>17</v>
      </c>
      <c r="Y657" t="s">
        <v>587</v>
      </c>
      <c r="Z657" s="2">
        <v>0</v>
      </c>
      <c r="AA657" s="2">
        <v>-469527.17145000002</v>
      </c>
      <c r="AB657" t="str">
        <f>VLOOKUP(Table2[[#This Row],[product]],Ref[#All],6,FALSE)</f>
        <v>BAG25</v>
      </c>
    </row>
    <row r="658" spans="1:28" x14ac:dyDescent="0.25">
      <c r="A658" t="str">
        <f>TEXT(Table2[[#This Row],[dated]],"mmm")</f>
        <v>May</v>
      </c>
      <c r="B658" t="s">
        <v>52</v>
      </c>
      <c r="C658" s="1" t="s">
        <v>536</v>
      </c>
      <c r="D658" t="str">
        <f>VLOOKUP(Table2[[#This Row],[product]],Ref[#All],7,FALSE)</f>
        <v>Flour</v>
      </c>
      <c r="E658" s="1" t="s">
        <v>36</v>
      </c>
      <c r="F658" t="str">
        <f>VLOOKUP(Table2[[#This Row],[product]],Ref[#All],2,FALSE)</f>
        <v>Flour Import Elngm 25Kg</v>
      </c>
      <c r="G658" t="str">
        <f>VLOOKUP(Table2[[#This Row],[product]],Ref[#All],3,FALSE)</f>
        <v>Flour Al-Nagm (Imported)</v>
      </c>
      <c r="H658" t="str">
        <f>VLOOKUP(Table2[[#This Row],[product]],Ref[#All],4,FALSE)</f>
        <v>Import</v>
      </c>
      <c r="I658" s="1">
        <v>45804</v>
      </c>
      <c r="J658" t="s">
        <v>53</v>
      </c>
      <c r="K658" t="s">
        <v>1177</v>
      </c>
      <c r="L658" t="s">
        <v>1651</v>
      </c>
      <c r="M658" t="s">
        <v>1586</v>
      </c>
      <c r="N658" t="s">
        <v>784</v>
      </c>
      <c r="O658" t="s">
        <v>785</v>
      </c>
      <c r="P658" t="s">
        <v>788</v>
      </c>
      <c r="Q658" t="s">
        <v>55</v>
      </c>
      <c r="R658">
        <v>-3</v>
      </c>
      <c r="S658" s="15">
        <f>Table2[[#This Row],[movement_quantity]]/VLOOKUP(Table2[[#This Row],[product]],Ref[#All],5,FALSE)</f>
        <v>-7.4999999999999997E-2</v>
      </c>
      <c r="T658">
        <v>31301.811430000002</v>
      </c>
      <c r="U658" t="s">
        <v>17</v>
      </c>
      <c r="V658" t="s">
        <v>1178</v>
      </c>
      <c r="W658" t="s">
        <v>1179</v>
      </c>
      <c r="X658" t="s">
        <v>17</v>
      </c>
      <c r="Y658" t="s">
        <v>587</v>
      </c>
      <c r="Z658" s="2">
        <v>0</v>
      </c>
      <c r="AA658" s="2">
        <v>-93905.434290000005</v>
      </c>
      <c r="AB658" t="str">
        <f>VLOOKUP(Table2[[#This Row],[product]],Ref[#All],6,FALSE)</f>
        <v>BAG25</v>
      </c>
    </row>
    <row r="659" spans="1:28" x14ac:dyDescent="0.25">
      <c r="A659" t="str">
        <f>TEXT(Table2[[#This Row],[dated]],"mmm")</f>
        <v>May</v>
      </c>
      <c r="B659" t="s">
        <v>52</v>
      </c>
      <c r="C659" s="1" t="s">
        <v>536</v>
      </c>
      <c r="D659" t="str">
        <f>VLOOKUP(Table2[[#This Row],[product]],Ref[#All],7,FALSE)</f>
        <v>Flour</v>
      </c>
      <c r="E659" s="1" t="s">
        <v>36</v>
      </c>
      <c r="F659" t="str">
        <f>VLOOKUP(Table2[[#This Row],[product]],Ref[#All],2,FALSE)</f>
        <v>Flour Import Elngm 25Kg</v>
      </c>
      <c r="G659" t="str">
        <f>VLOOKUP(Table2[[#This Row],[product]],Ref[#All],3,FALSE)</f>
        <v>Flour Al-Nagm (Imported)</v>
      </c>
      <c r="H659" t="str">
        <f>VLOOKUP(Table2[[#This Row],[product]],Ref[#All],4,FALSE)</f>
        <v>Import</v>
      </c>
      <c r="I659" s="1">
        <v>45804</v>
      </c>
      <c r="J659" t="s">
        <v>53</v>
      </c>
      <c r="K659" t="s">
        <v>1180</v>
      </c>
      <c r="L659" t="s">
        <v>1651</v>
      </c>
      <c r="M659" t="s">
        <v>1586</v>
      </c>
      <c r="N659" t="s">
        <v>784</v>
      </c>
      <c r="O659" t="s">
        <v>785</v>
      </c>
      <c r="P659" t="s">
        <v>788</v>
      </c>
      <c r="Q659" t="s">
        <v>55</v>
      </c>
      <c r="R659">
        <v>-5</v>
      </c>
      <c r="S659" s="15">
        <f>Table2[[#This Row],[movement_quantity]]/VLOOKUP(Table2[[#This Row],[product]],Ref[#All],5,FALSE)</f>
        <v>-0.125</v>
      </c>
      <c r="T659">
        <v>31301.811430000002</v>
      </c>
      <c r="U659" t="s">
        <v>17</v>
      </c>
      <c r="V659" t="s">
        <v>1181</v>
      </c>
      <c r="W659" t="s">
        <v>1182</v>
      </c>
      <c r="X659" t="s">
        <v>17</v>
      </c>
      <c r="Y659" t="s">
        <v>587</v>
      </c>
      <c r="Z659" s="2">
        <v>0</v>
      </c>
      <c r="AA659" s="2">
        <v>-156509.05715000001</v>
      </c>
      <c r="AB659" t="str">
        <f>VLOOKUP(Table2[[#This Row],[product]],Ref[#All],6,FALSE)</f>
        <v>BAG25</v>
      </c>
    </row>
    <row r="660" spans="1:28" x14ac:dyDescent="0.25">
      <c r="A660" t="str">
        <f>TEXT(Table2[[#This Row],[dated]],"mmm")</f>
        <v>May</v>
      </c>
      <c r="B660" t="s">
        <v>52</v>
      </c>
      <c r="C660" s="1" t="s">
        <v>536</v>
      </c>
      <c r="D660" t="str">
        <f>VLOOKUP(Table2[[#This Row],[product]],Ref[#All],7,FALSE)</f>
        <v>Flour</v>
      </c>
      <c r="E660" s="1" t="s">
        <v>36</v>
      </c>
      <c r="F660" t="str">
        <f>VLOOKUP(Table2[[#This Row],[product]],Ref[#All],2,FALSE)</f>
        <v>Flour Import Elngm 25Kg</v>
      </c>
      <c r="G660" t="str">
        <f>VLOOKUP(Table2[[#This Row],[product]],Ref[#All],3,FALSE)</f>
        <v>Flour Al-Nagm (Imported)</v>
      </c>
      <c r="H660" t="str">
        <f>VLOOKUP(Table2[[#This Row],[product]],Ref[#All],4,FALSE)</f>
        <v>Import</v>
      </c>
      <c r="I660" s="1">
        <v>45804</v>
      </c>
      <c r="J660" t="s">
        <v>53</v>
      </c>
      <c r="K660" t="s">
        <v>1183</v>
      </c>
      <c r="L660" t="s">
        <v>1651</v>
      </c>
      <c r="M660" t="s">
        <v>1586</v>
      </c>
      <c r="N660" t="s">
        <v>784</v>
      </c>
      <c r="O660" t="s">
        <v>785</v>
      </c>
      <c r="P660" t="s">
        <v>788</v>
      </c>
      <c r="Q660" t="s">
        <v>55</v>
      </c>
      <c r="R660">
        <v>-8</v>
      </c>
      <c r="S660" s="15">
        <f>Table2[[#This Row],[movement_quantity]]/VLOOKUP(Table2[[#This Row],[product]],Ref[#All],5,FALSE)</f>
        <v>-0.2</v>
      </c>
      <c r="T660">
        <v>31301.811430000002</v>
      </c>
      <c r="U660" t="s">
        <v>17</v>
      </c>
      <c r="V660" t="s">
        <v>1184</v>
      </c>
      <c r="W660" t="s">
        <v>1185</v>
      </c>
      <c r="X660" t="s">
        <v>17</v>
      </c>
      <c r="Y660" t="s">
        <v>587</v>
      </c>
      <c r="Z660" s="2">
        <v>0</v>
      </c>
      <c r="AA660" s="2">
        <v>-250414.49144000001</v>
      </c>
      <c r="AB660" t="str">
        <f>VLOOKUP(Table2[[#This Row],[product]],Ref[#All],6,FALSE)</f>
        <v>BAG25</v>
      </c>
    </row>
    <row r="661" spans="1:28" x14ac:dyDescent="0.25">
      <c r="A661" t="str">
        <f>TEXT(Table2[[#This Row],[dated]],"mmm")</f>
        <v>May</v>
      </c>
      <c r="B661" t="s">
        <v>52</v>
      </c>
      <c r="C661" s="1" t="s">
        <v>536</v>
      </c>
      <c r="D661" t="str">
        <f>VLOOKUP(Table2[[#This Row],[product]],Ref[#All],7,FALSE)</f>
        <v>Flour</v>
      </c>
      <c r="E661" s="1" t="s">
        <v>36</v>
      </c>
      <c r="F661" t="str">
        <f>VLOOKUP(Table2[[#This Row],[product]],Ref[#All],2,FALSE)</f>
        <v>Flour Import Elngm 25Kg</v>
      </c>
      <c r="G661" t="str">
        <f>VLOOKUP(Table2[[#This Row],[product]],Ref[#All],3,FALSE)</f>
        <v>Flour Al-Nagm (Imported)</v>
      </c>
      <c r="H661" t="str">
        <f>VLOOKUP(Table2[[#This Row],[product]],Ref[#All],4,FALSE)</f>
        <v>Import</v>
      </c>
      <c r="I661" s="1">
        <v>45804</v>
      </c>
      <c r="J661" t="s">
        <v>53</v>
      </c>
      <c r="K661" t="s">
        <v>1186</v>
      </c>
      <c r="L661" t="s">
        <v>1651</v>
      </c>
      <c r="M661" t="s">
        <v>1586</v>
      </c>
      <c r="N661" t="s">
        <v>784</v>
      </c>
      <c r="O661" t="s">
        <v>785</v>
      </c>
      <c r="P661" t="s">
        <v>788</v>
      </c>
      <c r="Q661" t="s">
        <v>55</v>
      </c>
      <c r="R661">
        <v>-1</v>
      </c>
      <c r="S661" s="15">
        <f>Table2[[#This Row],[movement_quantity]]/VLOOKUP(Table2[[#This Row],[product]],Ref[#All],5,FALSE)</f>
        <v>-2.5000000000000001E-2</v>
      </c>
      <c r="T661">
        <v>31301.811430000002</v>
      </c>
      <c r="U661" t="s">
        <v>17</v>
      </c>
      <c r="V661" t="s">
        <v>1187</v>
      </c>
      <c r="W661" t="s">
        <v>1188</v>
      </c>
      <c r="X661" t="s">
        <v>17</v>
      </c>
      <c r="Y661" t="s">
        <v>587</v>
      </c>
      <c r="Z661" s="2">
        <v>0</v>
      </c>
      <c r="AA661" s="2">
        <v>-31301.811430000002</v>
      </c>
      <c r="AB661" t="str">
        <f>VLOOKUP(Table2[[#This Row],[product]],Ref[#All],6,FALSE)</f>
        <v>BAG25</v>
      </c>
    </row>
    <row r="662" spans="1:28" x14ac:dyDescent="0.25">
      <c r="A662" t="str">
        <f>TEXT(Table2[[#This Row],[dated]],"mmm")</f>
        <v>May</v>
      </c>
      <c r="B662" t="s">
        <v>52</v>
      </c>
      <c r="C662" s="1" t="s">
        <v>536</v>
      </c>
      <c r="D662" t="str">
        <f>VLOOKUP(Table2[[#This Row],[product]],Ref[#All],7,FALSE)</f>
        <v>Flour</v>
      </c>
      <c r="E662" s="1" t="s">
        <v>36</v>
      </c>
      <c r="F662" t="str">
        <f>VLOOKUP(Table2[[#This Row],[product]],Ref[#All],2,FALSE)</f>
        <v>Flour Import Elngm 25Kg</v>
      </c>
      <c r="G662" t="str">
        <f>VLOOKUP(Table2[[#This Row],[product]],Ref[#All],3,FALSE)</f>
        <v>Flour Al-Nagm (Imported)</v>
      </c>
      <c r="H662" t="str">
        <f>VLOOKUP(Table2[[#This Row],[product]],Ref[#All],4,FALSE)</f>
        <v>Import</v>
      </c>
      <c r="I662" s="1">
        <v>45804</v>
      </c>
      <c r="J662" t="s">
        <v>53</v>
      </c>
      <c r="K662" t="s">
        <v>1189</v>
      </c>
      <c r="L662" t="s">
        <v>1651</v>
      </c>
      <c r="M662" t="s">
        <v>1586</v>
      </c>
      <c r="N662" t="s">
        <v>784</v>
      </c>
      <c r="O662" t="s">
        <v>785</v>
      </c>
      <c r="P662" t="s">
        <v>788</v>
      </c>
      <c r="Q662" t="s">
        <v>55</v>
      </c>
      <c r="R662">
        <v>-1</v>
      </c>
      <c r="S662" s="15">
        <f>Table2[[#This Row],[movement_quantity]]/VLOOKUP(Table2[[#This Row],[product]],Ref[#All],5,FALSE)</f>
        <v>-2.5000000000000001E-2</v>
      </c>
      <c r="T662">
        <v>31301.811430000002</v>
      </c>
      <c r="U662" t="s">
        <v>17</v>
      </c>
      <c r="V662" t="s">
        <v>1190</v>
      </c>
      <c r="W662" t="s">
        <v>1191</v>
      </c>
      <c r="X662" t="s">
        <v>17</v>
      </c>
      <c r="Y662" t="s">
        <v>587</v>
      </c>
      <c r="Z662" s="2">
        <v>0</v>
      </c>
      <c r="AA662" s="2">
        <v>-31301.811430000002</v>
      </c>
      <c r="AB662" t="str">
        <f>VLOOKUP(Table2[[#This Row],[product]],Ref[#All],6,FALSE)</f>
        <v>BAG25</v>
      </c>
    </row>
    <row r="663" spans="1:28" x14ac:dyDescent="0.25">
      <c r="A663" t="str">
        <f>TEXT(Table2[[#This Row],[dated]],"mmm")</f>
        <v>May</v>
      </c>
      <c r="B663" t="s">
        <v>52</v>
      </c>
      <c r="C663" s="1" t="s">
        <v>536</v>
      </c>
      <c r="D663" t="str">
        <f>VLOOKUP(Table2[[#This Row],[product]],Ref[#All],7,FALSE)</f>
        <v>Flour</v>
      </c>
      <c r="E663" s="1" t="s">
        <v>36</v>
      </c>
      <c r="F663" t="str">
        <f>VLOOKUP(Table2[[#This Row],[product]],Ref[#All],2,FALSE)</f>
        <v>Flour Import Elngm 25Kg</v>
      </c>
      <c r="G663" t="str">
        <f>VLOOKUP(Table2[[#This Row],[product]],Ref[#All],3,FALSE)</f>
        <v>Flour Al-Nagm (Imported)</v>
      </c>
      <c r="H663" t="str">
        <f>VLOOKUP(Table2[[#This Row],[product]],Ref[#All],4,FALSE)</f>
        <v>Import</v>
      </c>
      <c r="I663" s="1">
        <v>45804</v>
      </c>
      <c r="J663" t="s">
        <v>53</v>
      </c>
      <c r="K663" t="s">
        <v>1192</v>
      </c>
      <c r="L663" t="s">
        <v>1651</v>
      </c>
      <c r="M663" t="s">
        <v>1586</v>
      </c>
      <c r="N663" t="s">
        <v>784</v>
      </c>
      <c r="O663" t="s">
        <v>785</v>
      </c>
      <c r="P663" t="s">
        <v>788</v>
      </c>
      <c r="Q663" t="s">
        <v>55</v>
      </c>
      <c r="R663">
        <v>-8</v>
      </c>
      <c r="S663" s="15">
        <f>Table2[[#This Row],[movement_quantity]]/VLOOKUP(Table2[[#This Row],[product]],Ref[#All],5,FALSE)</f>
        <v>-0.2</v>
      </c>
      <c r="T663">
        <v>31301.811430000002</v>
      </c>
      <c r="U663" t="s">
        <v>17</v>
      </c>
      <c r="V663" t="s">
        <v>1193</v>
      </c>
      <c r="W663" t="s">
        <v>1194</v>
      </c>
      <c r="X663" t="s">
        <v>17</v>
      </c>
      <c r="Y663" t="s">
        <v>587</v>
      </c>
      <c r="Z663" s="2">
        <v>0</v>
      </c>
      <c r="AA663" s="2">
        <v>-250414.49144000001</v>
      </c>
      <c r="AB663" t="str">
        <f>VLOOKUP(Table2[[#This Row],[product]],Ref[#All],6,FALSE)</f>
        <v>BAG25</v>
      </c>
    </row>
    <row r="664" spans="1:28" x14ac:dyDescent="0.25">
      <c r="A664" t="str">
        <f>TEXT(Table2[[#This Row],[dated]],"mmm")</f>
        <v>May</v>
      </c>
      <c r="B664" t="s">
        <v>52</v>
      </c>
      <c r="C664" s="1" t="s">
        <v>536</v>
      </c>
      <c r="D664" t="str">
        <f>VLOOKUP(Table2[[#This Row],[product]],Ref[#All],7,FALSE)</f>
        <v>Flour</v>
      </c>
      <c r="E664" s="1" t="s">
        <v>36</v>
      </c>
      <c r="F664" t="str">
        <f>VLOOKUP(Table2[[#This Row],[product]],Ref[#All],2,FALSE)</f>
        <v>Flour Import Elngm 25Kg</v>
      </c>
      <c r="G664" t="str">
        <f>VLOOKUP(Table2[[#This Row],[product]],Ref[#All],3,FALSE)</f>
        <v>Flour Al-Nagm (Imported)</v>
      </c>
      <c r="H664" t="str">
        <f>VLOOKUP(Table2[[#This Row],[product]],Ref[#All],4,FALSE)</f>
        <v>Import</v>
      </c>
      <c r="I664" s="1">
        <v>45804</v>
      </c>
      <c r="J664" t="s">
        <v>53</v>
      </c>
      <c r="K664" t="s">
        <v>1195</v>
      </c>
      <c r="L664" t="s">
        <v>1651</v>
      </c>
      <c r="M664" t="s">
        <v>1586</v>
      </c>
      <c r="N664" t="s">
        <v>784</v>
      </c>
      <c r="O664" t="s">
        <v>785</v>
      </c>
      <c r="P664" t="s">
        <v>788</v>
      </c>
      <c r="Q664" t="s">
        <v>55</v>
      </c>
      <c r="R664">
        <v>-3</v>
      </c>
      <c r="S664" s="15">
        <f>Table2[[#This Row],[movement_quantity]]/VLOOKUP(Table2[[#This Row],[product]],Ref[#All],5,FALSE)</f>
        <v>-7.4999999999999997E-2</v>
      </c>
      <c r="T664">
        <v>31301.811430000002</v>
      </c>
      <c r="U664" t="s">
        <v>17</v>
      </c>
      <c r="V664" t="s">
        <v>1196</v>
      </c>
      <c r="W664" t="s">
        <v>1197</v>
      </c>
      <c r="X664" t="s">
        <v>17</v>
      </c>
      <c r="Y664" t="s">
        <v>587</v>
      </c>
      <c r="Z664" s="2">
        <v>0</v>
      </c>
      <c r="AA664" s="2">
        <v>-93905.434290000005</v>
      </c>
      <c r="AB664" t="str">
        <f>VLOOKUP(Table2[[#This Row],[product]],Ref[#All],6,FALSE)</f>
        <v>BAG25</v>
      </c>
    </row>
    <row r="665" spans="1:28" x14ac:dyDescent="0.25">
      <c r="A665" t="str">
        <f>TEXT(Table2[[#This Row],[dated]],"mmm")</f>
        <v>May</v>
      </c>
      <c r="B665" t="s">
        <v>52</v>
      </c>
      <c r="C665" s="1" t="s">
        <v>536</v>
      </c>
      <c r="D665" t="str">
        <f>VLOOKUP(Table2[[#This Row],[product]],Ref[#All],7,FALSE)</f>
        <v>Flour</v>
      </c>
      <c r="E665" s="1" t="s">
        <v>36</v>
      </c>
      <c r="F665" t="str">
        <f>VLOOKUP(Table2[[#This Row],[product]],Ref[#All],2,FALSE)</f>
        <v>Flour Import Elngm 25Kg</v>
      </c>
      <c r="G665" t="str">
        <f>VLOOKUP(Table2[[#This Row],[product]],Ref[#All],3,FALSE)</f>
        <v>Flour Al-Nagm (Imported)</v>
      </c>
      <c r="H665" t="str">
        <f>VLOOKUP(Table2[[#This Row],[product]],Ref[#All],4,FALSE)</f>
        <v>Import</v>
      </c>
      <c r="I665" s="1">
        <v>45804</v>
      </c>
      <c r="J665" t="s">
        <v>53</v>
      </c>
      <c r="K665" t="s">
        <v>1198</v>
      </c>
      <c r="L665" t="s">
        <v>1651</v>
      </c>
      <c r="M665" t="s">
        <v>1586</v>
      </c>
      <c r="N665" t="s">
        <v>784</v>
      </c>
      <c r="O665" t="s">
        <v>785</v>
      </c>
      <c r="P665" t="s">
        <v>788</v>
      </c>
      <c r="Q665" t="s">
        <v>55</v>
      </c>
      <c r="R665">
        <v>-2</v>
      </c>
      <c r="S665" s="15">
        <f>Table2[[#This Row],[movement_quantity]]/VLOOKUP(Table2[[#This Row],[product]],Ref[#All],5,FALSE)</f>
        <v>-0.05</v>
      </c>
      <c r="T665">
        <v>31301.811430000002</v>
      </c>
      <c r="U665" t="s">
        <v>17</v>
      </c>
      <c r="V665" t="s">
        <v>1199</v>
      </c>
      <c r="W665" t="s">
        <v>1200</v>
      </c>
      <c r="X665" t="s">
        <v>17</v>
      </c>
      <c r="Y665" t="s">
        <v>587</v>
      </c>
      <c r="Z665" s="2">
        <v>0</v>
      </c>
      <c r="AA665" s="2">
        <v>-62603.622860000003</v>
      </c>
      <c r="AB665" t="str">
        <f>VLOOKUP(Table2[[#This Row],[product]],Ref[#All],6,FALSE)</f>
        <v>BAG25</v>
      </c>
    </row>
    <row r="666" spans="1:28" x14ac:dyDescent="0.25">
      <c r="A666" t="str">
        <f>TEXT(Table2[[#This Row],[dated]],"mmm")</f>
        <v>May</v>
      </c>
      <c r="B666" t="s">
        <v>52</v>
      </c>
      <c r="C666" s="1" t="s">
        <v>536</v>
      </c>
      <c r="D666" t="str">
        <f>VLOOKUP(Table2[[#This Row],[product]],Ref[#All],7,FALSE)</f>
        <v>Flour</v>
      </c>
      <c r="E666" s="1" t="s">
        <v>36</v>
      </c>
      <c r="F666" t="str">
        <f>VLOOKUP(Table2[[#This Row],[product]],Ref[#All],2,FALSE)</f>
        <v>Flour Import Elngm 25Kg</v>
      </c>
      <c r="G666" t="str">
        <f>VLOOKUP(Table2[[#This Row],[product]],Ref[#All],3,FALSE)</f>
        <v>Flour Al-Nagm (Imported)</v>
      </c>
      <c r="H666" t="str">
        <f>VLOOKUP(Table2[[#This Row],[product]],Ref[#All],4,FALSE)</f>
        <v>Import</v>
      </c>
      <c r="I666" s="1">
        <v>45804</v>
      </c>
      <c r="J666" t="s">
        <v>53</v>
      </c>
      <c r="K666" t="s">
        <v>1201</v>
      </c>
      <c r="L666" t="s">
        <v>1651</v>
      </c>
      <c r="M666" t="s">
        <v>1586</v>
      </c>
      <c r="N666" t="s">
        <v>784</v>
      </c>
      <c r="O666" t="s">
        <v>785</v>
      </c>
      <c r="P666" t="s">
        <v>788</v>
      </c>
      <c r="Q666" t="s">
        <v>55</v>
      </c>
      <c r="R666">
        <v>-10</v>
      </c>
      <c r="S666" s="15">
        <f>Table2[[#This Row],[movement_quantity]]/VLOOKUP(Table2[[#This Row],[product]],Ref[#All],5,FALSE)</f>
        <v>-0.25</v>
      </c>
      <c r="T666">
        <v>31301.811430000002</v>
      </c>
      <c r="U666" t="s">
        <v>17</v>
      </c>
      <c r="V666" t="s">
        <v>1202</v>
      </c>
      <c r="W666" t="s">
        <v>1203</v>
      </c>
      <c r="X666" t="s">
        <v>17</v>
      </c>
      <c r="Y666" t="s">
        <v>587</v>
      </c>
      <c r="Z666" s="2">
        <v>0</v>
      </c>
      <c r="AA666" s="2">
        <v>-313018.11430000002</v>
      </c>
      <c r="AB666" t="str">
        <f>VLOOKUP(Table2[[#This Row],[product]],Ref[#All],6,FALSE)</f>
        <v>BAG25</v>
      </c>
    </row>
    <row r="667" spans="1:28" x14ac:dyDescent="0.25">
      <c r="A667" t="str">
        <f>TEXT(Table2[[#This Row],[dated]],"mmm")</f>
        <v>May</v>
      </c>
      <c r="B667" t="s">
        <v>52</v>
      </c>
      <c r="C667" s="1" t="s">
        <v>536</v>
      </c>
      <c r="D667" t="str">
        <f>VLOOKUP(Table2[[#This Row],[product]],Ref[#All],7,FALSE)</f>
        <v>Flour</v>
      </c>
      <c r="E667" s="1" t="s">
        <v>36</v>
      </c>
      <c r="F667" t="str">
        <f>VLOOKUP(Table2[[#This Row],[product]],Ref[#All],2,FALSE)</f>
        <v>Flour Import Elngm 25Kg</v>
      </c>
      <c r="G667" t="str">
        <f>VLOOKUP(Table2[[#This Row],[product]],Ref[#All],3,FALSE)</f>
        <v>Flour Al-Nagm (Imported)</v>
      </c>
      <c r="H667" t="str">
        <f>VLOOKUP(Table2[[#This Row],[product]],Ref[#All],4,FALSE)</f>
        <v>Import</v>
      </c>
      <c r="I667" s="1">
        <v>45804</v>
      </c>
      <c r="J667" t="s">
        <v>53</v>
      </c>
      <c r="K667" t="s">
        <v>1204</v>
      </c>
      <c r="L667" t="s">
        <v>1651</v>
      </c>
      <c r="M667" t="s">
        <v>1586</v>
      </c>
      <c r="N667" t="s">
        <v>784</v>
      </c>
      <c r="O667" t="s">
        <v>785</v>
      </c>
      <c r="P667" t="s">
        <v>788</v>
      </c>
      <c r="Q667" t="s">
        <v>55</v>
      </c>
      <c r="R667">
        <v>-15</v>
      </c>
      <c r="S667" s="15">
        <f>Table2[[#This Row],[movement_quantity]]/VLOOKUP(Table2[[#This Row],[product]],Ref[#All],5,FALSE)</f>
        <v>-0.375</v>
      </c>
      <c r="T667">
        <v>31301.811430000002</v>
      </c>
      <c r="U667" t="s">
        <v>17</v>
      </c>
      <c r="V667" t="s">
        <v>1205</v>
      </c>
      <c r="W667" t="s">
        <v>1206</v>
      </c>
      <c r="X667" t="s">
        <v>17</v>
      </c>
      <c r="Y667" t="s">
        <v>587</v>
      </c>
      <c r="Z667" s="2">
        <v>0</v>
      </c>
      <c r="AA667" s="2">
        <v>-469527.17145000002</v>
      </c>
      <c r="AB667" t="str">
        <f>VLOOKUP(Table2[[#This Row],[product]],Ref[#All],6,FALSE)</f>
        <v>BAG25</v>
      </c>
    </row>
    <row r="668" spans="1:28" x14ac:dyDescent="0.25">
      <c r="A668" t="str">
        <f>TEXT(Table2[[#This Row],[dated]],"mmm")</f>
        <v>May</v>
      </c>
      <c r="B668" t="s">
        <v>52</v>
      </c>
      <c r="C668" s="1" t="s">
        <v>536</v>
      </c>
      <c r="D668" t="str">
        <f>VLOOKUP(Table2[[#This Row],[product]],Ref[#All],7,FALSE)</f>
        <v>Flour</v>
      </c>
      <c r="E668" s="1" t="s">
        <v>36</v>
      </c>
      <c r="F668" t="str">
        <f>VLOOKUP(Table2[[#This Row],[product]],Ref[#All],2,FALSE)</f>
        <v>Flour Import Elngm 25Kg</v>
      </c>
      <c r="G668" t="str">
        <f>VLOOKUP(Table2[[#This Row],[product]],Ref[#All],3,FALSE)</f>
        <v>Flour Al-Nagm (Imported)</v>
      </c>
      <c r="H668" t="str">
        <f>VLOOKUP(Table2[[#This Row],[product]],Ref[#All],4,FALSE)</f>
        <v>Import</v>
      </c>
      <c r="I668" s="1">
        <v>45804</v>
      </c>
      <c r="J668" t="s">
        <v>53</v>
      </c>
      <c r="K668" t="s">
        <v>1207</v>
      </c>
      <c r="L668" t="s">
        <v>1651</v>
      </c>
      <c r="M668" t="s">
        <v>1586</v>
      </c>
      <c r="N668" t="s">
        <v>784</v>
      </c>
      <c r="O668" t="s">
        <v>785</v>
      </c>
      <c r="P668" t="s">
        <v>788</v>
      </c>
      <c r="Q668" t="s">
        <v>55</v>
      </c>
      <c r="R668">
        <v>-2</v>
      </c>
      <c r="S668" s="15">
        <f>Table2[[#This Row],[movement_quantity]]/VLOOKUP(Table2[[#This Row],[product]],Ref[#All],5,FALSE)</f>
        <v>-0.05</v>
      </c>
      <c r="T668">
        <v>31301.811430000002</v>
      </c>
      <c r="U668" t="s">
        <v>17</v>
      </c>
      <c r="V668" t="s">
        <v>1208</v>
      </c>
      <c r="W668" t="s">
        <v>1209</v>
      </c>
      <c r="X668" t="s">
        <v>17</v>
      </c>
      <c r="Y668" t="s">
        <v>587</v>
      </c>
      <c r="Z668" s="2">
        <v>0</v>
      </c>
      <c r="AA668" s="2">
        <v>-62603.622860000003</v>
      </c>
      <c r="AB668" t="str">
        <f>VLOOKUP(Table2[[#This Row],[product]],Ref[#All],6,FALSE)</f>
        <v>BAG25</v>
      </c>
    </row>
    <row r="669" spans="1:28" x14ac:dyDescent="0.25">
      <c r="A669" t="str">
        <f>TEXT(Table2[[#This Row],[dated]],"mmm")</f>
        <v>May</v>
      </c>
      <c r="B669" t="s">
        <v>52</v>
      </c>
      <c r="C669" s="1" t="s">
        <v>536</v>
      </c>
      <c r="D669" t="str">
        <f>VLOOKUP(Table2[[#This Row],[product]],Ref[#All],7,FALSE)</f>
        <v>Flour</v>
      </c>
      <c r="E669" s="1" t="s">
        <v>36</v>
      </c>
      <c r="F669" t="str">
        <f>VLOOKUP(Table2[[#This Row],[product]],Ref[#All],2,FALSE)</f>
        <v>Flour Import Elngm 25Kg</v>
      </c>
      <c r="G669" t="str">
        <f>VLOOKUP(Table2[[#This Row],[product]],Ref[#All],3,FALSE)</f>
        <v>Flour Al-Nagm (Imported)</v>
      </c>
      <c r="H669" t="str">
        <f>VLOOKUP(Table2[[#This Row],[product]],Ref[#All],4,FALSE)</f>
        <v>Import</v>
      </c>
      <c r="I669" s="1">
        <v>45804</v>
      </c>
      <c r="J669" t="s">
        <v>53</v>
      </c>
      <c r="K669" t="s">
        <v>1210</v>
      </c>
      <c r="L669" t="s">
        <v>1651</v>
      </c>
      <c r="M669" t="s">
        <v>1586</v>
      </c>
      <c r="N669" t="s">
        <v>784</v>
      </c>
      <c r="O669" t="s">
        <v>785</v>
      </c>
      <c r="P669" t="s">
        <v>788</v>
      </c>
      <c r="Q669" t="s">
        <v>55</v>
      </c>
      <c r="R669">
        <v>-6</v>
      </c>
      <c r="S669" s="15">
        <f>Table2[[#This Row],[movement_quantity]]/VLOOKUP(Table2[[#This Row],[product]],Ref[#All],5,FALSE)</f>
        <v>-0.15</v>
      </c>
      <c r="T669">
        <v>31301.811430000002</v>
      </c>
      <c r="U669" t="s">
        <v>17</v>
      </c>
      <c r="V669" t="s">
        <v>1211</v>
      </c>
      <c r="W669" t="s">
        <v>1212</v>
      </c>
      <c r="X669" t="s">
        <v>17</v>
      </c>
      <c r="Y669" t="s">
        <v>587</v>
      </c>
      <c r="Z669" s="2">
        <v>0</v>
      </c>
      <c r="AA669" s="2">
        <v>-187810.86858000001</v>
      </c>
      <c r="AB669" t="str">
        <f>VLOOKUP(Table2[[#This Row],[product]],Ref[#All],6,FALSE)</f>
        <v>BAG25</v>
      </c>
    </row>
    <row r="670" spans="1:28" x14ac:dyDescent="0.25">
      <c r="A670" t="str">
        <f>TEXT(Table2[[#This Row],[dated]],"mmm")</f>
        <v>May</v>
      </c>
      <c r="B670" t="s">
        <v>52</v>
      </c>
      <c r="C670" s="1" t="s">
        <v>536</v>
      </c>
      <c r="D670" t="str">
        <f>VLOOKUP(Table2[[#This Row],[product]],Ref[#All],7,FALSE)</f>
        <v>Flour</v>
      </c>
      <c r="E670" s="1" t="s">
        <v>36</v>
      </c>
      <c r="F670" t="str">
        <f>VLOOKUP(Table2[[#This Row],[product]],Ref[#All],2,FALSE)</f>
        <v>Flour Import Elngm 25Kg</v>
      </c>
      <c r="G670" t="str">
        <f>VLOOKUP(Table2[[#This Row],[product]],Ref[#All],3,FALSE)</f>
        <v>Flour Al-Nagm (Imported)</v>
      </c>
      <c r="H670" t="str">
        <f>VLOOKUP(Table2[[#This Row],[product]],Ref[#All],4,FALSE)</f>
        <v>Import</v>
      </c>
      <c r="I670" s="1">
        <v>45804</v>
      </c>
      <c r="J670" t="s">
        <v>53</v>
      </c>
      <c r="K670" t="s">
        <v>1213</v>
      </c>
      <c r="L670" t="s">
        <v>1651</v>
      </c>
      <c r="M670" t="s">
        <v>1586</v>
      </c>
      <c r="N670" t="s">
        <v>784</v>
      </c>
      <c r="O670" t="s">
        <v>785</v>
      </c>
      <c r="P670" t="s">
        <v>788</v>
      </c>
      <c r="Q670" t="s">
        <v>55</v>
      </c>
      <c r="R670">
        <v>-9</v>
      </c>
      <c r="S670" s="15">
        <f>Table2[[#This Row],[movement_quantity]]/VLOOKUP(Table2[[#This Row],[product]],Ref[#All],5,FALSE)</f>
        <v>-0.22500000000000001</v>
      </c>
      <c r="T670">
        <v>31301.811430000002</v>
      </c>
      <c r="U670" t="s">
        <v>17</v>
      </c>
      <c r="V670" t="s">
        <v>1214</v>
      </c>
      <c r="W670" t="s">
        <v>1215</v>
      </c>
      <c r="X670" t="s">
        <v>17</v>
      </c>
      <c r="Y670" t="s">
        <v>587</v>
      </c>
      <c r="Z670" s="2">
        <v>0</v>
      </c>
      <c r="AA670" s="2">
        <v>-281716.30287000001</v>
      </c>
      <c r="AB670" t="str">
        <f>VLOOKUP(Table2[[#This Row],[product]],Ref[#All],6,FALSE)</f>
        <v>BAG25</v>
      </c>
    </row>
    <row r="671" spans="1:28" x14ac:dyDescent="0.25">
      <c r="A671" t="str">
        <f>TEXT(Table2[[#This Row],[dated]],"mmm")</f>
        <v>May</v>
      </c>
      <c r="B671" t="s">
        <v>52</v>
      </c>
      <c r="C671" s="1" t="s">
        <v>536</v>
      </c>
      <c r="D671" t="str">
        <f>VLOOKUP(Table2[[#This Row],[product]],Ref[#All],7,FALSE)</f>
        <v>Flour</v>
      </c>
      <c r="E671" s="1" t="s">
        <v>36</v>
      </c>
      <c r="F671" t="str">
        <f>VLOOKUP(Table2[[#This Row],[product]],Ref[#All],2,FALSE)</f>
        <v>Flour Import Elngm 25Kg</v>
      </c>
      <c r="G671" t="str">
        <f>VLOOKUP(Table2[[#This Row],[product]],Ref[#All],3,FALSE)</f>
        <v>Flour Al-Nagm (Imported)</v>
      </c>
      <c r="H671" t="str">
        <f>VLOOKUP(Table2[[#This Row],[product]],Ref[#All],4,FALSE)</f>
        <v>Import</v>
      </c>
      <c r="I671" s="1">
        <v>45804</v>
      </c>
      <c r="J671" t="s">
        <v>53</v>
      </c>
      <c r="K671" t="s">
        <v>1216</v>
      </c>
      <c r="L671" t="s">
        <v>1651</v>
      </c>
      <c r="M671" t="s">
        <v>1586</v>
      </c>
      <c r="N671" t="s">
        <v>784</v>
      </c>
      <c r="O671" t="s">
        <v>785</v>
      </c>
      <c r="P671" t="s">
        <v>788</v>
      </c>
      <c r="Q671" t="s">
        <v>55</v>
      </c>
      <c r="R671">
        <v>-10</v>
      </c>
      <c r="S671" s="15">
        <f>Table2[[#This Row],[movement_quantity]]/VLOOKUP(Table2[[#This Row],[product]],Ref[#All],5,FALSE)</f>
        <v>-0.25</v>
      </c>
      <c r="T671">
        <v>31301.811430000002</v>
      </c>
      <c r="U671" t="s">
        <v>17</v>
      </c>
      <c r="V671" t="s">
        <v>1217</v>
      </c>
      <c r="W671" t="s">
        <v>1218</v>
      </c>
      <c r="X671" t="s">
        <v>17</v>
      </c>
      <c r="Y671" t="s">
        <v>587</v>
      </c>
      <c r="Z671" s="2">
        <v>0</v>
      </c>
      <c r="AA671" s="2">
        <v>-313018.11430000002</v>
      </c>
      <c r="AB671" t="str">
        <f>VLOOKUP(Table2[[#This Row],[product]],Ref[#All],6,FALSE)</f>
        <v>BAG25</v>
      </c>
    </row>
    <row r="672" spans="1:28" x14ac:dyDescent="0.25">
      <c r="A672" t="str">
        <f>TEXT(Table2[[#This Row],[dated]],"mmm")</f>
        <v>Jun</v>
      </c>
      <c r="B672" t="s">
        <v>52</v>
      </c>
      <c r="C672" s="1" t="s">
        <v>536</v>
      </c>
      <c r="D672" t="str">
        <f>VLOOKUP(Table2[[#This Row],[product]],Ref[#All],7,FALSE)</f>
        <v>Flour</v>
      </c>
      <c r="E672" s="1" t="s">
        <v>36</v>
      </c>
      <c r="F672" t="str">
        <f>VLOOKUP(Table2[[#This Row],[product]],Ref[#All],2,FALSE)</f>
        <v>Flour Import Elngm 25Kg</v>
      </c>
      <c r="G672" t="str">
        <f>VLOOKUP(Table2[[#This Row],[product]],Ref[#All],3,FALSE)</f>
        <v>Flour Al-Nagm (Imported)</v>
      </c>
      <c r="H672" t="str">
        <f>VLOOKUP(Table2[[#This Row],[product]],Ref[#All],4,FALSE)</f>
        <v>Import</v>
      </c>
      <c r="I672" s="1">
        <v>45823</v>
      </c>
      <c r="J672" t="s">
        <v>53</v>
      </c>
      <c r="K672" t="s">
        <v>1219</v>
      </c>
      <c r="L672" t="s">
        <v>1651</v>
      </c>
      <c r="M672" t="s">
        <v>1586</v>
      </c>
      <c r="N672" t="s">
        <v>784</v>
      </c>
      <c r="O672" t="s">
        <v>785</v>
      </c>
      <c r="P672" t="s">
        <v>788</v>
      </c>
      <c r="Q672" t="s">
        <v>55</v>
      </c>
      <c r="R672">
        <v>-2</v>
      </c>
      <c r="S672" s="15">
        <f>Table2[[#This Row],[movement_quantity]]/VLOOKUP(Table2[[#This Row],[product]],Ref[#All],5,FALSE)</f>
        <v>-0.05</v>
      </c>
      <c r="T672">
        <v>24758.555840000001</v>
      </c>
      <c r="U672" t="s">
        <v>17</v>
      </c>
      <c r="V672" t="s">
        <v>18</v>
      </c>
      <c r="W672" t="s">
        <v>1220</v>
      </c>
      <c r="X672" t="s">
        <v>17</v>
      </c>
      <c r="Y672" t="s">
        <v>1221</v>
      </c>
      <c r="Z672" s="23">
        <v>0</v>
      </c>
      <c r="AA672" s="23">
        <v>-49517.111680000002</v>
      </c>
      <c r="AB672" t="str">
        <f>VLOOKUP(Table2[[#This Row],[product]],Ref[#All],6,FALSE)</f>
        <v>BAG25</v>
      </c>
    </row>
    <row r="673" spans="1:28" x14ac:dyDescent="0.25">
      <c r="A673" t="str">
        <f>TEXT(Table2[[#This Row],[dated]],"mmm")</f>
        <v>Jun</v>
      </c>
      <c r="B673" t="s">
        <v>52</v>
      </c>
      <c r="C673" s="1" t="s">
        <v>536</v>
      </c>
      <c r="D673" t="str">
        <f>VLOOKUP(Table2[[#This Row],[product]],Ref[#All],7,FALSE)</f>
        <v>Flour</v>
      </c>
      <c r="E673" s="1" t="s">
        <v>36</v>
      </c>
      <c r="F673" t="str">
        <f>VLOOKUP(Table2[[#This Row],[product]],Ref[#All],2,FALSE)</f>
        <v>Flour Import Elngm 25Kg</v>
      </c>
      <c r="G673" t="str">
        <f>VLOOKUP(Table2[[#This Row],[product]],Ref[#All],3,FALSE)</f>
        <v>Flour Al-Nagm (Imported)</v>
      </c>
      <c r="H673" t="str">
        <f>VLOOKUP(Table2[[#This Row],[product]],Ref[#All],4,FALSE)</f>
        <v>Import</v>
      </c>
      <c r="I673" s="1">
        <v>45823</v>
      </c>
      <c r="J673" t="s">
        <v>53</v>
      </c>
      <c r="K673" t="s">
        <v>1222</v>
      </c>
      <c r="L673" t="s">
        <v>1651</v>
      </c>
      <c r="M673" t="s">
        <v>1586</v>
      </c>
      <c r="N673" t="s">
        <v>784</v>
      </c>
      <c r="O673" t="s">
        <v>785</v>
      </c>
      <c r="P673" t="s">
        <v>788</v>
      </c>
      <c r="Q673" t="s">
        <v>55</v>
      </c>
      <c r="R673">
        <v>-2</v>
      </c>
      <c r="S673" s="15">
        <f>Table2[[#This Row],[movement_quantity]]/VLOOKUP(Table2[[#This Row],[product]],Ref[#All],5,FALSE)</f>
        <v>-0.05</v>
      </c>
      <c r="T673">
        <v>24758.555840000001</v>
      </c>
      <c r="U673" t="s">
        <v>17</v>
      </c>
      <c r="V673" t="s">
        <v>21</v>
      </c>
      <c r="W673" t="s">
        <v>1223</v>
      </c>
      <c r="X673" t="s">
        <v>17</v>
      </c>
      <c r="Y673" t="s">
        <v>1221</v>
      </c>
      <c r="Z673" s="23">
        <v>0</v>
      </c>
      <c r="AA673" s="23">
        <v>-49517.111680000002</v>
      </c>
      <c r="AB673" t="str">
        <f>VLOOKUP(Table2[[#This Row],[product]],Ref[#All],6,FALSE)</f>
        <v>BAG25</v>
      </c>
    </row>
    <row r="674" spans="1:28" x14ac:dyDescent="0.25">
      <c r="A674" t="str">
        <f>TEXT(Table2[[#This Row],[dated]],"mmm")</f>
        <v>Jun</v>
      </c>
      <c r="B674" t="s">
        <v>52</v>
      </c>
      <c r="C674" s="1" t="s">
        <v>536</v>
      </c>
      <c r="D674" t="str">
        <f>VLOOKUP(Table2[[#This Row],[product]],Ref[#All],7,FALSE)</f>
        <v>Flour</v>
      </c>
      <c r="E674" s="1" t="s">
        <v>36</v>
      </c>
      <c r="F674" t="str">
        <f>VLOOKUP(Table2[[#This Row],[product]],Ref[#All],2,FALSE)</f>
        <v>Flour Import Elngm 25Kg</v>
      </c>
      <c r="G674" t="str">
        <f>VLOOKUP(Table2[[#This Row],[product]],Ref[#All],3,FALSE)</f>
        <v>Flour Al-Nagm (Imported)</v>
      </c>
      <c r="H674" t="str">
        <f>VLOOKUP(Table2[[#This Row],[product]],Ref[#All],4,FALSE)</f>
        <v>Import</v>
      </c>
      <c r="I674" s="1">
        <v>45823</v>
      </c>
      <c r="J674" t="s">
        <v>53</v>
      </c>
      <c r="K674" t="s">
        <v>1224</v>
      </c>
      <c r="L674" t="s">
        <v>1651</v>
      </c>
      <c r="M674" t="s">
        <v>1586</v>
      </c>
      <c r="N674" t="s">
        <v>784</v>
      </c>
      <c r="O674" t="s">
        <v>785</v>
      </c>
      <c r="P674" t="s">
        <v>788</v>
      </c>
      <c r="Q674" t="s">
        <v>55</v>
      </c>
      <c r="R674">
        <v>-7</v>
      </c>
      <c r="S674" s="15">
        <f>Table2[[#This Row],[movement_quantity]]/VLOOKUP(Table2[[#This Row],[product]],Ref[#All],5,FALSE)</f>
        <v>-0.17499999999999999</v>
      </c>
      <c r="T674">
        <v>24758.555840000001</v>
      </c>
      <c r="U674" t="s">
        <v>17</v>
      </c>
      <c r="V674" t="s">
        <v>22</v>
      </c>
      <c r="W674" t="s">
        <v>1225</v>
      </c>
      <c r="X674" t="s">
        <v>17</v>
      </c>
      <c r="Y674" t="s">
        <v>1221</v>
      </c>
      <c r="Z674" s="23">
        <v>0</v>
      </c>
      <c r="AA674" s="23">
        <v>-173309.89088000002</v>
      </c>
      <c r="AB674" t="str">
        <f>VLOOKUP(Table2[[#This Row],[product]],Ref[#All],6,FALSE)</f>
        <v>BAG25</v>
      </c>
    </row>
    <row r="675" spans="1:28" x14ac:dyDescent="0.25">
      <c r="A675" t="str">
        <f>TEXT(Table2[[#This Row],[dated]],"mmm")</f>
        <v>Jun</v>
      </c>
      <c r="B675" t="s">
        <v>52</v>
      </c>
      <c r="C675" s="1" t="s">
        <v>536</v>
      </c>
      <c r="D675" t="str">
        <f>VLOOKUP(Table2[[#This Row],[product]],Ref[#All],7,FALSE)</f>
        <v>Flour</v>
      </c>
      <c r="E675" s="1" t="s">
        <v>36</v>
      </c>
      <c r="F675" t="str">
        <f>VLOOKUP(Table2[[#This Row],[product]],Ref[#All],2,FALSE)</f>
        <v>Flour Import Elngm 25Kg</v>
      </c>
      <c r="G675" t="str">
        <f>VLOOKUP(Table2[[#This Row],[product]],Ref[#All],3,FALSE)</f>
        <v>Flour Al-Nagm (Imported)</v>
      </c>
      <c r="H675" t="str">
        <f>VLOOKUP(Table2[[#This Row],[product]],Ref[#All],4,FALSE)</f>
        <v>Import</v>
      </c>
      <c r="I675" s="1">
        <v>45823</v>
      </c>
      <c r="J675" t="s">
        <v>53</v>
      </c>
      <c r="K675" t="s">
        <v>1226</v>
      </c>
      <c r="L675" t="s">
        <v>1651</v>
      </c>
      <c r="M675" t="s">
        <v>1586</v>
      </c>
      <c r="N675" t="s">
        <v>784</v>
      </c>
      <c r="O675" t="s">
        <v>785</v>
      </c>
      <c r="P675" t="s">
        <v>788</v>
      </c>
      <c r="Q675" t="s">
        <v>55</v>
      </c>
      <c r="R675">
        <v>-1</v>
      </c>
      <c r="S675" s="15">
        <f>Table2[[#This Row],[movement_quantity]]/VLOOKUP(Table2[[#This Row],[product]],Ref[#All],5,FALSE)</f>
        <v>-2.5000000000000001E-2</v>
      </c>
      <c r="T675">
        <v>24758.555840000001</v>
      </c>
      <c r="U675" t="s">
        <v>17</v>
      </c>
      <c r="V675" t="s">
        <v>23</v>
      </c>
      <c r="W675" t="s">
        <v>1227</v>
      </c>
      <c r="X675" t="s">
        <v>17</v>
      </c>
      <c r="Y675" t="s">
        <v>1221</v>
      </c>
      <c r="Z675" s="23">
        <v>0</v>
      </c>
      <c r="AA675" s="23">
        <v>-24758.555840000001</v>
      </c>
      <c r="AB675" t="str">
        <f>VLOOKUP(Table2[[#This Row],[product]],Ref[#All],6,FALSE)</f>
        <v>BAG25</v>
      </c>
    </row>
    <row r="676" spans="1:28" x14ac:dyDescent="0.25">
      <c r="A676" t="str">
        <f>TEXT(Table2[[#This Row],[dated]],"mmm")</f>
        <v>Jun</v>
      </c>
      <c r="B676" t="s">
        <v>52</v>
      </c>
      <c r="C676" s="1" t="s">
        <v>536</v>
      </c>
      <c r="D676" t="str">
        <f>VLOOKUP(Table2[[#This Row],[product]],Ref[#All],7,FALSE)</f>
        <v>Flour</v>
      </c>
      <c r="E676" s="1" t="s">
        <v>36</v>
      </c>
      <c r="F676" t="str">
        <f>VLOOKUP(Table2[[#This Row],[product]],Ref[#All],2,FALSE)</f>
        <v>Flour Import Elngm 25Kg</v>
      </c>
      <c r="G676" t="str">
        <f>VLOOKUP(Table2[[#This Row],[product]],Ref[#All],3,FALSE)</f>
        <v>Flour Al-Nagm (Imported)</v>
      </c>
      <c r="H676" t="str">
        <f>VLOOKUP(Table2[[#This Row],[product]],Ref[#All],4,FALSE)</f>
        <v>Import</v>
      </c>
      <c r="I676" s="1">
        <v>45823</v>
      </c>
      <c r="J676" t="s">
        <v>53</v>
      </c>
      <c r="K676" t="s">
        <v>1228</v>
      </c>
      <c r="L676" t="s">
        <v>1651</v>
      </c>
      <c r="M676" t="s">
        <v>1586</v>
      </c>
      <c r="N676" t="s">
        <v>784</v>
      </c>
      <c r="O676" t="s">
        <v>785</v>
      </c>
      <c r="P676" t="s">
        <v>788</v>
      </c>
      <c r="Q676" t="s">
        <v>55</v>
      </c>
      <c r="R676">
        <v>-3</v>
      </c>
      <c r="S676" s="15">
        <f>Table2[[#This Row],[movement_quantity]]/VLOOKUP(Table2[[#This Row],[product]],Ref[#All],5,FALSE)</f>
        <v>-7.4999999999999997E-2</v>
      </c>
      <c r="T676">
        <v>24758.555840000001</v>
      </c>
      <c r="U676" t="s">
        <v>17</v>
      </c>
      <c r="V676" t="s">
        <v>24</v>
      </c>
      <c r="W676" t="s">
        <v>1229</v>
      </c>
      <c r="X676" t="s">
        <v>17</v>
      </c>
      <c r="Y676" t="s">
        <v>1221</v>
      </c>
      <c r="Z676" s="23">
        <v>0</v>
      </c>
      <c r="AA676" s="23">
        <v>-74275.667520000003</v>
      </c>
      <c r="AB676" t="str">
        <f>VLOOKUP(Table2[[#This Row],[product]],Ref[#All],6,FALSE)</f>
        <v>BAG25</v>
      </c>
    </row>
    <row r="677" spans="1:28" x14ac:dyDescent="0.25">
      <c r="A677" t="str">
        <f>TEXT(Table2[[#This Row],[dated]],"mmm")</f>
        <v>Jun</v>
      </c>
      <c r="B677" t="s">
        <v>52</v>
      </c>
      <c r="C677" s="1" t="s">
        <v>536</v>
      </c>
      <c r="D677" t="str">
        <f>VLOOKUP(Table2[[#This Row],[product]],Ref[#All],7,FALSE)</f>
        <v>Flour</v>
      </c>
      <c r="E677" s="1" t="s">
        <v>36</v>
      </c>
      <c r="F677" t="str">
        <f>VLOOKUP(Table2[[#This Row],[product]],Ref[#All],2,FALSE)</f>
        <v>Flour Import Elngm 25Kg</v>
      </c>
      <c r="G677" t="str">
        <f>VLOOKUP(Table2[[#This Row],[product]],Ref[#All],3,FALSE)</f>
        <v>Flour Al-Nagm (Imported)</v>
      </c>
      <c r="H677" t="str">
        <f>VLOOKUP(Table2[[#This Row],[product]],Ref[#All],4,FALSE)</f>
        <v>Import</v>
      </c>
      <c r="I677" s="1">
        <v>45823</v>
      </c>
      <c r="J677" t="s">
        <v>53</v>
      </c>
      <c r="K677" t="s">
        <v>1230</v>
      </c>
      <c r="L677" t="s">
        <v>1651</v>
      </c>
      <c r="M677" t="s">
        <v>1586</v>
      </c>
      <c r="N677" t="s">
        <v>784</v>
      </c>
      <c r="O677" t="s">
        <v>785</v>
      </c>
      <c r="P677" t="s">
        <v>788</v>
      </c>
      <c r="Q677" t="s">
        <v>55</v>
      </c>
      <c r="R677">
        <v>-1</v>
      </c>
      <c r="S677" s="15">
        <f>Table2[[#This Row],[movement_quantity]]/VLOOKUP(Table2[[#This Row],[product]],Ref[#All],5,FALSE)</f>
        <v>-2.5000000000000001E-2</v>
      </c>
      <c r="T677">
        <v>24758.555840000001</v>
      </c>
      <c r="U677" t="s">
        <v>17</v>
      </c>
      <c r="V677" t="s">
        <v>25</v>
      </c>
      <c r="W677" t="s">
        <v>1231</v>
      </c>
      <c r="X677" t="s">
        <v>17</v>
      </c>
      <c r="Y677" t="s">
        <v>1221</v>
      </c>
      <c r="Z677" s="23">
        <v>0</v>
      </c>
      <c r="AA677" s="23">
        <v>-24758.555840000001</v>
      </c>
      <c r="AB677" t="str">
        <f>VLOOKUP(Table2[[#This Row],[product]],Ref[#All],6,FALSE)</f>
        <v>BAG25</v>
      </c>
    </row>
    <row r="678" spans="1:28" x14ac:dyDescent="0.25">
      <c r="A678" t="str">
        <f>TEXT(Table2[[#This Row],[dated]],"mmm")</f>
        <v>Jun</v>
      </c>
      <c r="B678" t="s">
        <v>52</v>
      </c>
      <c r="C678" s="1" t="s">
        <v>536</v>
      </c>
      <c r="D678" t="str">
        <f>VLOOKUP(Table2[[#This Row],[product]],Ref[#All],7,FALSE)</f>
        <v>Flour</v>
      </c>
      <c r="E678" s="1" t="s">
        <v>36</v>
      </c>
      <c r="F678" t="str">
        <f>VLOOKUP(Table2[[#This Row],[product]],Ref[#All],2,FALSE)</f>
        <v>Flour Import Elngm 25Kg</v>
      </c>
      <c r="G678" t="str">
        <f>VLOOKUP(Table2[[#This Row],[product]],Ref[#All],3,FALSE)</f>
        <v>Flour Al-Nagm (Imported)</v>
      </c>
      <c r="H678" t="str">
        <f>VLOOKUP(Table2[[#This Row],[product]],Ref[#All],4,FALSE)</f>
        <v>Import</v>
      </c>
      <c r="I678" s="1">
        <v>45823</v>
      </c>
      <c r="J678" t="s">
        <v>53</v>
      </c>
      <c r="K678" t="s">
        <v>1232</v>
      </c>
      <c r="L678" t="s">
        <v>1651</v>
      </c>
      <c r="M678" t="s">
        <v>1586</v>
      </c>
      <c r="N678" t="s">
        <v>784</v>
      </c>
      <c r="O678" t="s">
        <v>785</v>
      </c>
      <c r="P678" t="s">
        <v>788</v>
      </c>
      <c r="Q678" t="s">
        <v>55</v>
      </c>
      <c r="R678">
        <v>-1</v>
      </c>
      <c r="S678" s="15">
        <f>Table2[[#This Row],[movement_quantity]]/VLOOKUP(Table2[[#This Row],[product]],Ref[#All],5,FALSE)</f>
        <v>-2.5000000000000001E-2</v>
      </c>
      <c r="T678">
        <v>24758.555840000001</v>
      </c>
      <c r="U678" t="s">
        <v>17</v>
      </c>
      <c r="V678" t="s">
        <v>26</v>
      </c>
      <c r="W678" t="s">
        <v>1233</v>
      </c>
      <c r="X678" t="s">
        <v>17</v>
      </c>
      <c r="Y678" t="s">
        <v>1221</v>
      </c>
      <c r="Z678" s="23">
        <v>0</v>
      </c>
      <c r="AA678" s="23">
        <v>-24758.555840000001</v>
      </c>
      <c r="AB678" t="str">
        <f>VLOOKUP(Table2[[#This Row],[product]],Ref[#All],6,FALSE)</f>
        <v>BAG25</v>
      </c>
    </row>
    <row r="679" spans="1:28" x14ac:dyDescent="0.25">
      <c r="A679" t="str">
        <f>TEXT(Table2[[#This Row],[dated]],"mmm")</f>
        <v>Jun</v>
      </c>
      <c r="B679" t="s">
        <v>52</v>
      </c>
      <c r="C679" s="1" t="s">
        <v>536</v>
      </c>
      <c r="D679" t="str">
        <f>VLOOKUP(Table2[[#This Row],[product]],Ref[#All],7,FALSE)</f>
        <v>Flour</v>
      </c>
      <c r="E679" s="1" t="s">
        <v>36</v>
      </c>
      <c r="F679" t="str">
        <f>VLOOKUP(Table2[[#This Row],[product]],Ref[#All],2,FALSE)</f>
        <v>Flour Import Elngm 25Kg</v>
      </c>
      <c r="G679" t="str">
        <f>VLOOKUP(Table2[[#This Row],[product]],Ref[#All],3,FALSE)</f>
        <v>Flour Al-Nagm (Imported)</v>
      </c>
      <c r="H679" t="str">
        <f>VLOOKUP(Table2[[#This Row],[product]],Ref[#All],4,FALSE)</f>
        <v>Import</v>
      </c>
      <c r="I679" s="1">
        <v>45823</v>
      </c>
      <c r="J679" t="s">
        <v>53</v>
      </c>
      <c r="K679" t="s">
        <v>1234</v>
      </c>
      <c r="L679" t="s">
        <v>1651</v>
      </c>
      <c r="M679" t="s">
        <v>1586</v>
      </c>
      <c r="N679" t="s">
        <v>784</v>
      </c>
      <c r="O679" t="s">
        <v>785</v>
      </c>
      <c r="P679" t="s">
        <v>788</v>
      </c>
      <c r="Q679" t="s">
        <v>55</v>
      </c>
      <c r="R679">
        <v>-2</v>
      </c>
      <c r="S679" s="15">
        <f>Table2[[#This Row],[movement_quantity]]/VLOOKUP(Table2[[#This Row],[product]],Ref[#All],5,FALSE)</f>
        <v>-0.05</v>
      </c>
      <c r="T679">
        <v>24758.555840000001</v>
      </c>
      <c r="U679" t="s">
        <v>17</v>
      </c>
      <c r="V679" t="s">
        <v>27</v>
      </c>
      <c r="W679" t="s">
        <v>1235</v>
      </c>
      <c r="X679" t="s">
        <v>17</v>
      </c>
      <c r="Y679" t="s">
        <v>1221</v>
      </c>
      <c r="Z679" s="23">
        <v>0</v>
      </c>
      <c r="AA679" s="23">
        <v>-49517.111680000002</v>
      </c>
      <c r="AB679" t="str">
        <f>VLOOKUP(Table2[[#This Row],[product]],Ref[#All],6,FALSE)</f>
        <v>BAG25</v>
      </c>
    </row>
    <row r="680" spans="1:28" x14ac:dyDescent="0.25">
      <c r="A680" t="str">
        <f>TEXT(Table2[[#This Row],[dated]],"mmm")</f>
        <v>Jun</v>
      </c>
      <c r="B680" t="s">
        <v>52</v>
      </c>
      <c r="C680" s="1" t="s">
        <v>536</v>
      </c>
      <c r="D680" t="str">
        <f>VLOOKUP(Table2[[#This Row],[product]],Ref[#All],7,FALSE)</f>
        <v>Flour</v>
      </c>
      <c r="E680" s="1" t="s">
        <v>36</v>
      </c>
      <c r="F680" t="str">
        <f>VLOOKUP(Table2[[#This Row],[product]],Ref[#All],2,FALSE)</f>
        <v>Flour Import Elngm 25Kg</v>
      </c>
      <c r="G680" t="str">
        <f>VLOOKUP(Table2[[#This Row],[product]],Ref[#All],3,FALSE)</f>
        <v>Flour Al-Nagm (Imported)</v>
      </c>
      <c r="H680" t="str">
        <f>VLOOKUP(Table2[[#This Row],[product]],Ref[#All],4,FALSE)</f>
        <v>Import</v>
      </c>
      <c r="I680" s="1">
        <v>45823</v>
      </c>
      <c r="J680" t="s">
        <v>53</v>
      </c>
      <c r="K680" t="s">
        <v>1236</v>
      </c>
      <c r="L680" t="s">
        <v>1651</v>
      </c>
      <c r="M680" t="s">
        <v>1586</v>
      </c>
      <c r="N680" t="s">
        <v>784</v>
      </c>
      <c r="O680" t="s">
        <v>785</v>
      </c>
      <c r="P680" t="s">
        <v>788</v>
      </c>
      <c r="Q680" t="s">
        <v>55</v>
      </c>
      <c r="R680">
        <v>-7</v>
      </c>
      <c r="S680" s="15">
        <f>Table2[[#This Row],[movement_quantity]]/VLOOKUP(Table2[[#This Row],[product]],Ref[#All],5,FALSE)</f>
        <v>-0.17499999999999999</v>
      </c>
      <c r="T680">
        <v>24758.555840000001</v>
      </c>
      <c r="U680" t="s">
        <v>17</v>
      </c>
      <c r="V680" t="s">
        <v>28</v>
      </c>
      <c r="W680" t="s">
        <v>1237</v>
      </c>
      <c r="X680" t="s">
        <v>17</v>
      </c>
      <c r="Y680" t="s">
        <v>1221</v>
      </c>
      <c r="Z680" s="23">
        <v>0</v>
      </c>
      <c r="AA680" s="23">
        <v>-173309.89088000002</v>
      </c>
      <c r="AB680" t="str">
        <f>VLOOKUP(Table2[[#This Row],[product]],Ref[#All],6,FALSE)</f>
        <v>BAG25</v>
      </c>
    </row>
    <row r="681" spans="1:28" x14ac:dyDescent="0.25">
      <c r="A681" t="str">
        <f>TEXT(Table2[[#This Row],[dated]],"mmm")</f>
        <v>Jun</v>
      </c>
      <c r="B681" t="s">
        <v>52</v>
      </c>
      <c r="C681" s="1" t="s">
        <v>536</v>
      </c>
      <c r="D681" t="str">
        <f>VLOOKUP(Table2[[#This Row],[product]],Ref[#All],7,FALSE)</f>
        <v>Flour</v>
      </c>
      <c r="E681" s="1" t="s">
        <v>36</v>
      </c>
      <c r="F681" t="str">
        <f>VLOOKUP(Table2[[#This Row],[product]],Ref[#All],2,FALSE)</f>
        <v>Flour Import Elngm 25Kg</v>
      </c>
      <c r="G681" t="str">
        <f>VLOOKUP(Table2[[#This Row],[product]],Ref[#All],3,FALSE)</f>
        <v>Flour Al-Nagm (Imported)</v>
      </c>
      <c r="H681" t="str">
        <f>VLOOKUP(Table2[[#This Row],[product]],Ref[#All],4,FALSE)</f>
        <v>Import</v>
      </c>
      <c r="I681" s="1">
        <v>45823</v>
      </c>
      <c r="J681" t="s">
        <v>53</v>
      </c>
      <c r="K681" t="s">
        <v>1238</v>
      </c>
      <c r="L681" t="s">
        <v>1651</v>
      </c>
      <c r="M681" t="s">
        <v>1586</v>
      </c>
      <c r="N681" t="s">
        <v>784</v>
      </c>
      <c r="O681" t="s">
        <v>785</v>
      </c>
      <c r="P681" t="s">
        <v>788</v>
      </c>
      <c r="Q681" t="s">
        <v>55</v>
      </c>
      <c r="R681">
        <v>-3</v>
      </c>
      <c r="S681" s="15">
        <f>Table2[[#This Row],[movement_quantity]]/VLOOKUP(Table2[[#This Row],[product]],Ref[#All],5,FALSE)</f>
        <v>-7.4999999999999997E-2</v>
      </c>
      <c r="T681">
        <v>24758.555840000001</v>
      </c>
      <c r="U681" t="s">
        <v>17</v>
      </c>
      <c r="V681" t="s">
        <v>29</v>
      </c>
      <c r="W681" t="s">
        <v>1239</v>
      </c>
      <c r="X681" t="s">
        <v>17</v>
      </c>
      <c r="Y681" t="s">
        <v>1221</v>
      </c>
      <c r="Z681" s="23">
        <v>0</v>
      </c>
      <c r="AA681" s="23">
        <v>-74275.667520000003</v>
      </c>
      <c r="AB681" t="str">
        <f>VLOOKUP(Table2[[#This Row],[product]],Ref[#All],6,FALSE)</f>
        <v>BAG25</v>
      </c>
    </row>
    <row r="682" spans="1:28" x14ac:dyDescent="0.25">
      <c r="A682" t="str">
        <f>TEXT(Table2[[#This Row],[dated]],"mmm")</f>
        <v>Jun</v>
      </c>
      <c r="B682" t="s">
        <v>52</v>
      </c>
      <c r="C682" s="1" t="s">
        <v>536</v>
      </c>
      <c r="D682" t="str">
        <f>VLOOKUP(Table2[[#This Row],[product]],Ref[#All],7,FALSE)</f>
        <v>Flour</v>
      </c>
      <c r="E682" s="1" t="s">
        <v>36</v>
      </c>
      <c r="F682" t="str">
        <f>VLOOKUP(Table2[[#This Row],[product]],Ref[#All],2,FALSE)</f>
        <v>Flour Import Elngm 25Kg</v>
      </c>
      <c r="G682" t="str">
        <f>VLOOKUP(Table2[[#This Row],[product]],Ref[#All],3,FALSE)</f>
        <v>Flour Al-Nagm (Imported)</v>
      </c>
      <c r="H682" t="str">
        <f>VLOOKUP(Table2[[#This Row],[product]],Ref[#All],4,FALSE)</f>
        <v>Import</v>
      </c>
      <c r="I682" s="1">
        <v>45823</v>
      </c>
      <c r="J682" t="s">
        <v>53</v>
      </c>
      <c r="K682" t="s">
        <v>1240</v>
      </c>
      <c r="L682" t="s">
        <v>1651</v>
      </c>
      <c r="M682" t="s">
        <v>1586</v>
      </c>
      <c r="N682" t="s">
        <v>784</v>
      </c>
      <c r="O682" t="s">
        <v>785</v>
      </c>
      <c r="P682" t="s">
        <v>788</v>
      </c>
      <c r="Q682" t="s">
        <v>55</v>
      </c>
      <c r="R682">
        <v>-2</v>
      </c>
      <c r="S682" s="15">
        <f>Table2[[#This Row],[movement_quantity]]/VLOOKUP(Table2[[#This Row],[product]],Ref[#All],5,FALSE)</f>
        <v>-0.05</v>
      </c>
      <c r="T682">
        <v>24758.555840000001</v>
      </c>
      <c r="U682" t="s">
        <v>17</v>
      </c>
      <c r="V682" t="s">
        <v>31</v>
      </c>
      <c r="W682" t="s">
        <v>1241</v>
      </c>
      <c r="X682" t="s">
        <v>17</v>
      </c>
      <c r="Y682" t="s">
        <v>1221</v>
      </c>
      <c r="Z682" s="2">
        <v>0</v>
      </c>
      <c r="AA682" s="2">
        <v>-49517.111680000002</v>
      </c>
      <c r="AB682" t="str">
        <f>VLOOKUP(Table2[[#This Row],[product]],Ref[#All],6,FALSE)</f>
        <v>BAG25</v>
      </c>
    </row>
    <row r="683" spans="1:28" x14ac:dyDescent="0.25">
      <c r="A683" t="str">
        <f>TEXT(Table2[[#This Row],[dated]],"mmm")</f>
        <v>Jun</v>
      </c>
      <c r="B683" t="s">
        <v>52</v>
      </c>
      <c r="C683" s="1" t="s">
        <v>536</v>
      </c>
      <c r="D683" t="str">
        <f>VLOOKUP(Table2[[#This Row],[product]],Ref[#All],7,FALSE)</f>
        <v>Lentils</v>
      </c>
      <c r="E683" s="1" t="s">
        <v>39</v>
      </c>
      <c r="F683" t="str">
        <f>VLOOKUP(Table2[[#This Row],[product]],Ref[#All],2,FALSE)</f>
        <v>Lentil TAT 20KG</v>
      </c>
      <c r="G683" t="str">
        <f>VLOOKUP(Table2[[#This Row],[product]],Ref[#All],3,FALSE)</f>
        <v>Lentils</v>
      </c>
      <c r="H683" t="str">
        <f>VLOOKUP(Table2[[#This Row],[product]],Ref[#All],4,FALSE)</f>
        <v>Import</v>
      </c>
      <c r="I683" s="1">
        <v>45823</v>
      </c>
      <c r="J683" t="s">
        <v>53</v>
      </c>
      <c r="K683" t="s">
        <v>1242</v>
      </c>
      <c r="L683" t="s">
        <v>1651</v>
      </c>
      <c r="M683" t="s">
        <v>1586</v>
      </c>
      <c r="N683" t="s">
        <v>784</v>
      </c>
      <c r="O683" t="s">
        <v>785</v>
      </c>
      <c r="P683" t="s">
        <v>788</v>
      </c>
      <c r="Q683" t="s">
        <v>55</v>
      </c>
      <c r="R683">
        <v>-2</v>
      </c>
      <c r="S683" s="15">
        <f>Table2[[#This Row],[movement_quantity]]/VLOOKUP(Table2[[#This Row],[product]],Ref[#All],5,FALSE)</f>
        <v>-0.04</v>
      </c>
      <c r="T683">
        <v>37806.777110000003</v>
      </c>
      <c r="U683" t="s">
        <v>17</v>
      </c>
      <c r="V683" t="s">
        <v>18</v>
      </c>
      <c r="W683" t="s">
        <v>1243</v>
      </c>
      <c r="X683" t="s">
        <v>17</v>
      </c>
      <c r="Y683" t="s">
        <v>1244</v>
      </c>
      <c r="Z683" s="2">
        <v>0</v>
      </c>
      <c r="AA683" s="2">
        <v>-75613.554220000005</v>
      </c>
      <c r="AB683" t="str">
        <f>VLOOKUP(Table2[[#This Row],[product]],Ref[#All],6,FALSE)</f>
        <v>BAG20</v>
      </c>
    </row>
    <row r="684" spans="1:28" x14ac:dyDescent="0.25">
      <c r="A684" t="str">
        <f>TEXT(Table2[[#This Row],[dated]],"mmm")</f>
        <v>May</v>
      </c>
      <c r="B684" t="s">
        <v>52</v>
      </c>
      <c r="C684" s="1" t="s">
        <v>536</v>
      </c>
      <c r="D684" t="str">
        <f>VLOOKUP(Table2[[#This Row],[product]],Ref[#All],7,FALSE)</f>
        <v>Flour</v>
      </c>
      <c r="E684" s="1" t="s">
        <v>42</v>
      </c>
      <c r="F684" t="str">
        <f>VLOOKUP(Table2[[#This Row],[product]],Ref[#All],2,FALSE)</f>
        <v>Alnajm Flour from Mill 25KG</v>
      </c>
      <c r="G684" t="str">
        <f>VLOOKUP(Table2[[#This Row],[product]],Ref[#All],3,FALSE)</f>
        <v>Flour Al-Nagm (Mill)</v>
      </c>
      <c r="H684" t="str">
        <f>VLOOKUP(Table2[[#This Row],[product]],Ref[#All],4,FALSE)</f>
        <v>Import</v>
      </c>
      <c r="I684" s="1">
        <v>45804</v>
      </c>
      <c r="J684" t="s">
        <v>53</v>
      </c>
      <c r="K684" t="s">
        <v>1245</v>
      </c>
      <c r="L684" t="s">
        <v>1651</v>
      </c>
      <c r="M684" t="s">
        <v>1586</v>
      </c>
      <c r="N684" t="s">
        <v>784</v>
      </c>
      <c r="O684" t="s">
        <v>785</v>
      </c>
      <c r="P684" t="s">
        <v>788</v>
      </c>
      <c r="Q684" t="s">
        <v>55</v>
      </c>
      <c r="R684">
        <v>-1</v>
      </c>
      <c r="S684" s="15">
        <f>Table2[[#This Row],[movement_quantity]]/VLOOKUP(Table2[[#This Row],[product]],Ref[#All],5,FALSE)</f>
        <v>-2.5000000000000001E-2</v>
      </c>
      <c r="T684">
        <v>31301.811430000002</v>
      </c>
      <c r="U684" t="s">
        <v>17</v>
      </c>
      <c r="V684" t="s">
        <v>18</v>
      </c>
      <c r="W684" t="s">
        <v>1246</v>
      </c>
      <c r="X684" t="s">
        <v>17</v>
      </c>
      <c r="Y684" t="s">
        <v>1247</v>
      </c>
      <c r="Z684" s="2">
        <v>0</v>
      </c>
      <c r="AA684" s="2">
        <v>-31301.811430000002</v>
      </c>
      <c r="AB684" t="str">
        <f>VLOOKUP(Table2[[#This Row],[product]],Ref[#All],6,FALSE)</f>
        <v>BAG25</v>
      </c>
    </row>
    <row r="685" spans="1:28" x14ac:dyDescent="0.25">
      <c r="A685" t="str">
        <f>TEXT(Table2[[#This Row],[dated]],"mmm")</f>
        <v>Jun</v>
      </c>
      <c r="B685" t="s">
        <v>52</v>
      </c>
      <c r="C685" s="1" t="s">
        <v>536</v>
      </c>
      <c r="D685" t="str">
        <f>VLOOKUP(Table2[[#This Row],[product]],Ref[#All],7,FALSE)</f>
        <v>Flour</v>
      </c>
      <c r="E685" s="1" t="s">
        <v>42</v>
      </c>
      <c r="F685" t="str">
        <f>VLOOKUP(Table2[[#This Row],[product]],Ref[#All],2,FALSE)</f>
        <v>Alnajm Flour from Mill 25KG</v>
      </c>
      <c r="G685" t="str">
        <f>VLOOKUP(Table2[[#This Row],[product]],Ref[#All],3,FALSE)</f>
        <v>Flour Al-Nagm (Mill)</v>
      </c>
      <c r="H685" t="str">
        <f>VLOOKUP(Table2[[#This Row],[product]],Ref[#All],4,FALSE)</f>
        <v>Import</v>
      </c>
      <c r="I685" s="1">
        <v>45823</v>
      </c>
      <c r="J685" t="s">
        <v>53</v>
      </c>
      <c r="K685" t="s">
        <v>1248</v>
      </c>
      <c r="L685" t="s">
        <v>1651</v>
      </c>
      <c r="M685" t="s">
        <v>1586</v>
      </c>
      <c r="N685" t="s">
        <v>784</v>
      </c>
      <c r="O685" t="s">
        <v>785</v>
      </c>
      <c r="P685" t="s">
        <v>788</v>
      </c>
      <c r="Q685" t="s">
        <v>55</v>
      </c>
      <c r="R685">
        <v>-5</v>
      </c>
      <c r="S685" s="15">
        <f>Table2[[#This Row],[movement_quantity]]/VLOOKUP(Table2[[#This Row],[product]],Ref[#All],5,FALSE)</f>
        <v>-0.125</v>
      </c>
      <c r="T685">
        <v>24758.555840000001</v>
      </c>
      <c r="U685" t="s">
        <v>17</v>
      </c>
      <c r="V685" t="s">
        <v>18</v>
      </c>
      <c r="W685" t="s">
        <v>1249</v>
      </c>
      <c r="X685" t="s">
        <v>17</v>
      </c>
      <c r="Y685" t="s">
        <v>1250</v>
      </c>
      <c r="Z685" s="23">
        <v>0</v>
      </c>
      <c r="AA685" s="23">
        <v>-123792.7792</v>
      </c>
      <c r="AB685" t="str">
        <f>VLOOKUP(Table2[[#This Row],[product]],Ref[#All],6,FALSE)</f>
        <v>BAG25</v>
      </c>
    </row>
    <row r="686" spans="1:28" x14ac:dyDescent="0.25">
      <c r="A686" t="str">
        <f>TEXT(Table2[[#This Row],[dated]],"mmm")</f>
        <v>May</v>
      </c>
      <c r="B686" t="s">
        <v>52</v>
      </c>
      <c r="C686" s="1" t="s">
        <v>536</v>
      </c>
      <c r="D686" t="str">
        <f>VLOOKUP(Table2[[#This Row],[product]],Ref[#All],7,FALSE)</f>
        <v>Sugar</v>
      </c>
      <c r="E686" s="1" t="s">
        <v>72</v>
      </c>
      <c r="F686" t="str">
        <f>VLOOKUP(Table2[[#This Row],[product]],Ref[#All],2,FALSE)</f>
        <v>White Sugar</v>
      </c>
      <c r="G686" t="str">
        <f>VLOOKUP(Table2[[#This Row],[product]],Ref[#All],3,FALSE)</f>
        <v>White Sugar</v>
      </c>
      <c r="H686" t="str">
        <f>VLOOKUP(Table2[[#This Row],[product]],Ref[#All],4,FALSE)</f>
        <v>Import</v>
      </c>
      <c r="I686" s="1">
        <v>45796</v>
      </c>
      <c r="J686" t="s">
        <v>53</v>
      </c>
      <c r="K686" t="s">
        <v>1251</v>
      </c>
      <c r="L686" t="s">
        <v>1651</v>
      </c>
      <c r="M686" t="s">
        <v>1586</v>
      </c>
      <c r="N686" t="s">
        <v>784</v>
      </c>
      <c r="O686" t="s">
        <v>785</v>
      </c>
      <c r="P686" t="s">
        <v>788</v>
      </c>
      <c r="Q686" t="s">
        <v>55</v>
      </c>
      <c r="R686">
        <v>-1</v>
      </c>
      <c r="S686" s="15">
        <f>Table2[[#This Row],[movement_quantity]]/VLOOKUP(Table2[[#This Row],[product]],Ref[#All],5,FALSE)</f>
        <v>-0.05</v>
      </c>
      <c r="T686">
        <v>96566.186310000005</v>
      </c>
      <c r="U686" t="s">
        <v>17</v>
      </c>
      <c r="V686" t="s">
        <v>18</v>
      </c>
      <c r="W686" t="s">
        <v>1252</v>
      </c>
      <c r="X686" t="s">
        <v>17</v>
      </c>
      <c r="Y686" t="s">
        <v>75</v>
      </c>
      <c r="Z686" s="2">
        <v>0</v>
      </c>
      <c r="AA686" s="2">
        <v>-96566.186310000005</v>
      </c>
      <c r="AB686" t="str">
        <f>VLOOKUP(Table2[[#This Row],[product]],Ref[#All],6,FALSE)</f>
        <v>BAG50</v>
      </c>
    </row>
    <row r="687" spans="1:28" x14ac:dyDescent="0.25">
      <c r="A687" t="str">
        <f>TEXT(Table2[[#This Row],[dated]],"mmm")</f>
        <v>May</v>
      </c>
      <c r="B687" t="s">
        <v>52</v>
      </c>
      <c r="C687" s="1" t="s">
        <v>536</v>
      </c>
      <c r="D687" t="str">
        <f>VLOOKUP(Table2[[#This Row],[product]],Ref[#All],7,FALSE)</f>
        <v>Sugar</v>
      </c>
      <c r="E687" s="1" t="s">
        <v>72</v>
      </c>
      <c r="F687" t="str">
        <f>VLOOKUP(Table2[[#This Row],[product]],Ref[#All],2,FALSE)</f>
        <v>White Sugar</v>
      </c>
      <c r="G687" t="str">
        <f>VLOOKUP(Table2[[#This Row],[product]],Ref[#All],3,FALSE)</f>
        <v>White Sugar</v>
      </c>
      <c r="H687" t="str">
        <f>VLOOKUP(Table2[[#This Row],[product]],Ref[#All],4,FALSE)</f>
        <v>Import</v>
      </c>
      <c r="I687" s="1">
        <v>45796</v>
      </c>
      <c r="J687" t="s">
        <v>53</v>
      </c>
      <c r="K687" t="s">
        <v>1253</v>
      </c>
      <c r="L687" t="s">
        <v>1651</v>
      </c>
      <c r="M687" t="s">
        <v>1586</v>
      </c>
      <c r="N687" t="s">
        <v>784</v>
      </c>
      <c r="O687" t="s">
        <v>785</v>
      </c>
      <c r="P687" t="s">
        <v>788</v>
      </c>
      <c r="Q687" t="s">
        <v>55</v>
      </c>
      <c r="R687">
        <v>-1</v>
      </c>
      <c r="S687" s="15">
        <f>Table2[[#This Row],[movement_quantity]]/VLOOKUP(Table2[[#This Row],[product]],Ref[#All],5,FALSE)</f>
        <v>-0.05</v>
      </c>
      <c r="T687">
        <v>96566.186310000005</v>
      </c>
      <c r="U687" t="s">
        <v>17</v>
      </c>
      <c r="V687" t="s">
        <v>21</v>
      </c>
      <c r="W687" t="s">
        <v>1254</v>
      </c>
      <c r="X687" t="s">
        <v>17</v>
      </c>
      <c r="Y687" t="s">
        <v>75</v>
      </c>
      <c r="Z687" s="2">
        <v>0</v>
      </c>
      <c r="AA687" s="2">
        <v>-96566.186310000005</v>
      </c>
      <c r="AB687" t="str">
        <f>VLOOKUP(Table2[[#This Row],[product]],Ref[#All],6,FALSE)</f>
        <v>BAG50</v>
      </c>
    </row>
    <row r="688" spans="1:28" x14ac:dyDescent="0.25">
      <c r="A688" t="str">
        <f>TEXT(Table2[[#This Row],[dated]],"mmm")</f>
        <v>May</v>
      </c>
      <c r="B688" t="s">
        <v>52</v>
      </c>
      <c r="C688" s="1" t="s">
        <v>536</v>
      </c>
      <c r="D688" t="str">
        <f>VLOOKUP(Table2[[#This Row],[product]],Ref[#All],7,FALSE)</f>
        <v>Sugar</v>
      </c>
      <c r="E688" s="1" t="s">
        <v>72</v>
      </c>
      <c r="F688" t="str">
        <f>VLOOKUP(Table2[[#This Row],[product]],Ref[#All],2,FALSE)</f>
        <v>White Sugar</v>
      </c>
      <c r="G688" t="str">
        <f>VLOOKUP(Table2[[#This Row],[product]],Ref[#All],3,FALSE)</f>
        <v>White Sugar</v>
      </c>
      <c r="H688" t="str">
        <f>VLOOKUP(Table2[[#This Row],[product]],Ref[#All],4,FALSE)</f>
        <v>Import</v>
      </c>
      <c r="I688" s="1">
        <v>45796</v>
      </c>
      <c r="J688" t="s">
        <v>53</v>
      </c>
      <c r="K688" t="s">
        <v>1255</v>
      </c>
      <c r="L688" t="s">
        <v>1651</v>
      </c>
      <c r="M688" t="s">
        <v>1586</v>
      </c>
      <c r="N688" t="s">
        <v>784</v>
      </c>
      <c r="O688" t="s">
        <v>785</v>
      </c>
      <c r="P688" t="s">
        <v>788</v>
      </c>
      <c r="Q688" t="s">
        <v>55</v>
      </c>
      <c r="R688">
        <v>-1</v>
      </c>
      <c r="S688" s="15">
        <f>Table2[[#This Row],[movement_quantity]]/VLOOKUP(Table2[[#This Row],[product]],Ref[#All],5,FALSE)</f>
        <v>-0.05</v>
      </c>
      <c r="T688">
        <v>96566.186310000005</v>
      </c>
      <c r="U688" t="s">
        <v>17</v>
      </c>
      <c r="V688" t="s">
        <v>22</v>
      </c>
      <c r="W688" t="s">
        <v>1256</v>
      </c>
      <c r="X688" t="s">
        <v>17</v>
      </c>
      <c r="Y688" t="s">
        <v>75</v>
      </c>
      <c r="Z688" s="2">
        <v>0</v>
      </c>
      <c r="AA688" s="2">
        <v>-96566.186310000005</v>
      </c>
      <c r="AB688" t="str">
        <f>VLOOKUP(Table2[[#This Row],[product]],Ref[#All],6,FALSE)</f>
        <v>BAG50</v>
      </c>
    </row>
    <row r="689" spans="1:28" x14ac:dyDescent="0.25">
      <c r="A689" t="str">
        <f>TEXT(Table2[[#This Row],[dated]],"mmm")</f>
        <v>May</v>
      </c>
      <c r="B689" t="s">
        <v>52</v>
      </c>
      <c r="C689" s="1" t="s">
        <v>536</v>
      </c>
      <c r="D689" t="str">
        <f>VLOOKUP(Table2[[#This Row],[product]],Ref[#All],7,FALSE)</f>
        <v>Sugar</v>
      </c>
      <c r="E689" s="1" t="s">
        <v>72</v>
      </c>
      <c r="F689" t="str">
        <f>VLOOKUP(Table2[[#This Row],[product]],Ref[#All],2,FALSE)</f>
        <v>White Sugar</v>
      </c>
      <c r="G689" t="str">
        <f>VLOOKUP(Table2[[#This Row],[product]],Ref[#All],3,FALSE)</f>
        <v>White Sugar</v>
      </c>
      <c r="H689" t="str">
        <f>VLOOKUP(Table2[[#This Row],[product]],Ref[#All],4,FALSE)</f>
        <v>Import</v>
      </c>
      <c r="I689" s="1">
        <v>45796</v>
      </c>
      <c r="J689" t="s">
        <v>53</v>
      </c>
      <c r="K689" t="s">
        <v>1257</v>
      </c>
      <c r="L689" t="s">
        <v>1651</v>
      </c>
      <c r="M689" t="s">
        <v>1586</v>
      </c>
      <c r="N689" t="s">
        <v>784</v>
      </c>
      <c r="O689" t="s">
        <v>785</v>
      </c>
      <c r="P689" t="s">
        <v>788</v>
      </c>
      <c r="Q689" t="s">
        <v>55</v>
      </c>
      <c r="R689">
        <v>-10</v>
      </c>
      <c r="S689" s="15">
        <f>Table2[[#This Row],[movement_quantity]]/VLOOKUP(Table2[[#This Row],[product]],Ref[#All],5,FALSE)</f>
        <v>-0.5</v>
      </c>
      <c r="T689">
        <v>96566.186310000005</v>
      </c>
      <c r="U689" t="s">
        <v>17</v>
      </c>
      <c r="V689" t="s">
        <v>23</v>
      </c>
      <c r="W689" t="s">
        <v>1258</v>
      </c>
      <c r="X689" t="s">
        <v>17</v>
      </c>
      <c r="Y689" t="s">
        <v>75</v>
      </c>
      <c r="Z689" s="2">
        <v>0</v>
      </c>
      <c r="AA689" s="2">
        <v>-965661.86310000008</v>
      </c>
      <c r="AB689" t="str">
        <f>VLOOKUP(Table2[[#This Row],[product]],Ref[#All],6,FALSE)</f>
        <v>BAG50</v>
      </c>
    </row>
    <row r="690" spans="1:28" x14ac:dyDescent="0.25">
      <c r="A690" t="str">
        <f>TEXT(Table2[[#This Row],[dated]],"mmm")</f>
        <v>May</v>
      </c>
      <c r="B690" t="s">
        <v>52</v>
      </c>
      <c r="C690" s="1" t="s">
        <v>536</v>
      </c>
      <c r="D690" t="str">
        <f>VLOOKUP(Table2[[#This Row],[product]],Ref[#All],7,FALSE)</f>
        <v>Sugar</v>
      </c>
      <c r="E690" s="1" t="s">
        <v>72</v>
      </c>
      <c r="F690" t="str">
        <f>VLOOKUP(Table2[[#This Row],[product]],Ref[#All],2,FALSE)</f>
        <v>White Sugar</v>
      </c>
      <c r="G690" t="str">
        <f>VLOOKUP(Table2[[#This Row],[product]],Ref[#All],3,FALSE)</f>
        <v>White Sugar</v>
      </c>
      <c r="H690" t="str">
        <f>VLOOKUP(Table2[[#This Row],[product]],Ref[#All],4,FALSE)</f>
        <v>Import</v>
      </c>
      <c r="I690" s="1">
        <v>45796</v>
      </c>
      <c r="J690" t="s">
        <v>53</v>
      </c>
      <c r="K690" t="s">
        <v>1259</v>
      </c>
      <c r="L690" t="s">
        <v>1651</v>
      </c>
      <c r="M690" t="s">
        <v>1586</v>
      </c>
      <c r="N690" t="s">
        <v>784</v>
      </c>
      <c r="O690" t="s">
        <v>785</v>
      </c>
      <c r="P690" t="s">
        <v>788</v>
      </c>
      <c r="Q690" t="s">
        <v>55</v>
      </c>
      <c r="R690">
        <v>-3</v>
      </c>
      <c r="S690" s="15">
        <f>Table2[[#This Row],[movement_quantity]]/VLOOKUP(Table2[[#This Row],[product]],Ref[#All],5,FALSE)</f>
        <v>-0.15</v>
      </c>
      <c r="T690">
        <v>96566.186310000005</v>
      </c>
      <c r="U690" t="s">
        <v>17</v>
      </c>
      <c r="V690" t="s">
        <v>24</v>
      </c>
      <c r="W690" t="s">
        <v>1260</v>
      </c>
      <c r="X690" t="s">
        <v>17</v>
      </c>
      <c r="Y690" t="s">
        <v>75</v>
      </c>
      <c r="Z690" s="2">
        <v>0</v>
      </c>
      <c r="AA690" s="2">
        <v>-289698.55893</v>
      </c>
      <c r="AB690" t="str">
        <f>VLOOKUP(Table2[[#This Row],[product]],Ref[#All],6,FALSE)</f>
        <v>BAG50</v>
      </c>
    </row>
    <row r="691" spans="1:28" x14ac:dyDescent="0.25">
      <c r="A691" t="str">
        <f>TEXT(Table2[[#This Row],[dated]],"mmm")</f>
        <v>May</v>
      </c>
      <c r="B691" t="s">
        <v>52</v>
      </c>
      <c r="C691" s="1" t="s">
        <v>536</v>
      </c>
      <c r="D691" t="str">
        <f>VLOOKUP(Table2[[#This Row],[product]],Ref[#All],7,FALSE)</f>
        <v>Sugar</v>
      </c>
      <c r="E691" s="1" t="s">
        <v>72</v>
      </c>
      <c r="F691" t="str">
        <f>VLOOKUP(Table2[[#This Row],[product]],Ref[#All],2,FALSE)</f>
        <v>White Sugar</v>
      </c>
      <c r="G691" t="str">
        <f>VLOOKUP(Table2[[#This Row],[product]],Ref[#All],3,FALSE)</f>
        <v>White Sugar</v>
      </c>
      <c r="H691" t="str">
        <f>VLOOKUP(Table2[[#This Row],[product]],Ref[#All],4,FALSE)</f>
        <v>Import</v>
      </c>
      <c r="I691" s="1">
        <v>45796</v>
      </c>
      <c r="J691" t="s">
        <v>53</v>
      </c>
      <c r="K691" t="s">
        <v>1261</v>
      </c>
      <c r="L691" t="s">
        <v>1651</v>
      </c>
      <c r="M691" t="s">
        <v>1586</v>
      </c>
      <c r="N691" t="s">
        <v>784</v>
      </c>
      <c r="O691" t="s">
        <v>785</v>
      </c>
      <c r="P691" t="s">
        <v>788</v>
      </c>
      <c r="Q691" t="s">
        <v>55</v>
      </c>
      <c r="R691">
        <v>-1</v>
      </c>
      <c r="S691" s="15">
        <f>Table2[[#This Row],[movement_quantity]]/VLOOKUP(Table2[[#This Row],[product]],Ref[#All],5,FALSE)</f>
        <v>-0.05</v>
      </c>
      <c r="T691">
        <v>96566.186310000005</v>
      </c>
      <c r="U691" t="s">
        <v>17</v>
      </c>
      <c r="V691" t="s">
        <v>25</v>
      </c>
      <c r="W691" t="s">
        <v>1262</v>
      </c>
      <c r="X691" t="s">
        <v>17</v>
      </c>
      <c r="Y691" t="s">
        <v>75</v>
      </c>
      <c r="Z691" s="2">
        <v>0</v>
      </c>
      <c r="AA691" s="2">
        <v>-96566.186310000005</v>
      </c>
      <c r="AB691" t="str">
        <f>VLOOKUP(Table2[[#This Row],[product]],Ref[#All],6,FALSE)</f>
        <v>BAG50</v>
      </c>
    </row>
    <row r="692" spans="1:28" x14ac:dyDescent="0.25">
      <c r="A692" t="str">
        <f>TEXT(Table2[[#This Row],[dated]],"mmm")</f>
        <v>May</v>
      </c>
      <c r="B692" t="s">
        <v>52</v>
      </c>
      <c r="C692" s="1" t="s">
        <v>536</v>
      </c>
      <c r="D692" t="str">
        <f>VLOOKUP(Table2[[#This Row],[product]],Ref[#All],7,FALSE)</f>
        <v>Sugar</v>
      </c>
      <c r="E692" s="1" t="s">
        <v>72</v>
      </c>
      <c r="F692" t="str">
        <f>VLOOKUP(Table2[[#This Row],[product]],Ref[#All],2,FALSE)</f>
        <v>White Sugar</v>
      </c>
      <c r="G692" t="str">
        <f>VLOOKUP(Table2[[#This Row],[product]],Ref[#All],3,FALSE)</f>
        <v>White Sugar</v>
      </c>
      <c r="H692" t="str">
        <f>VLOOKUP(Table2[[#This Row],[product]],Ref[#All],4,FALSE)</f>
        <v>Import</v>
      </c>
      <c r="I692" s="1">
        <v>45796</v>
      </c>
      <c r="J692" t="s">
        <v>53</v>
      </c>
      <c r="K692" t="s">
        <v>1263</v>
      </c>
      <c r="L692" t="s">
        <v>1651</v>
      </c>
      <c r="M692" t="s">
        <v>1586</v>
      </c>
      <c r="N692" t="s">
        <v>784</v>
      </c>
      <c r="O692" t="s">
        <v>785</v>
      </c>
      <c r="P692" t="s">
        <v>788</v>
      </c>
      <c r="Q692" t="s">
        <v>55</v>
      </c>
      <c r="R692">
        <v>-1</v>
      </c>
      <c r="S692" s="15">
        <f>Table2[[#This Row],[movement_quantity]]/VLOOKUP(Table2[[#This Row],[product]],Ref[#All],5,FALSE)</f>
        <v>-0.05</v>
      </c>
      <c r="T692">
        <v>96566.186310000005</v>
      </c>
      <c r="U692" t="s">
        <v>17</v>
      </c>
      <c r="V692" t="s">
        <v>26</v>
      </c>
      <c r="W692" t="s">
        <v>1264</v>
      </c>
      <c r="X692" t="s">
        <v>17</v>
      </c>
      <c r="Y692" t="s">
        <v>75</v>
      </c>
      <c r="Z692" s="2">
        <v>0</v>
      </c>
      <c r="AA692" s="2">
        <v>-96566.186310000005</v>
      </c>
      <c r="AB692" t="str">
        <f>VLOOKUP(Table2[[#This Row],[product]],Ref[#All],6,FALSE)</f>
        <v>BAG50</v>
      </c>
    </row>
    <row r="693" spans="1:28" x14ac:dyDescent="0.25">
      <c r="A693" t="str">
        <f>TEXT(Table2[[#This Row],[dated]],"mmm")</f>
        <v>May</v>
      </c>
      <c r="B693" t="s">
        <v>52</v>
      </c>
      <c r="C693" s="1" t="s">
        <v>536</v>
      </c>
      <c r="D693" t="str">
        <f>VLOOKUP(Table2[[#This Row],[product]],Ref[#All],7,FALSE)</f>
        <v>Sugar</v>
      </c>
      <c r="E693" s="1" t="s">
        <v>72</v>
      </c>
      <c r="F693" t="str">
        <f>VLOOKUP(Table2[[#This Row],[product]],Ref[#All],2,FALSE)</f>
        <v>White Sugar</v>
      </c>
      <c r="G693" t="str">
        <f>VLOOKUP(Table2[[#This Row],[product]],Ref[#All],3,FALSE)</f>
        <v>White Sugar</v>
      </c>
      <c r="H693" t="str">
        <f>VLOOKUP(Table2[[#This Row],[product]],Ref[#All],4,FALSE)</f>
        <v>Import</v>
      </c>
      <c r="I693" s="1">
        <v>45796</v>
      </c>
      <c r="J693" t="s">
        <v>53</v>
      </c>
      <c r="K693" t="s">
        <v>1265</v>
      </c>
      <c r="L693" t="s">
        <v>1651</v>
      </c>
      <c r="M693" t="s">
        <v>1586</v>
      </c>
      <c r="N693" t="s">
        <v>784</v>
      </c>
      <c r="O693" t="s">
        <v>785</v>
      </c>
      <c r="P693" t="s">
        <v>788</v>
      </c>
      <c r="Q693" t="s">
        <v>55</v>
      </c>
      <c r="R693">
        <v>-8</v>
      </c>
      <c r="S693" s="15">
        <f>Table2[[#This Row],[movement_quantity]]/VLOOKUP(Table2[[#This Row],[product]],Ref[#All],5,FALSE)</f>
        <v>-0.4</v>
      </c>
      <c r="T693">
        <v>96566.186310000005</v>
      </c>
      <c r="U693" t="s">
        <v>17</v>
      </c>
      <c r="V693" t="s">
        <v>27</v>
      </c>
      <c r="W693" t="s">
        <v>1266</v>
      </c>
      <c r="X693" t="s">
        <v>17</v>
      </c>
      <c r="Y693" t="s">
        <v>75</v>
      </c>
      <c r="Z693" s="2">
        <v>0</v>
      </c>
      <c r="AA693" s="2">
        <v>-772529.49048000004</v>
      </c>
      <c r="AB693" t="str">
        <f>VLOOKUP(Table2[[#This Row],[product]],Ref[#All],6,FALSE)</f>
        <v>BAG50</v>
      </c>
    </row>
    <row r="694" spans="1:28" x14ac:dyDescent="0.25">
      <c r="A694" t="str">
        <f>TEXT(Table2[[#This Row],[dated]],"mmm")</f>
        <v>May</v>
      </c>
      <c r="B694" t="s">
        <v>52</v>
      </c>
      <c r="C694" s="1" t="s">
        <v>536</v>
      </c>
      <c r="D694" t="str">
        <f>VLOOKUP(Table2[[#This Row],[product]],Ref[#All],7,FALSE)</f>
        <v>Sugar</v>
      </c>
      <c r="E694" s="1" t="s">
        <v>72</v>
      </c>
      <c r="F694" t="str">
        <f>VLOOKUP(Table2[[#This Row],[product]],Ref[#All],2,FALSE)</f>
        <v>White Sugar</v>
      </c>
      <c r="G694" t="str">
        <f>VLOOKUP(Table2[[#This Row],[product]],Ref[#All],3,FALSE)</f>
        <v>White Sugar</v>
      </c>
      <c r="H694" t="str">
        <f>VLOOKUP(Table2[[#This Row],[product]],Ref[#All],4,FALSE)</f>
        <v>Import</v>
      </c>
      <c r="I694" s="1">
        <v>45796</v>
      </c>
      <c r="J694" t="s">
        <v>53</v>
      </c>
      <c r="K694" t="s">
        <v>1267</v>
      </c>
      <c r="L694" t="s">
        <v>1651</v>
      </c>
      <c r="M694" t="s">
        <v>1586</v>
      </c>
      <c r="N694" t="s">
        <v>784</v>
      </c>
      <c r="O694" t="s">
        <v>785</v>
      </c>
      <c r="P694" t="s">
        <v>788</v>
      </c>
      <c r="Q694" t="s">
        <v>55</v>
      </c>
      <c r="R694">
        <v>-1</v>
      </c>
      <c r="S694" s="15">
        <f>Table2[[#This Row],[movement_quantity]]/VLOOKUP(Table2[[#This Row],[product]],Ref[#All],5,FALSE)</f>
        <v>-0.05</v>
      </c>
      <c r="T694">
        <v>96566.186310000005</v>
      </c>
      <c r="U694" t="s">
        <v>17</v>
      </c>
      <c r="V694" t="s">
        <v>28</v>
      </c>
      <c r="W694" t="s">
        <v>1268</v>
      </c>
      <c r="X694" t="s">
        <v>17</v>
      </c>
      <c r="Y694" t="s">
        <v>75</v>
      </c>
      <c r="Z694" s="2">
        <v>0</v>
      </c>
      <c r="AA694" s="2">
        <v>-96566.186310000005</v>
      </c>
      <c r="AB694" t="str">
        <f>VLOOKUP(Table2[[#This Row],[product]],Ref[#All],6,FALSE)</f>
        <v>BAG50</v>
      </c>
    </row>
    <row r="695" spans="1:28" x14ac:dyDescent="0.25">
      <c r="A695" t="str">
        <f>TEXT(Table2[[#This Row],[dated]],"mmm")</f>
        <v>May</v>
      </c>
      <c r="B695" t="s">
        <v>52</v>
      </c>
      <c r="C695" s="1" t="s">
        <v>536</v>
      </c>
      <c r="D695" t="str">
        <f>VLOOKUP(Table2[[#This Row],[product]],Ref[#All],7,FALSE)</f>
        <v>Sugar</v>
      </c>
      <c r="E695" s="1" t="s">
        <v>72</v>
      </c>
      <c r="F695" t="str">
        <f>VLOOKUP(Table2[[#This Row],[product]],Ref[#All],2,FALSE)</f>
        <v>White Sugar</v>
      </c>
      <c r="G695" t="str">
        <f>VLOOKUP(Table2[[#This Row],[product]],Ref[#All],3,FALSE)</f>
        <v>White Sugar</v>
      </c>
      <c r="H695" t="str">
        <f>VLOOKUP(Table2[[#This Row],[product]],Ref[#All],4,FALSE)</f>
        <v>Import</v>
      </c>
      <c r="I695" s="1">
        <v>45796</v>
      </c>
      <c r="J695" t="s">
        <v>53</v>
      </c>
      <c r="K695" t="s">
        <v>1269</v>
      </c>
      <c r="L695" t="s">
        <v>1651</v>
      </c>
      <c r="M695" t="s">
        <v>1586</v>
      </c>
      <c r="N695" t="s">
        <v>784</v>
      </c>
      <c r="O695" t="s">
        <v>785</v>
      </c>
      <c r="P695" t="s">
        <v>788</v>
      </c>
      <c r="Q695" t="s">
        <v>55</v>
      </c>
      <c r="R695">
        <v>-4</v>
      </c>
      <c r="S695" s="15">
        <f>Table2[[#This Row],[movement_quantity]]/VLOOKUP(Table2[[#This Row],[product]],Ref[#All],5,FALSE)</f>
        <v>-0.2</v>
      </c>
      <c r="T695">
        <v>96566.186310000005</v>
      </c>
      <c r="U695" t="s">
        <v>17</v>
      </c>
      <c r="V695" t="s">
        <v>29</v>
      </c>
      <c r="W695" t="s">
        <v>1270</v>
      </c>
      <c r="X695" t="s">
        <v>17</v>
      </c>
      <c r="Y695" t="s">
        <v>75</v>
      </c>
      <c r="Z695" s="2">
        <v>0</v>
      </c>
      <c r="AA695" s="2">
        <v>-386264.74524000002</v>
      </c>
      <c r="AB695" t="str">
        <f>VLOOKUP(Table2[[#This Row],[product]],Ref[#All],6,FALSE)</f>
        <v>BAG50</v>
      </c>
    </row>
    <row r="696" spans="1:28" x14ac:dyDescent="0.25">
      <c r="A696" t="str">
        <f>TEXT(Table2[[#This Row],[dated]],"mmm")</f>
        <v>May</v>
      </c>
      <c r="B696" t="s">
        <v>52</v>
      </c>
      <c r="C696" s="1" t="s">
        <v>536</v>
      </c>
      <c r="D696" t="str">
        <f>VLOOKUP(Table2[[#This Row],[product]],Ref[#All],7,FALSE)</f>
        <v>Sugar</v>
      </c>
      <c r="E696" s="1" t="s">
        <v>72</v>
      </c>
      <c r="F696" t="str">
        <f>VLOOKUP(Table2[[#This Row],[product]],Ref[#All],2,FALSE)</f>
        <v>White Sugar</v>
      </c>
      <c r="G696" t="str">
        <f>VLOOKUP(Table2[[#This Row],[product]],Ref[#All],3,FALSE)</f>
        <v>White Sugar</v>
      </c>
      <c r="H696" t="str">
        <f>VLOOKUP(Table2[[#This Row],[product]],Ref[#All],4,FALSE)</f>
        <v>Import</v>
      </c>
      <c r="I696" s="1">
        <v>45796</v>
      </c>
      <c r="J696" t="s">
        <v>53</v>
      </c>
      <c r="K696" t="s">
        <v>1271</v>
      </c>
      <c r="L696" t="s">
        <v>1651</v>
      </c>
      <c r="M696" t="s">
        <v>1586</v>
      </c>
      <c r="N696" t="s">
        <v>784</v>
      </c>
      <c r="O696" t="s">
        <v>785</v>
      </c>
      <c r="P696" t="s">
        <v>788</v>
      </c>
      <c r="Q696" t="s">
        <v>55</v>
      </c>
      <c r="R696">
        <v>-1</v>
      </c>
      <c r="S696" s="15">
        <f>Table2[[#This Row],[movement_quantity]]/VLOOKUP(Table2[[#This Row],[product]],Ref[#All],5,FALSE)</f>
        <v>-0.05</v>
      </c>
      <c r="T696">
        <v>96566.186310000005</v>
      </c>
      <c r="U696" t="s">
        <v>17</v>
      </c>
      <c r="V696" t="s">
        <v>31</v>
      </c>
      <c r="W696" t="s">
        <v>1272</v>
      </c>
      <c r="X696" t="s">
        <v>17</v>
      </c>
      <c r="Y696" t="s">
        <v>75</v>
      </c>
      <c r="Z696" s="2">
        <v>0</v>
      </c>
      <c r="AA696" s="2">
        <v>-96566.186310000005</v>
      </c>
      <c r="AB696" t="str">
        <f>VLOOKUP(Table2[[#This Row],[product]],Ref[#All],6,FALSE)</f>
        <v>BAG50</v>
      </c>
    </row>
    <row r="697" spans="1:28" x14ac:dyDescent="0.25">
      <c r="A697" t="str">
        <f>TEXT(Table2[[#This Row],[dated]],"mmm")</f>
        <v>May</v>
      </c>
      <c r="B697" t="s">
        <v>52</v>
      </c>
      <c r="C697" s="1" t="s">
        <v>536</v>
      </c>
      <c r="D697" t="str">
        <f>VLOOKUP(Table2[[#This Row],[product]],Ref[#All],7,FALSE)</f>
        <v>Sugar</v>
      </c>
      <c r="E697" s="1" t="s">
        <v>72</v>
      </c>
      <c r="F697" t="str">
        <f>VLOOKUP(Table2[[#This Row],[product]],Ref[#All],2,FALSE)</f>
        <v>White Sugar</v>
      </c>
      <c r="G697" t="str">
        <f>VLOOKUP(Table2[[#This Row],[product]],Ref[#All],3,FALSE)</f>
        <v>White Sugar</v>
      </c>
      <c r="H697" t="str">
        <f>VLOOKUP(Table2[[#This Row],[product]],Ref[#All],4,FALSE)</f>
        <v>Import</v>
      </c>
      <c r="I697" s="1">
        <v>45796</v>
      </c>
      <c r="J697" t="s">
        <v>53</v>
      </c>
      <c r="K697" t="s">
        <v>1273</v>
      </c>
      <c r="L697" t="s">
        <v>1651</v>
      </c>
      <c r="M697" t="s">
        <v>1586</v>
      </c>
      <c r="N697" t="s">
        <v>784</v>
      </c>
      <c r="O697" t="s">
        <v>785</v>
      </c>
      <c r="P697" t="s">
        <v>788</v>
      </c>
      <c r="Q697" t="s">
        <v>55</v>
      </c>
      <c r="R697">
        <v>-1</v>
      </c>
      <c r="S697" s="15">
        <f>Table2[[#This Row],[movement_quantity]]/VLOOKUP(Table2[[#This Row],[product]],Ref[#All],5,FALSE)</f>
        <v>-0.05</v>
      </c>
      <c r="T697">
        <v>96566.186310000005</v>
      </c>
      <c r="U697" t="s">
        <v>17</v>
      </c>
      <c r="V697" t="s">
        <v>32</v>
      </c>
      <c r="W697" t="s">
        <v>1274</v>
      </c>
      <c r="X697" t="s">
        <v>17</v>
      </c>
      <c r="Y697" t="s">
        <v>75</v>
      </c>
      <c r="Z697" s="2">
        <v>0</v>
      </c>
      <c r="AA697" s="2">
        <v>-96566.186310000005</v>
      </c>
      <c r="AB697" t="str">
        <f>VLOOKUP(Table2[[#This Row],[product]],Ref[#All],6,FALSE)</f>
        <v>BAG50</v>
      </c>
    </row>
    <row r="698" spans="1:28" x14ac:dyDescent="0.25">
      <c r="A698" t="str">
        <f>TEXT(Table2[[#This Row],[dated]],"mmm")</f>
        <v>May</v>
      </c>
      <c r="B698" t="s">
        <v>52</v>
      </c>
      <c r="C698" s="1" t="s">
        <v>536</v>
      </c>
      <c r="D698" t="str">
        <f>VLOOKUP(Table2[[#This Row],[product]],Ref[#All],7,FALSE)</f>
        <v>Sugar</v>
      </c>
      <c r="E698" s="1" t="s">
        <v>72</v>
      </c>
      <c r="F698" t="str">
        <f>VLOOKUP(Table2[[#This Row],[product]],Ref[#All],2,FALSE)</f>
        <v>White Sugar</v>
      </c>
      <c r="G698" t="str">
        <f>VLOOKUP(Table2[[#This Row],[product]],Ref[#All],3,FALSE)</f>
        <v>White Sugar</v>
      </c>
      <c r="H698" t="str">
        <f>VLOOKUP(Table2[[#This Row],[product]],Ref[#All],4,FALSE)</f>
        <v>Import</v>
      </c>
      <c r="I698" s="1">
        <v>45796</v>
      </c>
      <c r="J698" t="s">
        <v>53</v>
      </c>
      <c r="K698" t="s">
        <v>1275</v>
      </c>
      <c r="L698" t="s">
        <v>1651</v>
      </c>
      <c r="M698" t="s">
        <v>1586</v>
      </c>
      <c r="N698" t="s">
        <v>784</v>
      </c>
      <c r="O698" t="s">
        <v>785</v>
      </c>
      <c r="P698" t="s">
        <v>788</v>
      </c>
      <c r="Q698" t="s">
        <v>55</v>
      </c>
      <c r="R698">
        <v>-1</v>
      </c>
      <c r="S698" s="15">
        <f>Table2[[#This Row],[movement_quantity]]/VLOOKUP(Table2[[#This Row],[product]],Ref[#All],5,FALSE)</f>
        <v>-0.05</v>
      </c>
      <c r="T698">
        <v>96566.186310000005</v>
      </c>
      <c r="U698" t="s">
        <v>17</v>
      </c>
      <c r="V698" t="s">
        <v>44</v>
      </c>
      <c r="W698" t="s">
        <v>1276</v>
      </c>
      <c r="X698" t="s">
        <v>17</v>
      </c>
      <c r="Y698" t="s">
        <v>75</v>
      </c>
      <c r="Z698" s="2">
        <v>0</v>
      </c>
      <c r="AA698" s="2">
        <v>-96566.186310000005</v>
      </c>
      <c r="AB698" t="str">
        <f>VLOOKUP(Table2[[#This Row],[product]],Ref[#All],6,FALSE)</f>
        <v>BAG50</v>
      </c>
    </row>
    <row r="699" spans="1:28" x14ac:dyDescent="0.25">
      <c r="A699" t="str">
        <f>TEXT(Table2[[#This Row],[dated]],"mmm")</f>
        <v>May</v>
      </c>
      <c r="B699" t="s">
        <v>52</v>
      </c>
      <c r="C699" s="1" t="s">
        <v>536</v>
      </c>
      <c r="D699" t="str">
        <f>VLOOKUP(Table2[[#This Row],[product]],Ref[#All],7,FALSE)</f>
        <v>Sugar</v>
      </c>
      <c r="E699" s="1" t="s">
        <v>72</v>
      </c>
      <c r="F699" t="str">
        <f>VLOOKUP(Table2[[#This Row],[product]],Ref[#All],2,FALSE)</f>
        <v>White Sugar</v>
      </c>
      <c r="G699" t="str">
        <f>VLOOKUP(Table2[[#This Row],[product]],Ref[#All],3,FALSE)</f>
        <v>White Sugar</v>
      </c>
      <c r="H699" t="str">
        <f>VLOOKUP(Table2[[#This Row],[product]],Ref[#All],4,FALSE)</f>
        <v>Import</v>
      </c>
      <c r="I699" s="1">
        <v>45796</v>
      </c>
      <c r="J699" t="s">
        <v>53</v>
      </c>
      <c r="K699" t="s">
        <v>1277</v>
      </c>
      <c r="L699" t="s">
        <v>1651</v>
      </c>
      <c r="M699" t="s">
        <v>1586</v>
      </c>
      <c r="N699" t="s">
        <v>784</v>
      </c>
      <c r="O699" t="s">
        <v>785</v>
      </c>
      <c r="P699" t="s">
        <v>788</v>
      </c>
      <c r="Q699" t="s">
        <v>55</v>
      </c>
      <c r="R699">
        <v>-1</v>
      </c>
      <c r="S699" s="15">
        <f>Table2[[#This Row],[movement_quantity]]/VLOOKUP(Table2[[#This Row],[product]],Ref[#All],5,FALSE)</f>
        <v>-0.05</v>
      </c>
      <c r="T699">
        <v>96566.186310000005</v>
      </c>
      <c r="U699" t="s">
        <v>17</v>
      </c>
      <c r="V699" t="s">
        <v>33</v>
      </c>
      <c r="W699" t="s">
        <v>1278</v>
      </c>
      <c r="X699" t="s">
        <v>17</v>
      </c>
      <c r="Y699" t="s">
        <v>75</v>
      </c>
      <c r="Z699" s="2">
        <v>0</v>
      </c>
      <c r="AA699" s="2">
        <v>-96566.186310000005</v>
      </c>
      <c r="AB699" t="str">
        <f>VLOOKUP(Table2[[#This Row],[product]],Ref[#All],6,FALSE)</f>
        <v>BAG50</v>
      </c>
    </row>
    <row r="700" spans="1:28" x14ac:dyDescent="0.25">
      <c r="A700" t="str">
        <f>TEXT(Table2[[#This Row],[dated]],"mmm")</f>
        <v>May</v>
      </c>
      <c r="B700" t="s">
        <v>52</v>
      </c>
      <c r="C700" s="1" t="s">
        <v>536</v>
      </c>
      <c r="D700" t="str">
        <f>VLOOKUP(Table2[[#This Row],[product]],Ref[#All],7,FALSE)</f>
        <v>Sugar</v>
      </c>
      <c r="E700" s="1" t="s">
        <v>72</v>
      </c>
      <c r="F700" t="str">
        <f>VLOOKUP(Table2[[#This Row],[product]],Ref[#All],2,FALSE)</f>
        <v>White Sugar</v>
      </c>
      <c r="G700" t="str">
        <f>VLOOKUP(Table2[[#This Row],[product]],Ref[#All],3,FALSE)</f>
        <v>White Sugar</v>
      </c>
      <c r="H700" t="str">
        <f>VLOOKUP(Table2[[#This Row],[product]],Ref[#All],4,FALSE)</f>
        <v>Import</v>
      </c>
      <c r="I700" s="1">
        <v>45796</v>
      </c>
      <c r="J700" t="s">
        <v>53</v>
      </c>
      <c r="K700" t="s">
        <v>1279</v>
      </c>
      <c r="L700" t="s">
        <v>1651</v>
      </c>
      <c r="M700" t="s">
        <v>1586</v>
      </c>
      <c r="N700" t="s">
        <v>784</v>
      </c>
      <c r="O700" t="s">
        <v>785</v>
      </c>
      <c r="P700" t="s">
        <v>788</v>
      </c>
      <c r="Q700" t="s">
        <v>55</v>
      </c>
      <c r="R700">
        <v>-3</v>
      </c>
      <c r="S700" s="15">
        <f>Table2[[#This Row],[movement_quantity]]/VLOOKUP(Table2[[#This Row],[product]],Ref[#All],5,FALSE)</f>
        <v>-0.15</v>
      </c>
      <c r="T700">
        <v>96566.186310000005</v>
      </c>
      <c r="U700" t="s">
        <v>17</v>
      </c>
      <c r="V700" t="s">
        <v>34</v>
      </c>
      <c r="W700" t="s">
        <v>1280</v>
      </c>
      <c r="X700" t="s">
        <v>17</v>
      </c>
      <c r="Y700" t="s">
        <v>75</v>
      </c>
      <c r="Z700" s="2">
        <v>0</v>
      </c>
      <c r="AA700" s="2">
        <v>-289698.55893</v>
      </c>
      <c r="AB700" t="str">
        <f>VLOOKUP(Table2[[#This Row],[product]],Ref[#All],6,FALSE)</f>
        <v>BAG50</v>
      </c>
    </row>
    <row r="701" spans="1:28" x14ac:dyDescent="0.25">
      <c r="A701" t="str">
        <f>TEXT(Table2[[#This Row],[dated]],"mmm")</f>
        <v>May</v>
      </c>
      <c r="B701" t="s">
        <v>52</v>
      </c>
      <c r="C701" s="1" t="s">
        <v>536</v>
      </c>
      <c r="D701" t="str">
        <f>VLOOKUP(Table2[[#This Row],[product]],Ref[#All],7,FALSE)</f>
        <v>Sugar</v>
      </c>
      <c r="E701" s="1" t="s">
        <v>72</v>
      </c>
      <c r="F701" t="str">
        <f>VLOOKUP(Table2[[#This Row],[product]],Ref[#All],2,FALSE)</f>
        <v>White Sugar</v>
      </c>
      <c r="G701" t="str">
        <f>VLOOKUP(Table2[[#This Row],[product]],Ref[#All],3,FALSE)</f>
        <v>White Sugar</v>
      </c>
      <c r="H701" t="str">
        <f>VLOOKUP(Table2[[#This Row],[product]],Ref[#All],4,FALSE)</f>
        <v>Import</v>
      </c>
      <c r="I701" s="1">
        <v>45796</v>
      </c>
      <c r="J701" t="s">
        <v>53</v>
      </c>
      <c r="K701" t="s">
        <v>1281</v>
      </c>
      <c r="L701" t="s">
        <v>1651</v>
      </c>
      <c r="M701" t="s">
        <v>1586</v>
      </c>
      <c r="N701" t="s">
        <v>784</v>
      </c>
      <c r="O701" t="s">
        <v>785</v>
      </c>
      <c r="P701" t="s">
        <v>788</v>
      </c>
      <c r="Q701" t="s">
        <v>55</v>
      </c>
      <c r="R701">
        <v>-2</v>
      </c>
      <c r="S701" s="15">
        <f>Table2[[#This Row],[movement_quantity]]/VLOOKUP(Table2[[#This Row],[product]],Ref[#All],5,FALSE)</f>
        <v>-0.1</v>
      </c>
      <c r="T701">
        <v>96566.186310000005</v>
      </c>
      <c r="U701" t="s">
        <v>17</v>
      </c>
      <c r="V701" t="s">
        <v>1282</v>
      </c>
      <c r="W701" t="s">
        <v>1283</v>
      </c>
      <c r="X701" t="s">
        <v>17</v>
      </c>
      <c r="Y701" t="s">
        <v>75</v>
      </c>
      <c r="Z701" s="2">
        <v>0</v>
      </c>
      <c r="AA701" s="2">
        <v>-193132.37262000001</v>
      </c>
      <c r="AB701" t="str">
        <f>VLOOKUP(Table2[[#This Row],[product]],Ref[#All],6,FALSE)</f>
        <v>BAG50</v>
      </c>
    </row>
    <row r="702" spans="1:28" x14ac:dyDescent="0.25">
      <c r="A702" t="str">
        <f>TEXT(Table2[[#This Row],[dated]],"mmm")</f>
        <v>Jun</v>
      </c>
      <c r="B702" t="s">
        <v>30</v>
      </c>
      <c r="C702" s="1" t="s">
        <v>536</v>
      </c>
      <c r="D702" t="str">
        <f>VLOOKUP(Table2[[#This Row],[product]],Ref[#All],7,FALSE)</f>
        <v>Flour</v>
      </c>
      <c r="E702" s="1" t="s">
        <v>36</v>
      </c>
      <c r="F702" t="str">
        <f>VLOOKUP(Table2[[#This Row],[product]],Ref[#All],2,FALSE)</f>
        <v>Flour Import Elngm 25Kg</v>
      </c>
      <c r="G702" t="str">
        <f>VLOOKUP(Table2[[#This Row],[product]],Ref[#All],3,FALSE)</f>
        <v>Flour Al-Nagm (Imported)</v>
      </c>
      <c r="H702" t="str">
        <f>VLOOKUP(Table2[[#This Row],[product]],Ref[#All],4,FALSE)</f>
        <v>Import</v>
      </c>
      <c r="I702" s="1">
        <v>45823</v>
      </c>
      <c r="J702" t="s">
        <v>53</v>
      </c>
      <c r="K702" t="s">
        <v>1287</v>
      </c>
      <c r="L702" t="s">
        <v>1651</v>
      </c>
      <c r="M702" t="s">
        <v>1586</v>
      </c>
      <c r="N702" t="s">
        <v>784</v>
      </c>
      <c r="O702" t="s">
        <v>785</v>
      </c>
      <c r="P702" t="s">
        <v>788</v>
      </c>
      <c r="Q702" t="s">
        <v>55</v>
      </c>
      <c r="R702">
        <v>-8</v>
      </c>
      <c r="S702" s="15">
        <f>Table2[[#This Row],[movement_quantity]]/VLOOKUP(Table2[[#This Row],[product]],Ref[#All],5,FALSE)</f>
        <v>-0.2</v>
      </c>
      <c r="T702">
        <v>24758.555840000001</v>
      </c>
      <c r="U702" t="s">
        <v>17</v>
      </c>
      <c r="V702" t="s">
        <v>18</v>
      </c>
      <c r="W702" t="s">
        <v>1288</v>
      </c>
      <c r="X702" t="s">
        <v>17</v>
      </c>
      <c r="Y702" t="s">
        <v>1289</v>
      </c>
      <c r="Z702" s="2">
        <v>0</v>
      </c>
      <c r="AA702" s="2">
        <v>-198068.44672000001</v>
      </c>
      <c r="AB702" t="str">
        <f>VLOOKUP(Table2[[#This Row],[product]],Ref[#All],6,FALSE)</f>
        <v>BAG25</v>
      </c>
    </row>
    <row r="703" spans="1:28" x14ac:dyDescent="0.25">
      <c r="A703" t="str">
        <f>TEXT(Table2[[#This Row],[dated]],"mmm")</f>
        <v>Jun</v>
      </c>
      <c r="B703" t="s">
        <v>30</v>
      </c>
      <c r="C703" s="1" t="s">
        <v>536</v>
      </c>
      <c r="D703" t="str">
        <f>VLOOKUP(Table2[[#This Row],[product]],Ref[#All],7,FALSE)</f>
        <v>Flour</v>
      </c>
      <c r="E703" s="1" t="s">
        <v>36</v>
      </c>
      <c r="F703" t="str">
        <f>VLOOKUP(Table2[[#This Row],[product]],Ref[#All],2,FALSE)</f>
        <v>Flour Import Elngm 25Kg</v>
      </c>
      <c r="G703" t="str">
        <f>VLOOKUP(Table2[[#This Row],[product]],Ref[#All],3,FALSE)</f>
        <v>Flour Al-Nagm (Imported)</v>
      </c>
      <c r="H703" t="str">
        <f>VLOOKUP(Table2[[#This Row],[product]],Ref[#All],4,FALSE)</f>
        <v>Import</v>
      </c>
      <c r="I703" s="1">
        <v>45823</v>
      </c>
      <c r="J703" t="s">
        <v>53</v>
      </c>
      <c r="K703" t="s">
        <v>1290</v>
      </c>
      <c r="L703" t="s">
        <v>1651</v>
      </c>
      <c r="M703" t="s">
        <v>1586</v>
      </c>
      <c r="N703" t="s">
        <v>784</v>
      </c>
      <c r="O703" t="s">
        <v>785</v>
      </c>
      <c r="P703" t="s">
        <v>788</v>
      </c>
      <c r="Q703" t="s">
        <v>55</v>
      </c>
      <c r="R703">
        <v>-2</v>
      </c>
      <c r="S703" s="15">
        <f>Table2[[#This Row],[movement_quantity]]/VLOOKUP(Table2[[#This Row],[product]],Ref[#All],5,FALSE)</f>
        <v>-0.05</v>
      </c>
      <c r="T703">
        <v>24758.555840000001</v>
      </c>
      <c r="U703" t="s">
        <v>17</v>
      </c>
      <c r="V703" t="s">
        <v>21</v>
      </c>
      <c r="W703" t="s">
        <v>1291</v>
      </c>
      <c r="X703" t="s">
        <v>17</v>
      </c>
      <c r="Y703" t="s">
        <v>1289</v>
      </c>
      <c r="Z703" s="23">
        <v>0</v>
      </c>
      <c r="AA703" s="23">
        <v>-49517.111680000002</v>
      </c>
      <c r="AB703" t="str">
        <f>VLOOKUP(Table2[[#This Row],[product]],Ref[#All],6,FALSE)</f>
        <v>BAG25</v>
      </c>
    </row>
    <row r="704" spans="1:28" x14ac:dyDescent="0.25">
      <c r="A704" t="str">
        <f>TEXT(Table2[[#This Row],[dated]],"mmm")</f>
        <v>Jun</v>
      </c>
      <c r="B704" t="s">
        <v>30</v>
      </c>
      <c r="C704" s="1" t="s">
        <v>536</v>
      </c>
      <c r="D704" t="str">
        <f>VLOOKUP(Table2[[#This Row],[product]],Ref[#All],7,FALSE)</f>
        <v>Flour</v>
      </c>
      <c r="E704" s="1" t="s">
        <v>36</v>
      </c>
      <c r="F704" t="str">
        <f>VLOOKUP(Table2[[#This Row],[product]],Ref[#All],2,FALSE)</f>
        <v>Flour Import Elngm 25Kg</v>
      </c>
      <c r="G704" t="str">
        <f>VLOOKUP(Table2[[#This Row],[product]],Ref[#All],3,FALSE)</f>
        <v>Flour Al-Nagm (Imported)</v>
      </c>
      <c r="H704" t="str">
        <f>VLOOKUP(Table2[[#This Row],[product]],Ref[#All],4,FALSE)</f>
        <v>Import</v>
      </c>
      <c r="I704" s="1">
        <v>45823</v>
      </c>
      <c r="J704" t="s">
        <v>53</v>
      </c>
      <c r="K704" t="s">
        <v>1292</v>
      </c>
      <c r="L704" t="s">
        <v>1651</v>
      </c>
      <c r="M704" t="s">
        <v>1586</v>
      </c>
      <c r="N704" t="s">
        <v>784</v>
      </c>
      <c r="O704" t="s">
        <v>785</v>
      </c>
      <c r="P704" t="s">
        <v>788</v>
      </c>
      <c r="Q704" t="s">
        <v>55</v>
      </c>
      <c r="R704">
        <v>-2</v>
      </c>
      <c r="S704" s="15">
        <f>Table2[[#This Row],[movement_quantity]]/VLOOKUP(Table2[[#This Row],[product]],Ref[#All],5,FALSE)</f>
        <v>-0.05</v>
      </c>
      <c r="T704">
        <v>24758.555840000001</v>
      </c>
      <c r="U704" t="s">
        <v>17</v>
      </c>
      <c r="V704" t="s">
        <v>22</v>
      </c>
      <c r="W704" t="s">
        <v>1293</v>
      </c>
      <c r="X704" t="s">
        <v>17</v>
      </c>
      <c r="Y704" t="s">
        <v>1289</v>
      </c>
      <c r="Z704" s="23">
        <v>0</v>
      </c>
      <c r="AA704" s="23">
        <v>-49517.111680000002</v>
      </c>
      <c r="AB704" t="str">
        <f>VLOOKUP(Table2[[#This Row],[product]],Ref[#All],6,FALSE)</f>
        <v>BAG25</v>
      </c>
    </row>
    <row r="705" spans="1:28" x14ac:dyDescent="0.25">
      <c r="A705" t="str">
        <f>TEXT(Table2[[#This Row],[dated]],"mmm")</f>
        <v>Jun</v>
      </c>
      <c r="B705" t="s">
        <v>30</v>
      </c>
      <c r="C705" s="1" t="s">
        <v>536</v>
      </c>
      <c r="D705" t="str">
        <f>VLOOKUP(Table2[[#This Row],[product]],Ref[#All],7,FALSE)</f>
        <v>Flour</v>
      </c>
      <c r="E705" s="1" t="s">
        <v>36</v>
      </c>
      <c r="F705" t="str">
        <f>VLOOKUP(Table2[[#This Row],[product]],Ref[#All],2,FALSE)</f>
        <v>Flour Import Elngm 25Kg</v>
      </c>
      <c r="G705" t="str">
        <f>VLOOKUP(Table2[[#This Row],[product]],Ref[#All],3,FALSE)</f>
        <v>Flour Al-Nagm (Imported)</v>
      </c>
      <c r="H705" t="str">
        <f>VLOOKUP(Table2[[#This Row],[product]],Ref[#All],4,FALSE)</f>
        <v>Import</v>
      </c>
      <c r="I705" s="1">
        <v>45823</v>
      </c>
      <c r="J705" t="s">
        <v>53</v>
      </c>
      <c r="K705" t="s">
        <v>1294</v>
      </c>
      <c r="L705" t="s">
        <v>1651</v>
      </c>
      <c r="M705" t="s">
        <v>1586</v>
      </c>
      <c r="N705" t="s">
        <v>784</v>
      </c>
      <c r="O705" t="s">
        <v>785</v>
      </c>
      <c r="P705" t="s">
        <v>788</v>
      </c>
      <c r="Q705" t="s">
        <v>55</v>
      </c>
      <c r="R705">
        <v>-2</v>
      </c>
      <c r="S705" s="15">
        <f>Table2[[#This Row],[movement_quantity]]/VLOOKUP(Table2[[#This Row],[product]],Ref[#All],5,FALSE)</f>
        <v>-0.05</v>
      </c>
      <c r="T705">
        <v>24758.555840000001</v>
      </c>
      <c r="U705" t="s">
        <v>17</v>
      </c>
      <c r="V705" t="s">
        <v>23</v>
      </c>
      <c r="W705" t="s">
        <v>1295</v>
      </c>
      <c r="X705" t="s">
        <v>17</v>
      </c>
      <c r="Y705" t="s">
        <v>1289</v>
      </c>
      <c r="Z705" s="23">
        <v>0</v>
      </c>
      <c r="AA705" s="23">
        <v>-49517.111680000002</v>
      </c>
      <c r="AB705" t="str">
        <f>VLOOKUP(Table2[[#This Row],[product]],Ref[#All],6,FALSE)</f>
        <v>BAG25</v>
      </c>
    </row>
    <row r="706" spans="1:28" x14ac:dyDescent="0.25">
      <c r="A706" t="str">
        <f>TEXT(Table2[[#This Row],[dated]],"mmm")</f>
        <v>Jun</v>
      </c>
      <c r="B706" t="s">
        <v>30</v>
      </c>
      <c r="C706" s="1" t="s">
        <v>536</v>
      </c>
      <c r="D706" t="str">
        <f>VLOOKUP(Table2[[#This Row],[product]],Ref[#All],7,FALSE)</f>
        <v>Flour</v>
      </c>
      <c r="E706" s="1" t="s">
        <v>36</v>
      </c>
      <c r="F706" t="str">
        <f>VLOOKUP(Table2[[#This Row],[product]],Ref[#All],2,FALSE)</f>
        <v>Flour Import Elngm 25Kg</v>
      </c>
      <c r="G706" t="str">
        <f>VLOOKUP(Table2[[#This Row],[product]],Ref[#All],3,FALSE)</f>
        <v>Flour Al-Nagm (Imported)</v>
      </c>
      <c r="H706" t="str">
        <f>VLOOKUP(Table2[[#This Row],[product]],Ref[#All],4,FALSE)</f>
        <v>Import</v>
      </c>
      <c r="I706" s="1">
        <v>45823</v>
      </c>
      <c r="J706" t="s">
        <v>53</v>
      </c>
      <c r="K706" t="s">
        <v>1296</v>
      </c>
      <c r="L706" t="s">
        <v>1651</v>
      </c>
      <c r="M706" t="s">
        <v>1586</v>
      </c>
      <c r="N706" t="s">
        <v>784</v>
      </c>
      <c r="O706" t="s">
        <v>785</v>
      </c>
      <c r="P706" t="s">
        <v>788</v>
      </c>
      <c r="Q706" t="s">
        <v>55</v>
      </c>
      <c r="R706">
        <v>-2</v>
      </c>
      <c r="S706" s="15">
        <f>Table2[[#This Row],[movement_quantity]]/VLOOKUP(Table2[[#This Row],[product]],Ref[#All],5,FALSE)</f>
        <v>-0.05</v>
      </c>
      <c r="T706">
        <v>24758.555840000001</v>
      </c>
      <c r="U706" t="s">
        <v>17</v>
      </c>
      <c r="V706" t="s">
        <v>24</v>
      </c>
      <c r="W706" t="s">
        <v>1297</v>
      </c>
      <c r="X706" t="s">
        <v>17</v>
      </c>
      <c r="Y706" t="s">
        <v>1289</v>
      </c>
      <c r="Z706" s="23">
        <v>0</v>
      </c>
      <c r="AA706" s="23">
        <v>-49517.111680000002</v>
      </c>
      <c r="AB706" t="str">
        <f>VLOOKUP(Table2[[#This Row],[product]],Ref[#All],6,FALSE)</f>
        <v>BAG25</v>
      </c>
    </row>
    <row r="707" spans="1:28" x14ac:dyDescent="0.25">
      <c r="A707" t="str">
        <f>TEXT(Table2[[#This Row],[dated]],"mmm")</f>
        <v>Jun</v>
      </c>
      <c r="B707" t="s">
        <v>30</v>
      </c>
      <c r="C707" s="1" t="s">
        <v>536</v>
      </c>
      <c r="D707" t="str">
        <f>VLOOKUP(Table2[[#This Row],[product]],Ref[#All],7,FALSE)</f>
        <v>Flour</v>
      </c>
      <c r="E707" s="1" t="s">
        <v>36</v>
      </c>
      <c r="F707" t="str">
        <f>VLOOKUP(Table2[[#This Row],[product]],Ref[#All],2,FALSE)</f>
        <v>Flour Import Elngm 25Kg</v>
      </c>
      <c r="G707" t="str">
        <f>VLOOKUP(Table2[[#This Row],[product]],Ref[#All],3,FALSE)</f>
        <v>Flour Al-Nagm (Imported)</v>
      </c>
      <c r="H707" t="str">
        <f>VLOOKUP(Table2[[#This Row],[product]],Ref[#All],4,FALSE)</f>
        <v>Import</v>
      </c>
      <c r="I707" s="1">
        <v>45823</v>
      </c>
      <c r="J707" t="s">
        <v>53</v>
      </c>
      <c r="K707" t="s">
        <v>1298</v>
      </c>
      <c r="L707" t="s">
        <v>1651</v>
      </c>
      <c r="M707" t="s">
        <v>1586</v>
      </c>
      <c r="N707" t="s">
        <v>784</v>
      </c>
      <c r="O707" t="s">
        <v>785</v>
      </c>
      <c r="P707" t="s">
        <v>788</v>
      </c>
      <c r="Q707" t="s">
        <v>55</v>
      </c>
      <c r="R707">
        <v>-1</v>
      </c>
      <c r="S707" s="15">
        <f>Table2[[#This Row],[movement_quantity]]/VLOOKUP(Table2[[#This Row],[product]],Ref[#All],5,FALSE)</f>
        <v>-2.5000000000000001E-2</v>
      </c>
      <c r="T707">
        <v>24758.555840000001</v>
      </c>
      <c r="U707" t="s">
        <v>17</v>
      </c>
      <c r="V707" t="s">
        <v>25</v>
      </c>
      <c r="W707" t="s">
        <v>1299</v>
      </c>
      <c r="X707" t="s">
        <v>17</v>
      </c>
      <c r="Y707" t="s">
        <v>1289</v>
      </c>
      <c r="Z707" s="23">
        <v>0</v>
      </c>
      <c r="AA707" s="23">
        <v>-24758.555840000001</v>
      </c>
      <c r="AB707" t="str">
        <f>VLOOKUP(Table2[[#This Row],[product]],Ref[#All],6,FALSE)</f>
        <v>BAG25</v>
      </c>
    </row>
    <row r="708" spans="1:28" x14ac:dyDescent="0.25">
      <c r="A708" t="str">
        <f>TEXT(Table2[[#This Row],[dated]],"mmm")</f>
        <v>Jun</v>
      </c>
      <c r="B708" t="s">
        <v>30</v>
      </c>
      <c r="C708" s="1" t="s">
        <v>536</v>
      </c>
      <c r="D708" t="str">
        <f>VLOOKUP(Table2[[#This Row],[product]],Ref[#All],7,FALSE)</f>
        <v>Flour</v>
      </c>
      <c r="E708" s="1" t="s">
        <v>36</v>
      </c>
      <c r="F708" t="str">
        <f>VLOOKUP(Table2[[#This Row],[product]],Ref[#All],2,FALSE)</f>
        <v>Flour Import Elngm 25Kg</v>
      </c>
      <c r="G708" t="str">
        <f>VLOOKUP(Table2[[#This Row],[product]],Ref[#All],3,FALSE)</f>
        <v>Flour Al-Nagm (Imported)</v>
      </c>
      <c r="H708" t="str">
        <f>VLOOKUP(Table2[[#This Row],[product]],Ref[#All],4,FALSE)</f>
        <v>Import</v>
      </c>
      <c r="I708" s="1">
        <v>45823</v>
      </c>
      <c r="J708" t="s">
        <v>53</v>
      </c>
      <c r="K708" t="s">
        <v>1300</v>
      </c>
      <c r="L708" t="s">
        <v>1651</v>
      </c>
      <c r="M708" t="s">
        <v>1586</v>
      </c>
      <c r="N708" t="s">
        <v>784</v>
      </c>
      <c r="O708" t="s">
        <v>785</v>
      </c>
      <c r="P708" t="s">
        <v>788</v>
      </c>
      <c r="Q708" t="s">
        <v>55</v>
      </c>
      <c r="R708">
        <v>-7</v>
      </c>
      <c r="S708" s="15">
        <f>Table2[[#This Row],[movement_quantity]]/VLOOKUP(Table2[[#This Row],[product]],Ref[#All],5,FALSE)</f>
        <v>-0.17499999999999999</v>
      </c>
      <c r="T708">
        <v>24758.555840000001</v>
      </c>
      <c r="U708" t="s">
        <v>17</v>
      </c>
      <c r="V708" t="s">
        <v>26</v>
      </c>
      <c r="W708" t="s">
        <v>1301</v>
      </c>
      <c r="X708" t="s">
        <v>17</v>
      </c>
      <c r="Y708" t="s">
        <v>1289</v>
      </c>
      <c r="Z708" s="23">
        <v>0</v>
      </c>
      <c r="AA708" s="23">
        <v>-173309.89088000002</v>
      </c>
      <c r="AB708" t="str">
        <f>VLOOKUP(Table2[[#This Row],[product]],Ref[#All],6,FALSE)</f>
        <v>BAG25</v>
      </c>
    </row>
    <row r="709" spans="1:28" x14ac:dyDescent="0.25">
      <c r="A709" t="str">
        <f>TEXT(Table2[[#This Row],[dated]],"mmm")</f>
        <v>Jun</v>
      </c>
      <c r="B709" t="s">
        <v>30</v>
      </c>
      <c r="C709" s="1" t="s">
        <v>536</v>
      </c>
      <c r="D709" t="str">
        <f>VLOOKUP(Table2[[#This Row],[product]],Ref[#All],7,FALSE)</f>
        <v>Lentils</v>
      </c>
      <c r="E709" s="1" t="s">
        <v>39</v>
      </c>
      <c r="F709" t="str">
        <f>VLOOKUP(Table2[[#This Row],[product]],Ref[#All],2,FALSE)</f>
        <v>Lentil TAT 20KG</v>
      </c>
      <c r="G709" t="str">
        <f>VLOOKUP(Table2[[#This Row],[product]],Ref[#All],3,FALSE)</f>
        <v>Lentils</v>
      </c>
      <c r="H709" t="str">
        <f>VLOOKUP(Table2[[#This Row],[product]],Ref[#All],4,FALSE)</f>
        <v>Import</v>
      </c>
      <c r="I709" s="1">
        <v>45823</v>
      </c>
      <c r="J709" t="s">
        <v>53</v>
      </c>
      <c r="K709" t="s">
        <v>1302</v>
      </c>
      <c r="L709" t="s">
        <v>1651</v>
      </c>
      <c r="M709" t="s">
        <v>1586</v>
      </c>
      <c r="N709" t="s">
        <v>784</v>
      </c>
      <c r="O709" t="s">
        <v>785</v>
      </c>
      <c r="P709" t="s">
        <v>788</v>
      </c>
      <c r="Q709" t="s">
        <v>55</v>
      </c>
      <c r="R709">
        <v>-1</v>
      </c>
      <c r="S709" s="15">
        <f>Table2[[#This Row],[movement_quantity]]/VLOOKUP(Table2[[#This Row],[product]],Ref[#All],5,FALSE)</f>
        <v>-0.02</v>
      </c>
      <c r="T709">
        <v>37806.777110000003</v>
      </c>
      <c r="U709" t="s">
        <v>17</v>
      </c>
      <c r="V709" t="s">
        <v>18</v>
      </c>
      <c r="W709" t="s">
        <v>1303</v>
      </c>
      <c r="X709" t="s">
        <v>17</v>
      </c>
      <c r="Y709" t="s">
        <v>1244</v>
      </c>
      <c r="Z709" s="2">
        <v>0</v>
      </c>
      <c r="AA709" s="2">
        <v>-37806.777110000003</v>
      </c>
      <c r="AB709" t="str">
        <f>VLOOKUP(Table2[[#This Row],[product]],Ref[#All],6,FALSE)</f>
        <v>BAG20</v>
      </c>
    </row>
    <row r="710" spans="1:28" x14ac:dyDescent="0.25">
      <c r="A710" t="str">
        <f>TEXT(Table2[[#This Row],[dated]],"mmm")</f>
        <v>Jun</v>
      </c>
      <c r="B710" t="s">
        <v>30</v>
      </c>
      <c r="C710" s="1" t="s">
        <v>536</v>
      </c>
      <c r="D710" t="str">
        <f>VLOOKUP(Table2[[#This Row],[product]],Ref[#All],7,FALSE)</f>
        <v>Lentils</v>
      </c>
      <c r="E710" s="1" t="s">
        <v>39</v>
      </c>
      <c r="F710" t="str">
        <f>VLOOKUP(Table2[[#This Row],[product]],Ref[#All],2,FALSE)</f>
        <v>Lentil TAT 20KG</v>
      </c>
      <c r="G710" t="str">
        <f>VLOOKUP(Table2[[#This Row],[product]],Ref[#All],3,FALSE)</f>
        <v>Lentils</v>
      </c>
      <c r="H710" t="str">
        <f>VLOOKUP(Table2[[#This Row],[product]],Ref[#All],4,FALSE)</f>
        <v>Import</v>
      </c>
      <c r="I710" s="1">
        <v>45823</v>
      </c>
      <c r="J710" t="s">
        <v>53</v>
      </c>
      <c r="K710" t="s">
        <v>1304</v>
      </c>
      <c r="L710" t="s">
        <v>1651</v>
      </c>
      <c r="M710" t="s">
        <v>1586</v>
      </c>
      <c r="N710" t="s">
        <v>784</v>
      </c>
      <c r="O710" t="s">
        <v>785</v>
      </c>
      <c r="P710" t="s">
        <v>788</v>
      </c>
      <c r="Q710" t="s">
        <v>55</v>
      </c>
      <c r="R710">
        <v>-3</v>
      </c>
      <c r="S710" s="15">
        <f>Table2[[#This Row],[movement_quantity]]/VLOOKUP(Table2[[#This Row],[product]],Ref[#All],5,FALSE)</f>
        <v>-0.06</v>
      </c>
      <c r="T710">
        <v>37806.777110000003</v>
      </c>
      <c r="U710" t="s">
        <v>17</v>
      </c>
      <c r="V710" t="s">
        <v>21</v>
      </c>
      <c r="W710" t="s">
        <v>1305</v>
      </c>
      <c r="X710" t="s">
        <v>17</v>
      </c>
      <c r="Y710" t="s">
        <v>1244</v>
      </c>
      <c r="Z710" s="2">
        <v>0</v>
      </c>
      <c r="AA710" s="2">
        <v>-113420.33133000002</v>
      </c>
      <c r="AB710" t="str">
        <f>VLOOKUP(Table2[[#This Row],[product]],Ref[#All],6,FALSE)</f>
        <v>BAG20</v>
      </c>
    </row>
    <row r="711" spans="1:28" x14ac:dyDescent="0.25">
      <c r="A711" t="str">
        <f>TEXT(Table2[[#This Row],[dated]],"mmm")</f>
        <v>Jun</v>
      </c>
      <c r="B711" t="s">
        <v>30</v>
      </c>
      <c r="C711" s="1" t="s">
        <v>536</v>
      </c>
      <c r="D711" t="str">
        <f>VLOOKUP(Table2[[#This Row],[product]],Ref[#All],7,FALSE)</f>
        <v>Lentils</v>
      </c>
      <c r="E711" s="1" t="s">
        <v>39</v>
      </c>
      <c r="F711" t="str">
        <f>VLOOKUP(Table2[[#This Row],[product]],Ref[#All],2,FALSE)</f>
        <v>Lentil TAT 20KG</v>
      </c>
      <c r="G711" t="str">
        <f>VLOOKUP(Table2[[#This Row],[product]],Ref[#All],3,FALSE)</f>
        <v>Lentils</v>
      </c>
      <c r="H711" t="str">
        <f>VLOOKUP(Table2[[#This Row],[product]],Ref[#All],4,FALSE)</f>
        <v>Import</v>
      </c>
      <c r="I711" s="1">
        <v>45823</v>
      </c>
      <c r="J711" t="s">
        <v>53</v>
      </c>
      <c r="K711" t="s">
        <v>1306</v>
      </c>
      <c r="L711" t="s">
        <v>1651</v>
      </c>
      <c r="M711" t="s">
        <v>1586</v>
      </c>
      <c r="N711" t="s">
        <v>784</v>
      </c>
      <c r="O711" t="s">
        <v>785</v>
      </c>
      <c r="P711" t="s">
        <v>788</v>
      </c>
      <c r="Q711" t="s">
        <v>55</v>
      </c>
      <c r="R711">
        <v>-1</v>
      </c>
      <c r="S711" s="15">
        <f>Table2[[#This Row],[movement_quantity]]/VLOOKUP(Table2[[#This Row],[product]],Ref[#All],5,FALSE)</f>
        <v>-0.02</v>
      </c>
      <c r="T711">
        <v>37806.777110000003</v>
      </c>
      <c r="U711" t="s">
        <v>17</v>
      </c>
      <c r="V711" t="s">
        <v>22</v>
      </c>
      <c r="W711" t="s">
        <v>1307</v>
      </c>
      <c r="X711" t="s">
        <v>17</v>
      </c>
      <c r="Y711" t="s">
        <v>1244</v>
      </c>
      <c r="Z711" s="2">
        <v>0</v>
      </c>
      <c r="AA711" s="2">
        <v>-37806.777110000003</v>
      </c>
      <c r="AB711" t="str">
        <f>VLOOKUP(Table2[[#This Row],[product]],Ref[#All],6,FALSE)</f>
        <v>BAG20</v>
      </c>
    </row>
    <row r="712" spans="1:28" x14ac:dyDescent="0.25">
      <c r="A712" t="str">
        <f>TEXT(Table2[[#This Row],[dated]],"mmm")</f>
        <v>Jun</v>
      </c>
      <c r="B712" t="s">
        <v>30</v>
      </c>
      <c r="C712" s="1" t="s">
        <v>536</v>
      </c>
      <c r="D712" t="str">
        <f>VLOOKUP(Table2[[#This Row],[product]],Ref[#All],7,FALSE)</f>
        <v>Lentils</v>
      </c>
      <c r="E712" s="1" t="s">
        <v>39</v>
      </c>
      <c r="F712" t="str">
        <f>VLOOKUP(Table2[[#This Row],[product]],Ref[#All],2,FALSE)</f>
        <v>Lentil TAT 20KG</v>
      </c>
      <c r="G712" t="str">
        <f>VLOOKUP(Table2[[#This Row],[product]],Ref[#All],3,FALSE)</f>
        <v>Lentils</v>
      </c>
      <c r="H712" t="str">
        <f>VLOOKUP(Table2[[#This Row],[product]],Ref[#All],4,FALSE)</f>
        <v>Import</v>
      </c>
      <c r="I712" s="1">
        <v>45823</v>
      </c>
      <c r="J712" t="s">
        <v>53</v>
      </c>
      <c r="K712" t="s">
        <v>1308</v>
      </c>
      <c r="L712" t="s">
        <v>1651</v>
      </c>
      <c r="M712" t="s">
        <v>1586</v>
      </c>
      <c r="N712" t="s">
        <v>784</v>
      </c>
      <c r="O712" t="s">
        <v>785</v>
      </c>
      <c r="P712" t="s">
        <v>788</v>
      </c>
      <c r="Q712" t="s">
        <v>55</v>
      </c>
      <c r="R712">
        <v>-10</v>
      </c>
      <c r="S712" s="15">
        <f>Table2[[#This Row],[movement_quantity]]/VLOOKUP(Table2[[#This Row],[product]],Ref[#All],5,FALSE)</f>
        <v>-0.2</v>
      </c>
      <c r="T712">
        <v>37806.777110000003</v>
      </c>
      <c r="U712" t="s">
        <v>17</v>
      </c>
      <c r="V712" t="s">
        <v>23</v>
      </c>
      <c r="W712" t="s">
        <v>1309</v>
      </c>
      <c r="X712" t="s">
        <v>17</v>
      </c>
      <c r="Y712" t="s">
        <v>1244</v>
      </c>
      <c r="Z712" s="2">
        <v>0</v>
      </c>
      <c r="AA712" s="2">
        <v>-378067.77110000001</v>
      </c>
      <c r="AB712" t="str">
        <f>VLOOKUP(Table2[[#This Row],[product]],Ref[#All],6,FALSE)</f>
        <v>BAG20</v>
      </c>
    </row>
    <row r="713" spans="1:28" x14ac:dyDescent="0.25">
      <c r="A713" t="str">
        <f>TEXT(Table2[[#This Row],[dated]],"mmm")</f>
        <v>Jun</v>
      </c>
      <c r="B713" t="s">
        <v>30</v>
      </c>
      <c r="C713" s="1" t="s">
        <v>536</v>
      </c>
      <c r="D713" t="str">
        <f>VLOOKUP(Table2[[#This Row],[product]],Ref[#All],7,FALSE)</f>
        <v>Lentils</v>
      </c>
      <c r="E713" s="1" t="s">
        <v>39</v>
      </c>
      <c r="F713" t="str">
        <f>VLOOKUP(Table2[[#This Row],[product]],Ref[#All],2,FALSE)</f>
        <v>Lentil TAT 20KG</v>
      </c>
      <c r="G713" t="str">
        <f>VLOOKUP(Table2[[#This Row],[product]],Ref[#All],3,FALSE)</f>
        <v>Lentils</v>
      </c>
      <c r="H713" t="str">
        <f>VLOOKUP(Table2[[#This Row],[product]],Ref[#All],4,FALSE)</f>
        <v>Import</v>
      </c>
      <c r="I713" s="1">
        <v>45823</v>
      </c>
      <c r="J713" t="s">
        <v>53</v>
      </c>
      <c r="K713" t="s">
        <v>1310</v>
      </c>
      <c r="L713" t="s">
        <v>1651</v>
      </c>
      <c r="M713" t="s">
        <v>1586</v>
      </c>
      <c r="N713" t="s">
        <v>784</v>
      </c>
      <c r="O713" t="s">
        <v>785</v>
      </c>
      <c r="P713" t="s">
        <v>788</v>
      </c>
      <c r="Q713" t="s">
        <v>55</v>
      </c>
      <c r="R713">
        <v>-4</v>
      </c>
      <c r="S713" s="15">
        <f>Table2[[#This Row],[movement_quantity]]/VLOOKUP(Table2[[#This Row],[product]],Ref[#All],5,FALSE)</f>
        <v>-0.08</v>
      </c>
      <c r="T713">
        <v>37806.777110000003</v>
      </c>
      <c r="U713" t="s">
        <v>17</v>
      </c>
      <c r="V713" t="s">
        <v>24</v>
      </c>
      <c r="W713" t="s">
        <v>1311</v>
      </c>
      <c r="X713" t="s">
        <v>17</v>
      </c>
      <c r="Y713" t="s">
        <v>1244</v>
      </c>
      <c r="Z713" s="2">
        <v>0</v>
      </c>
      <c r="AA713" s="2">
        <v>-151227.10844000001</v>
      </c>
      <c r="AB713" t="str">
        <f>VLOOKUP(Table2[[#This Row],[product]],Ref[#All],6,FALSE)</f>
        <v>BAG20</v>
      </c>
    </row>
    <row r="714" spans="1:28" x14ac:dyDescent="0.25">
      <c r="A714" t="str">
        <f>TEXT(Table2[[#This Row],[dated]],"mmm")</f>
        <v>Jun</v>
      </c>
      <c r="B714" t="s">
        <v>30</v>
      </c>
      <c r="C714" s="1" t="s">
        <v>536</v>
      </c>
      <c r="D714" t="str">
        <f>VLOOKUP(Table2[[#This Row],[product]],Ref[#All],7,FALSE)</f>
        <v>Lentils</v>
      </c>
      <c r="E714" s="1" t="s">
        <v>39</v>
      </c>
      <c r="F714" t="str">
        <f>VLOOKUP(Table2[[#This Row],[product]],Ref[#All],2,FALSE)</f>
        <v>Lentil TAT 20KG</v>
      </c>
      <c r="G714" t="str">
        <f>VLOOKUP(Table2[[#This Row],[product]],Ref[#All],3,FALSE)</f>
        <v>Lentils</v>
      </c>
      <c r="H714" t="str">
        <f>VLOOKUP(Table2[[#This Row],[product]],Ref[#All],4,FALSE)</f>
        <v>Import</v>
      </c>
      <c r="I714" s="1">
        <v>45823</v>
      </c>
      <c r="J714" t="s">
        <v>53</v>
      </c>
      <c r="K714" t="s">
        <v>1312</v>
      </c>
      <c r="L714" t="s">
        <v>1651</v>
      </c>
      <c r="M714" t="s">
        <v>1586</v>
      </c>
      <c r="N714" t="s">
        <v>784</v>
      </c>
      <c r="O714" t="s">
        <v>785</v>
      </c>
      <c r="P714" t="s">
        <v>788</v>
      </c>
      <c r="Q714" t="s">
        <v>55</v>
      </c>
      <c r="R714">
        <v>-11</v>
      </c>
      <c r="S714" s="15">
        <f>Table2[[#This Row],[movement_quantity]]/VLOOKUP(Table2[[#This Row],[product]],Ref[#All],5,FALSE)</f>
        <v>-0.22</v>
      </c>
      <c r="T714">
        <v>37806.777110000003</v>
      </c>
      <c r="U714" t="s">
        <v>17</v>
      </c>
      <c r="V714" t="s">
        <v>25</v>
      </c>
      <c r="W714" t="s">
        <v>1313</v>
      </c>
      <c r="X714" t="s">
        <v>17</v>
      </c>
      <c r="Y714" t="s">
        <v>1244</v>
      </c>
      <c r="Z714" s="2">
        <v>0</v>
      </c>
      <c r="AA714" s="2">
        <v>-415874.54821000004</v>
      </c>
      <c r="AB714" t="str">
        <f>VLOOKUP(Table2[[#This Row],[product]],Ref[#All],6,FALSE)</f>
        <v>BAG20</v>
      </c>
    </row>
    <row r="715" spans="1:28" x14ac:dyDescent="0.25">
      <c r="A715" t="str">
        <f>TEXT(Table2[[#This Row],[dated]],"mmm")</f>
        <v>Jun</v>
      </c>
      <c r="B715" t="s">
        <v>30</v>
      </c>
      <c r="C715" s="1" t="s">
        <v>536</v>
      </c>
      <c r="D715" t="str">
        <f>VLOOKUP(Table2[[#This Row],[product]],Ref[#All],7,FALSE)</f>
        <v>Lentils</v>
      </c>
      <c r="E715" s="1" t="s">
        <v>39</v>
      </c>
      <c r="F715" t="str">
        <f>VLOOKUP(Table2[[#This Row],[product]],Ref[#All],2,FALSE)</f>
        <v>Lentil TAT 20KG</v>
      </c>
      <c r="G715" t="str">
        <f>VLOOKUP(Table2[[#This Row],[product]],Ref[#All],3,FALSE)</f>
        <v>Lentils</v>
      </c>
      <c r="H715" t="str">
        <f>VLOOKUP(Table2[[#This Row],[product]],Ref[#All],4,FALSE)</f>
        <v>Import</v>
      </c>
      <c r="I715" s="1">
        <v>45823</v>
      </c>
      <c r="J715" t="s">
        <v>53</v>
      </c>
      <c r="K715" t="s">
        <v>1314</v>
      </c>
      <c r="L715" t="s">
        <v>1651</v>
      </c>
      <c r="M715" t="s">
        <v>1586</v>
      </c>
      <c r="N715" t="s">
        <v>784</v>
      </c>
      <c r="O715" t="s">
        <v>785</v>
      </c>
      <c r="P715" t="s">
        <v>788</v>
      </c>
      <c r="Q715" t="s">
        <v>55</v>
      </c>
      <c r="R715">
        <v>-4</v>
      </c>
      <c r="S715" s="15">
        <f>Table2[[#This Row],[movement_quantity]]/VLOOKUP(Table2[[#This Row],[product]],Ref[#All],5,FALSE)</f>
        <v>-0.08</v>
      </c>
      <c r="T715">
        <v>37806.777110000003</v>
      </c>
      <c r="U715" t="s">
        <v>17</v>
      </c>
      <c r="V715" t="s">
        <v>26</v>
      </c>
      <c r="W715" t="s">
        <v>1315</v>
      </c>
      <c r="X715" t="s">
        <v>17</v>
      </c>
      <c r="Y715" t="s">
        <v>1244</v>
      </c>
      <c r="Z715" s="2">
        <v>0</v>
      </c>
      <c r="AA715" s="2">
        <v>-151227.10844000001</v>
      </c>
      <c r="AB715" t="str">
        <f>VLOOKUP(Table2[[#This Row],[product]],Ref[#All],6,FALSE)</f>
        <v>BAG20</v>
      </c>
    </row>
    <row r="716" spans="1:28" x14ac:dyDescent="0.25">
      <c r="A716" t="str">
        <f>TEXT(Table2[[#This Row],[dated]],"mmm")</f>
        <v>Jun</v>
      </c>
      <c r="B716" t="s">
        <v>30</v>
      </c>
      <c r="C716" s="1" t="s">
        <v>536</v>
      </c>
      <c r="D716" t="str">
        <f>VLOOKUP(Table2[[#This Row],[product]],Ref[#All],7,FALSE)</f>
        <v>Lentils</v>
      </c>
      <c r="E716" s="1" t="s">
        <v>39</v>
      </c>
      <c r="F716" t="str">
        <f>VLOOKUP(Table2[[#This Row],[product]],Ref[#All],2,FALSE)</f>
        <v>Lentil TAT 20KG</v>
      </c>
      <c r="G716" t="str">
        <f>VLOOKUP(Table2[[#This Row],[product]],Ref[#All],3,FALSE)</f>
        <v>Lentils</v>
      </c>
      <c r="H716" t="str">
        <f>VLOOKUP(Table2[[#This Row],[product]],Ref[#All],4,FALSE)</f>
        <v>Import</v>
      </c>
      <c r="I716" s="1">
        <v>45823</v>
      </c>
      <c r="J716" t="s">
        <v>53</v>
      </c>
      <c r="K716" t="s">
        <v>1316</v>
      </c>
      <c r="L716" t="s">
        <v>1651</v>
      </c>
      <c r="M716" t="s">
        <v>1586</v>
      </c>
      <c r="N716" t="s">
        <v>784</v>
      </c>
      <c r="O716" t="s">
        <v>785</v>
      </c>
      <c r="P716" t="s">
        <v>788</v>
      </c>
      <c r="Q716" t="s">
        <v>55</v>
      </c>
      <c r="R716">
        <v>-3</v>
      </c>
      <c r="S716" s="15">
        <f>Table2[[#This Row],[movement_quantity]]/VLOOKUP(Table2[[#This Row],[product]],Ref[#All],5,FALSE)</f>
        <v>-0.06</v>
      </c>
      <c r="T716">
        <v>37806.777110000003</v>
      </c>
      <c r="U716" t="s">
        <v>17</v>
      </c>
      <c r="V716" t="s">
        <v>27</v>
      </c>
      <c r="W716" t="s">
        <v>1317</v>
      </c>
      <c r="X716" t="s">
        <v>17</v>
      </c>
      <c r="Y716" t="s">
        <v>1244</v>
      </c>
      <c r="Z716" s="2">
        <v>0</v>
      </c>
      <c r="AA716" s="2">
        <v>-113420.33133000002</v>
      </c>
      <c r="AB716" t="str">
        <f>VLOOKUP(Table2[[#This Row],[product]],Ref[#All],6,FALSE)</f>
        <v>BAG20</v>
      </c>
    </row>
    <row r="717" spans="1:28" x14ac:dyDescent="0.25">
      <c r="A717" t="str">
        <f>TEXT(Table2[[#This Row],[dated]],"mmm")</f>
        <v>Jun</v>
      </c>
      <c r="B717" t="s">
        <v>30</v>
      </c>
      <c r="C717" s="1" t="s">
        <v>536</v>
      </c>
      <c r="D717" t="str">
        <f>VLOOKUP(Table2[[#This Row],[product]],Ref[#All],7,FALSE)</f>
        <v>Sugar</v>
      </c>
      <c r="E717" s="1" t="s">
        <v>72</v>
      </c>
      <c r="F717" t="str">
        <f>VLOOKUP(Table2[[#This Row],[product]],Ref[#All],2,FALSE)</f>
        <v>White Sugar</v>
      </c>
      <c r="G717" t="str">
        <f>VLOOKUP(Table2[[#This Row],[product]],Ref[#All],3,FALSE)</f>
        <v>White Sugar</v>
      </c>
      <c r="H717" t="str">
        <f>VLOOKUP(Table2[[#This Row],[product]],Ref[#All],4,FALSE)</f>
        <v>Import</v>
      </c>
      <c r="I717" s="1">
        <v>45823</v>
      </c>
      <c r="J717" t="s">
        <v>53</v>
      </c>
      <c r="K717" t="s">
        <v>1318</v>
      </c>
      <c r="L717" t="s">
        <v>1651</v>
      </c>
      <c r="M717" t="s">
        <v>1586</v>
      </c>
      <c r="N717" t="s">
        <v>784</v>
      </c>
      <c r="O717" t="s">
        <v>785</v>
      </c>
      <c r="P717" t="s">
        <v>788</v>
      </c>
      <c r="Q717" t="s">
        <v>55</v>
      </c>
      <c r="R717">
        <v>-14</v>
      </c>
      <c r="S717" s="15">
        <f>Table2[[#This Row],[movement_quantity]]/VLOOKUP(Table2[[#This Row],[product]],Ref[#All],5,FALSE)</f>
        <v>-0.7</v>
      </c>
      <c r="T717">
        <v>83521.151800000007</v>
      </c>
      <c r="U717" t="s">
        <v>17</v>
      </c>
      <c r="V717" t="s">
        <v>18</v>
      </c>
      <c r="W717" t="s">
        <v>1319</v>
      </c>
      <c r="X717" t="s">
        <v>17</v>
      </c>
      <c r="Y717" t="s">
        <v>1320</v>
      </c>
      <c r="Z717" s="2">
        <v>0</v>
      </c>
      <c r="AA717" s="2">
        <v>-1169296.1252000001</v>
      </c>
      <c r="AB717" t="str">
        <f>VLOOKUP(Table2[[#This Row],[product]],Ref[#All],6,FALSE)</f>
        <v>BAG50</v>
      </c>
    </row>
    <row r="718" spans="1:28" x14ac:dyDescent="0.25">
      <c r="A718" t="str">
        <f>TEXT(Table2[[#This Row],[dated]],"mmm")</f>
        <v>Jun</v>
      </c>
      <c r="B718" t="s">
        <v>30</v>
      </c>
      <c r="C718" s="1" t="s">
        <v>536</v>
      </c>
      <c r="D718" t="str">
        <f>VLOOKUP(Table2[[#This Row],[product]],Ref[#All],7,FALSE)</f>
        <v>Sugar</v>
      </c>
      <c r="E718" s="1" t="s">
        <v>72</v>
      </c>
      <c r="F718" t="str">
        <f>VLOOKUP(Table2[[#This Row],[product]],Ref[#All],2,FALSE)</f>
        <v>White Sugar</v>
      </c>
      <c r="G718" t="str">
        <f>VLOOKUP(Table2[[#This Row],[product]],Ref[#All],3,FALSE)</f>
        <v>White Sugar</v>
      </c>
      <c r="H718" t="str">
        <f>VLOOKUP(Table2[[#This Row],[product]],Ref[#All],4,FALSE)</f>
        <v>Import</v>
      </c>
      <c r="I718" s="1">
        <v>45823</v>
      </c>
      <c r="J718" t="s">
        <v>53</v>
      </c>
      <c r="K718" t="s">
        <v>1321</v>
      </c>
      <c r="L718" t="s">
        <v>1651</v>
      </c>
      <c r="M718" t="s">
        <v>1586</v>
      </c>
      <c r="N718" t="s">
        <v>784</v>
      </c>
      <c r="O718" t="s">
        <v>785</v>
      </c>
      <c r="P718" t="s">
        <v>788</v>
      </c>
      <c r="Q718" t="s">
        <v>55</v>
      </c>
      <c r="R718">
        <v>-9</v>
      </c>
      <c r="S718" s="15">
        <f>Table2[[#This Row],[movement_quantity]]/VLOOKUP(Table2[[#This Row],[product]],Ref[#All],5,FALSE)</f>
        <v>-0.45</v>
      </c>
      <c r="T718">
        <v>83521.151800000007</v>
      </c>
      <c r="U718" t="s">
        <v>17</v>
      </c>
      <c r="V718" t="s">
        <v>21</v>
      </c>
      <c r="W718" t="s">
        <v>1322</v>
      </c>
      <c r="X718" t="s">
        <v>17</v>
      </c>
      <c r="Y718" t="s">
        <v>1320</v>
      </c>
      <c r="Z718" s="2">
        <v>0</v>
      </c>
      <c r="AA718" s="2">
        <v>-751690.36620000005</v>
      </c>
      <c r="AB718" t="str">
        <f>VLOOKUP(Table2[[#This Row],[product]],Ref[#All],6,FALSE)</f>
        <v>BAG50</v>
      </c>
    </row>
    <row r="719" spans="1:28" x14ac:dyDescent="0.25">
      <c r="A719" t="str">
        <f>TEXT(Table2[[#This Row],[dated]],"mmm")</f>
        <v>Jun</v>
      </c>
      <c r="B719" t="s">
        <v>30</v>
      </c>
      <c r="C719" s="1" t="s">
        <v>536</v>
      </c>
      <c r="D719" t="str">
        <f>VLOOKUP(Table2[[#This Row],[product]],Ref[#All],7,FALSE)</f>
        <v>Sugar</v>
      </c>
      <c r="E719" s="1" t="s">
        <v>72</v>
      </c>
      <c r="F719" t="str">
        <f>VLOOKUP(Table2[[#This Row],[product]],Ref[#All],2,FALSE)</f>
        <v>White Sugar</v>
      </c>
      <c r="G719" t="str">
        <f>VLOOKUP(Table2[[#This Row],[product]],Ref[#All],3,FALSE)</f>
        <v>White Sugar</v>
      </c>
      <c r="H719" t="str">
        <f>VLOOKUP(Table2[[#This Row],[product]],Ref[#All],4,FALSE)</f>
        <v>Import</v>
      </c>
      <c r="I719" s="1">
        <v>45823</v>
      </c>
      <c r="J719" t="s">
        <v>53</v>
      </c>
      <c r="K719" t="s">
        <v>1323</v>
      </c>
      <c r="L719" t="s">
        <v>1651</v>
      </c>
      <c r="M719" t="s">
        <v>1586</v>
      </c>
      <c r="N719" t="s">
        <v>784</v>
      </c>
      <c r="O719" t="s">
        <v>785</v>
      </c>
      <c r="P719" t="s">
        <v>788</v>
      </c>
      <c r="Q719" t="s">
        <v>55</v>
      </c>
      <c r="R719">
        <v>-5</v>
      </c>
      <c r="S719" s="15">
        <f>Table2[[#This Row],[movement_quantity]]/VLOOKUP(Table2[[#This Row],[product]],Ref[#All],5,FALSE)</f>
        <v>-0.25</v>
      </c>
      <c r="T719">
        <v>83521.151800000007</v>
      </c>
      <c r="U719" t="s">
        <v>17</v>
      </c>
      <c r="V719" t="s">
        <v>22</v>
      </c>
      <c r="W719" t="s">
        <v>1324</v>
      </c>
      <c r="X719" t="s">
        <v>17</v>
      </c>
      <c r="Y719" t="s">
        <v>1320</v>
      </c>
      <c r="Z719" s="2">
        <v>0</v>
      </c>
      <c r="AA719" s="2">
        <v>-417605.75900000002</v>
      </c>
      <c r="AB719" t="str">
        <f>VLOOKUP(Table2[[#This Row],[product]],Ref[#All],6,FALSE)</f>
        <v>BAG50</v>
      </c>
    </row>
    <row r="720" spans="1:28" x14ac:dyDescent="0.25">
      <c r="A720" t="str">
        <f>TEXT(Table2[[#This Row],[dated]],"mmm")</f>
        <v>Jun</v>
      </c>
      <c r="B720" t="s">
        <v>30</v>
      </c>
      <c r="C720" s="1" t="s">
        <v>536</v>
      </c>
      <c r="D720" t="str">
        <f>VLOOKUP(Table2[[#This Row],[product]],Ref[#All],7,FALSE)</f>
        <v>Sugar</v>
      </c>
      <c r="E720" s="1" t="s">
        <v>72</v>
      </c>
      <c r="F720" t="str">
        <f>VLOOKUP(Table2[[#This Row],[product]],Ref[#All],2,FALSE)</f>
        <v>White Sugar</v>
      </c>
      <c r="G720" t="str">
        <f>VLOOKUP(Table2[[#This Row],[product]],Ref[#All],3,FALSE)</f>
        <v>White Sugar</v>
      </c>
      <c r="H720" t="str">
        <f>VLOOKUP(Table2[[#This Row],[product]],Ref[#All],4,FALSE)</f>
        <v>Import</v>
      </c>
      <c r="I720" s="1">
        <v>45823</v>
      </c>
      <c r="J720" t="s">
        <v>53</v>
      </c>
      <c r="K720" t="s">
        <v>1325</v>
      </c>
      <c r="L720" t="s">
        <v>1651</v>
      </c>
      <c r="M720" t="s">
        <v>1586</v>
      </c>
      <c r="N720" t="s">
        <v>784</v>
      </c>
      <c r="O720" t="s">
        <v>785</v>
      </c>
      <c r="P720" t="s">
        <v>788</v>
      </c>
      <c r="Q720" t="s">
        <v>55</v>
      </c>
      <c r="R720">
        <v>-16</v>
      </c>
      <c r="S720" s="15">
        <f>Table2[[#This Row],[movement_quantity]]/VLOOKUP(Table2[[#This Row],[product]],Ref[#All],5,FALSE)</f>
        <v>-0.8</v>
      </c>
      <c r="T720">
        <v>83521.151800000007</v>
      </c>
      <c r="U720" t="s">
        <v>17</v>
      </c>
      <c r="V720" t="s">
        <v>23</v>
      </c>
      <c r="W720" t="s">
        <v>1326</v>
      </c>
      <c r="X720" t="s">
        <v>17</v>
      </c>
      <c r="Y720" t="s">
        <v>1320</v>
      </c>
      <c r="Z720" s="2">
        <v>0</v>
      </c>
      <c r="AA720" s="2">
        <v>-1336338.4288000001</v>
      </c>
      <c r="AB720" t="str">
        <f>VLOOKUP(Table2[[#This Row],[product]],Ref[#All],6,FALSE)</f>
        <v>BAG50</v>
      </c>
    </row>
    <row r="721" spans="1:28" x14ac:dyDescent="0.25">
      <c r="A721" t="str">
        <f>TEXT(Table2[[#This Row],[dated]],"mmm")</f>
        <v>Jun</v>
      </c>
      <c r="B721" t="s">
        <v>30</v>
      </c>
      <c r="C721" s="1" t="s">
        <v>536</v>
      </c>
      <c r="D721" t="str">
        <f>VLOOKUP(Table2[[#This Row],[product]],Ref[#All],7,FALSE)</f>
        <v>Sugar</v>
      </c>
      <c r="E721" s="1" t="s">
        <v>72</v>
      </c>
      <c r="F721" t="str">
        <f>VLOOKUP(Table2[[#This Row],[product]],Ref[#All],2,FALSE)</f>
        <v>White Sugar</v>
      </c>
      <c r="G721" t="str">
        <f>VLOOKUP(Table2[[#This Row],[product]],Ref[#All],3,FALSE)</f>
        <v>White Sugar</v>
      </c>
      <c r="H721" t="str">
        <f>VLOOKUP(Table2[[#This Row],[product]],Ref[#All],4,FALSE)</f>
        <v>Import</v>
      </c>
      <c r="I721" s="1">
        <v>45823</v>
      </c>
      <c r="J721" t="s">
        <v>53</v>
      </c>
      <c r="K721" t="s">
        <v>1327</v>
      </c>
      <c r="L721" t="s">
        <v>1651</v>
      </c>
      <c r="M721" t="s">
        <v>1586</v>
      </c>
      <c r="N721" t="s">
        <v>784</v>
      </c>
      <c r="O721" t="s">
        <v>785</v>
      </c>
      <c r="P721" t="s">
        <v>788</v>
      </c>
      <c r="Q721" t="s">
        <v>55</v>
      </c>
      <c r="R721">
        <v>-34</v>
      </c>
      <c r="S721" s="15">
        <f>Table2[[#This Row],[movement_quantity]]/VLOOKUP(Table2[[#This Row],[product]],Ref[#All],5,FALSE)</f>
        <v>-1.7</v>
      </c>
      <c r="T721">
        <v>83521.151800000007</v>
      </c>
      <c r="U721" t="s">
        <v>17</v>
      </c>
      <c r="V721" t="s">
        <v>24</v>
      </c>
      <c r="W721" t="s">
        <v>1328</v>
      </c>
      <c r="X721" t="s">
        <v>17</v>
      </c>
      <c r="Y721" t="s">
        <v>1320</v>
      </c>
      <c r="Z721" s="2">
        <v>0</v>
      </c>
      <c r="AA721" s="2">
        <v>-2839719.1612000004</v>
      </c>
      <c r="AB721" t="str">
        <f>VLOOKUP(Table2[[#This Row],[product]],Ref[#All],6,FALSE)</f>
        <v>BAG50</v>
      </c>
    </row>
    <row r="722" spans="1:28" x14ac:dyDescent="0.25">
      <c r="A722" t="str">
        <f>TEXT(Table2[[#This Row],[dated]],"mmm")</f>
        <v>Jun</v>
      </c>
      <c r="B722" t="s">
        <v>30</v>
      </c>
      <c r="C722" s="1" t="s">
        <v>536</v>
      </c>
      <c r="D722" t="str">
        <f>VLOOKUP(Table2[[#This Row],[product]],Ref[#All],7,FALSE)</f>
        <v>Sugar</v>
      </c>
      <c r="E722" s="1" t="s">
        <v>72</v>
      </c>
      <c r="F722" t="str">
        <f>VLOOKUP(Table2[[#This Row],[product]],Ref[#All],2,FALSE)</f>
        <v>White Sugar</v>
      </c>
      <c r="G722" t="str">
        <f>VLOOKUP(Table2[[#This Row],[product]],Ref[#All],3,FALSE)</f>
        <v>White Sugar</v>
      </c>
      <c r="H722" t="str">
        <f>VLOOKUP(Table2[[#This Row],[product]],Ref[#All],4,FALSE)</f>
        <v>Import</v>
      </c>
      <c r="I722" s="1">
        <v>45823</v>
      </c>
      <c r="J722" t="s">
        <v>53</v>
      </c>
      <c r="K722" t="s">
        <v>1329</v>
      </c>
      <c r="L722" t="s">
        <v>1651</v>
      </c>
      <c r="M722" t="s">
        <v>1586</v>
      </c>
      <c r="N722" t="s">
        <v>784</v>
      </c>
      <c r="O722" t="s">
        <v>785</v>
      </c>
      <c r="P722" t="s">
        <v>788</v>
      </c>
      <c r="Q722" t="s">
        <v>55</v>
      </c>
      <c r="R722">
        <v>-2</v>
      </c>
      <c r="S722" s="15">
        <f>Table2[[#This Row],[movement_quantity]]/VLOOKUP(Table2[[#This Row],[product]],Ref[#All],5,FALSE)</f>
        <v>-0.1</v>
      </c>
      <c r="T722">
        <v>83521.151800000007</v>
      </c>
      <c r="U722" t="s">
        <v>17</v>
      </c>
      <c r="V722" t="s">
        <v>25</v>
      </c>
      <c r="W722" t="s">
        <v>1330</v>
      </c>
      <c r="X722" t="s">
        <v>17</v>
      </c>
      <c r="Y722" t="s">
        <v>1320</v>
      </c>
      <c r="Z722" s="2">
        <v>0</v>
      </c>
      <c r="AA722" s="2">
        <v>-167042.30360000001</v>
      </c>
      <c r="AB722" t="str">
        <f>VLOOKUP(Table2[[#This Row],[product]],Ref[#All],6,FALSE)</f>
        <v>BAG50</v>
      </c>
    </row>
    <row r="723" spans="1:28" x14ac:dyDescent="0.25">
      <c r="A723" t="str">
        <f>TEXT(Table2[[#This Row],[dated]],"mmm")</f>
        <v>Jun</v>
      </c>
      <c r="B723" t="s">
        <v>30</v>
      </c>
      <c r="C723" s="1" t="s">
        <v>536</v>
      </c>
      <c r="D723" t="str">
        <f>VLOOKUP(Table2[[#This Row],[product]],Ref[#All],7,FALSE)</f>
        <v>Sugar</v>
      </c>
      <c r="E723" s="1" t="s">
        <v>72</v>
      </c>
      <c r="F723" t="str">
        <f>VLOOKUP(Table2[[#This Row],[product]],Ref[#All],2,FALSE)</f>
        <v>White Sugar</v>
      </c>
      <c r="G723" t="str">
        <f>VLOOKUP(Table2[[#This Row],[product]],Ref[#All],3,FALSE)</f>
        <v>White Sugar</v>
      </c>
      <c r="H723" t="str">
        <f>VLOOKUP(Table2[[#This Row],[product]],Ref[#All],4,FALSE)</f>
        <v>Import</v>
      </c>
      <c r="I723" s="1">
        <v>45823</v>
      </c>
      <c r="J723" t="s">
        <v>53</v>
      </c>
      <c r="K723" t="s">
        <v>1331</v>
      </c>
      <c r="L723" t="s">
        <v>1651</v>
      </c>
      <c r="M723" t="s">
        <v>1586</v>
      </c>
      <c r="N723" t="s">
        <v>784</v>
      </c>
      <c r="O723" t="s">
        <v>785</v>
      </c>
      <c r="P723" t="s">
        <v>788</v>
      </c>
      <c r="Q723" t="s">
        <v>55</v>
      </c>
      <c r="R723">
        <v>-13</v>
      </c>
      <c r="S723" s="15">
        <f>Table2[[#This Row],[movement_quantity]]/VLOOKUP(Table2[[#This Row],[product]],Ref[#All],5,FALSE)</f>
        <v>-0.65</v>
      </c>
      <c r="T723">
        <v>83521.151800000007</v>
      </c>
      <c r="U723" t="s">
        <v>17</v>
      </c>
      <c r="V723" t="s">
        <v>26</v>
      </c>
      <c r="W723" t="s">
        <v>1332</v>
      </c>
      <c r="X723" t="s">
        <v>17</v>
      </c>
      <c r="Y723" t="s">
        <v>1320</v>
      </c>
      <c r="Z723" s="2">
        <v>0</v>
      </c>
      <c r="AA723" s="2">
        <v>-1085774.9734</v>
      </c>
      <c r="AB723" t="str">
        <f>VLOOKUP(Table2[[#This Row],[product]],Ref[#All],6,FALSE)</f>
        <v>BAG50</v>
      </c>
    </row>
    <row r="724" spans="1:28" x14ac:dyDescent="0.25">
      <c r="A724" t="str">
        <f>TEXT(Table2[[#This Row],[dated]],"mmm")</f>
        <v>Jun</v>
      </c>
      <c r="B724" t="s">
        <v>30</v>
      </c>
      <c r="C724" s="1" t="s">
        <v>536</v>
      </c>
      <c r="D724" t="str">
        <f>VLOOKUP(Table2[[#This Row],[product]],Ref[#All],7,FALSE)</f>
        <v>Sugar</v>
      </c>
      <c r="E724" s="1" t="s">
        <v>72</v>
      </c>
      <c r="F724" t="str">
        <f>VLOOKUP(Table2[[#This Row],[product]],Ref[#All],2,FALSE)</f>
        <v>White Sugar</v>
      </c>
      <c r="G724" t="str">
        <f>VLOOKUP(Table2[[#This Row],[product]],Ref[#All],3,FALSE)</f>
        <v>White Sugar</v>
      </c>
      <c r="H724" t="str">
        <f>VLOOKUP(Table2[[#This Row],[product]],Ref[#All],4,FALSE)</f>
        <v>Import</v>
      </c>
      <c r="I724" s="1">
        <v>45823</v>
      </c>
      <c r="J724" t="s">
        <v>53</v>
      </c>
      <c r="K724" t="s">
        <v>1333</v>
      </c>
      <c r="L724" t="s">
        <v>1651</v>
      </c>
      <c r="M724" t="s">
        <v>1586</v>
      </c>
      <c r="N724" t="s">
        <v>784</v>
      </c>
      <c r="O724" t="s">
        <v>785</v>
      </c>
      <c r="P724" t="s">
        <v>788</v>
      </c>
      <c r="Q724" t="s">
        <v>55</v>
      </c>
      <c r="R724">
        <v>-7</v>
      </c>
      <c r="S724" s="15">
        <f>Table2[[#This Row],[movement_quantity]]/VLOOKUP(Table2[[#This Row],[product]],Ref[#All],5,FALSE)</f>
        <v>-0.35</v>
      </c>
      <c r="T724">
        <v>83521.151800000007</v>
      </c>
      <c r="U724" t="s">
        <v>17</v>
      </c>
      <c r="V724" t="s">
        <v>27</v>
      </c>
      <c r="W724" t="s">
        <v>1334</v>
      </c>
      <c r="X724" t="s">
        <v>17</v>
      </c>
      <c r="Y724" t="s">
        <v>1320</v>
      </c>
      <c r="Z724" s="2">
        <v>0</v>
      </c>
      <c r="AA724" s="2">
        <v>-584648.06260000006</v>
      </c>
      <c r="AB724" t="str">
        <f>VLOOKUP(Table2[[#This Row],[product]],Ref[#All],6,FALSE)</f>
        <v>BAG50</v>
      </c>
    </row>
    <row r="725" spans="1:28" x14ac:dyDescent="0.25">
      <c r="A725" t="str">
        <f>TEXT(Table2[[#This Row],[dated]],"mmm")</f>
        <v>Jun</v>
      </c>
      <c r="B725" t="s">
        <v>30</v>
      </c>
      <c r="C725" s="1" t="s">
        <v>536</v>
      </c>
      <c r="D725" t="str">
        <f>VLOOKUP(Table2[[#This Row],[product]],Ref[#All],7,FALSE)</f>
        <v>Sugar</v>
      </c>
      <c r="E725" s="1" t="s">
        <v>72</v>
      </c>
      <c r="F725" t="str">
        <f>VLOOKUP(Table2[[#This Row],[product]],Ref[#All],2,FALSE)</f>
        <v>White Sugar</v>
      </c>
      <c r="G725" t="str">
        <f>VLOOKUP(Table2[[#This Row],[product]],Ref[#All],3,FALSE)</f>
        <v>White Sugar</v>
      </c>
      <c r="H725" t="str">
        <f>VLOOKUP(Table2[[#This Row],[product]],Ref[#All],4,FALSE)</f>
        <v>Import</v>
      </c>
      <c r="I725" s="1">
        <v>45823</v>
      </c>
      <c r="J725" t="s">
        <v>53</v>
      </c>
      <c r="K725" t="s">
        <v>1335</v>
      </c>
      <c r="L725" t="s">
        <v>1651</v>
      </c>
      <c r="M725" t="s">
        <v>1586</v>
      </c>
      <c r="N725" t="s">
        <v>784</v>
      </c>
      <c r="O725" t="s">
        <v>785</v>
      </c>
      <c r="P725" t="s">
        <v>788</v>
      </c>
      <c r="Q725" t="s">
        <v>55</v>
      </c>
      <c r="R725">
        <v>-9</v>
      </c>
      <c r="S725" s="15">
        <f>Table2[[#This Row],[movement_quantity]]/VLOOKUP(Table2[[#This Row],[product]],Ref[#All],5,FALSE)</f>
        <v>-0.45</v>
      </c>
      <c r="T725">
        <v>83521.151800000007</v>
      </c>
      <c r="U725" t="s">
        <v>17</v>
      </c>
      <c r="V725" t="s">
        <v>28</v>
      </c>
      <c r="W725" t="s">
        <v>1336</v>
      </c>
      <c r="X725" t="s">
        <v>17</v>
      </c>
      <c r="Y725" t="s">
        <v>1320</v>
      </c>
      <c r="Z725" s="2">
        <v>0</v>
      </c>
      <c r="AA725" s="2">
        <v>-751690.36620000005</v>
      </c>
      <c r="AB725" t="str">
        <f>VLOOKUP(Table2[[#This Row],[product]],Ref[#All],6,FALSE)</f>
        <v>BAG50</v>
      </c>
    </row>
    <row r="726" spans="1:28" x14ac:dyDescent="0.25">
      <c r="A726" t="str">
        <f>TEXT(Table2[[#This Row],[dated]],"mmm")</f>
        <v>Jun</v>
      </c>
      <c r="B726" t="s">
        <v>30</v>
      </c>
      <c r="C726" s="1" t="s">
        <v>536</v>
      </c>
      <c r="D726" t="str">
        <f>VLOOKUP(Table2[[#This Row],[product]],Ref[#All],7,FALSE)</f>
        <v>Sugar</v>
      </c>
      <c r="E726" s="1" t="s">
        <v>72</v>
      </c>
      <c r="F726" t="str">
        <f>VLOOKUP(Table2[[#This Row],[product]],Ref[#All],2,FALSE)</f>
        <v>White Sugar</v>
      </c>
      <c r="G726" t="str">
        <f>VLOOKUP(Table2[[#This Row],[product]],Ref[#All],3,FALSE)</f>
        <v>White Sugar</v>
      </c>
      <c r="H726" t="str">
        <f>VLOOKUP(Table2[[#This Row],[product]],Ref[#All],4,FALSE)</f>
        <v>Import</v>
      </c>
      <c r="I726" s="1">
        <v>45823</v>
      </c>
      <c r="J726" t="s">
        <v>53</v>
      </c>
      <c r="K726" t="s">
        <v>1337</v>
      </c>
      <c r="L726" t="s">
        <v>1651</v>
      </c>
      <c r="M726" t="s">
        <v>1586</v>
      </c>
      <c r="N726" t="s">
        <v>784</v>
      </c>
      <c r="O726" t="s">
        <v>785</v>
      </c>
      <c r="P726" t="s">
        <v>788</v>
      </c>
      <c r="Q726" t="s">
        <v>55</v>
      </c>
      <c r="R726">
        <v>-3</v>
      </c>
      <c r="S726" s="15">
        <f>Table2[[#This Row],[movement_quantity]]/VLOOKUP(Table2[[#This Row],[product]],Ref[#All],5,FALSE)</f>
        <v>-0.15</v>
      </c>
      <c r="T726">
        <v>83521.151800000007</v>
      </c>
      <c r="U726" t="s">
        <v>17</v>
      </c>
      <c r="V726" t="s">
        <v>29</v>
      </c>
      <c r="W726" t="s">
        <v>1338</v>
      </c>
      <c r="X726" t="s">
        <v>17</v>
      </c>
      <c r="Y726" t="s">
        <v>1320</v>
      </c>
      <c r="Z726" s="2">
        <v>0</v>
      </c>
      <c r="AA726" s="2">
        <v>-250563.45540000004</v>
      </c>
      <c r="AB726" t="str">
        <f>VLOOKUP(Table2[[#This Row],[product]],Ref[#All],6,FALSE)</f>
        <v>BAG50</v>
      </c>
    </row>
    <row r="727" spans="1:28" x14ac:dyDescent="0.25">
      <c r="A727" t="str">
        <f>TEXT(Table2[[#This Row],[dated]],"mmm")</f>
        <v>Jun</v>
      </c>
      <c r="B727" t="s">
        <v>30</v>
      </c>
      <c r="C727" s="1" t="s">
        <v>536</v>
      </c>
      <c r="D727" t="str">
        <f>VLOOKUP(Table2[[#This Row],[product]],Ref[#All],7,FALSE)</f>
        <v>Sugar</v>
      </c>
      <c r="E727" s="1" t="s">
        <v>72</v>
      </c>
      <c r="F727" t="str">
        <f>VLOOKUP(Table2[[#This Row],[product]],Ref[#All],2,FALSE)</f>
        <v>White Sugar</v>
      </c>
      <c r="G727" t="str">
        <f>VLOOKUP(Table2[[#This Row],[product]],Ref[#All],3,FALSE)</f>
        <v>White Sugar</v>
      </c>
      <c r="H727" t="str">
        <f>VLOOKUP(Table2[[#This Row],[product]],Ref[#All],4,FALSE)</f>
        <v>Import</v>
      </c>
      <c r="I727" s="1">
        <v>45823</v>
      </c>
      <c r="J727" t="s">
        <v>53</v>
      </c>
      <c r="K727" t="s">
        <v>1339</v>
      </c>
      <c r="L727" t="s">
        <v>1651</v>
      </c>
      <c r="M727" t="s">
        <v>1586</v>
      </c>
      <c r="N727" t="s">
        <v>784</v>
      </c>
      <c r="O727" t="s">
        <v>785</v>
      </c>
      <c r="P727" t="s">
        <v>788</v>
      </c>
      <c r="Q727" t="s">
        <v>55</v>
      </c>
      <c r="R727">
        <v>-9</v>
      </c>
      <c r="S727" s="15">
        <f>Table2[[#This Row],[movement_quantity]]/VLOOKUP(Table2[[#This Row],[product]],Ref[#All],5,FALSE)</f>
        <v>-0.45</v>
      </c>
      <c r="T727">
        <v>83521.151800000007</v>
      </c>
      <c r="U727" t="s">
        <v>17</v>
      </c>
      <c r="V727" t="s">
        <v>31</v>
      </c>
      <c r="W727" t="s">
        <v>1340</v>
      </c>
      <c r="X727" t="s">
        <v>17</v>
      </c>
      <c r="Y727" t="s">
        <v>1320</v>
      </c>
      <c r="Z727" s="2">
        <v>0</v>
      </c>
      <c r="AA727" s="2">
        <v>-751690.36620000005</v>
      </c>
      <c r="AB727" t="str">
        <f>VLOOKUP(Table2[[#This Row],[product]],Ref[#All],6,FALSE)</f>
        <v>BAG50</v>
      </c>
    </row>
    <row r="728" spans="1:28" x14ac:dyDescent="0.25">
      <c r="A728" t="str">
        <f>TEXT(Table2[[#This Row],[dated]],"mmm")</f>
        <v>Jun</v>
      </c>
      <c r="B728" t="s">
        <v>30</v>
      </c>
      <c r="C728" s="1" t="s">
        <v>536</v>
      </c>
      <c r="D728" t="str">
        <f>VLOOKUP(Table2[[#This Row],[product]],Ref[#All],7,FALSE)</f>
        <v>Sugar</v>
      </c>
      <c r="E728" s="1" t="s">
        <v>72</v>
      </c>
      <c r="F728" t="str">
        <f>VLOOKUP(Table2[[#This Row],[product]],Ref[#All],2,FALSE)</f>
        <v>White Sugar</v>
      </c>
      <c r="G728" t="str">
        <f>VLOOKUP(Table2[[#This Row],[product]],Ref[#All],3,FALSE)</f>
        <v>White Sugar</v>
      </c>
      <c r="H728" t="str">
        <f>VLOOKUP(Table2[[#This Row],[product]],Ref[#All],4,FALSE)</f>
        <v>Import</v>
      </c>
      <c r="I728" s="1">
        <v>45823</v>
      </c>
      <c r="J728" t="s">
        <v>53</v>
      </c>
      <c r="K728" t="s">
        <v>1341</v>
      </c>
      <c r="L728" t="s">
        <v>1651</v>
      </c>
      <c r="M728" t="s">
        <v>1586</v>
      </c>
      <c r="N728" t="s">
        <v>784</v>
      </c>
      <c r="O728" t="s">
        <v>785</v>
      </c>
      <c r="P728" t="s">
        <v>788</v>
      </c>
      <c r="Q728" t="s">
        <v>55</v>
      </c>
      <c r="R728">
        <v>-3</v>
      </c>
      <c r="S728" s="15">
        <f>Table2[[#This Row],[movement_quantity]]/VLOOKUP(Table2[[#This Row],[product]],Ref[#All],5,FALSE)</f>
        <v>-0.15</v>
      </c>
      <c r="T728">
        <v>83521.151800000007</v>
      </c>
      <c r="U728" t="s">
        <v>17</v>
      </c>
      <c r="V728" t="s">
        <v>32</v>
      </c>
      <c r="W728" t="s">
        <v>1342</v>
      </c>
      <c r="X728" t="s">
        <v>17</v>
      </c>
      <c r="Y728" t="s">
        <v>1320</v>
      </c>
      <c r="Z728" s="2">
        <v>0</v>
      </c>
      <c r="AA728" s="2">
        <v>-250563.45540000004</v>
      </c>
      <c r="AB728" t="str">
        <f>VLOOKUP(Table2[[#This Row],[product]],Ref[#All],6,FALSE)</f>
        <v>BAG50</v>
      </c>
    </row>
    <row r="729" spans="1:28" x14ac:dyDescent="0.25">
      <c r="A729" t="str">
        <f>TEXT(Table2[[#This Row],[dated]],"mmm")</f>
        <v>Jun</v>
      </c>
      <c r="B729" t="s">
        <v>30</v>
      </c>
      <c r="C729" s="1" t="s">
        <v>536</v>
      </c>
      <c r="D729" t="str">
        <f>VLOOKUP(Table2[[#This Row],[product]],Ref[#All],7,FALSE)</f>
        <v>Sugar</v>
      </c>
      <c r="E729" s="1" t="s">
        <v>72</v>
      </c>
      <c r="F729" t="str">
        <f>VLOOKUP(Table2[[#This Row],[product]],Ref[#All],2,FALSE)</f>
        <v>White Sugar</v>
      </c>
      <c r="G729" t="str">
        <f>VLOOKUP(Table2[[#This Row],[product]],Ref[#All],3,FALSE)</f>
        <v>White Sugar</v>
      </c>
      <c r="H729" t="str">
        <f>VLOOKUP(Table2[[#This Row],[product]],Ref[#All],4,FALSE)</f>
        <v>Import</v>
      </c>
      <c r="I729" s="1">
        <v>45823</v>
      </c>
      <c r="J729" t="s">
        <v>53</v>
      </c>
      <c r="K729" t="s">
        <v>1343</v>
      </c>
      <c r="L729" t="s">
        <v>1651</v>
      </c>
      <c r="M729" t="s">
        <v>1586</v>
      </c>
      <c r="N729" t="s">
        <v>784</v>
      </c>
      <c r="O729" t="s">
        <v>785</v>
      </c>
      <c r="P729" t="s">
        <v>788</v>
      </c>
      <c r="Q729" t="s">
        <v>55</v>
      </c>
      <c r="R729">
        <v>-10</v>
      </c>
      <c r="S729" s="15">
        <f>Table2[[#This Row],[movement_quantity]]/VLOOKUP(Table2[[#This Row],[product]],Ref[#All],5,FALSE)</f>
        <v>-0.5</v>
      </c>
      <c r="T729">
        <v>83521.151800000007</v>
      </c>
      <c r="U729" t="s">
        <v>17</v>
      </c>
      <c r="V729" t="s">
        <v>44</v>
      </c>
      <c r="W729" t="s">
        <v>1344</v>
      </c>
      <c r="X729" t="s">
        <v>17</v>
      </c>
      <c r="Y729" t="s">
        <v>1320</v>
      </c>
      <c r="Z729" s="2">
        <v>0</v>
      </c>
      <c r="AA729" s="2">
        <v>-835211.51800000004</v>
      </c>
      <c r="AB729" t="str">
        <f>VLOOKUP(Table2[[#This Row],[product]],Ref[#All],6,FALSE)</f>
        <v>BAG50</v>
      </c>
    </row>
    <row r="730" spans="1:28" x14ac:dyDescent="0.25">
      <c r="A730" t="str">
        <f>TEXT(Table2[[#This Row],[dated]],"mmm")</f>
        <v>Jun</v>
      </c>
      <c r="B730" t="s">
        <v>30</v>
      </c>
      <c r="C730" s="1" t="s">
        <v>536</v>
      </c>
      <c r="D730" t="str">
        <f>VLOOKUP(Table2[[#This Row],[product]],Ref[#All],7,FALSE)</f>
        <v>Sugar</v>
      </c>
      <c r="E730" s="1" t="s">
        <v>72</v>
      </c>
      <c r="F730" t="str">
        <f>VLOOKUP(Table2[[#This Row],[product]],Ref[#All],2,FALSE)</f>
        <v>White Sugar</v>
      </c>
      <c r="G730" t="str">
        <f>VLOOKUP(Table2[[#This Row],[product]],Ref[#All],3,FALSE)</f>
        <v>White Sugar</v>
      </c>
      <c r="H730" t="str">
        <f>VLOOKUP(Table2[[#This Row],[product]],Ref[#All],4,FALSE)</f>
        <v>Import</v>
      </c>
      <c r="I730" s="1">
        <v>45823</v>
      </c>
      <c r="J730" t="s">
        <v>53</v>
      </c>
      <c r="K730" t="s">
        <v>1345</v>
      </c>
      <c r="L730" s="21" t="s">
        <v>1651</v>
      </c>
      <c r="M730" t="s">
        <v>1586</v>
      </c>
      <c r="N730" t="s">
        <v>784</v>
      </c>
      <c r="O730" t="s">
        <v>785</v>
      </c>
      <c r="P730" t="s">
        <v>788</v>
      </c>
      <c r="Q730" t="s">
        <v>55</v>
      </c>
      <c r="R730">
        <v>-4</v>
      </c>
      <c r="S730" s="15">
        <f>Table2[[#This Row],[movement_quantity]]/VLOOKUP(Table2[[#This Row],[product]],Ref[#All],5,FALSE)</f>
        <v>-0.2</v>
      </c>
      <c r="T730">
        <v>83521.151800000007</v>
      </c>
      <c r="U730" t="s">
        <v>17</v>
      </c>
      <c r="V730" t="s">
        <v>33</v>
      </c>
      <c r="W730" t="s">
        <v>1346</v>
      </c>
      <c r="X730" t="s">
        <v>17</v>
      </c>
      <c r="Y730" t="s">
        <v>1320</v>
      </c>
      <c r="Z730" s="2">
        <v>0</v>
      </c>
      <c r="AA730" s="2">
        <v>-334084.60720000003</v>
      </c>
      <c r="AB730" t="str">
        <f>VLOOKUP(Table2[[#This Row],[product]],Ref[#All],6,FALSE)</f>
        <v>BAG50</v>
      </c>
    </row>
    <row r="731" spans="1:28" x14ac:dyDescent="0.25">
      <c r="A731" t="str">
        <f>TEXT(Table2[[#This Row],[dated]],"mmm")</f>
        <v>Jun</v>
      </c>
      <c r="B731" t="s">
        <v>30</v>
      </c>
      <c r="C731" s="1" t="s">
        <v>536</v>
      </c>
      <c r="D731" t="str">
        <f>VLOOKUP(Table2[[#This Row],[product]],Ref[#All],7,FALSE)</f>
        <v>Sugar</v>
      </c>
      <c r="E731" s="1" t="s">
        <v>72</v>
      </c>
      <c r="F731" t="str">
        <f>VLOOKUP(Table2[[#This Row],[product]],Ref[#All],2,FALSE)</f>
        <v>White Sugar</v>
      </c>
      <c r="G731" t="str">
        <f>VLOOKUP(Table2[[#This Row],[product]],Ref[#All],3,FALSE)</f>
        <v>White Sugar</v>
      </c>
      <c r="H731" t="str">
        <f>VLOOKUP(Table2[[#This Row],[product]],Ref[#All],4,FALSE)</f>
        <v>Import</v>
      </c>
      <c r="I731" s="1">
        <v>45823</v>
      </c>
      <c r="J731" t="s">
        <v>53</v>
      </c>
      <c r="K731" t="s">
        <v>1347</v>
      </c>
      <c r="L731" t="s">
        <v>1651</v>
      </c>
      <c r="M731" t="s">
        <v>1586</v>
      </c>
      <c r="N731" t="s">
        <v>784</v>
      </c>
      <c r="O731" t="s">
        <v>785</v>
      </c>
      <c r="P731" t="s">
        <v>788</v>
      </c>
      <c r="Q731" t="s">
        <v>55</v>
      </c>
      <c r="R731">
        <v>-8</v>
      </c>
      <c r="S731" s="15">
        <f>Table2[[#This Row],[movement_quantity]]/VLOOKUP(Table2[[#This Row],[product]],Ref[#All],5,FALSE)</f>
        <v>-0.4</v>
      </c>
      <c r="T731">
        <v>83521.151800000007</v>
      </c>
      <c r="U731" t="s">
        <v>17</v>
      </c>
      <c r="V731" t="s">
        <v>34</v>
      </c>
      <c r="W731" t="s">
        <v>1348</v>
      </c>
      <c r="X731" t="s">
        <v>17</v>
      </c>
      <c r="Y731" t="s">
        <v>1320</v>
      </c>
      <c r="Z731" s="2">
        <v>0</v>
      </c>
      <c r="AA731" s="2">
        <v>-668169.21440000006</v>
      </c>
      <c r="AB731" t="str">
        <f>VLOOKUP(Table2[[#This Row],[product]],Ref[#All],6,FALSE)</f>
        <v>BAG50</v>
      </c>
    </row>
    <row r="732" spans="1:28" x14ac:dyDescent="0.25">
      <c r="A732" t="str">
        <f>TEXT(Table2[[#This Row],[dated]],"mmm")</f>
        <v>Jun</v>
      </c>
      <c r="B732" t="s">
        <v>30</v>
      </c>
      <c r="C732" s="1" t="s">
        <v>536</v>
      </c>
      <c r="D732" t="str">
        <f>VLOOKUP(Table2[[#This Row],[product]],Ref[#All],7,FALSE)</f>
        <v>Sugar</v>
      </c>
      <c r="E732" s="1" t="s">
        <v>72</v>
      </c>
      <c r="F732" t="str">
        <f>VLOOKUP(Table2[[#This Row],[product]],Ref[#All],2,FALSE)</f>
        <v>White Sugar</v>
      </c>
      <c r="G732" t="str">
        <f>VLOOKUP(Table2[[#This Row],[product]],Ref[#All],3,FALSE)</f>
        <v>White Sugar</v>
      </c>
      <c r="H732" t="str">
        <f>VLOOKUP(Table2[[#This Row],[product]],Ref[#All],4,FALSE)</f>
        <v>Import</v>
      </c>
      <c r="I732" s="1">
        <v>45823</v>
      </c>
      <c r="J732" t="s">
        <v>53</v>
      </c>
      <c r="K732" t="s">
        <v>1349</v>
      </c>
      <c r="L732" t="s">
        <v>1651</v>
      </c>
      <c r="M732" t="s">
        <v>1586</v>
      </c>
      <c r="N732" t="s">
        <v>784</v>
      </c>
      <c r="O732" t="s">
        <v>785</v>
      </c>
      <c r="P732" t="s">
        <v>788</v>
      </c>
      <c r="Q732" t="s">
        <v>55</v>
      </c>
      <c r="R732">
        <v>-4</v>
      </c>
      <c r="S732" s="15">
        <f>Table2[[#This Row],[movement_quantity]]/VLOOKUP(Table2[[#This Row],[product]],Ref[#All],5,FALSE)</f>
        <v>-0.2</v>
      </c>
      <c r="T732">
        <v>83521.151800000007</v>
      </c>
      <c r="U732" t="s">
        <v>17</v>
      </c>
      <c r="V732" t="s">
        <v>1282</v>
      </c>
      <c r="W732" t="s">
        <v>1350</v>
      </c>
      <c r="X732" t="s">
        <v>17</v>
      </c>
      <c r="Y732" t="s">
        <v>1320</v>
      </c>
      <c r="Z732" s="2">
        <v>0</v>
      </c>
      <c r="AA732" s="2">
        <v>-334084.60720000003</v>
      </c>
      <c r="AB732" t="str">
        <f>VLOOKUP(Table2[[#This Row],[product]],Ref[#All],6,FALSE)</f>
        <v>BAG50</v>
      </c>
    </row>
    <row r="733" spans="1:28" x14ac:dyDescent="0.25">
      <c r="A733" t="str">
        <f>TEXT(Table2[[#This Row],[dated]],"mmm")</f>
        <v>Jun</v>
      </c>
      <c r="B733" t="s">
        <v>30</v>
      </c>
      <c r="C733" s="1" t="s">
        <v>536</v>
      </c>
      <c r="D733" t="str">
        <f>VLOOKUP(Table2[[#This Row],[product]],Ref[#All],7,FALSE)</f>
        <v>Sugar</v>
      </c>
      <c r="E733" s="1" t="s">
        <v>72</v>
      </c>
      <c r="F733" t="str">
        <f>VLOOKUP(Table2[[#This Row],[product]],Ref[#All],2,FALSE)</f>
        <v>White Sugar</v>
      </c>
      <c r="G733" t="str">
        <f>VLOOKUP(Table2[[#This Row],[product]],Ref[#All],3,FALSE)</f>
        <v>White Sugar</v>
      </c>
      <c r="H733" t="str">
        <f>VLOOKUP(Table2[[#This Row],[product]],Ref[#All],4,FALSE)</f>
        <v>Import</v>
      </c>
      <c r="I733" s="1">
        <v>45823</v>
      </c>
      <c r="J733" t="s">
        <v>53</v>
      </c>
      <c r="K733" t="s">
        <v>1351</v>
      </c>
      <c r="L733" t="s">
        <v>1651</v>
      </c>
      <c r="M733" t="s">
        <v>1586</v>
      </c>
      <c r="N733" t="s">
        <v>784</v>
      </c>
      <c r="O733" t="s">
        <v>785</v>
      </c>
      <c r="P733" t="s">
        <v>788</v>
      </c>
      <c r="Q733" t="s">
        <v>55</v>
      </c>
      <c r="R733">
        <v>-8</v>
      </c>
      <c r="S733" s="15">
        <f>Table2[[#This Row],[movement_quantity]]/VLOOKUP(Table2[[#This Row],[product]],Ref[#All],5,FALSE)</f>
        <v>-0.4</v>
      </c>
      <c r="T733">
        <v>83521.151800000007</v>
      </c>
      <c r="U733" t="s">
        <v>17</v>
      </c>
      <c r="V733" t="s">
        <v>1352</v>
      </c>
      <c r="W733" t="s">
        <v>1353</v>
      </c>
      <c r="X733" t="s">
        <v>17</v>
      </c>
      <c r="Y733" t="s">
        <v>1320</v>
      </c>
      <c r="Z733" s="2">
        <v>0</v>
      </c>
      <c r="AA733" s="2">
        <v>-668169.21440000006</v>
      </c>
      <c r="AB733" t="str">
        <f>VLOOKUP(Table2[[#This Row],[product]],Ref[#All],6,FALSE)</f>
        <v>BAG50</v>
      </c>
    </row>
    <row r="734" spans="1:28" x14ac:dyDescent="0.25">
      <c r="A734" t="str">
        <f>TEXT(Table2[[#This Row],[dated]],"mmm")</f>
        <v>Jun</v>
      </c>
      <c r="B734" t="s">
        <v>30</v>
      </c>
      <c r="C734" s="1" t="s">
        <v>536</v>
      </c>
      <c r="D734" t="str">
        <f>VLOOKUP(Table2[[#This Row],[product]],Ref[#All],7,FALSE)</f>
        <v>Sugar</v>
      </c>
      <c r="E734" s="1" t="s">
        <v>72</v>
      </c>
      <c r="F734" t="str">
        <f>VLOOKUP(Table2[[#This Row],[product]],Ref[#All],2,FALSE)</f>
        <v>White Sugar</v>
      </c>
      <c r="G734" t="str">
        <f>VLOOKUP(Table2[[#This Row],[product]],Ref[#All],3,FALSE)</f>
        <v>White Sugar</v>
      </c>
      <c r="H734" t="str">
        <f>VLOOKUP(Table2[[#This Row],[product]],Ref[#All],4,FALSE)</f>
        <v>Import</v>
      </c>
      <c r="I734" s="1">
        <v>45823</v>
      </c>
      <c r="J734" t="s">
        <v>53</v>
      </c>
      <c r="K734" t="s">
        <v>1354</v>
      </c>
      <c r="L734" t="s">
        <v>1651</v>
      </c>
      <c r="M734" t="s">
        <v>1586</v>
      </c>
      <c r="N734" t="s">
        <v>784</v>
      </c>
      <c r="O734" t="s">
        <v>785</v>
      </c>
      <c r="P734" t="s">
        <v>788</v>
      </c>
      <c r="Q734" t="s">
        <v>55</v>
      </c>
      <c r="R734">
        <v>-1</v>
      </c>
      <c r="S734" s="15">
        <f>Table2[[#This Row],[movement_quantity]]/VLOOKUP(Table2[[#This Row],[product]],Ref[#All],5,FALSE)</f>
        <v>-0.05</v>
      </c>
      <c r="T734">
        <v>83521.151800000007</v>
      </c>
      <c r="U734" t="s">
        <v>17</v>
      </c>
      <c r="V734" t="s">
        <v>1355</v>
      </c>
      <c r="W734" t="s">
        <v>1356</v>
      </c>
      <c r="X734" t="s">
        <v>17</v>
      </c>
      <c r="Y734" t="s">
        <v>1320</v>
      </c>
      <c r="Z734" s="23">
        <v>0</v>
      </c>
      <c r="AA734" s="23">
        <v>-83521.151800000007</v>
      </c>
      <c r="AB734" t="str">
        <f>VLOOKUP(Table2[[#This Row],[product]],Ref[#All],6,FALSE)</f>
        <v>BAG50</v>
      </c>
    </row>
    <row r="735" spans="1:28" x14ac:dyDescent="0.25">
      <c r="A735" t="str">
        <f>TEXT(Table2[[#This Row],[dated]],"mmm")</f>
        <v>Jun</v>
      </c>
      <c r="B735" t="s">
        <v>30</v>
      </c>
      <c r="C735" s="1" t="s">
        <v>536</v>
      </c>
      <c r="D735" t="str">
        <f>VLOOKUP(Table2[[#This Row],[product]],Ref[#All],7,FALSE)</f>
        <v>Sugar</v>
      </c>
      <c r="E735" s="1" t="s">
        <v>72</v>
      </c>
      <c r="F735" t="str">
        <f>VLOOKUP(Table2[[#This Row],[product]],Ref[#All],2,FALSE)</f>
        <v>White Sugar</v>
      </c>
      <c r="G735" t="str">
        <f>VLOOKUP(Table2[[#This Row],[product]],Ref[#All],3,FALSE)</f>
        <v>White Sugar</v>
      </c>
      <c r="H735" t="str">
        <f>VLOOKUP(Table2[[#This Row],[product]],Ref[#All],4,FALSE)</f>
        <v>Import</v>
      </c>
      <c r="I735" s="1">
        <v>45823</v>
      </c>
      <c r="J735" t="s">
        <v>53</v>
      </c>
      <c r="K735" t="s">
        <v>1357</v>
      </c>
      <c r="L735" t="s">
        <v>1651</v>
      </c>
      <c r="M735" t="s">
        <v>1586</v>
      </c>
      <c r="N735" t="s">
        <v>784</v>
      </c>
      <c r="O735" t="s">
        <v>785</v>
      </c>
      <c r="P735" t="s">
        <v>788</v>
      </c>
      <c r="Q735" t="s">
        <v>55</v>
      </c>
      <c r="R735">
        <v>-11</v>
      </c>
      <c r="S735" s="15">
        <f>Table2[[#This Row],[movement_quantity]]/VLOOKUP(Table2[[#This Row],[product]],Ref[#All],5,FALSE)</f>
        <v>-0.55000000000000004</v>
      </c>
      <c r="T735">
        <v>83521.151800000007</v>
      </c>
      <c r="U735" t="s">
        <v>17</v>
      </c>
      <c r="V735" t="s">
        <v>1358</v>
      </c>
      <c r="W735" t="s">
        <v>1359</v>
      </c>
      <c r="X735" t="s">
        <v>17</v>
      </c>
      <c r="Y735" t="s">
        <v>1320</v>
      </c>
      <c r="Z735" s="23">
        <v>0</v>
      </c>
      <c r="AA735" s="23">
        <v>-918732.66980000003</v>
      </c>
      <c r="AB735" t="str">
        <f>VLOOKUP(Table2[[#This Row],[product]],Ref[#All],6,FALSE)</f>
        <v>BAG50</v>
      </c>
    </row>
    <row r="736" spans="1:28" x14ac:dyDescent="0.25">
      <c r="A736" t="str">
        <f>TEXT(Table2[[#This Row],[dated]],"mmm")</f>
        <v>Jun</v>
      </c>
      <c r="B736" t="s">
        <v>30</v>
      </c>
      <c r="C736" s="1" t="s">
        <v>536</v>
      </c>
      <c r="D736" t="str">
        <f>VLOOKUP(Table2[[#This Row],[product]],Ref[#All],7,FALSE)</f>
        <v>Sugar</v>
      </c>
      <c r="E736" s="1" t="s">
        <v>72</v>
      </c>
      <c r="F736" t="str">
        <f>VLOOKUP(Table2[[#This Row],[product]],Ref[#All],2,FALSE)</f>
        <v>White Sugar</v>
      </c>
      <c r="G736" t="str">
        <f>VLOOKUP(Table2[[#This Row],[product]],Ref[#All],3,FALSE)</f>
        <v>White Sugar</v>
      </c>
      <c r="H736" t="str">
        <f>VLOOKUP(Table2[[#This Row],[product]],Ref[#All],4,FALSE)</f>
        <v>Import</v>
      </c>
      <c r="I736" s="1">
        <v>45823</v>
      </c>
      <c r="J736" t="s">
        <v>53</v>
      </c>
      <c r="K736" t="s">
        <v>1360</v>
      </c>
      <c r="L736" t="s">
        <v>1651</v>
      </c>
      <c r="M736" t="s">
        <v>1586</v>
      </c>
      <c r="N736" t="s">
        <v>784</v>
      </c>
      <c r="O736" t="s">
        <v>785</v>
      </c>
      <c r="P736" t="s">
        <v>788</v>
      </c>
      <c r="Q736" t="s">
        <v>55</v>
      </c>
      <c r="R736">
        <v>-3</v>
      </c>
      <c r="S736" s="15">
        <f>Table2[[#This Row],[movement_quantity]]/VLOOKUP(Table2[[#This Row],[product]],Ref[#All],5,FALSE)</f>
        <v>-0.15</v>
      </c>
      <c r="T736">
        <v>83521.151800000007</v>
      </c>
      <c r="U736" t="s">
        <v>17</v>
      </c>
      <c r="V736" t="s">
        <v>1361</v>
      </c>
      <c r="W736" t="s">
        <v>1362</v>
      </c>
      <c r="X736" t="s">
        <v>17</v>
      </c>
      <c r="Y736" t="s">
        <v>1320</v>
      </c>
      <c r="Z736" s="23">
        <v>0</v>
      </c>
      <c r="AA736" s="23">
        <v>-250563.45540000004</v>
      </c>
      <c r="AB736" t="str">
        <f>VLOOKUP(Table2[[#This Row],[product]],Ref[#All],6,FALSE)</f>
        <v>BAG50</v>
      </c>
    </row>
    <row r="737" spans="1:28" x14ac:dyDescent="0.25">
      <c r="A737" t="str">
        <f>TEXT(Table2[[#This Row],[dated]],"mmm")</f>
        <v>Jun</v>
      </c>
      <c r="B737" t="s">
        <v>30</v>
      </c>
      <c r="C737" s="1" t="s">
        <v>536</v>
      </c>
      <c r="D737" t="str">
        <f>VLOOKUP(Table2[[#This Row],[product]],Ref[#All],7,FALSE)</f>
        <v>Sugar</v>
      </c>
      <c r="E737" s="1" t="s">
        <v>72</v>
      </c>
      <c r="F737" t="str">
        <f>VLOOKUP(Table2[[#This Row],[product]],Ref[#All],2,FALSE)</f>
        <v>White Sugar</v>
      </c>
      <c r="G737" t="str">
        <f>VLOOKUP(Table2[[#This Row],[product]],Ref[#All],3,FALSE)</f>
        <v>White Sugar</v>
      </c>
      <c r="H737" t="str">
        <f>VLOOKUP(Table2[[#This Row],[product]],Ref[#All],4,FALSE)</f>
        <v>Import</v>
      </c>
      <c r="I737" s="1">
        <v>45823</v>
      </c>
      <c r="J737" t="s">
        <v>53</v>
      </c>
      <c r="K737" t="s">
        <v>1363</v>
      </c>
      <c r="L737" t="s">
        <v>1651</v>
      </c>
      <c r="M737" t="s">
        <v>1586</v>
      </c>
      <c r="N737" t="s">
        <v>784</v>
      </c>
      <c r="O737" t="s">
        <v>785</v>
      </c>
      <c r="P737" t="s">
        <v>788</v>
      </c>
      <c r="Q737" t="s">
        <v>55</v>
      </c>
      <c r="R737">
        <v>-11</v>
      </c>
      <c r="S737" s="15">
        <f>Table2[[#This Row],[movement_quantity]]/VLOOKUP(Table2[[#This Row],[product]],Ref[#All],5,FALSE)</f>
        <v>-0.55000000000000004</v>
      </c>
      <c r="T737">
        <v>83521.151800000007</v>
      </c>
      <c r="U737" t="s">
        <v>17</v>
      </c>
      <c r="V737" t="s">
        <v>1364</v>
      </c>
      <c r="W737" t="s">
        <v>1365</v>
      </c>
      <c r="X737" t="s">
        <v>17</v>
      </c>
      <c r="Y737" t="s">
        <v>1320</v>
      </c>
      <c r="Z737" s="23">
        <v>0</v>
      </c>
      <c r="AA737" s="23">
        <v>-918732.66980000003</v>
      </c>
      <c r="AB737" t="str">
        <f>VLOOKUP(Table2[[#This Row],[product]],Ref[#All],6,FALSE)</f>
        <v>BAG50</v>
      </c>
    </row>
    <row r="738" spans="1:28" x14ac:dyDescent="0.25">
      <c r="A738" t="str">
        <f>TEXT(Table2[[#This Row],[dated]],"mmm")</f>
        <v>Jun</v>
      </c>
      <c r="B738" t="s">
        <v>30</v>
      </c>
      <c r="C738" s="1" t="s">
        <v>536</v>
      </c>
      <c r="D738" t="str">
        <f>VLOOKUP(Table2[[#This Row],[product]],Ref[#All],7,FALSE)</f>
        <v>Sugar</v>
      </c>
      <c r="E738" s="1" t="s">
        <v>72</v>
      </c>
      <c r="F738" t="str">
        <f>VLOOKUP(Table2[[#This Row],[product]],Ref[#All],2,FALSE)</f>
        <v>White Sugar</v>
      </c>
      <c r="G738" t="str">
        <f>VLOOKUP(Table2[[#This Row],[product]],Ref[#All],3,FALSE)</f>
        <v>White Sugar</v>
      </c>
      <c r="H738" t="str">
        <f>VLOOKUP(Table2[[#This Row],[product]],Ref[#All],4,FALSE)</f>
        <v>Import</v>
      </c>
      <c r="I738" s="1">
        <v>45823</v>
      </c>
      <c r="J738" t="s">
        <v>53</v>
      </c>
      <c r="K738" t="s">
        <v>1366</v>
      </c>
      <c r="L738" t="s">
        <v>1651</v>
      </c>
      <c r="M738" t="s">
        <v>1586</v>
      </c>
      <c r="N738" t="s">
        <v>784</v>
      </c>
      <c r="O738" t="s">
        <v>785</v>
      </c>
      <c r="P738" t="s">
        <v>788</v>
      </c>
      <c r="Q738" t="s">
        <v>55</v>
      </c>
      <c r="R738">
        <v>-3</v>
      </c>
      <c r="S738" s="15">
        <f>Table2[[#This Row],[movement_quantity]]/VLOOKUP(Table2[[#This Row],[product]],Ref[#All],5,FALSE)</f>
        <v>-0.15</v>
      </c>
      <c r="T738">
        <v>83521.151800000007</v>
      </c>
      <c r="U738" t="s">
        <v>17</v>
      </c>
      <c r="V738" t="s">
        <v>1367</v>
      </c>
      <c r="W738" t="s">
        <v>1368</v>
      </c>
      <c r="X738" t="s">
        <v>17</v>
      </c>
      <c r="Y738" t="s">
        <v>1320</v>
      </c>
      <c r="Z738" s="23">
        <v>0</v>
      </c>
      <c r="AA738" s="23">
        <v>-250563.45540000004</v>
      </c>
      <c r="AB738" t="str">
        <f>VLOOKUP(Table2[[#This Row],[product]],Ref[#All],6,FALSE)</f>
        <v>BAG50</v>
      </c>
    </row>
    <row r="739" spans="1:28" x14ac:dyDescent="0.25">
      <c r="A739" t="str">
        <f>TEXT(Table2[[#This Row],[dated]],"mmm")</f>
        <v>Jun</v>
      </c>
      <c r="B739" t="s">
        <v>30</v>
      </c>
      <c r="C739" s="1" t="s">
        <v>536</v>
      </c>
      <c r="D739" t="str">
        <f>VLOOKUP(Table2[[#This Row],[product]],Ref[#All],7,FALSE)</f>
        <v>Sugar</v>
      </c>
      <c r="E739" s="1" t="s">
        <v>72</v>
      </c>
      <c r="F739" t="str">
        <f>VLOOKUP(Table2[[#This Row],[product]],Ref[#All],2,FALSE)</f>
        <v>White Sugar</v>
      </c>
      <c r="G739" t="str">
        <f>VLOOKUP(Table2[[#This Row],[product]],Ref[#All],3,FALSE)</f>
        <v>White Sugar</v>
      </c>
      <c r="H739" t="str">
        <f>VLOOKUP(Table2[[#This Row],[product]],Ref[#All],4,FALSE)</f>
        <v>Import</v>
      </c>
      <c r="I739" s="1">
        <v>45823</v>
      </c>
      <c r="J739" t="s">
        <v>53</v>
      </c>
      <c r="K739" t="s">
        <v>1369</v>
      </c>
      <c r="L739" t="s">
        <v>1651</v>
      </c>
      <c r="M739" t="s">
        <v>1586</v>
      </c>
      <c r="N739" t="s">
        <v>784</v>
      </c>
      <c r="O739" t="s">
        <v>785</v>
      </c>
      <c r="P739" t="s">
        <v>788</v>
      </c>
      <c r="Q739" t="s">
        <v>55</v>
      </c>
      <c r="R739">
        <v>-3</v>
      </c>
      <c r="S739" s="15">
        <f>Table2[[#This Row],[movement_quantity]]/VLOOKUP(Table2[[#This Row],[product]],Ref[#All],5,FALSE)</f>
        <v>-0.15</v>
      </c>
      <c r="T739">
        <v>83521.151800000007</v>
      </c>
      <c r="U739" t="s">
        <v>17</v>
      </c>
      <c r="V739" t="s">
        <v>35</v>
      </c>
      <c r="W739" t="s">
        <v>1370</v>
      </c>
      <c r="X739" t="s">
        <v>17</v>
      </c>
      <c r="Y739" t="s">
        <v>1320</v>
      </c>
      <c r="Z739" s="23">
        <v>0</v>
      </c>
      <c r="AA739" s="23">
        <v>-250563.45540000004</v>
      </c>
      <c r="AB739" t="str">
        <f>VLOOKUP(Table2[[#This Row],[product]],Ref[#All],6,FALSE)</f>
        <v>BAG50</v>
      </c>
    </row>
    <row r="740" spans="1:28" x14ac:dyDescent="0.25">
      <c r="A740" t="str">
        <f>TEXT(Table2[[#This Row],[dated]],"mmm")</f>
        <v>Jun</v>
      </c>
      <c r="B740" t="s">
        <v>30</v>
      </c>
      <c r="C740" s="1" t="s">
        <v>536</v>
      </c>
      <c r="D740" t="str">
        <f>VLOOKUP(Table2[[#This Row],[product]],Ref[#All],7,FALSE)</f>
        <v>Sugar</v>
      </c>
      <c r="E740" s="1" t="s">
        <v>72</v>
      </c>
      <c r="F740" t="str">
        <f>VLOOKUP(Table2[[#This Row],[product]],Ref[#All],2,FALSE)</f>
        <v>White Sugar</v>
      </c>
      <c r="G740" t="str">
        <f>VLOOKUP(Table2[[#This Row],[product]],Ref[#All],3,FALSE)</f>
        <v>White Sugar</v>
      </c>
      <c r="H740" t="str">
        <f>VLOOKUP(Table2[[#This Row],[product]],Ref[#All],4,FALSE)</f>
        <v>Import</v>
      </c>
      <c r="I740" s="1">
        <v>45823</v>
      </c>
      <c r="J740" t="s">
        <v>53</v>
      </c>
      <c r="K740" t="s">
        <v>1371</v>
      </c>
      <c r="L740" t="s">
        <v>1651</v>
      </c>
      <c r="M740" t="s">
        <v>1586</v>
      </c>
      <c r="N740" t="s">
        <v>784</v>
      </c>
      <c r="O740" t="s">
        <v>785</v>
      </c>
      <c r="P740" t="s">
        <v>788</v>
      </c>
      <c r="Q740" t="s">
        <v>55</v>
      </c>
      <c r="R740">
        <v>-5</v>
      </c>
      <c r="S740" s="15">
        <f>Table2[[#This Row],[movement_quantity]]/VLOOKUP(Table2[[#This Row],[product]],Ref[#All],5,FALSE)</f>
        <v>-0.25</v>
      </c>
      <c r="T740">
        <v>83521.151800000007</v>
      </c>
      <c r="U740" t="s">
        <v>17</v>
      </c>
      <c r="V740" t="s">
        <v>1372</v>
      </c>
      <c r="W740" t="s">
        <v>1373</v>
      </c>
      <c r="X740" t="s">
        <v>17</v>
      </c>
      <c r="Y740" t="s">
        <v>1320</v>
      </c>
      <c r="Z740" s="23">
        <v>0</v>
      </c>
      <c r="AA740" s="23">
        <v>-417605.75900000002</v>
      </c>
      <c r="AB740" t="str">
        <f>VLOOKUP(Table2[[#This Row],[product]],Ref[#All],6,FALSE)</f>
        <v>BAG50</v>
      </c>
    </row>
    <row r="741" spans="1:28" x14ac:dyDescent="0.25">
      <c r="A741" t="str">
        <f>TEXT(Table2[[#This Row],[dated]],"mmm")</f>
        <v>Jun</v>
      </c>
      <c r="B741" t="s">
        <v>30</v>
      </c>
      <c r="C741" s="1" t="s">
        <v>536</v>
      </c>
      <c r="D741" t="str">
        <f>VLOOKUP(Table2[[#This Row],[product]],Ref[#All],7,FALSE)</f>
        <v>Sugar</v>
      </c>
      <c r="E741" s="1" t="s">
        <v>72</v>
      </c>
      <c r="F741" t="str">
        <f>VLOOKUP(Table2[[#This Row],[product]],Ref[#All],2,FALSE)</f>
        <v>White Sugar</v>
      </c>
      <c r="G741" t="str">
        <f>VLOOKUP(Table2[[#This Row],[product]],Ref[#All],3,FALSE)</f>
        <v>White Sugar</v>
      </c>
      <c r="H741" t="str">
        <f>VLOOKUP(Table2[[#This Row],[product]],Ref[#All],4,FALSE)</f>
        <v>Import</v>
      </c>
      <c r="I741" s="1">
        <v>45823</v>
      </c>
      <c r="J741" t="s">
        <v>53</v>
      </c>
      <c r="K741" t="s">
        <v>1374</v>
      </c>
      <c r="L741" t="s">
        <v>1651</v>
      </c>
      <c r="M741" t="s">
        <v>1586</v>
      </c>
      <c r="N741" t="s">
        <v>784</v>
      </c>
      <c r="O741" t="s">
        <v>785</v>
      </c>
      <c r="P741" t="s">
        <v>788</v>
      </c>
      <c r="Q741" t="s">
        <v>55</v>
      </c>
      <c r="R741">
        <v>-2</v>
      </c>
      <c r="S741" s="15">
        <f>Table2[[#This Row],[movement_quantity]]/VLOOKUP(Table2[[#This Row],[product]],Ref[#All],5,FALSE)</f>
        <v>-0.1</v>
      </c>
      <c r="T741">
        <v>83521.151800000007</v>
      </c>
      <c r="U741" t="s">
        <v>17</v>
      </c>
      <c r="V741" t="s">
        <v>1375</v>
      </c>
      <c r="W741" t="s">
        <v>1376</v>
      </c>
      <c r="X741" t="s">
        <v>17</v>
      </c>
      <c r="Y741" t="s">
        <v>1320</v>
      </c>
      <c r="Z741" s="23">
        <v>0</v>
      </c>
      <c r="AA741" s="23">
        <v>-167042.30360000001</v>
      </c>
      <c r="AB741" t="str">
        <f>VLOOKUP(Table2[[#This Row],[product]],Ref[#All],6,FALSE)</f>
        <v>BAG50</v>
      </c>
    </row>
    <row r="742" spans="1:28" x14ac:dyDescent="0.25">
      <c r="A742" t="str">
        <f>TEXT(Table2[[#This Row],[dated]],"mmm")</f>
        <v>Jun</v>
      </c>
      <c r="B742" t="s">
        <v>30</v>
      </c>
      <c r="C742" s="1" t="s">
        <v>536</v>
      </c>
      <c r="D742" t="str">
        <f>VLOOKUP(Table2[[#This Row],[product]],Ref[#All],7,FALSE)</f>
        <v>Sugar</v>
      </c>
      <c r="E742" s="1" t="s">
        <v>72</v>
      </c>
      <c r="F742" t="str">
        <f>VLOOKUP(Table2[[#This Row],[product]],Ref[#All],2,FALSE)</f>
        <v>White Sugar</v>
      </c>
      <c r="G742" t="str">
        <f>VLOOKUP(Table2[[#This Row],[product]],Ref[#All],3,FALSE)</f>
        <v>White Sugar</v>
      </c>
      <c r="H742" t="str">
        <f>VLOOKUP(Table2[[#This Row],[product]],Ref[#All],4,FALSE)</f>
        <v>Import</v>
      </c>
      <c r="I742" s="1">
        <v>45823</v>
      </c>
      <c r="J742" t="s">
        <v>53</v>
      </c>
      <c r="K742" t="s">
        <v>1377</v>
      </c>
      <c r="L742" s="21" t="s">
        <v>1651</v>
      </c>
      <c r="M742" t="s">
        <v>1586</v>
      </c>
      <c r="N742" t="s">
        <v>784</v>
      </c>
      <c r="O742" t="s">
        <v>785</v>
      </c>
      <c r="P742" t="s">
        <v>788</v>
      </c>
      <c r="Q742" t="s">
        <v>55</v>
      </c>
      <c r="R742">
        <v>-9</v>
      </c>
      <c r="S742" s="15">
        <f>Table2[[#This Row],[movement_quantity]]/VLOOKUP(Table2[[#This Row],[product]],Ref[#All],5,FALSE)</f>
        <v>-0.45</v>
      </c>
      <c r="T742">
        <v>83521.151800000007</v>
      </c>
      <c r="U742" t="s">
        <v>17</v>
      </c>
      <c r="V742" t="s">
        <v>1378</v>
      </c>
      <c r="W742" t="s">
        <v>1379</v>
      </c>
      <c r="X742" t="s">
        <v>17</v>
      </c>
      <c r="Y742" t="s">
        <v>1320</v>
      </c>
      <c r="Z742" s="23">
        <v>0</v>
      </c>
      <c r="AA742" s="23">
        <v>-751690.36620000005</v>
      </c>
      <c r="AB742" t="str">
        <f>VLOOKUP(Table2[[#This Row],[product]],Ref[#All],6,FALSE)</f>
        <v>BAG50</v>
      </c>
    </row>
    <row r="743" spans="1:28" x14ac:dyDescent="0.25">
      <c r="A743" t="str">
        <f>TEXT(Table2[[#This Row],[dated]],"mmm")</f>
        <v>Jun</v>
      </c>
      <c r="B743" t="s">
        <v>30</v>
      </c>
      <c r="C743" s="1" t="s">
        <v>536</v>
      </c>
      <c r="D743" t="str">
        <f>VLOOKUP(Table2[[#This Row],[product]],Ref[#All],7,FALSE)</f>
        <v>Sugar</v>
      </c>
      <c r="E743" s="1" t="s">
        <v>72</v>
      </c>
      <c r="F743" t="str">
        <f>VLOOKUP(Table2[[#This Row],[product]],Ref[#All],2,FALSE)</f>
        <v>White Sugar</v>
      </c>
      <c r="G743" t="str">
        <f>VLOOKUP(Table2[[#This Row],[product]],Ref[#All],3,FALSE)</f>
        <v>White Sugar</v>
      </c>
      <c r="H743" t="str">
        <f>VLOOKUP(Table2[[#This Row],[product]],Ref[#All],4,FALSE)</f>
        <v>Import</v>
      </c>
      <c r="I743" s="1">
        <v>45823</v>
      </c>
      <c r="J743" t="s">
        <v>53</v>
      </c>
      <c r="K743" t="s">
        <v>1380</v>
      </c>
      <c r="L743" s="21" t="s">
        <v>1651</v>
      </c>
      <c r="M743" t="s">
        <v>1586</v>
      </c>
      <c r="N743" t="s">
        <v>784</v>
      </c>
      <c r="O743" t="s">
        <v>785</v>
      </c>
      <c r="P743" t="s">
        <v>788</v>
      </c>
      <c r="Q743" t="s">
        <v>55</v>
      </c>
      <c r="R743">
        <v>-9</v>
      </c>
      <c r="S743" s="15">
        <f>Table2[[#This Row],[movement_quantity]]/VLOOKUP(Table2[[#This Row],[product]],Ref[#All],5,FALSE)</f>
        <v>-0.45</v>
      </c>
      <c r="T743">
        <v>83521.151800000007</v>
      </c>
      <c r="U743" t="s">
        <v>17</v>
      </c>
      <c r="V743" t="s">
        <v>1381</v>
      </c>
      <c r="W743" t="s">
        <v>1382</v>
      </c>
      <c r="X743" t="s">
        <v>17</v>
      </c>
      <c r="Y743" t="s">
        <v>1320</v>
      </c>
      <c r="Z743" s="23">
        <v>0</v>
      </c>
      <c r="AA743" s="23">
        <v>-751690.36620000005</v>
      </c>
      <c r="AB743" t="str">
        <f>VLOOKUP(Table2[[#This Row],[product]],Ref[#All],6,FALSE)</f>
        <v>BAG50</v>
      </c>
    </row>
    <row r="744" spans="1:28" x14ac:dyDescent="0.25">
      <c r="A744" t="str">
        <f>TEXT(Table2[[#This Row],[dated]],"mmm")</f>
        <v>Jun</v>
      </c>
      <c r="B744" t="s">
        <v>96</v>
      </c>
      <c r="C744" s="1" t="s">
        <v>536</v>
      </c>
      <c r="D744" t="str">
        <f>VLOOKUP(Table2[[#This Row],[product]],Ref[#All],7,FALSE)</f>
        <v>Flour</v>
      </c>
      <c r="E744" s="1" t="s">
        <v>36</v>
      </c>
      <c r="F744" t="str">
        <f>VLOOKUP(Table2[[#This Row],[product]],Ref[#All],2,FALSE)</f>
        <v>Flour Import Elngm 25Kg</v>
      </c>
      <c r="G744" t="str">
        <f>VLOOKUP(Table2[[#This Row],[product]],Ref[#All],3,FALSE)</f>
        <v>Flour Al-Nagm (Imported)</v>
      </c>
      <c r="H744" t="str">
        <f>VLOOKUP(Table2[[#This Row],[product]],Ref[#All],4,FALSE)</f>
        <v>Import</v>
      </c>
      <c r="I744" s="1">
        <v>45823</v>
      </c>
      <c r="J744" t="s">
        <v>53</v>
      </c>
      <c r="K744" t="s">
        <v>1383</v>
      </c>
      <c r="L744" s="21" t="s">
        <v>1651</v>
      </c>
      <c r="M744" t="s">
        <v>1586</v>
      </c>
      <c r="N744" t="s">
        <v>784</v>
      </c>
      <c r="O744" t="s">
        <v>785</v>
      </c>
      <c r="P744" t="s">
        <v>788</v>
      </c>
      <c r="Q744" t="s">
        <v>55</v>
      </c>
      <c r="R744">
        <v>-1</v>
      </c>
      <c r="S744" s="15">
        <f>Table2[[#This Row],[movement_quantity]]/VLOOKUP(Table2[[#This Row],[product]],Ref[#All],5,FALSE)</f>
        <v>-2.5000000000000001E-2</v>
      </c>
      <c r="T744">
        <v>24758.555840000001</v>
      </c>
      <c r="U744" t="s">
        <v>17</v>
      </c>
      <c r="V744" t="s">
        <v>18</v>
      </c>
      <c r="W744" t="s">
        <v>1384</v>
      </c>
      <c r="X744" t="s">
        <v>17</v>
      </c>
      <c r="Y744" t="s">
        <v>1221</v>
      </c>
      <c r="Z744" s="2">
        <v>0</v>
      </c>
      <c r="AA744" s="2">
        <v>-24758.555840000001</v>
      </c>
      <c r="AB744" t="str">
        <f>VLOOKUP(Table2[[#This Row],[product]],Ref[#All],6,FALSE)</f>
        <v>BAG25</v>
      </c>
    </row>
    <row r="745" spans="1:28" x14ac:dyDescent="0.25">
      <c r="A745" t="str">
        <f>TEXT(Table2[[#This Row],[dated]],"mmm")</f>
        <v>Jun</v>
      </c>
      <c r="B745" t="s">
        <v>96</v>
      </c>
      <c r="C745" s="1" t="s">
        <v>536</v>
      </c>
      <c r="D745" t="str">
        <f>VLOOKUP(Table2[[#This Row],[product]],Ref[#All],7,FALSE)</f>
        <v>Flour</v>
      </c>
      <c r="E745" s="1" t="s">
        <v>36</v>
      </c>
      <c r="F745" t="str">
        <f>VLOOKUP(Table2[[#This Row],[product]],Ref[#All],2,FALSE)</f>
        <v>Flour Import Elngm 25Kg</v>
      </c>
      <c r="G745" t="str">
        <f>VLOOKUP(Table2[[#This Row],[product]],Ref[#All],3,FALSE)</f>
        <v>Flour Al-Nagm (Imported)</v>
      </c>
      <c r="H745" t="str">
        <f>VLOOKUP(Table2[[#This Row],[product]],Ref[#All],4,FALSE)</f>
        <v>Import</v>
      </c>
      <c r="I745" s="1">
        <v>45823</v>
      </c>
      <c r="J745" t="s">
        <v>53</v>
      </c>
      <c r="K745" t="s">
        <v>1385</v>
      </c>
      <c r="L745" t="s">
        <v>1651</v>
      </c>
      <c r="M745" t="s">
        <v>1586</v>
      </c>
      <c r="N745" t="s">
        <v>784</v>
      </c>
      <c r="O745" t="s">
        <v>785</v>
      </c>
      <c r="P745" t="s">
        <v>788</v>
      </c>
      <c r="Q745" t="s">
        <v>55</v>
      </c>
      <c r="R745">
        <v>-4</v>
      </c>
      <c r="S745" s="15">
        <f>Table2[[#This Row],[movement_quantity]]/VLOOKUP(Table2[[#This Row],[product]],Ref[#All],5,FALSE)</f>
        <v>-0.1</v>
      </c>
      <c r="T745">
        <v>24758.555840000001</v>
      </c>
      <c r="U745" t="s">
        <v>17</v>
      </c>
      <c r="V745" t="s">
        <v>21</v>
      </c>
      <c r="W745" t="s">
        <v>1386</v>
      </c>
      <c r="X745" t="s">
        <v>17</v>
      </c>
      <c r="Y745" t="s">
        <v>1221</v>
      </c>
      <c r="Z745" s="23">
        <v>0</v>
      </c>
      <c r="AA745" s="23">
        <v>-99034.223360000004</v>
      </c>
      <c r="AB745" t="str">
        <f>VLOOKUP(Table2[[#This Row],[product]],Ref[#All],6,FALSE)</f>
        <v>BAG25</v>
      </c>
    </row>
    <row r="746" spans="1:28" x14ac:dyDescent="0.25">
      <c r="A746" t="str">
        <f>TEXT(Table2[[#This Row],[dated]],"mmm")</f>
        <v>May</v>
      </c>
      <c r="B746" t="s">
        <v>96</v>
      </c>
      <c r="C746" s="1" t="s">
        <v>536</v>
      </c>
      <c r="D746" t="str">
        <f>VLOOKUP(Table2[[#This Row],[product]],Ref[#All],7,FALSE)</f>
        <v>Lentils</v>
      </c>
      <c r="E746" s="1" t="s">
        <v>39</v>
      </c>
      <c r="F746" t="str">
        <f>VLOOKUP(Table2[[#This Row],[product]],Ref[#All],2,FALSE)</f>
        <v>Lentil TAT 20KG</v>
      </c>
      <c r="G746" t="str">
        <f>VLOOKUP(Table2[[#This Row],[product]],Ref[#All],3,FALSE)</f>
        <v>Lentils</v>
      </c>
      <c r="H746" t="str">
        <f>VLOOKUP(Table2[[#This Row],[product]],Ref[#All],4,FALSE)</f>
        <v>Import</v>
      </c>
      <c r="I746" s="1">
        <v>45796</v>
      </c>
      <c r="J746" t="s">
        <v>53</v>
      </c>
      <c r="K746" t="s">
        <v>1393</v>
      </c>
      <c r="L746" t="s">
        <v>1651</v>
      </c>
      <c r="M746" t="s">
        <v>1586</v>
      </c>
      <c r="N746" t="s">
        <v>784</v>
      </c>
      <c r="O746" t="s">
        <v>785</v>
      </c>
      <c r="P746" t="s">
        <v>788</v>
      </c>
      <c r="Q746" t="s">
        <v>55</v>
      </c>
      <c r="R746">
        <v>-3</v>
      </c>
      <c r="S746" s="15">
        <f>Table2[[#This Row],[movement_quantity]]/VLOOKUP(Table2[[#This Row],[product]],Ref[#All],5,FALSE)</f>
        <v>-0.06</v>
      </c>
      <c r="T746">
        <v>49211.972889999997</v>
      </c>
      <c r="U746" t="s">
        <v>17</v>
      </c>
      <c r="V746" t="s">
        <v>1381</v>
      </c>
      <c r="W746" t="s">
        <v>1394</v>
      </c>
      <c r="X746" t="s">
        <v>17</v>
      </c>
      <c r="Y746" t="s">
        <v>1244</v>
      </c>
      <c r="Z746" s="2">
        <v>0</v>
      </c>
      <c r="AA746" s="2">
        <v>-147635.91866999998</v>
      </c>
      <c r="AB746" t="str">
        <f>VLOOKUP(Table2[[#This Row],[product]],Ref[#All],6,FALSE)</f>
        <v>BAG20</v>
      </c>
    </row>
    <row r="747" spans="1:28" x14ac:dyDescent="0.25">
      <c r="A747" t="str">
        <f>TEXT(Table2[[#This Row],[dated]],"mmm")</f>
        <v>Jun</v>
      </c>
      <c r="B747" t="s">
        <v>96</v>
      </c>
      <c r="C747" s="1" t="s">
        <v>536</v>
      </c>
      <c r="D747" t="str">
        <f>VLOOKUP(Table2[[#This Row],[product]],Ref[#All],7,FALSE)</f>
        <v>Flour</v>
      </c>
      <c r="E747" s="1" t="s">
        <v>42</v>
      </c>
      <c r="F747" t="str">
        <f>VLOOKUP(Table2[[#This Row],[product]],Ref[#All],2,FALSE)</f>
        <v>Alnajm Flour from Mill 25KG</v>
      </c>
      <c r="G747" t="str">
        <f>VLOOKUP(Table2[[#This Row],[product]],Ref[#All],3,FALSE)</f>
        <v>Flour Al-Nagm (Mill)</v>
      </c>
      <c r="H747" t="str">
        <f>VLOOKUP(Table2[[#This Row],[product]],Ref[#All],4,FALSE)</f>
        <v>Import</v>
      </c>
      <c r="I747" s="1">
        <v>45823</v>
      </c>
      <c r="J747" t="s">
        <v>53</v>
      </c>
      <c r="K747" t="s">
        <v>1395</v>
      </c>
      <c r="L747" t="s">
        <v>1651</v>
      </c>
      <c r="M747" t="s">
        <v>1586</v>
      </c>
      <c r="N747" t="s">
        <v>784</v>
      </c>
      <c r="O747" t="s">
        <v>785</v>
      </c>
      <c r="P747" t="s">
        <v>788</v>
      </c>
      <c r="Q747" t="s">
        <v>55</v>
      </c>
      <c r="R747">
        <v>-1</v>
      </c>
      <c r="S747" s="15">
        <f>Table2[[#This Row],[movement_quantity]]/VLOOKUP(Table2[[#This Row],[product]],Ref[#All],5,FALSE)</f>
        <v>-2.5000000000000001E-2</v>
      </c>
      <c r="T747">
        <v>24758.555840000001</v>
      </c>
      <c r="U747" t="s">
        <v>17</v>
      </c>
      <c r="V747" t="s">
        <v>18</v>
      </c>
      <c r="W747" t="s">
        <v>1396</v>
      </c>
      <c r="X747" t="s">
        <v>17</v>
      </c>
      <c r="Y747" t="s">
        <v>1397</v>
      </c>
      <c r="Z747" s="2">
        <v>0</v>
      </c>
      <c r="AA747" s="2">
        <v>-24758.555840000001</v>
      </c>
      <c r="AB747" t="str">
        <f>VLOOKUP(Table2[[#This Row],[product]],Ref[#All],6,FALSE)</f>
        <v>BAG25</v>
      </c>
    </row>
    <row r="748" spans="1:28" x14ac:dyDescent="0.25">
      <c r="A748" t="str">
        <f>TEXT(Table2[[#This Row],[dated]],"mmm")</f>
        <v>Jun</v>
      </c>
      <c r="B748" t="s">
        <v>96</v>
      </c>
      <c r="C748" s="1" t="s">
        <v>536</v>
      </c>
      <c r="D748" t="str">
        <f>VLOOKUP(Table2[[#This Row],[product]],Ref[#All],7,FALSE)</f>
        <v>Flour</v>
      </c>
      <c r="E748" s="1" t="s">
        <v>42</v>
      </c>
      <c r="F748" t="str">
        <f>VLOOKUP(Table2[[#This Row],[product]],Ref[#All],2,FALSE)</f>
        <v>Alnajm Flour from Mill 25KG</v>
      </c>
      <c r="G748" t="str">
        <f>VLOOKUP(Table2[[#This Row],[product]],Ref[#All],3,FALSE)</f>
        <v>Flour Al-Nagm (Mill)</v>
      </c>
      <c r="H748" t="str">
        <f>VLOOKUP(Table2[[#This Row],[product]],Ref[#All],4,FALSE)</f>
        <v>Import</v>
      </c>
      <c r="I748" s="1">
        <v>45823</v>
      </c>
      <c r="J748" t="s">
        <v>53</v>
      </c>
      <c r="K748" t="s">
        <v>1398</v>
      </c>
      <c r="L748" t="s">
        <v>1651</v>
      </c>
      <c r="M748" t="s">
        <v>1586</v>
      </c>
      <c r="N748" t="s">
        <v>784</v>
      </c>
      <c r="O748" t="s">
        <v>785</v>
      </c>
      <c r="P748" t="s">
        <v>788</v>
      </c>
      <c r="Q748" t="s">
        <v>55</v>
      </c>
      <c r="R748">
        <v>-1</v>
      </c>
      <c r="S748" s="15">
        <f>Table2[[#This Row],[movement_quantity]]/VLOOKUP(Table2[[#This Row],[product]],Ref[#All],5,FALSE)</f>
        <v>-2.5000000000000001E-2</v>
      </c>
      <c r="T748">
        <v>24758.555840000001</v>
      </c>
      <c r="U748" t="s">
        <v>17</v>
      </c>
      <c r="V748" t="s">
        <v>21</v>
      </c>
      <c r="W748" t="s">
        <v>1399</v>
      </c>
      <c r="X748" t="s">
        <v>17</v>
      </c>
      <c r="Y748" t="s">
        <v>1397</v>
      </c>
      <c r="Z748" s="23">
        <v>0</v>
      </c>
      <c r="AA748" s="23">
        <v>-24758.555840000001</v>
      </c>
      <c r="AB748" t="str">
        <f>VLOOKUP(Table2[[#This Row],[product]],Ref[#All],6,FALSE)</f>
        <v>BAG25</v>
      </c>
    </row>
    <row r="749" spans="1:28" x14ac:dyDescent="0.25">
      <c r="A749" t="str">
        <f>TEXT(Table2[[#This Row],[dated]],"mmm")</f>
        <v>Jun</v>
      </c>
      <c r="B749" t="s">
        <v>15</v>
      </c>
      <c r="C749" s="1" t="s">
        <v>536</v>
      </c>
      <c r="D749" t="str">
        <f>VLOOKUP(Table2[[#This Row],[product]],Ref[#All],7,FALSE)</f>
        <v>Rice</v>
      </c>
      <c r="E749" s="1" t="s">
        <v>47</v>
      </c>
      <c r="F749" t="str">
        <f>VLOOKUP(Table2[[#This Row],[product]],Ref[#All],2,FALSE)</f>
        <v>Rice Long Grade 2 Elngm 20Kg</v>
      </c>
      <c r="G749" t="str">
        <f>VLOOKUP(Table2[[#This Row],[product]],Ref[#All],3,FALSE)</f>
        <v>Rice Long Grain</v>
      </c>
      <c r="H749" t="str">
        <f>VLOOKUP(Table2[[#This Row],[product]],Ref[#All],4,FALSE)</f>
        <v>Import</v>
      </c>
      <c r="I749" s="1">
        <v>45823</v>
      </c>
      <c r="J749" t="s">
        <v>53</v>
      </c>
      <c r="K749" t="s">
        <v>1400</v>
      </c>
      <c r="L749" t="s">
        <v>1651</v>
      </c>
      <c r="M749" t="s">
        <v>1586</v>
      </c>
      <c r="N749" t="s">
        <v>784</v>
      </c>
      <c r="O749" t="s">
        <v>785</v>
      </c>
      <c r="P749" t="s">
        <v>788</v>
      </c>
      <c r="Q749" t="s">
        <v>55</v>
      </c>
      <c r="R749">
        <v>-1</v>
      </c>
      <c r="S749" s="15">
        <f>Table2[[#This Row],[movement_quantity]]/VLOOKUP(Table2[[#This Row],[product]],Ref[#All],5,FALSE)</f>
        <v>-0.02</v>
      </c>
      <c r="T749">
        <v>24317.853869999999</v>
      </c>
      <c r="U749" t="s">
        <v>17</v>
      </c>
      <c r="V749" t="s">
        <v>18</v>
      </c>
      <c r="W749" t="s">
        <v>1401</v>
      </c>
      <c r="X749" t="s">
        <v>17</v>
      </c>
      <c r="Y749" t="s">
        <v>810</v>
      </c>
      <c r="Z749" s="23">
        <v>0</v>
      </c>
      <c r="AA749" s="23">
        <v>-24317.853869999999</v>
      </c>
      <c r="AB749" t="str">
        <f>VLOOKUP(Table2[[#This Row],[product]],Ref[#All],6,FALSE)</f>
        <v>BAG20</v>
      </c>
    </row>
    <row r="750" spans="1:28" x14ac:dyDescent="0.25">
      <c r="A750" t="str">
        <f>TEXT(Table2[[#This Row],[dated]],"mmm")</f>
        <v>May</v>
      </c>
      <c r="B750" t="s">
        <v>15</v>
      </c>
      <c r="C750" s="1" t="s">
        <v>536</v>
      </c>
      <c r="D750" t="str">
        <f>VLOOKUP(Table2[[#This Row],[product]],Ref[#All],7,FALSE)</f>
        <v>Sugar</v>
      </c>
      <c r="E750" s="1" t="s">
        <v>72</v>
      </c>
      <c r="F750" t="str">
        <f>VLOOKUP(Table2[[#This Row],[product]],Ref[#All],2,FALSE)</f>
        <v>White Sugar</v>
      </c>
      <c r="G750" t="str">
        <f>VLOOKUP(Table2[[#This Row],[product]],Ref[#All],3,FALSE)</f>
        <v>White Sugar</v>
      </c>
      <c r="H750" t="str">
        <f>VLOOKUP(Table2[[#This Row],[product]],Ref[#All],4,FALSE)</f>
        <v>Import</v>
      </c>
      <c r="I750" s="1">
        <v>45796</v>
      </c>
      <c r="J750" t="s">
        <v>53</v>
      </c>
      <c r="K750" t="s">
        <v>1402</v>
      </c>
      <c r="L750" t="s">
        <v>1651</v>
      </c>
      <c r="M750" t="s">
        <v>1586</v>
      </c>
      <c r="N750" t="s">
        <v>784</v>
      </c>
      <c r="O750" t="s">
        <v>785</v>
      </c>
      <c r="P750" t="s">
        <v>788</v>
      </c>
      <c r="Q750" t="s">
        <v>55</v>
      </c>
      <c r="R750">
        <v>-2</v>
      </c>
      <c r="S750" s="15">
        <f>Table2[[#This Row],[movement_quantity]]/VLOOKUP(Table2[[#This Row],[product]],Ref[#All],5,FALSE)</f>
        <v>-0.1</v>
      </c>
      <c r="T750">
        <v>96566.186310000005</v>
      </c>
      <c r="U750" t="s">
        <v>17</v>
      </c>
      <c r="V750" t="s">
        <v>18</v>
      </c>
      <c r="W750" t="s">
        <v>1403</v>
      </c>
      <c r="X750" t="s">
        <v>17</v>
      </c>
      <c r="Y750" t="s">
        <v>1320</v>
      </c>
      <c r="Z750" s="2">
        <v>0</v>
      </c>
      <c r="AA750" s="2">
        <v>-193132.37262000001</v>
      </c>
      <c r="AB750" t="str">
        <f>VLOOKUP(Table2[[#This Row],[product]],Ref[#All],6,FALSE)</f>
        <v>BAG50</v>
      </c>
    </row>
    <row r="751" spans="1:28" x14ac:dyDescent="0.25">
      <c r="A751" t="str">
        <f>TEXT(Table2[[#This Row],[dated]],"mmm")</f>
        <v>May</v>
      </c>
      <c r="B751" t="s">
        <v>15</v>
      </c>
      <c r="C751" s="1" t="s">
        <v>536</v>
      </c>
      <c r="D751" t="str">
        <f>VLOOKUP(Table2[[#This Row],[product]],Ref[#All],7,FALSE)</f>
        <v>Sugar</v>
      </c>
      <c r="E751" s="1" t="s">
        <v>72</v>
      </c>
      <c r="F751" t="str">
        <f>VLOOKUP(Table2[[#This Row],[product]],Ref[#All],2,FALSE)</f>
        <v>White Sugar</v>
      </c>
      <c r="G751" t="str">
        <f>VLOOKUP(Table2[[#This Row],[product]],Ref[#All],3,FALSE)</f>
        <v>White Sugar</v>
      </c>
      <c r="H751" t="str">
        <f>VLOOKUP(Table2[[#This Row],[product]],Ref[#All],4,FALSE)</f>
        <v>Import</v>
      </c>
      <c r="I751" s="1">
        <v>45796</v>
      </c>
      <c r="J751" t="s">
        <v>53</v>
      </c>
      <c r="K751" t="s">
        <v>1404</v>
      </c>
      <c r="L751" t="s">
        <v>1651</v>
      </c>
      <c r="M751" t="s">
        <v>1586</v>
      </c>
      <c r="N751" t="s">
        <v>784</v>
      </c>
      <c r="O751" t="s">
        <v>785</v>
      </c>
      <c r="P751" t="s">
        <v>788</v>
      </c>
      <c r="Q751" t="s">
        <v>55</v>
      </c>
      <c r="R751">
        <v>-2</v>
      </c>
      <c r="S751" s="15">
        <f>Table2[[#This Row],[movement_quantity]]/VLOOKUP(Table2[[#This Row],[product]],Ref[#All],5,FALSE)</f>
        <v>-0.1</v>
      </c>
      <c r="T751">
        <v>96566.186310000005</v>
      </c>
      <c r="U751" t="s">
        <v>17</v>
      </c>
      <c r="V751" t="s">
        <v>21</v>
      </c>
      <c r="W751" t="s">
        <v>1405</v>
      </c>
      <c r="X751" t="s">
        <v>17</v>
      </c>
      <c r="Y751" t="s">
        <v>1320</v>
      </c>
      <c r="Z751" s="2">
        <v>0</v>
      </c>
      <c r="AA751" s="2">
        <v>-193132.37262000001</v>
      </c>
      <c r="AB751" t="str">
        <f>VLOOKUP(Table2[[#This Row],[product]],Ref[#All],6,FALSE)</f>
        <v>BAG50</v>
      </c>
    </row>
    <row r="752" spans="1:28" x14ac:dyDescent="0.25">
      <c r="A752" t="str">
        <f>TEXT(Table2[[#This Row],[dated]],"mmm")</f>
        <v>May</v>
      </c>
      <c r="B752" t="s">
        <v>15</v>
      </c>
      <c r="C752" s="1" t="s">
        <v>536</v>
      </c>
      <c r="D752" t="str">
        <f>VLOOKUP(Table2[[#This Row],[product]],Ref[#All],7,FALSE)</f>
        <v>Sugar</v>
      </c>
      <c r="E752" s="1" t="s">
        <v>72</v>
      </c>
      <c r="F752" t="str">
        <f>VLOOKUP(Table2[[#This Row],[product]],Ref[#All],2,FALSE)</f>
        <v>White Sugar</v>
      </c>
      <c r="G752" t="str">
        <f>VLOOKUP(Table2[[#This Row],[product]],Ref[#All],3,FALSE)</f>
        <v>White Sugar</v>
      </c>
      <c r="H752" t="str">
        <f>VLOOKUP(Table2[[#This Row],[product]],Ref[#All],4,FALSE)</f>
        <v>Import</v>
      </c>
      <c r="I752" s="1">
        <v>45796</v>
      </c>
      <c r="J752" t="s">
        <v>53</v>
      </c>
      <c r="K752" t="s">
        <v>1406</v>
      </c>
      <c r="L752" t="s">
        <v>1651</v>
      </c>
      <c r="M752" t="s">
        <v>1586</v>
      </c>
      <c r="N752" t="s">
        <v>784</v>
      </c>
      <c r="O752" t="s">
        <v>785</v>
      </c>
      <c r="P752" t="s">
        <v>788</v>
      </c>
      <c r="Q752" t="s">
        <v>55</v>
      </c>
      <c r="R752">
        <v>-2</v>
      </c>
      <c r="S752" s="15">
        <f>Table2[[#This Row],[movement_quantity]]/VLOOKUP(Table2[[#This Row],[product]],Ref[#All],5,FALSE)</f>
        <v>-0.1</v>
      </c>
      <c r="T752">
        <v>96566.186310000005</v>
      </c>
      <c r="U752" t="s">
        <v>17</v>
      </c>
      <c r="V752" t="s">
        <v>22</v>
      </c>
      <c r="W752" t="s">
        <v>1407</v>
      </c>
      <c r="X752" t="s">
        <v>17</v>
      </c>
      <c r="Y752" t="s">
        <v>1320</v>
      </c>
      <c r="Z752" s="2">
        <v>0</v>
      </c>
      <c r="AA752" s="2">
        <v>-193132.37262000001</v>
      </c>
      <c r="AB752" t="str">
        <f>VLOOKUP(Table2[[#This Row],[product]],Ref[#All],6,FALSE)</f>
        <v>BAG50</v>
      </c>
    </row>
    <row r="753" spans="1:28" x14ac:dyDescent="0.25">
      <c r="A753" t="str">
        <f>TEXT(Table2[[#This Row],[dated]],"mmm")</f>
        <v>May</v>
      </c>
      <c r="B753" t="s">
        <v>15</v>
      </c>
      <c r="C753" s="1" t="s">
        <v>536</v>
      </c>
      <c r="D753" t="str">
        <f>VLOOKUP(Table2[[#This Row],[product]],Ref[#All],7,FALSE)</f>
        <v>Sugar</v>
      </c>
      <c r="E753" s="1" t="s">
        <v>16</v>
      </c>
      <c r="F753" t="str">
        <f>VLOOKUP(Table2[[#This Row],[product]],Ref[#All],2,FALSE)</f>
        <v>White Sugar</v>
      </c>
      <c r="G753" t="str">
        <f>VLOOKUP(Table2[[#This Row],[product]],Ref[#All],3,FALSE)</f>
        <v>White Sugar</v>
      </c>
      <c r="H753" t="str">
        <f>VLOOKUP(Table2[[#This Row],[product]],Ref[#All],4,FALSE)</f>
        <v>Import</v>
      </c>
      <c r="I753" s="1">
        <v>45796</v>
      </c>
      <c r="J753" t="s">
        <v>53</v>
      </c>
      <c r="K753" t="s">
        <v>1417</v>
      </c>
      <c r="L753" t="s">
        <v>1651</v>
      </c>
      <c r="M753" t="s">
        <v>1586</v>
      </c>
      <c r="N753" t="s">
        <v>784</v>
      </c>
      <c r="O753" t="s">
        <v>785</v>
      </c>
      <c r="P753" t="s">
        <v>788</v>
      </c>
      <c r="Q753" t="s">
        <v>55</v>
      </c>
      <c r="R753">
        <v>-1</v>
      </c>
      <c r="S753" s="15">
        <f>Table2[[#This Row],[movement_quantity]]/VLOOKUP(Table2[[#This Row],[product]],Ref[#All],5,FALSE)</f>
        <v>-0.05</v>
      </c>
      <c r="T753">
        <v>96566.186310000005</v>
      </c>
      <c r="U753" t="s">
        <v>17</v>
      </c>
      <c r="V753" t="s">
        <v>21</v>
      </c>
      <c r="W753" t="s">
        <v>1418</v>
      </c>
      <c r="X753" t="s">
        <v>17</v>
      </c>
      <c r="Y753" t="s">
        <v>1415</v>
      </c>
      <c r="Z753" s="2">
        <v>0</v>
      </c>
      <c r="AA753" s="2">
        <v>-96566.186310000005</v>
      </c>
      <c r="AB753" t="str">
        <f>VLOOKUP(Table2[[#This Row],[product]],Ref[#All],6,FALSE)</f>
        <v>BAG50</v>
      </c>
    </row>
    <row r="754" spans="1:28" x14ac:dyDescent="0.25">
      <c r="A754" t="str">
        <f>TEXT(Table2[[#This Row],[dated]],"mmm")</f>
        <v>May</v>
      </c>
      <c r="B754" t="s">
        <v>596</v>
      </c>
      <c r="C754" s="1" t="s">
        <v>536</v>
      </c>
      <c r="D754" t="str">
        <f>VLOOKUP(Table2[[#This Row],[product]],Ref[#All],7,FALSE)</f>
        <v>Flour</v>
      </c>
      <c r="E754" s="1" t="s">
        <v>36</v>
      </c>
      <c r="F754" t="str">
        <f>VLOOKUP(Table2[[#This Row],[product]],Ref[#All],2,FALSE)</f>
        <v>Flour Import Elngm 25Kg</v>
      </c>
      <c r="G754" t="str">
        <f>VLOOKUP(Table2[[#This Row],[product]],Ref[#All],3,FALSE)</f>
        <v>Flour Al-Nagm (Imported)</v>
      </c>
      <c r="H754" t="str">
        <f>VLOOKUP(Table2[[#This Row],[product]],Ref[#All],4,FALSE)</f>
        <v>Import</v>
      </c>
      <c r="I754" s="1">
        <v>45796</v>
      </c>
      <c r="J754" t="s">
        <v>53</v>
      </c>
      <c r="K754" t="s">
        <v>827</v>
      </c>
      <c r="L754" t="s">
        <v>1651</v>
      </c>
      <c r="M754" t="s">
        <v>1586</v>
      </c>
      <c r="N754" t="s">
        <v>784</v>
      </c>
      <c r="O754" t="s">
        <v>785</v>
      </c>
      <c r="P754" t="s">
        <v>788</v>
      </c>
      <c r="Q754" t="s">
        <v>55</v>
      </c>
      <c r="R754">
        <v>-11</v>
      </c>
      <c r="S754" s="15">
        <f>Table2[[#This Row],[movement_quantity]]/VLOOKUP(Table2[[#This Row],[product]],Ref[#All],5,FALSE)</f>
        <v>-0.27500000000000002</v>
      </c>
      <c r="T754">
        <v>31301.811430000002</v>
      </c>
      <c r="U754" t="s">
        <v>17</v>
      </c>
      <c r="V754" t="s">
        <v>26</v>
      </c>
      <c r="W754" t="s">
        <v>1423</v>
      </c>
      <c r="X754" t="s">
        <v>17</v>
      </c>
      <c r="Y754" t="s">
        <v>1424</v>
      </c>
      <c r="Z754" s="2">
        <v>0</v>
      </c>
      <c r="AA754" s="2">
        <v>-344319.92573000002</v>
      </c>
      <c r="AB754" t="str">
        <f>VLOOKUP(Table2[[#This Row],[product]],Ref[#All],6,FALSE)</f>
        <v>BAG25</v>
      </c>
    </row>
    <row r="755" spans="1:28" x14ac:dyDescent="0.25">
      <c r="A755" t="str">
        <f>TEXT(Table2[[#This Row],[dated]],"mmm")</f>
        <v>May</v>
      </c>
      <c r="B755" t="s">
        <v>46</v>
      </c>
      <c r="C755" s="1" t="s">
        <v>536</v>
      </c>
      <c r="D755" t="str">
        <f>VLOOKUP(Table2[[#This Row],[product]],Ref[#All],7,FALSE)</f>
        <v>Flour</v>
      </c>
      <c r="E755" s="1" t="s">
        <v>36</v>
      </c>
      <c r="F755" t="str">
        <f>VLOOKUP(Table2[[#This Row],[product]],Ref[#All],2,FALSE)</f>
        <v>Flour Import Elngm 25Kg</v>
      </c>
      <c r="G755" t="str">
        <f>VLOOKUP(Table2[[#This Row],[product]],Ref[#All],3,FALSE)</f>
        <v>Flour Al-Nagm (Imported)</v>
      </c>
      <c r="H755" t="str">
        <f>VLOOKUP(Table2[[#This Row],[product]],Ref[#All],4,FALSE)</f>
        <v>Import</v>
      </c>
      <c r="I755" s="1">
        <v>45792</v>
      </c>
      <c r="J755" t="s">
        <v>53</v>
      </c>
      <c r="K755" t="s">
        <v>1425</v>
      </c>
      <c r="L755" t="s">
        <v>1651</v>
      </c>
      <c r="M755" t="s">
        <v>1586</v>
      </c>
      <c r="N755" t="s">
        <v>784</v>
      </c>
      <c r="O755" t="s">
        <v>785</v>
      </c>
      <c r="P755" t="s">
        <v>788</v>
      </c>
      <c r="Q755" t="s">
        <v>55</v>
      </c>
      <c r="R755">
        <v>-2</v>
      </c>
      <c r="S755" s="15">
        <f>Table2[[#This Row],[movement_quantity]]/VLOOKUP(Table2[[#This Row],[product]],Ref[#All],5,FALSE)</f>
        <v>-0.05</v>
      </c>
      <c r="T755">
        <v>31301.811430000002</v>
      </c>
      <c r="U755" t="s">
        <v>17</v>
      </c>
      <c r="V755" t="s">
        <v>18</v>
      </c>
      <c r="W755" t="s">
        <v>1426</v>
      </c>
      <c r="X755" t="s">
        <v>17</v>
      </c>
      <c r="Y755" t="s">
        <v>1424</v>
      </c>
      <c r="Z755" s="2">
        <v>0</v>
      </c>
      <c r="AA755" s="2">
        <v>-62603.622860000003</v>
      </c>
      <c r="AB755" t="str">
        <f>VLOOKUP(Table2[[#This Row],[product]],Ref[#All],6,FALSE)</f>
        <v>BAG25</v>
      </c>
    </row>
    <row r="756" spans="1:28" x14ac:dyDescent="0.25">
      <c r="A756" t="str">
        <f>TEXT(Table2[[#This Row],[dated]],"mmm")</f>
        <v>Jun</v>
      </c>
      <c r="B756" t="s">
        <v>52</v>
      </c>
      <c r="C756" s="1" t="s">
        <v>536</v>
      </c>
      <c r="D756" t="str">
        <f>VLOOKUP(Table2[[#This Row],[product]],Ref[#All],7,FALSE)</f>
        <v>Flour</v>
      </c>
      <c r="E756" s="1" t="s">
        <v>36</v>
      </c>
      <c r="F756" t="str">
        <f>VLOOKUP(Table2[[#This Row],[product]],Ref[#All],2,FALSE)</f>
        <v>Flour Import Elngm 25Kg</v>
      </c>
      <c r="G756" t="str">
        <f>VLOOKUP(Table2[[#This Row],[product]],Ref[#All],3,FALSE)</f>
        <v>Flour Al-Nagm (Imported)</v>
      </c>
      <c r="H756" t="str">
        <f>VLOOKUP(Table2[[#This Row],[product]],Ref[#All],4,FALSE)</f>
        <v>Import</v>
      </c>
      <c r="I756" s="1">
        <v>45827</v>
      </c>
      <c r="J756" t="s">
        <v>53</v>
      </c>
      <c r="K756" t="s">
        <v>1694</v>
      </c>
      <c r="L756" t="s">
        <v>1651</v>
      </c>
      <c r="M756" t="s">
        <v>1586</v>
      </c>
      <c r="N756" t="s">
        <v>784</v>
      </c>
      <c r="O756" t="s">
        <v>785</v>
      </c>
      <c r="P756" t="s">
        <v>788</v>
      </c>
      <c r="Q756" t="s">
        <v>55</v>
      </c>
      <c r="R756">
        <v>-19</v>
      </c>
      <c r="S756" s="15">
        <f>Table2[[#This Row],[movement_quantity]]/VLOOKUP(Table2[[#This Row],[product]],Ref[#All],5,FALSE)</f>
        <v>-0.47499999999999998</v>
      </c>
      <c r="T756">
        <v>24758.555840000001</v>
      </c>
      <c r="U756" t="s">
        <v>17</v>
      </c>
      <c r="V756" t="s">
        <v>18</v>
      </c>
      <c r="W756" t="s">
        <v>1695</v>
      </c>
      <c r="X756" t="s">
        <v>17</v>
      </c>
      <c r="Y756" s="2" t="s">
        <v>1424</v>
      </c>
      <c r="Z756">
        <v>0</v>
      </c>
      <c r="AA756" s="2">
        <v>-470412.56096000003</v>
      </c>
      <c r="AB756" t="str">
        <f>VLOOKUP(Table2[[#This Row],[product]],Ref[#All],6,FALSE)</f>
        <v>BAG25</v>
      </c>
    </row>
    <row r="757" spans="1:28" x14ac:dyDescent="0.25">
      <c r="A757" t="str">
        <f>TEXT(Table2[[#This Row],[dated]],"mmm")</f>
        <v>Jun</v>
      </c>
      <c r="B757" t="s">
        <v>52</v>
      </c>
      <c r="C757" s="1" t="s">
        <v>536</v>
      </c>
      <c r="D757" t="str">
        <f>VLOOKUP(Table2[[#This Row],[product]],Ref[#All],7,FALSE)</f>
        <v>Flour</v>
      </c>
      <c r="E757" s="1" t="s">
        <v>36</v>
      </c>
      <c r="F757" t="str">
        <f>VLOOKUP(Table2[[#This Row],[product]],Ref[#All],2,FALSE)</f>
        <v>Flour Import Elngm 25Kg</v>
      </c>
      <c r="G757" t="str">
        <f>VLOOKUP(Table2[[#This Row],[product]],Ref[#All],3,FALSE)</f>
        <v>Flour Al-Nagm (Imported)</v>
      </c>
      <c r="H757" t="str">
        <f>VLOOKUP(Table2[[#This Row],[product]],Ref[#All],4,FALSE)</f>
        <v>Import</v>
      </c>
      <c r="I757" s="1">
        <v>45827</v>
      </c>
      <c r="J757" t="s">
        <v>53</v>
      </c>
      <c r="K757" s="2" t="s">
        <v>1696</v>
      </c>
      <c r="L757" t="s">
        <v>1651</v>
      </c>
      <c r="M757" t="s">
        <v>1586</v>
      </c>
      <c r="N757" t="s">
        <v>784</v>
      </c>
      <c r="O757" t="s">
        <v>785</v>
      </c>
      <c r="P757" t="s">
        <v>788</v>
      </c>
      <c r="Q757" t="s">
        <v>55</v>
      </c>
      <c r="R757">
        <v>-9</v>
      </c>
      <c r="S757" s="15">
        <f>Table2[[#This Row],[movement_quantity]]/VLOOKUP(Table2[[#This Row],[product]],Ref[#All],5,FALSE)</f>
        <v>-0.22500000000000001</v>
      </c>
      <c r="T757">
        <v>24758.555840000001</v>
      </c>
      <c r="U757" t="s">
        <v>17</v>
      </c>
      <c r="V757" t="s">
        <v>21</v>
      </c>
      <c r="W757" t="s">
        <v>1697</v>
      </c>
      <c r="X757" t="s">
        <v>17</v>
      </c>
      <c r="Y757" s="2" t="s">
        <v>1424</v>
      </c>
      <c r="Z757">
        <v>0</v>
      </c>
      <c r="AA757" s="2">
        <v>-222827.00255999999</v>
      </c>
      <c r="AB757" t="str">
        <f>VLOOKUP(Table2[[#This Row],[product]],Ref[#All],6,FALSE)</f>
        <v>BAG25</v>
      </c>
    </row>
    <row r="758" spans="1:28" x14ac:dyDescent="0.25">
      <c r="A758" t="str">
        <f>TEXT(Table2[[#This Row],[dated]],"mmm")</f>
        <v>Jun</v>
      </c>
      <c r="B758" t="s">
        <v>52</v>
      </c>
      <c r="C758" s="1" t="s">
        <v>536</v>
      </c>
      <c r="D758" t="str">
        <f>VLOOKUP(Table2[[#This Row],[product]],Ref[#All],7,FALSE)</f>
        <v>Flour</v>
      </c>
      <c r="E758" s="1" t="s">
        <v>36</v>
      </c>
      <c r="F758" t="str">
        <f>VLOOKUP(Table2[[#This Row],[product]],Ref[#All],2,FALSE)</f>
        <v>Flour Import Elngm 25Kg</v>
      </c>
      <c r="G758" t="str">
        <f>VLOOKUP(Table2[[#This Row],[product]],Ref[#All],3,FALSE)</f>
        <v>Flour Al-Nagm (Imported)</v>
      </c>
      <c r="H758" t="str">
        <f>VLOOKUP(Table2[[#This Row],[product]],Ref[#All],4,FALSE)</f>
        <v>Import</v>
      </c>
      <c r="I758" s="1">
        <v>45827</v>
      </c>
      <c r="J758" t="s">
        <v>53</v>
      </c>
      <c r="K758" t="s">
        <v>1698</v>
      </c>
      <c r="L758" t="s">
        <v>1651</v>
      </c>
      <c r="M758" t="s">
        <v>1586</v>
      </c>
      <c r="N758" t="s">
        <v>784</v>
      </c>
      <c r="O758" t="s">
        <v>785</v>
      </c>
      <c r="P758" t="s">
        <v>788</v>
      </c>
      <c r="Q758" t="s">
        <v>55</v>
      </c>
      <c r="R758">
        <v>-27</v>
      </c>
      <c r="S758" s="15">
        <f>Table2[[#This Row],[movement_quantity]]/VLOOKUP(Table2[[#This Row],[product]],Ref[#All],5,FALSE)</f>
        <v>-0.67500000000000004</v>
      </c>
      <c r="T758">
        <v>24758.555840000001</v>
      </c>
      <c r="U758" t="s">
        <v>17</v>
      </c>
      <c r="V758" t="s">
        <v>22</v>
      </c>
      <c r="W758" t="s">
        <v>1699</v>
      </c>
      <c r="X758" t="s">
        <v>17</v>
      </c>
      <c r="Y758" s="2" t="s">
        <v>1424</v>
      </c>
      <c r="Z758">
        <v>0</v>
      </c>
      <c r="AA758" s="2">
        <v>-668481.00768000004</v>
      </c>
      <c r="AB758" t="str">
        <f>VLOOKUP(Table2[[#This Row],[product]],Ref[#All],6,FALSE)</f>
        <v>BAG25</v>
      </c>
    </row>
    <row r="759" spans="1:28" x14ac:dyDescent="0.25">
      <c r="A759" t="str">
        <f>TEXT(Table2[[#This Row],[dated]],"mmm")</f>
        <v>Jun</v>
      </c>
      <c r="B759" t="s">
        <v>52</v>
      </c>
      <c r="C759" s="1" t="s">
        <v>536</v>
      </c>
      <c r="D759" t="str">
        <f>VLOOKUP(Table2[[#This Row],[product]],Ref[#All],7,FALSE)</f>
        <v>Flour</v>
      </c>
      <c r="E759" s="1" t="s">
        <v>36</v>
      </c>
      <c r="F759" t="str">
        <f>VLOOKUP(Table2[[#This Row],[product]],Ref[#All],2,FALSE)</f>
        <v>Flour Import Elngm 25Kg</v>
      </c>
      <c r="G759" t="str">
        <f>VLOOKUP(Table2[[#This Row],[product]],Ref[#All],3,FALSE)</f>
        <v>Flour Al-Nagm (Imported)</v>
      </c>
      <c r="H759" t="str">
        <f>VLOOKUP(Table2[[#This Row],[product]],Ref[#All],4,FALSE)</f>
        <v>Import</v>
      </c>
      <c r="I759" s="1">
        <v>45827</v>
      </c>
      <c r="J759" t="s">
        <v>53</v>
      </c>
      <c r="K759" t="s">
        <v>1700</v>
      </c>
      <c r="L759" t="s">
        <v>1651</v>
      </c>
      <c r="M759" t="s">
        <v>1586</v>
      </c>
      <c r="N759" t="s">
        <v>784</v>
      </c>
      <c r="O759" t="s">
        <v>785</v>
      </c>
      <c r="P759" t="s">
        <v>788</v>
      </c>
      <c r="Q759" t="s">
        <v>55</v>
      </c>
      <c r="R759">
        <v>-2</v>
      </c>
      <c r="S759" s="15">
        <f>Table2[[#This Row],[movement_quantity]]/VLOOKUP(Table2[[#This Row],[product]],Ref[#All],5,FALSE)</f>
        <v>-0.05</v>
      </c>
      <c r="T759">
        <v>24758.555840000001</v>
      </c>
      <c r="U759" t="s">
        <v>17</v>
      </c>
      <c r="V759" t="s">
        <v>23</v>
      </c>
      <c r="W759" t="s">
        <v>1701</v>
      </c>
      <c r="X759" t="s">
        <v>17</v>
      </c>
      <c r="Y759" s="2" t="s">
        <v>1424</v>
      </c>
      <c r="Z759">
        <v>0</v>
      </c>
      <c r="AA759" s="2">
        <v>-49517.111680000002</v>
      </c>
      <c r="AB759" t="str">
        <f>VLOOKUP(Table2[[#This Row],[product]],Ref[#All],6,FALSE)</f>
        <v>BAG25</v>
      </c>
    </row>
    <row r="760" spans="1:28" x14ac:dyDescent="0.25">
      <c r="A760" t="str">
        <f>TEXT(Table2[[#This Row],[dated]],"mmm")</f>
        <v>Jun</v>
      </c>
      <c r="B760" t="s">
        <v>52</v>
      </c>
      <c r="C760" s="1" t="s">
        <v>536</v>
      </c>
      <c r="D760" t="str">
        <f>VLOOKUP(Table2[[#This Row],[product]],Ref[#All],7,FALSE)</f>
        <v>Flour</v>
      </c>
      <c r="E760" s="1" t="s">
        <v>36</v>
      </c>
      <c r="F760" t="str">
        <f>VLOOKUP(Table2[[#This Row],[product]],Ref[#All],2,FALSE)</f>
        <v>Flour Import Elngm 25Kg</v>
      </c>
      <c r="G760" t="str">
        <f>VLOOKUP(Table2[[#This Row],[product]],Ref[#All],3,FALSE)</f>
        <v>Flour Al-Nagm (Imported)</v>
      </c>
      <c r="H760" t="str">
        <f>VLOOKUP(Table2[[#This Row],[product]],Ref[#All],4,FALSE)</f>
        <v>Import</v>
      </c>
      <c r="I760" s="1">
        <v>45827</v>
      </c>
      <c r="J760" t="s">
        <v>53</v>
      </c>
      <c r="K760" t="s">
        <v>1702</v>
      </c>
      <c r="L760" t="s">
        <v>1651</v>
      </c>
      <c r="M760" t="s">
        <v>1586</v>
      </c>
      <c r="N760" t="s">
        <v>784</v>
      </c>
      <c r="O760" t="s">
        <v>785</v>
      </c>
      <c r="P760" t="s">
        <v>788</v>
      </c>
      <c r="Q760" t="s">
        <v>55</v>
      </c>
      <c r="R760">
        <v>-1</v>
      </c>
      <c r="S760" s="15">
        <f>Table2[[#This Row],[movement_quantity]]/VLOOKUP(Table2[[#This Row],[product]],Ref[#All],5,FALSE)</f>
        <v>-2.5000000000000001E-2</v>
      </c>
      <c r="T760">
        <v>24758.555840000001</v>
      </c>
      <c r="U760" t="s">
        <v>17</v>
      </c>
      <c r="V760" t="s">
        <v>24</v>
      </c>
      <c r="W760" t="s">
        <v>1703</v>
      </c>
      <c r="X760" t="s">
        <v>17</v>
      </c>
      <c r="Y760" s="2" t="s">
        <v>1424</v>
      </c>
      <c r="Z760">
        <v>0</v>
      </c>
      <c r="AA760" s="2">
        <v>-24758.555840000001</v>
      </c>
      <c r="AB760" t="str">
        <f>VLOOKUP(Table2[[#This Row],[product]],Ref[#All],6,FALSE)</f>
        <v>BAG25</v>
      </c>
    </row>
    <row r="761" spans="1:28" x14ac:dyDescent="0.25">
      <c r="A761" t="str">
        <f>TEXT(Table2[[#This Row],[dated]],"mmm")</f>
        <v>Jun</v>
      </c>
      <c r="B761" t="s">
        <v>52</v>
      </c>
      <c r="C761" s="1" t="s">
        <v>536</v>
      </c>
      <c r="D761" t="str">
        <f>VLOOKUP(Table2[[#This Row],[product]],Ref[#All],7,FALSE)</f>
        <v>Flour</v>
      </c>
      <c r="E761" t="s">
        <v>36</v>
      </c>
      <c r="F761" t="str">
        <f>VLOOKUP(Table2[[#This Row],[product]],Ref[#All],2,FALSE)</f>
        <v>Flour Import Elngm 25Kg</v>
      </c>
      <c r="G761" t="str">
        <f>VLOOKUP(Table2[[#This Row],[product]],Ref[#All],3,FALSE)</f>
        <v>Flour Al-Nagm (Imported)</v>
      </c>
      <c r="H761" t="str">
        <f>VLOOKUP(Table2[[#This Row],[product]],Ref[#All],4,FALSE)</f>
        <v>Import</v>
      </c>
      <c r="I761" s="1">
        <v>45827</v>
      </c>
      <c r="J761" t="s">
        <v>53</v>
      </c>
      <c r="K761" t="s">
        <v>1704</v>
      </c>
      <c r="L761" t="s">
        <v>1651</v>
      </c>
      <c r="M761" t="s">
        <v>1586</v>
      </c>
      <c r="N761" t="s">
        <v>784</v>
      </c>
      <c r="O761" t="s">
        <v>785</v>
      </c>
      <c r="P761" t="s">
        <v>788</v>
      </c>
      <c r="Q761" t="s">
        <v>55</v>
      </c>
      <c r="R761">
        <v>-1</v>
      </c>
      <c r="S761" s="15">
        <f>Table2[[#This Row],[movement_quantity]]/VLOOKUP(Table2[[#This Row],[product]],Ref[#All],5,FALSE)</f>
        <v>-2.5000000000000001E-2</v>
      </c>
      <c r="T761">
        <v>24758.555840000001</v>
      </c>
      <c r="U761" t="s">
        <v>17</v>
      </c>
      <c r="V761" t="s">
        <v>25</v>
      </c>
      <c r="W761" t="s">
        <v>1705</v>
      </c>
      <c r="X761" t="s">
        <v>17</v>
      </c>
      <c r="Y761" s="2" t="s">
        <v>1424</v>
      </c>
      <c r="Z761">
        <v>0</v>
      </c>
      <c r="AA761" s="2">
        <v>-24758.555840000001</v>
      </c>
      <c r="AB761" t="str">
        <f>VLOOKUP(Table2[[#This Row],[product]],Ref[#All],6,FALSE)</f>
        <v>BAG25</v>
      </c>
    </row>
    <row r="762" spans="1:28" x14ac:dyDescent="0.25">
      <c r="A762" t="str">
        <f>TEXT(Table2[[#This Row],[dated]],"mmm")</f>
        <v>Jun</v>
      </c>
      <c r="B762" t="s">
        <v>52</v>
      </c>
      <c r="C762" s="1" t="s">
        <v>536</v>
      </c>
      <c r="D762" t="str">
        <f>VLOOKUP(Table2[[#This Row],[product]],Ref[#All],7,FALSE)</f>
        <v>Flour</v>
      </c>
      <c r="E762" s="1" t="s">
        <v>36</v>
      </c>
      <c r="F762" t="str">
        <f>VLOOKUP(Table2[[#This Row],[product]],Ref[#All],2,FALSE)</f>
        <v>Flour Import Elngm 25Kg</v>
      </c>
      <c r="G762" t="str">
        <f>VLOOKUP(Table2[[#This Row],[product]],Ref[#All],3,FALSE)</f>
        <v>Flour Al-Nagm (Imported)</v>
      </c>
      <c r="H762" t="str">
        <f>VLOOKUP(Table2[[#This Row],[product]],Ref[#All],4,FALSE)</f>
        <v>Import</v>
      </c>
      <c r="I762" s="1">
        <v>45827</v>
      </c>
      <c r="J762" t="s">
        <v>53</v>
      </c>
      <c r="K762" t="s">
        <v>1706</v>
      </c>
      <c r="L762" t="s">
        <v>1651</v>
      </c>
      <c r="M762" t="s">
        <v>1586</v>
      </c>
      <c r="N762" t="s">
        <v>784</v>
      </c>
      <c r="O762" t="s">
        <v>785</v>
      </c>
      <c r="P762" t="s">
        <v>788</v>
      </c>
      <c r="Q762" t="s">
        <v>55</v>
      </c>
      <c r="R762">
        <v>-24</v>
      </c>
      <c r="S762" s="15">
        <f>Table2[[#This Row],[movement_quantity]]/VLOOKUP(Table2[[#This Row],[product]],Ref[#All],5,FALSE)</f>
        <v>-0.6</v>
      </c>
      <c r="T762">
        <v>24758.555840000001</v>
      </c>
      <c r="U762" t="s">
        <v>17</v>
      </c>
      <c r="V762" t="s">
        <v>26</v>
      </c>
      <c r="W762" t="s">
        <v>1707</v>
      </c>
      <c r="X762" t="s">
        <v>17</v>
      </c>
      <c r="Y762" s="2" t="s">
        <v>1424</v>
      </c>
      <c r="Z762">
        <v>0</v>
      </c>
      <c r="AA762" s="2">
        <v>-594205.34016000002</v>
      </c>
      <c r="AB762" t="str">
        <f>VLOOKUP(Table2[[#This Row],[product]],Ref[#All],6,FALSE)</f>
        <v>BAG25</v>
      </c>
    </row>
    <row r="763" spans="1:28" x14ac:dyDescent="0.25">
      <c r="A763" t="str">
        <f>TEXT(Table2[[#This Row],[dated]],"mmm")</f>
        <v>Jun</v>
      </c>
      <c r="B763" t="s">
        <v>52</v>
      </c>
      <c r="C763" s="1" t="s">
        <v>536</v>
      </c>
      <c r="D763" t="str">
        <f>VLOOKUP(Table2[[#This Row],[product]],Ref[#All],7,FALSE)</f>
        <v>Flour</v>
      </c>
      <c r="E763" s="1" t="s">
        <v>36</v>
      </c>
      <c r="F763" t="str">
        <f>VLOOKUP(Table2[[#This Row],[product]],Ref[#All],2,FALSE)</f>
        <v>Flour Import Elngm 25Kg</v>
      </c>
      <c r="G763" t="str">
        <f>VLOOKUP(Table2[[#This Row],[product]],Ref[#All],3,FALSE)</f>
        <v>Flour Al-Nagm (Imported)</v>
      </c>
      <c r="H763" t="str">
        <f>VLOOKUP(Table2[[#This Row],[product]],Ref[#All],4,FALSE)</f>
        <v>Import</v>
      </c>
      <c r="I763" s="1">
        <v>45827</v>
      </c>
      <c r="J763" t="s">
        <v>53</v>
      </c>
      <c r="K763" t="s">
        <v>1708</v>
      </c>
      <c r="L763" t="s">
        <v>1651</v>
      </c>
      <c r="M763" t="s">
        <v>1586</v>
      </c>
      <c r="N763" t="s">
        <v>784</v>
      </c>
      <c r="O763" t="s">
        <v>785</v>
      </c>
      <c r="P763" t="s">
        <v>788</v>
      </c>
      <c r="Q763" t="s">
        <v>55</v>
      </c>
      <c r="R763">
        <v>-2</v>
      </c>
      <c r="S763" s="15">
        <f>Table2[[#This Row],[movement_quantity]]/VLOOKUP(Table2[[#This Row],[product]],Ref[#All],5,FALSE)</f>
        <v>-0.05</v>
      </c>
      <c r="T763">
        <v>24758.555840000001</v>
      </c>
      <c r="U763" t="s">
        <v>17</v>
      </c>
      <c r="V763" t="s">
        <v>27</v>
      </c>
      <c r="W763" t="s">
        <v>1709</v>
      </c>
      <c r="X763" t="s">
        <v>17</v>
      </c>
      <c r="Y763" s="2" t="s">
        <v>1424</v>
      </c>
      <c r="Z763">
        <v>0</v>
      </c>
      <c r="AA763" s="2">
        <v>-49517.111680000002</v>
      </c>
      <c r="AB763" t="str">
        <f>VLOOKUP(Table2[[#This Row],[product]],Ref[#All],6,FALSE)</f>
        <v>BAG25</v>
      </c>
    </row>
    <row r="764" spans="1:28" x14ac:dyDescent="0.25">
      <c r="A764" t="str">
        <f>TEXT(Table2[[#This Row],[dated]],"mmm")</f>
        <v>Jun</v>
      </c>
      <c r="B764" t="s">
        <v>52</v>
      </c>
      <c r="C764" s="1" t="s">
        <v>536</v>
      </c>
      <c r="D764" t="str">
        <f>VLOOKUP(Table2[[#This Row],[product]],Ref[#All],7,FALSE)</f>
        <v>Flour</v>
      </c>
      <c r="E764" s="1" t="s">
        <v>36</v>
      </c>
      <c r="F764" t="str">
        <f>VLOOKUP(Table2[[#This Row],[product]],Ref[#All],2,FALSE)</f>
        <v>Flour Import Elngm 25Kg</v>
      </c>
      <c r="G764" t="str">
        <f>VLOOKUP(Table2[[#This Row],[product]],Ref[#All],3,FALSE)</f>
        <v>Flour Al-Nagm (Imported)</v>
      </c>
      <c r="H764" t="str">
        <f>VLOOKUP(Table2[[#This Row],[product]],Ref[#All],4,FALSE)</f>
        <v>Import</v>
      </c>
      <c r="I764" s="1">
        <v>45827</v>
      </c>
      <c r="J764" t="s">
        <v>53</v>
      </c>
      <c r="K764" t="s">
        <v>1710</v>
      </c>
      <c r="L764" t="s">
        <v>1651</v>
      </c>
      <c r="M764" t="s">
        <v>1586</v>
      </c>
      <c r="N764" t="s">
        <v>784</v>
      </c>
      <c r="O764" t="s">
        <v>785</v>
      </c>
      <c r="P764" t="s">
        <v>788</v>
      </c>
      <c r="Q764" t="s">
        <v>55</v>
      </c>
      <c r="R764">
        <v>-1</v>
      </c>
      <c r="S764" s="15">
        <f>Table2[[#This Row],[movement_quantity]]/VLOOKUP(Table2[[#This Row],[product]],Ref[#All],5,FALSE)</f>
        <v>-2.5000000000000001E-2</v>
      </c>
      <c r="T764">
        <v>24758.555840000001</v>
      </c>
      <c r="U764" t="s">
        <v>17</v>
      </c>
      <c r="V764" t="s">
        <v>28</v>
      </c>
      <c r="W764" t="s">
        <v>1711</v>
      </c>
      <c r="X764" t="s">
        <v>17</v>
      </c>
      <c r="Y764" s="2" t="s">
        <v>1424</v>
      </c>
      <c r="Z764">
        <v>0</v>
      </c>
      <c r="AA764" s="2">
        <v>-24758.555840000001</v>
      </c>
      <c r="AB764" t="str">
        <f>VLOOKUP(Table2[[#This Row],[product]],Ref[#All],6,FALSE)</f>
        <v>BAG25</v>
      </c>
    </row>
    <row r="765" spans="1:28" x14ac:dyDescent="0.25">
      <c r="A765" t="str">
        <f>TEXT(Table2[[#This Row],[dated]],"mmm")</f>
        <v>Jun</v>
      </c>
      <c r="B765" t="s">
        <v>52</v>
      </c>
      <c r="C765" s="1" t="s">
        <v>536</v>
      </c>
      <c r="D765" t="str">
        <f>VLOOKUP(Table2[[#This Row],[product]],Ref[#All],7,FALSE)</f>
        <v>Flour</v>
      </c>
      <c r="E765" s="1" t="s">
        <v>36</v>
      </c>
      <c r="F765" t="str">
        <f>VLOOKUP(Table2[[#This Row],[product]],Ref[#All],2,FALSE)</f>
        <v>Flour Import Elngm 25Kg</v>
      </c>
      <c r="G765" t="str">
        <f>VLOOKUP(Table2[[#This Row],[product]],Ref[#All],3,FALSE)</f>
        <v>Flour Al-Nagm (Imported)</v>
      </c>
      <c r="H765" t="str">
        <f>VLOOKUP(Table2[[#This Row],[product]],Ref[#All],4,FALSE)</f>
        <v>Import</v>
      </c>
      <c r="I765" s="1">
        <v>45832</v>
      </c>
      <c r="J765" t="s">
        <v>53</v>
      </c>
      <c r="K765" t="s">
        <v>1712</v>
      </c>
      <c r="L765" t="s">
        <v>1651</v>
      </c>
      <c r="M765" t="s">
        <v>1586</v>
      </c>
      <c r="N765" t="s">
        <v>784</v>
      </c>
      <c r="O765" t="s">
        <v>785</v>
      </c>
      <c r="P765" t="s">
        <v>788</v>
      </c>
      <c r="Q765" t="s">
        <v>55</v>
      </c>
      <c r="R765">
        <v>-1</v>
      </c>
      <c r="S765" s="15">
        <f>Table2[[#This Row],[movement_quantity]]/VLOOKUP(Table2[[#This Row],[product]],Ref[#All],5,FALSE)</f>
        <v>-2.5000000000000001E-2</v>
      </c>
      <c r="T765">
        <v>24758.555840000001</v>
      </c>
      <c r="U765" t="s">
        <v>17</v>
      </c>
      <c r="V765" t="s">
        <v>18</v>
      </c>
      <c r="W765" t="s">
        <v>1713</v>
      </c>
      <c r="X765" t="s">
        <v>17</v>
      </c>
      <c r="Y765" s="2" t="s">
        <v>1221</v>
      </c>
      <c r="Z765">
        <v>0</v>
      </c>
      <c r="AA765" s="2">
        <v>-24758.555840000001</v>
      </c>
      <c r="AB765" t="str">
        <f>VLOOKUP(Table2[[#This Row],[product]],Ref[#All],6,FALSE)</f>
        <v>BAG25</v>
      </c>
    </row>
    <row r="766" spans="1:28" x14ac:dyDescent="0.25">
      <c r="A766" t="str">
        <f>TEXT(Table2[[#This Row],[dated]],"mmm")</f>
        <v>Jun</v>
      </c>
      <c r="B766" t="s">
        <v>52</v>
      </c>
      <c r="C766" s="1" t="s">
        <v>536</v>
      </c>
      <c r="D766" t="str">
        <f>VLOOKUP(Table2[[#This Row],[product]],Ref[#All],7,FALSE)</f>
        <v>Flour</v>
      </c>
      <c r="E766" s="1" t="s">
        <v>36</v>
      </c>
      <c r="F766" t="str">
        <f>VLOOKUP(Table2[[#This Row],[product]],Ref[#All],2,FALSE)</f>
        <v>Flour Import Elngm 25Kg</v>
      </c>
      <c r="G766" t="str">
        <f>VLOOKUP(Table2[[#This Row],[product]],Ref[#All],3,FALSE)</f>
        <v>Flour Al-Nagm (Imported)</v>
      </c>
      <c r="H766" t="str">
        <f>VLOOKUP(Table2[[#This Row],[product]],Ref[#All],4,FALSE)</f>
        <v>Import</v>
      </c>
      <c r="I766" s="1">
        <v>45832</v>
      </c>
      <c r="J766" t="s">
        <v>53</v>
      </c>
      <c r="K766" t="s">
        <v>1714</v>
      </c>
      <c r="L766" t="s">
        <v>1651</v>
      </c>
      <c r="M766" t="s">
        <v>1586</v>
      </c>
      <c r="N766" t="s">
        <v>784</v>
      </c>
      <c r="O766" t="s">
        <v>785</v>
      </c>
      <c r="P766" t="s">
        <v>788</v>
      </c>
      <c r="Q766" t="s">
        <v>55</v>
      </c>
      <c r="R766">
        <v>-3</v>
      </c>
      <c r="S766" s="15">
        <f>Table2[[#This Row],[movement_quantity]]/VLOOKUP(Table2[[#This Row],[product]],Ref[#All],5,FALSE)</f>
        <v>-7.4999999999999997E-2</v>
      </c>
      <c r="T766">
        <v>24758.555840000001</v>
      </c>
      <c r="U766" t="s">
        <v>17</v>
      </c>
      <c r="V766" t="s">
        <v>21</v>
      </c>
      <c r="W766" t="s">
        <v>1715</v>
      </c>
      <c r="X766" t="s">
        <v>17</v>
      </c>
      <c r="Y766" s="2" t="s">
        <v>1221</v>
      </c>
      <c r="Z766">
        <v>0</v>
      </c>
      <c r="AA766" s="2">
        <v>-74275.667520000003</v>
      </c>
      <c r="AB766" t="str">
        <f>VLOOKUP(Table2[[#This Row],[product]],Ref[#All],6,FALSE)</f>
        <v>BAG25</v>
      </c>
    </row>
    <row r="767" spans="1:28" x14ac:dyDescent="0.25">
      <c r="A767" t="str">
        <f>TEXT(Table2[[#This Row],[dated]],"mmm")</f>
        <v>Jun</v>
      </c>
      <c r="B767" t="s">
        <v>52</v>
      </c>
      <c r="C767" s="1" t="s">
        <v>536</v>
      </c>
      <c r="D767" t="str">
        <f>VLOOKUP(Table2[[#This Row],[product]],Ref[#All],7,FALSE)</f>
        <v>Flour</v>
      </c>
      <c r="E767" s="1" t="s">
        <v>36</v>
      </c>
      <c r="F767" t="str">
        <f>VLOOKUP(Table2[[#This Row],[product]],Ref[#All],2,FALSE)</f>
        <v>Flour Import Elngm 25Kg</v>
      </c>
      <c r="G767" t="str">
        <f>VLOOKUP(Table2[[#This Row],[product]],Ref[#All],3,FALSE)</f>
        <v>Flour Al-Nagm (Imported)</v>
      </c>
      <c r="H767" t="str">
        <f>VLOOKUP(Table2[[#This Row],[product]],Ref[#All],4,FALSE)</f>
        <v>Import</v>
      </c>
      <c r="I767" s="1">
        <v>45832</v>
      </c>
      <c r="J767" t="s">
        <v>53</v>
      </c>
      <c r="K767" t="s">
        <v>1716</v>
      </c>
      <c r="L767" t="s">
        <v>1651</v>
      </c>
      <c r="M767" t="s">
        <v>1586</v>
      </c>
      <c r="N767" t="s">
        <v>784</v>
      </c>
      <c r="O767" t="s">
        <v>785</v>
      </c>
      <c r="P767" t="s">
        <v>788</v>
      </c>
      <c r="Q767" t="s">
        <v>55</v>
      </c>
      <c r="R767">
        <v>-5</v>
      </c>
      <c r="S767" s="15">
        <f>Table2[[#This Row],[movement_quantity]]/VLOOKUP(Table2[[#This Row],[product]],Ref[#All],5,FALSE)</f>
        <v>-0.125</v>
      </c>
      <c r="T767">
        <v>24758.555840000001</v>
      </c>
      <c r="U767" t="s">
        <v>17</v>
      </c>
      <c r="V767" t="s">
        <v>22</v>
      </c>
      <c r="W767" t="s">
        <v>1717</v>
      </c>
      <c r="X767" t="s">
        <v>17</v>
      </c>
      <c r="Y767" s="2" t="s">
        <v>1221</v>
      </c>
      <c r="Z767">
        <v>0</v>
      </c>
      <c r="AA767" s="2">
        <v>-123792.7792</v>
      </c>
      <c r="AB767" t="str">
        <f>VLOOKUP(Table2[[#This Row],[product]],Ref[#All],6,FALSE)</f>
        <v>BAG25</v>
      </c>
    </row>
    <row r="768" spans="1:28" x14ac:dyDescent="0.25">
      <c r="A768" t="str">
        <f>TEXT(Table2[[#This Row],[dated]],"mmm")</f>
        <v>Jun</v>
      </c>
      <c r="B768" t="s">
        <v>52</v>
      </c>
      <c r="C768" s="1" t="s">
        <v>536</v>
      </c>
      <c r="D768" t="str">
        <f>VLOOKUP(Table2[[#This Row],[product]],Ref[#All],7,FALSE)</f>
        <v>Flour</v>
      </c>
      <c r="E768" s="1" t="s">
        <v>36</v>
      </c>
      <c r="F768" t="str">
        <f>VLOOKUP(Table2[[#This Row],[product]],Ref[#All],2,FALSE)</f>
        <v>Flour Import Elngm 25Kg</v>
      </c>
      <c r="G768" t="str">
        <f>VLOOKUP(Table2[[#This Row],[product]],Ref[#All],3,FALSE)</f>
        <v>Flour Al-Nagm (Imported)</v>
      </c>
      <c r="H768" t="str">
        <f>VLOOKUP(Table2[[#This Row],[product]],Ref[#All],4,FALSE)</f>
        <v>Import</v>
      </c>
      <c r="I768" s="1">
        <v>45832</v>
      </c>
      <c r="J768" t="s">
        <v>53</v>
      </c>
      <c r="K768" t="s">
        <v>1718</v>
      </c>
      <c r="L768" t="s">
        <v>1651</v>
      </c>
      <c r="M768" t="s">
        <v>1586</v>
      </c>
      <c r="N768" t="s">
        <v>784</v>
      </c>
      <c r="O768" t="s">
        <v>785</v>
      </c>
      <c r="P768" t="s">
        <v>788</v>
      </c>
      <c r="Q768" t="s">
        <v>55</v>
      </c>
      <c r="R768">
        <v>-1</v>
      </c>
      <c r="S768" s="15">
        <f>Table2[[#This Row],[movement_quantity]]/VLOOKUP(Table2[[#This Row],[product]],Ref[#All],5,FALSE)</f>
        <v>-2.5000000000000001E-2</v>
      </c>
      <c r="T768">
        <v>24758.555840000001</v>
      </c>
      <c r="U768" t="s">
        <v>17</v>
      </c>
      <c r="V768" t="s">
        <v>23</v>
      </c>
      <c r="W768" t="s">
        <v>1719</v>
      </c>
      <c r="X768" t="s">
        <v>17</v>
      </c>
      <c r="Y768" s="2" t="s">
        <v>1221</v>
      </c>
      <c r="Z768">
        <v>0</v>
      </c>
      <c r="AA768" s="2">
        <v>-24758.555840000001</v>
      </c>
      <c r="AB768" t="str">
        <f>VLOOKUP(Table2[[#This Row],[product]],Ref[#All],6,FALSE)</f>
        <v>BAG25</v>
      </c>
    </row>
    <row r="769" spans="1:28" x14ac:dyDescent="0.25">
      <c r="A769" t="str">
        <f>TEXT(Table2[[#This Row],[dated]],"mmm")</f>
        <v>Jun</v>
      </c>
      <c r="B769" t="s">
        <v>52</v>
      </c>
      <c r="C769" s="1" t="s">
        <v>536</v>
      </c>
      <c r="D769" t="str">
        <f>VLOOKUP(Table2[[#This Row],[product]],Ref[#All],7,FALSE)</f>
        <v>Flour</v>
      </c>
      <c r="E769" s="1" t="s">
        <v>36</v>
      </c>
      <c r="F769" t="str">
        <f>VLOOKUP(Table2[[#This Row],[product]],Ref[#All],2,FALSE)</f>
        <v>Flour Import Elngm 25Kg</v>
      </c>
      <c r="G769" t="str">
        <f>VLOOKUP(Table2[[#This Row],[product]],Ref[#All],3,FALSE)</f>
        <v>Flour Al-Nagm (Imported)</v>
      </c>
      <c r="H769" t="str">
        <f>VLOOKUP(Table2[[#This Row],[product]],Ref[#All],4,FALSE)</f>
        <v>Import</v>
      </c>
      <c r="I769" s="1">
        <v>45832</v>
      </c>
      <c r="J769" t="s">
        <v>53</v>
      </c>
      <c r="K769" t="s">
        <v>1720</v>
      </c>
      <c r="L769" t="s">
        <v>1651</v>
      </c>
      <c r="M769" t="s">
        <v>1586</v>
      </c>
      <c r="N769" t="s">
        <v>784</v>
      </c>
      <c r="O769" t="s">
        <v>785</v>
      </c>
      <c r="P769" t="s">
        <v>788</v>
      </c>
      <c r="Q769" t="s">
        <v>55</v>
      </c>
      <c r="R769">
        <v>-1</v>
      </c>
      <c r="S769" s="15">
        <f>Table2[[#This Row],[movement_quantity]]/VLOOKUP(Table2[[#This Row],[product]],Ref[#All],5,FALSE)</f>
        <v>-2.5000000000000001E-2</v>
      </c>
      <c r="T769">
        <v>24758.555840000001</v>
      </c>
      <c r="U769" t="s">
        <v>17</v>
      </c>
      <c r="V769" t="s">
        <v>24</v>
      </c>
      <c r="W769" t="s">
        <v>1721</v>
      </c>
      <c r="X769" t="s">
        <v>17</v>
      </c>
      <c r="Y769" s="2" t="s">
        <v>1221</v>
      </c>
      <c r="Z769">
        <v>0</v>
      </c>
      <c r="AA769" s="2">
        <v>-24758.555840000001</v>
      </c>
      <c r="AB769" t="str">
        <f>VLOOKUP(Table2[[#This Row],[product]],Ref[#All],6,FALSE)</f>
        <v>BAG25</v>
      </c>
    </row>
    <row r="770" spans="1:28" x14ac:dyDescent="0.25">
      <c r="A770" t="str">
        <f>TEXT(Table2[[#This Row],[dated]],"mmm")</f>
        <v>Jun</v>
      </c>
      <c r="B770" t="s">
        <v>52</v>
      </c>
      <c r="C770" s="1" t="s">
        <v>536</v>
      </c>
      <c r="D770" t="str">
        <f>VLOOKUP(Table2[[#This Row],[product]],Ref[#All],7,FALSE)</f>
        <v>Flour</v>
      </c>
      <c r="E770" s="1" t="s">
        <v>36</v>
      </c>
      <c r="F770" t="str">
        <f>VLOOKUP(Table2[[#This Row],[product]],Ref[#All],2,FALSE)</f>
        <v>Flour Import Elngm 25Kg</v>
      </c>
      <c r="G770" t="str">
        <f>VLOOKUP(Table2[[#This Row],[product]],Ref[#All],3,FALSE)</f>
        <v>Flour Al-Nagm (Imported)</v>
      </c>
      <c r="H770" t="str">
        <f>VLOOKUP(Table2[[#This Row],[product]],Ref[#All],4,FALSE)</f>
        <v>Import</v>
      </c>
      <c r="I770" s="1">
        <v>45832</v>
      </c>
      <c r="J770" t="s">
        <v>53</v>
      </c>
      <c r="K770" t="s">
        <v>1722</v>
      </c>
      <c r="L770" t="s">
        <v>1651</v>
      </c>
      <c r="M770" t="s">
        <v>1586</v>
      </c>
      <c r="N770" t="s">
        <v>784</v>
      </c>
      <c r="O770" t="s">
        <v>785</v>
      </c>
      <c r="P770" t="s">
        <v>788</v>
      </c>
      <c r="Q770" t="s">
        <v>55</v>
      </c>
      <c r="R770">
        <v>-2</v>
      </c>
      <c r="S770" s="15">
        <f>Table2[[#This Row],[movement_quantity]]/VLOOKUP(Table2[[#This Row],[product]],Ref[#All],5,FALSE)</f>
        <v>-0.05</v>
      </c>
      <c r="T770">
        <v>24758.555840000001</v>
      </c>
      <c r="U770" t="s">
        <v>17</v>
      </c>
      <c r="V770" t="s">
        <v>25</v>
      </c>
      <c r="W770" t="s">
        <v>1723</v>
      </c>
      <c r="X770" t="s">
        <v>17</v>
      </c>
      <c r="Y770" s="2" t="s">
        <v>1221</v>
      </c>
      <c r="Z770">
        <v>0</v>
      </c>
      <c r="AA770" s="2">
        <v>-49517.111680000002</v>
      </c>
      <c r="AB770" t="str">
        <f>VLOOKUP(Table2[[#This Row],[product]],Ref[#All],6,FALSE)</f>
        <v>BAG25</v>
      </c>
    </row>
    <row r="771" spans="1:28" x14ac:dyDescent="0.25">
      <c r="A771" t="str">
        <f>TEXT(Table2[[#This Row],[dated]],"mmm")</f>
        <v>Jun</v>
      </c>
      <c r="B771" t="s">
        <v>52</v>
      </c>
      <c r="C771" s="1" t="s">
        <v>536</v>
      </c>
      <c r="D771" t="str">
        <f>VLOOKUP(Table2[[#This Row],[product]],Ref[#All],7,FALSE)</f>
        <v>Flour</v>
      </c>
      <c r="E771" s="1" t="s">
        <v>36</v>
      </c>
      <c r="F771" t="str">
        <f>VLOOKUP(Table2[[#This Row],[product]],Ref[#All],2,FALSE)</f>
        <v>Flour Import Elngm 25Kg</v>
      </c>
      <c r="G771" t="str">
        <f>VLOOKUP(Table2[[#This Row],[product]],Ref[#All],3,FALSE)</f>
        <v>Flour Al-Nagm (Imported)</v>
      </c>
      <c r="H771" t="str">
        <f>VLOOKUP(Table2[[#This Row],[product]],Ref[#All],4,FALSE)</f>
        <v>Import</v>
      </c>
      <c r="I771" s="1">
        <v>45832</v>
      </c>
      <c r="J771" t="s">
        <v>53</v>
      </c>
      <c r="K771" t="s">
        <v>1724</v>
      </c>
      <c r="L771" t="s">
        <v>1651</v>
      </c>
      <c r="M771" t="s">
        <v>1586</v>
      </c>
      <c r="N771" t="s">
        <v>784</v>
      </c>
      <c r="O771" t="s">
        <v>785</v>
      </c>
      <c r="P771" t="s">
        <v>788</v>
      </c>
      <c r="Q771" t="s">
        <v>55</v>
      </c>
      <c r="R771">
        <v>-3</v>
      </c>
      <c r="S771" s="15">
        <f>Table2[[#This Row],[movement_quantity]]/VLOOKUP(Table2[[#This Row],[product]],Ref[#All],5,FALSE)</f>
        <v>-7.4999999999999997E-2</v>
      </c>
      <c r="T771">
        <v>24758.555840000001</v>
      </c>
      <c r="U771" t="s">
        <v>17</v>
      </c>
      <c r="V771" t="s">
        <v>26</v>
      </c>
      <c r="W771" t="s">
        <v>1725</v>
      </c>
      <c r="X771" t="s">
        <v>17</v>
      </c>
      <c r="Y771" s="2" t="s">
        <v>1424</v>
      </c>
      <c r="Z771">
        <v>0</v>
      </c>
      <c r="AA771" s="2">
        <v>-74275.667520000003</v>
      </c>
      <c r="AB771" t="str">
        <f>VLOOKUP(Table2[[#This Row],[product]],Ref[#All],6,FALSE)</f>
        <v>BAG25</v>
      </c>
    </row>
    <row r="772" spans="1:28" x14ac:dyDescent="0.25">
      <c r="A772" t="str">
        <f>TEXT(Table2[[#This Row],[dated]],"mmm")</f>
        <v>Jun</v>
      </c>
      <c r="B772" t="s">
        <v>52</v>
      </c>
      <c r="C772" s="1" t="s">
        <v>536</v>
      </c>
      <c r="D772" t="str">
        <f>VLOOKUP(Table2[[#This Row],[product]],Ref[#All],7,FALSE)</f>
        <v>Flour</v>
      </c>
      <c r="E772" s="1" t="s">
        <v>36</v>
      </c>
      <c r="F772" t="str">
        <f>VLOOKUP(Table2[[#This Row],[product]],Ref[#All],2,FALSE)</f>
        <v>Flour Import Elngm 25Kg</v>
      </c>
      <c r="G772" t="str">
        <f>VLOOKUP(Table2[[#This Row],[product]],Ref[#All],3,FALSE)</f>
        <v>Flour Al-Nagm (Imported)</v>
      </c>
      <c r="H772" t="str">
        <f>VLOOKUP(Table2[[#This Row],[product]],Ref[#All],4,FALSE)</f>
        <v>Import</v>
      </c>
      <c r="I772" s="1">
        <v>45832</v>
      </c>
      <c r="J772" t="s">
        <v>53</v>
      </c>
      <c r="K772" t="s">
        <v>1726</v>
      </c>
      <c r="L772" t="s">
        <v>1651</v>
      </c>
      <c r="M772" t="s">
        <v>1586</v>
      </c>
      <c r="N772" t="s">
        <v>784</v>
      </c>
      <c r="O772" t="s">
        <v>785</v>
      </c>
      <c r="P772" t="s">
        <v>788</v>
      </c>
      <c r="Q772" t="s">
        <v>55</v>
      </c>
      <c r="R772">
        <v>-2</v>
      </c>
      <c r="S772" s="15">
        <f>Table2[[#This Row],[movement_quantity]]/VLOOKUP(Table2[[#This Row],[product]],Ref[#All],5,FALSE)</f>
        <v>-0.05</v>
      </c>
      <c r="T772">
        <v>24758.555840000001</v>
      </c>
      <c r="U772" t="s">
        <v>17</v>
      </c>
      <c r="V772" t="s">
        <v>27</v>
      </c>
      <c r="W772" t="s">
        <v>1727</v>
      </c>
      <c r="X772" t="s">
        <v>17</v>
      </c>
      <c r="Y772" s="2" t="s">
        <v>1424</v>
      </c>
      <c r="Z772">
        <v>0</v>
      </c>
      <c r="AA772" s="2">
        <v>-49517.111680000002</v>
      </c>
      <c r="AB772" t="str">
        <f>VLOOKUP(Table2[[#This Row],[product]],Ref[#All],6,FALSE)</f>
        <v>BAG25</v>
      </c>
    </row>
    <row r="773" spans="1:28" x14ac:dyDescent="0.25">
      <c r="A773" t="str">
        <f>TEXT(Table2[[#This Row],[dated]],"mmm")</f>
        <v>Jun</v>
      </c>
      <c r="B773" t="s">
        <v>52</v>
      </c>
      <c r="C773" s="1" t="s">
        <v>536</v>
      </c>
      <c r="D773" t="str">
        <f>VLOOKUP(Table2[[#This Row],[product]],Ref[#All],7,FALSE)</f>
        <v>Flour</v>
      </c>
      <c r="E773" s="1" t="s">
        <v>36</v>
      </c>
      <c r="F773" t="str">
        <f>VLOOKUP(Table2[[#This Row],[product]],Ref[#All],2,FALSE)</f>
        <v>Flour Import Elngm 25Kg</v>
      </c>
      <c r="G773" t="str">
        <f>VLOOKUP(Table2[[#This Row],[product]],Ref[#All],3,FALSE)</f>
        <v>Flour Al-Nagm (Imported)</v>
      </c>
      <c r="H773" t="str">
        <f>VLOOKUP(Table2[[#This Row],[product]],Ref[#All],4,FALSE)</f>
        <v>Import</v>
      </c>
      <c r="I773" s="1">
        <v>45832</v>
      </c>
      <c r="J773" t="s">
        <v>53</v>
      </c>
      <c r="K773" t="s">
        <v>1728</v>
      </c>
      <c r="L773" t="s">
        <v>1651</v>
      </c>
      <c r="M773" t="s">
        <v>1586</v>
      </c>
      <c r="N773" t="s">
        <v>784</v>
      </c>
      <c r="O773" t="s">
        <v>785</v>
      </c>
      <c r="P773" t="s">
        <v>788</v>
      </c>
      <c r="Q773" t="s">
        <v>55</v>
      </c>
      <c r="R773">
        <v>-3</v>
      </c>
      <c r="S773" s="15">
        <f>Table2[[#This Row],[movement_quantity]]/VLOOKUP(Table2[[#This Row],[product]],Ref[#All],5,FALSE)</f>
        <v>-7.4999999999999997E-2</v>
      </c>
      <c r="T773">
        <v>24758.555840000001</v>
      </c>
      <c r="U773" t="s">
        <v>17</v>
      </c>
      <c r="V773" t="s">
        <v>28</v>
      </c>
      <c r="W773" t="s">
        <v>1729</v>
      </c>
      <c r="X773" t="s">
        <v>17</v>
      </c>
      <c r="Y773" s="2" t="s">
        <v>1424</v>
      </c>
      <c r="Z773">
        <v>0</v>
      </c>
      <c r="AA773" s="2">
        <v>-74275.667520000003</v>
      </c>
      <c r="AB773" t="str">
        <f>VLOOKUP(Table2[[#This Row],[product]],Ref[#All],6,FALSE)</f>
        <v>BAG25</v>
      </c>
    </row>
    <row r="774" spans="1:28" x14ac:dyDescent="0.25">
      <c r="A774" t="str">
        <f>TEXT(Table2[[#This Row],[dated]],"mmm")</f>
        <v>Jun</v>
      </c>
      <c r="B774" t="s">
        <v>52</v>
      </c>
      <c r="C774" s="1" t="s">
        <v>536</v>
      </c>
      <c r="D774" t="str">
        <f>VLOOKUP(Table2[[#This Row],[product]],Ref[#All],7,FALSE)</f>
        <v>Flour</v>
      </c>
      <c r="E774" s="1" t="s">
        <v>36</v>
      </c>
      <c r="F774" t="str">
        <f>VLOOKUP(Table2[[#This Row],[product]],Ref[#All],2,FALSE)</f>
        <v>Flour Import Elngm 25Kg</v>
      </c>
      <c r="G774" t="str">
        <f>VLOOKUP(Table2[[#This Row],[product]],Ref[#All],3,FALSE)</f>
        <v>Flour Al-Nagm (Imported)</v>
      </c>
      <c r="H774" t="str">
        <f>VLOOKUP(Table2[[#This Row],[product]],Ref[#All],4,FALSE)</f>
        <v>Import</v>
      </c>
      <c r="I774" s="1">
        <v>45832</v>
      </c>
      <c r="J774" t="s">
        <v>53</v>
      </c>
      <c r="K774" t="s">
        <v>1730</v>
      </c>
      <c r="L774" t="s">
        <v>1651</v>
      </c>
      <c r="M774" t="s">
        <v>1586</v>
      </c>
      <c r="N774" t="s">
        <v>784</v>
      </c>
      <c r="O774" t="s">
        <v>785</v>
      </c>
      <c r="P774" t="s">
        <v>788</v>
      </c>
      <c r="Q774" t="s">
        <v>55</v>
      </c>
      <c r="R774">
        <v>-5</v>
      </c>
      <c r="S774" s="15">
        <f>Table2[[#This Row],[movement_quantity]]/VLOOKUP(Table2[[#This Row],[product]],Ref[#All],5,FALSE)</f>
        <v>-0.125</v>
      </c>
      <c r="T774">
        <v>24758.555840000001</v>
      </c>
      <c r="U774" t="s">
        <v>17</v>
      </c>
      <c r="V774" t="s">
        <v>29</v>
      </c>
      <c r="W774" t="s">
        <v>1731</v>
      </c>
      <c r="X774" t="s">
        <v>17</v>
      </c>
      <c r="Y774" s="2" t="s">
        <v>1424</v>
      </c>
      <c r="Z774">
        <v>0</v>
      </c>
      <c r="AA774" s="2">
        <v>-123792.7792</v>
      </c>
      <c r="AB774" t="str">
        <f>VLOOKUP(Table2[[#This Row],[product]],Ref[#All],6,FALSE)</f>
        <v>BAG25</v>
      </c>
    </row>
    <row r="775" spans="1:28" x14ac:dyDescent="0.25">
      <c r="A775" t="str">
        <f>TEXT(Table2[[#This Row],[dated]],"mmm")</f>
        <v>Jun</v>
      </c>
      <c r="B775" t="s">
        <v>52</v>
      </c>
      <c r="C775" s="1" t="s">
        <v>536</v>
      </c>
      <c r="D775" t="str">
        <f>VLOOKUP(Table2[[#This Row],[product]],Ref[#All],7,FALSE)</f>
        <v>Flour</v>
      </c>
      <c r="E775" s="1" t="s">
        <v>36</v>
      </c>
      <c r="F775" t="str">
        <f>VLOOKUP(Table2[[#This Row],[product]],Ref[#All],2,FALSE)</f>
        <v>Flour Import Elngm 25Kg</v>
      </c>
      <c r="G775" t="str">
        <f>VLOOKUP(Table2[[#This Row],[product]],Ref[#All],3,FALSE)</f>
        <v>Flour Al-Nagm (Imported)</v>
      </c>
      <c r="H775" t="str">
        <f>VLOOKUP(Table2[[#This Row],[product]],Ref[#All],4,FALSE)</f>
        <v>Import</v>
      </c>
      <c r="I775" s="1">
        <v>45832</v>
      </c>
      <c r="J775" t="s">
        <v>53</v>
      </c>
      <c r="K775" t="s">
        <v>1732</v>
      </c>
      <c r="L775" t="s">
        <v>1651</v>
      </c>
      <c r="M775" t="s">
        <v>1586</v>
      </c>
      <c r="N775" t="s">
        <v>784</v>
      </c>
      <c r="O775" t="s">
        <v>785</v>
      </c>
      <c r="P775" t="s">
        <v>788</v>
      </c>
      <c r="Q775" t="s">
        <v>55</v>
      </c>
      <c r="R775">
        <v>-3</v>
      </c>
      <c r="S775" s="15">
        <f>Table2[[#This Row],[movement_quantity]]/VLOOKUP(Table2[[#This Row],[product]],Ref[#All],5,FALSE)</f>
        <v>-7.4999999999999997E-2</v>
      </c>
      <c r="T775">
        <v>24758.555840000001</v>
      </c>
      <c r="U775" t="s">
        <v>17</v>
      </c>
      <c r="V775" t="s">
        <v>31</v>
      </c>
      <c r="W775" t="s">
        <v>1733</v>
      </c>
      <c r="X775" t="s">
        <v>17</v>
      </c>
      <c r="Y775" s="2" t="s">
        <v>1424</v>
      </c>
      <c r="Z775">
        <v>0</v>
      </c>
      <c r="AA775" s="2">
        <v>-74275.667520000003</v>
      </c>
      <c r="AB775" t="str">
        <f>VLOOKUP(Table2[[#This Row],[product]],Ref[#All],6,FALSE)</f>
        <v>BAG25</v>
      </c>
    </row>
    <row r="776" spans="1:28" x14ac:dyDescent="0.25">
      <c r="A776" t="str">
        <f>TEXT(Table2[[#This Row],[dated]],"mmm")</f>
        <v>Jun</v>
      </c>
      <c r="B776" t="s">
        <v>52</v>
      </c>
      <c r="C776" s="1" t="s">
        <v>536</v>
      </c>
      <c r="D776" t="str">
        <f>VLOOKUP(Table2[[#This Row],[product]],Ref[#All],7,FALSE)</f>
        <v>Flour</v>
      </c>
      <c r="E776" s="1" t="s">
        <v>36</v>
      </c>
      <c r="F776" t="str">
        <f>VLOOKUP(Table2[[#This Row],[product]],Ref[#All],2,FALSE)</f>
        <v>Flour Import Elngm 25Kg</v>
      </c>
      <c r="G776" t="str">
        <f>VLOOKUP(Table2[[#This Row],[product]],Ref[#All],3,FALSE)</f>
        <v>Flour Al-Nagm (Imported)</v>
      </c>
      <c r="H776" t="str">
        <f>VLOOKUP(Table2[[#This Row],[product]],Ref[#All],4,FALSE)</f>
        <v>Import</v>
      </c>
      <c r="I776" s="1">
        <v>45832</v>
      </c>
      <c r="J776" t="s">
        <v>53</v>
      </c>
      <c r="K776" t="s">
        <v>1734</v>
      </c>
      <c r="L776" t="s">
        <v>1651</v>
      </c>
      <c r="M776" t="s">
        <v>1586</v>
      </c>
      <c r="N776" t="s">
        <v>784</v>
      </c>
      <c r="O776" t="s">
        <v>785</v>
      </c>
      <c r="P776" t="s">
        <v>788</v>
      </c>
      <c r="Q776" t="s">
        <v>55</v>
      </c>
      <c r="R776">
        <v>-1</v>
      </c>
      <c r="S776" s="15">
        <f>Table2[[#This Row],[movement_quantity]]/VLOOKUP(Table2[[#This Row],[product]],Ref[#All],5,FALSE)</f>
        <v>-2.5000000000000001E-2</v>
      </c>
      <c r="T776">
        <v>24758.555840000001</v>
      </c>
      <c r="U776" t="s">
        <v>17</v>
      </c>
      <c r="V776" t="s">
        <v>32</v>
      </c>
      <c r="W776" t="s">
        <v>1735</v>
      </c>
      <c r="X776" t="s">
        <v>17</v>
      </c>
      <c r="Y776" s="2" t="s">
        <v>1424</v>
      </c>
      <c r="Z776">
        <v>0</v>
      </c>
      <c r="AA776" s="2">
        <v>-24758.555840000001</v>
      </c>
      <c r="AB776" t="str">
        <f>VLOOKUP(Table2[[#This Row],[product]],Ref[#All],6,FALSE)</f>
        <v>BAG25</v>
      </c>
    </row>
    <row r="777" spans="1:28" x14ac:dyDescent="0.25">
      <c r="A777" t="str">
        <f>TEXT(Table2[[#This Row],[dated]],"mmm")</f>
        <v>Jun</v>
      </c>
      <c r="B777" t="s">
        <v>52</v>
      </c>
      <c r="C777" s="1" t="s">
        <v>536</v>
      </c>
      <c r="D777" t="str">
        <f>VLOOKUP(Table2[[#This Row],[product]],Ref[#All],7,FALSE)</f>
        <v>Flour</v>
      </c>
      <c r="E777" s="1" t="s">
        <v>36</v>
      </c>
      <c r="F777" t="str">
        <f>VLOOKUP(Table2[[#This Row],[product]],Ref[#All],2,FALSE)</f>
        <v>Flour Import Elngm 25Kg</v>
      </c>
      <c r="G777" t="str">
        <f>VLOOKUP(Table2[[#This Row],[product]],Ref[#All],3,FALSE)</f>
        <v>Flour Al-Nagm (Imported)</v>
      </c>
      <c r="H777" t="str">
        <f>VLOOKUP(Table2[[#This Row],[product]],Ref[#All],4,FALSE)</f>
        <v>Import</v>
      </c>
      <c r="I777" s="1">
        <v>45832</v>
      </c>
      <c r="J777" t="s">
        <v>53</v>
      </c>
      <c r="K777" t="s">
        <v>1736</v>
      </c>
      <c r="L777" t="s">
        <v>1651</v>
      </c>
      <c r="M777" t="s">
        <v>1586</v>
      </c>
      <c r="N777" t="s">
        <v>784</v>
      </c>
      <c r="O777" t="s">
        <v>785</v>
      </c>
      <c r="P777" t="s">
        <v>788</v>
      </c>
      <c r="Q777" t="s">
        <v>55</v>
      </c>
      <c r="R777">
        <v>-2</v>
      </c>
      <c r="S777" s="15">
        <f>Table2[[#This Row],[movement_quantity]]/VLOOKUP(Table2[[#This Row],[product]],Ref[#All],5,FALSE)</f>
        <v>-0.05</v>
      </c>
      <c r="T777">
        <v>24758.555840000001</v>
      </c>
      <c r="U777" t="s">
        <v>17</v>
      </c>
      <c r="V777" t="s">
        <v>44</v>
      </c>
      <c r="W777" t="s">
        <v>1737</v>
      </c>
      <c r="X777" t="s">
        <v>17</v>
      </c>
      <c r="Y777" s="2" t="s">
        <v>1424</v>
      </c>
      <c r="Z777">
        <v>0</v>
      </c>
      <c r="AA777" s="2">
        <v>-49517.111680000002</v>
      </c>
      <c r="AB777" t="str">
        <f>VLOOKUP(Table2[[#This Row],[product]],Ref[#All],6,FALSE)</f>
        <v>BAG25</v>
      </c>
    </row>
    <row r="778" spans="1:28" x14ac:dyDescent="0.25">
      <c r="A778" t="str">
        <f>TEXT(Table2[[#This Row],[dated]],"mmm")</f>
        <v>Jun</v>
      </c>
      <c r="B778" t="s">
        <v>52</v>
      </c>
      <c r="C778" s="1" t="s">
        <v>536</v>
      </c>
      <c r="D778" t="str">
        <f>VLOOKUP(Table2[[#This Row],[product]],Ref[#All],7,FALSE)</f>
        <v>Flour</v>
      </c>
      <c r="E778" s="1" t="s">
        <v>36</v>
      </c>
      <c r="F778" t="str">
        <f>VLOOKUP(Table2[[#This Row],[product]],Ref[#All],2,FALSE)</f>
        <v>Flour Import Elngm 25Kg</v>
      </c>
      <c r="G778" t="str">
        <f>VLOOKUP(Table2[[#This Row],[product]],Ref[#All],3,FALSE)</f>
        <v>Flour Al-Nagm (Imported)</v>
      </c>
      <c r="H778" t="str">
        <f>VLOOKUP(Table2[[#This Row],[product]],Ref[#All],4,FALSE)</f>
        <v>Import</v>
      </c>
      <c r="I778" s="1">
        <v>45832</v>
      </c>
      <c r="J778" t="s">
        <v>53</v>
      </c>
      <c r="K778" t="s">
        <v>1738</v>
      </c>
      <c r="L778" t="s">
        <v>1651</v>
      </c>
      <c r="M778" t="s">
        <v>1586</v>
      </c>
      <c r="N778" t="s">
        <v>784</v>
      </c>
      <c r="O778" t="s">
        <v>785</v>
      </c>
      <c r="P778" t="s">
        <v>788</v>
      </c>
      <c r="Q778" t="s">
        <v>55</v>
      </c>
      <c r="R778">
        <v>-5</v>
      </c>
      <c r="S778" s="15">
        <f>Table2[[#This Row],[movement_quantity]]/VLOOKUP(Table2[[#This Row],[product]],Ref[#All],5,FALSE)</f>
        <v>-0.125</v>
      </c>
      <c r="T778">
        <v>24758.555840000001</v>
      </c>
      <c r="U778" t="s">
        <v>17</v>
      </c>
      <c r="V778" t="s">
        <v>33</v>
      </c>
      <c r="W778" t="s">
        <v>1739</v>
      </c>
      <c r="X778" t="s">
        <v>17</v>
      </c>
      <c r="Y778" s="2" t="s">
        <v>1424</v>
      </c>
      <c r="Z778">
        <v>0</v>
      </c>
      <c r="AA778" s="2">
        <v>-123792.7792</v>
      </c>
      <c r="AB778" t="str">
        <f>VLOOKUP(Table2[[#This Row],[product]],Ref[#All],6,FALSE)</f>
        <v>BAG25</v>
      </c>
    </row>
    <row r="779" spans="1:28" x14ac:dyDescent="0.25">
      <c r="A779" t="str">
        <f>TEXT(Table2[[#This Row],[dated]],"mmm")</f>
        <v>Jun</v>
      </c>
      <c r="B779" t="s">
        <v>52</v>
      </c>
      <c r="C779" s="1" t="s">
        <v>536</v>
      </c>
      <c r="D779" t="str">
        <f>VLOOKUP(Table2[[#This Row],[product]],Ref[#All],7,FALSE)</f>
        <v>Flour</v>
      </c>
      <c r="E779" s="1" t="s">
        <v>36</v>
      </c>
      <c r="F779" t="str">
        <f>VLOOKUP(Table2[[#This Row],[product]],Ref[#All],2,FALSE)</f>
        <v>Flour Import Elngm 25Kg</v>
      </c>
      <c r="G779" t="str">
        <f>VLOOKUP(Table2[[#This Row],[product]],Ref[#All],3,FALSE)</f>
        <v>Flour Al-Nagm (Imported)</v>
      </c>
      <c r="H779" t="str">
        <f>VLOOKUP(Table2[[#This Row],[product]],Ref[#All],4,FALSE)</f>
        <v>Import</v>
      </c>
      <c r="I779" s="1">
        <v>45832</v>
      </c>
      <c r="J779" t="s">
        <v>53</v>
      </c>
      <c r="K779" t="s">
        <v>1740</v>
      </c>
      <c r="L779" t="s">
        <v>1651</v>
      </c>
      <c r="M779" t="s">
        <v>1586</v>
      </c>
      <c r="N779" t="s">
        <v>784</v>
      </c>
      <c r="O779" t="s">
        <v>785</v>
      </c>
      <c r="P779" t="s">
        <v>788</v>
      </c>
      <c r="Q779" t="s">
        <v>55</v>
      </c>
      <c r="R779">
        <v>-1</v>
      </c>
      <c r="S779" s="15">
        <f>Table2[[#This Row],[movement_quantity]]/VLOOKUP(Table2[[#This Row],[product]],Ref[#All],5,FALSE)</f>
        <v>-2.5000000000000001E-2</v>
      </c>
      <c r="T779">
        <v>24758.555840000001</v>
      </c>
      <c r="U779" t="s">
        <v>17</v>
      </c>
      <c r="V779" t="s">
        <v>34</v>
      </c>
      <c r="W779" t="s">
        <v>1741</v>
      </c>
      <c r="X779" t="s">
        <v>17</v>
      </c>
      <c r="Y779" s="2" t="s">
        <v>1424</v>
      </c>
      <c r="Z779">
        <v>0</v>
      </c>
      <c r="AA779" s="2">
        <v>-24758.555840000001</v>
      </c>
      <c r="AB779" t="str">
        <f>VLOOKUP(Table2[[#This Row],[product]],Ref[#All],6,FALSE)</f>
        <v>BAG25</v>
      </c>
    </row>
    <row r="780" spans="1:28" x14ac:dyDescent="0.25">
      <c r="A780" t="str">
        <f>TEXT(Table2[[#This Row],[dated]],"mmm")</f>
        <v>Jun</v>
      </c>
      <c r="B780" t="s">
        <v>52</v>
      </c>
      <c r="C780" s="1" t="s">
        <v>536</v>
      </c>
      <c r="D780" t="str">
        <f>VLOOKUP(Table2[[#This Row],[product]],Ref[#All],7,FALSE)</f>
        <v>Flour</v>
      </c>
      <c r="E780" s="1" t="s">
        <v>36</v>
      </c>
      <c r="F780" t="str">
        <f>VLOOKUP(Table2[[#This Row],[product]],Ref[#All],2,FALSE)</f>
        <v>Flour Import Elngm 25Kg</v>
      </c>
      <c r="G780" t="str">
        <f>VLOOKUP(Table2[[#This Row],[product]],Ref[#All],3,FALSE)</f>
        <v>Flour Al-Nagm (Imported)</v>
      </c>
      <c r="H780" t="str">
        <f>VLOOKUP(Table2[[#This Row],[product]],Ref[#All],4,FALSE)</f>
        <v>Import</v>
      </c>
      <c r="I780" s="1">
        <v>45833</v>
      </c>
      <c r="J780" t="s">
        <v>53</v>
      </c>
      <c r="K780" t="s">
        <v>1742</v>
      </c>
      <c r="L780" t="s">
        <v>1651</v>
      </c>
      <c r="M780" t="s">
        <v>1586</v>
      </c>
      <c r="N780" t="s">
        <v>784</v>
      </c>
      <c r="O780" t="s">
        <v>785</v>
      </c>
      <c r="P780" t="s">
        <v>788</v>
      </c>
      <c r="Q780" t="s">
        <v>55</v>
      </c>
      <c r="R780">
        <v>-2</v>
      </c>
      <c r="S780" s="15">
        <f>Table2[[#This Row],[movement_quantity]]/VLOOKUP(Table2[[#This Row],[product]],Ref[#All],5,FALSE)</f>
        <v>-0.05</v>
      </c>
      <c r="T780">
        <v>24758.555840000001</v>
      </c>
      <c r="U780" t="s">
        <v>17</v>
      </c>
      <c r="V780" t="s">
        <v>18</v>
      </c>
      <c r="W780" t="s">
        <v>1743</v>
      </c>
      <c r="X780" t="s">
        <v>17</v>
      </c>
      <c r="Y780" s="2" t="s">
        <v>1424</v>
      </c>
      <c r="Z780">
        <v>0</v>
      </c>
      <c r="AA780" s="2">
        <v>-49517.111680000002</v>
      </c>
      <c r="AB780" t="str">
        <f>VLOOKUP(Table2[[#This Row],[product]],Ref[#All],6,FALSE)</f>
        <v>BAG25</v>
      </c>
    </row>
    <row r="781" spans="1:28" x14ac:dyDescent="0.25">
      <c r="A781" t="str">
        <f>TEXT(Table2[[#This Row],[dated]],"mmm")</f>
        <v>Jun</v>
      </c>
      <c r="B781" t="s">
        <v>52</v>
      </c>
      <c r="C781" s="1" t="s">
        <v>536</v>
      </c>
      <c r="D781" t="str">
        <f>VLOOKUP(Table2[[#This Row],[product]],Ref[#All],7,FALSE)</f>
        <v>Flour</v>
      </c>
      <c r="E781" s="1" t="s">
        <v>36</v>
      </c>
      <c r="F781" t="str">
        <f>VLOOKUP(Table2[[#This Row],[product]],Ref[#All],2,FALSE)</f>
        <v>Flour Import Elngm 25Kg</v>
      </c>
      <c r="G781" t="str">
        <f>VLOOKUP(Table2[[#This Row],[product]],Ref[#All],3,FALSE)</f>
        <v>Flour Al-Nagm (Imported)</v>
      </c>
      <c r="H781" t="str">
        <f>VLOOKUP(Table2[[#This Row],[product]],Ref[#All],4,FALSE)</f>
        <v>Import</v>
      </c>
      <c r="I781" s="1">
        <v>45833</v>
      </c>
      <c r="J781" t="s">
        <v>53</v>
      </c>
      <c r="K781" t="s">
        <v>1744</v>
      </c>
      <c r="L781" t="s">
        <v>1651</v>
      </c>
      <c r="M781" t="s">
        <v>1586</v>
      </c>
      <c r="N781" t="s">
        <v>784</v>
      </c>
      <c r="O781" t="s">
        <v>785</v>
      </c>
      <c r="P781" t="s">
        <v>788</v>
      </c>
      <c r="Q781" t="s">
        <v>55</v>
      </c>
      <c r="R781">
        <v>-3</v>
      </c>
      <c r="S781" s="15">
        <f>Table2[[#This Row],[movement_quantity]]/VLOOKUP(Table2[[#This Row],[product]],Ref[#All],5,FALSE)</f>
        <v>-7.4999999999999997E-2</v>
      </c>
      <c r="T781">
        <v>24758.555840000001</v>
      </c>
      <c r="U781" t="s">
        <v>17</v>
      </c>
      <c r="V781" t="s">
        <v>21</v>
      </c>
      <c r="W781" t="s">
        <v>1745</v>
      </c>
      <c r="X781" t="s">
        <v>17</v>
      </c>
      <c r="Y781" s="2" t="s">
        <v>1424</v>
      </c>
      <c r="Z781">
        <v>0</v>
      </c>
      <c r="AA781" s="2">
        <v>-74275.667520000003</v>
      </c>
      <c r="AB781" t="str">
        <f>VLOOKUP(Table2[[#This Row],[product]],Ref[#All],6,FALSE)</f>
        <v>BAG25</v>
      </c>
    </row>
    <row r="782" spans="1:28" x14ac:dyDescent="0.25">
      <c r="A782" t="str">
        <f>TEXT(Table2[[#This Row],[dated]],"mmm")</f>
        <v>Jun</v>
      </c>
      <c r="B782" t="s">
        <v>52</v>
      </c>
      <c r="C782" s="1" t="s">
        <v>536</v>
      </c>
      <c r="D782" t="str">
        <f>VLOOKUP(Table2[[#This Row],[product]],Ref[#All],7,FALSE)</f>
        <v>Lentils</v>
      </c>
      <c r="E782" s="1" t="s">
        <v>39</v>
      </c>
      <c r="F782" t="str">
        <f>VLOOKUP(Table2[[#This Row],[product]],Ref[#All],2,FALSE)</f>
        <v>Lentil TAT 20KG</v>
      </c>
      <c r="G782" t="str">
        <f>VLOOKUP(Table2[[#This Row],[product]],Ref[#All],3,FALSE)</f>
        <v>Lentils</v>
      </c>
      <c r="H782" t="str">
        <f>VLOOKUP(Table2[[#This Row],[product]],Ref[#All],4,FALSE)</f>
        <v>Import</v>
      </c>
      <c r="I782" s="1">
        <v>45827</v>
      </c>
      <c r="J782" t="s">
        <v>53</v>
      </c>
      <c r="K782" t="s">
        <v>1749</v>
      </c>
      <c r="L782" t="s">
        <v>1651</v>
      </c>
      <c r="M782" t="s">
        <v>1586</v>
      </c>
      <c r="N782" t="s">
        <v>784</v>
      </c>
      <c r="O782" t="s">
        <v>785</v>
      </c>
      <c r="P782" t="s">
        <v>788</v>
      </c>
      <c r="Q782" t="s">
        <v>55</v>
      </c>
      <c r="R782">
        <v>-5</v>
      </c>
      <c r="S782" s="15">
        <f>Table2[[#This Row],[movement_quantity]]/VLOOKUP(Table2[[#This Row],[product]],Ref[#All],5,FALSE)</f>
        <v>-0.1</v>
      </c>
      <c r="T782">
        <v>37806.777110000003</v>
      </c>
      <c r="U782" t="s">
        <v>17</v>
      </c>
      <c r="V782" t="s">
        <v>18</v>
      </c>
      <c r="W782" t="s">
        <v>1750</v>
      </c>
      <c r="X782" t="s">
        <v>17</v>
      </c>
      <c r="Y782" s="2" t="s">
        <v>1751</v>
      </c>
      <c r="Z782">
        <v>0</v>
      </c>
      <c r="AA782" s="2">
        <v>-189033.88555000001</v>
      </c>
      <c r="AB782" t="str">
        <f>VLOOKUP(Table2[[#This Row],[product]],Ref[#All],6,FALSE)</f>
        <v>BAG20</v>
      </c>
    </row>
    <row r="783" spans="1:28" x14ac:dyDescent="0.25">
      <c r="A783" t="str">
        <f>TEXT(Table2[[#This Row],[dated]],"mmm")</f>
        <v>Jun</v>
      </c>
      <c r="B783" t="s">
        <v>52</v>
      </c>
      <c r="C783" s="1" t="s">
        <v>536</v>
      </c>
      <c r="D783" t="str">
        <f>VLOOKUP(Table2[[#This Row],[product]],Ref[#All],7,FALSE)</f>
        <v>Flour</v>
      </c>
      <c r="E783" s="1" t="s">
        <v>42</v>
      </c>
      <c r="F783" t="str">
        <f>VLOOKUP(Table2[[#This Row],[product]],Ref[#All],2,FALSE)</f>
        <v>Alnajm Flour from Mill 25KG</v>
      </c>
      <c r="G783" t="str">
        <f>VLOOKUP(Table2[[#This Row],[product]],Ref[#All],3,FALSE)</f>
        <v>Flour Al-Nagm (Mill)</v>
      </c>
      <c r="H783" t="str">
        <f>VLOOKUP(Table2[[#This Row],[product]],Ref[#All],4,FALSE)</f>
        <v>Import</v>
      </c>
      <c r="I783" s="1">
        <v>45833</v>
      </c>
      <c r="J783" t="s">
        <v>53</v>
      </c>
      <c r="K783" t="s">
        <v>1752</v>
      </c>
      <c r="L783" t="s">
        <v>1651</v>
      </c>
      <c r="M783" t="s">
        <v>1586</v>
      </c>
      <c r="N783" t="s">
        <v>784</v>
      </c>
      <c r="O783" t="s">
        <v>785</v>
      </c>
      <c r="P783" t="s">
        <v>788</v>
      </c>
      <c r="Q783" t="s">
        <v>55</v>
      </c>
      <c r="R783">
        <v>-6</v>
      </c>
      <c r="S783" s="15">
        <f>Table2[[#This Row],[movement_quantity]]/VLOOKUP(Table2[[#This Row],[product]],Ref[#All],5,FALSE)</f>
        <v>-0.15</v>
      </c>
      <c r="T783">
        <v>24758.555840000001</v>
      </c>
      <c r="U783" t="s">
        <v>17</v>
      </c>
      <c r="V783" t="s">
        <v>18</v>
      </c>
      <c r="W783" t="s">
        <v>1753</v>
      </c>
      <c r="X783" t="s">
        <v>17</v>
      </c>
      <c r="Y783" s="2" t="s">
        <v>1250</v>
      </c>
      <c r="Z783">
        <v>0</v>
      </c>
      <c r="AA783" s="2">
        <v>-148551.33504000001</v>
      </c>
      <c r="AB783" t="str">
        <f>VLOOKUP(Table2[[#This Row],[product]],Ref[#All],6,FALSE)</f>
        <v>BAG25</v>
      </c>
    </row>
    <row r="784" spans="1:28" x14ac:dyDescent="0.25">
      <c r="A784" t="str">
        <f>TEXT(Table2[[#This Row],[dated]],"mmm")</f>
        <v>Jun</v>
      </c>
      <c r="B784" t="s">
        <v>52</v>
      </c>
      <c r="C784" s="1" t="s">
        <v>536</v>
      </c>
      <c r="D784" t="str">
        <f>VLOOKUP(Table2[[#This Row],[product]],Ref[#All],7,FALSE)</f>
        <v>Flour</v>
      </c>
      <c r="E784" s="1" t="s">
        <v>42</v>
      </c>
      <c r="F784" t="str">
        <f>VLOOKUP(Table2[[#This Row],[product]],Ref[#All],2,FALSE)</f>
        <v>Alnajm Flour from Mill 25KG</v>
      </c>
      <c r="G784" t="str">
        <f>VLOOKUP(Table2[[#This Row],[product]],Ref[#All],3,FALSE)</f>
        <v>Flour Al-Nagm (Mill)</v>
      </c>
      <c r="H784" t="str">
        <f>VLOOKUP(Table2[[#This Row],[product]],Ref[#All],4,FALSE)</f>
        <v>Import</v>
      </c>
      <c r="I784" s="1">
        <v>45833</v>
      </c>
      <c r="J784" t="s">
        <v>53</v>
      </c>
      <c r="K784" t="s">
        <v>1752</v>
      </c>
      <c r="L784" t="s">
        <v>1651</v>
      </c>
      <c r="M784" t="s">
        <v>1586</v>
      </c>
      <c r="N784" t="s">
        <v>784</v>
      </c>
      <c r="O784" t="s">
        <v>785</v>
      </c>
      <c r="P784" t="s">
        <v>788</v>
      </c>
      <c r="Q784" t="s">
        <v>55</v>
      </c>
      <c r="R784">
        <v>-8</v>
      </c>
      <c r="S784" s="15">
        <f>Table2[[#This Row],[movement_quantity]]/VLOOKUP(Table2[[#This Row],[product]],Ref[#All],5,FALSE)</f>
        <v>-0.2</v>
      </c>
      <c r="T784">
        <v>24758.555840000001</v>
      </c>
      <c r="U784" t="s">
        <v>17</v>
      </c>
      <c r="V784" t="s">
        <v>21</v>
      </c>
      <c r="W784" t="s">
        <v>1753</v>
      </c>
      <c r="X784" t="s">
        <v>17</v>
      </c>
      <c r="Y784" s="2" t="s">
        <v>1754</v>
      </c>
      <c r="Z784">
        <v>0</v>
      </c>
      <c r="AA784" s="2">
        <v>-198068.44672000001</v>
      </c>
      <c r="AB784" t="str">
        <f>VLOOKUP(Table2[[#This Row],[product]],Ref[#All],6,FALSE)</f>
        <v>BAG25</v>
      </c>
    </row>
    <row r="785" spans="1:28" x14ac:dyDescent="0.25">
      <c r="A785" t="str">
        <f>TEXT(Table2[[#This Row],[dated]],"mmm")</f>
        <v>Jun</v>
      </c>
      <c r="B785" t="s">
        <v>52</v>
      </c>
      <c r="C785" s="1" t="s">
        <v>536</v>
      </c>
      <c r="D785" t="str">
        <f>VLOOKUP(Table2[[#This Row],[product]],Ref[#All],7,FALSE)</f>
        <v>Flour</v>
      </c>
      <c r="E785" s="1" t="s">
        <v>42</v>
      </c>
      <c r="F785" t="str">
        <f>VLOOKUP(Table2[[#This Row],[product]],Ref[#All],2,FALSE)</f>
        <v>Alnajm Flour from Mill 25KG</v>
      </c>
      <c r="G785" t="str">
        <f>VLOOKUP(Table2[[#This Row],[product]],Ref[#All],3,FALSE)</f>
        <v>Flour Al-Nagm (Mill)</v>
      </c>
      <c r="H785" t="str">
        <f>VLOOKUP(Table2[[#This Row],[product]],Ref[#All],4,FALSE)</f>
        <v>Import</v>
      </c>
      <c r="I785" s="1">
        <v>45833</v>
      </c>
      <c r="J785" t="s">
        <v>53</v>
      </c>
      <c r="K785" t="s">
        <v>1755</v>
      </c>
      <c r="L785" t="s">
        <v>1651</v>
      </c>
      <c r="M785" t="s">
        <v>1586</v>
      </c>
      <c r="N785" t="s">
        <v>784</v>
      </c>
      <c r="O785" t="s">
        <v>785</v>
      </c>
      <c r="P785" t="s">
        <v>788</v>
      </c>
      <c r="Q785" t="s">
        <v>55</v>
      </c>
      <c r="R785">
        <v>-1</v>
      </c>
      <c r="S785" s="15">
        <f>Table2[[#This Row],[movement_quantity]]/VLOOKUP(Table2[[#This Row],[product]],Ref[#All],5,FALSE)</f>
        <v>-2.5000000000000001E-2</v>
      </c>
      <c r="T785">
        <v>24758.555840000001</v>
      </c>
      <c r="U785" t="s">
        <v>17</v>
      </c>
      <c r="V785" t="s">
        <v>22</v>
      </c>
      <c r="W785" t="s">
        <v>1756</v>
      </c>
      <c r="X785" t="s">
        <v>17</v>
      </c>
      <c r="Y785" s="2" t="s">
        <v>1754</v>
      </c>
      <c r="Z785">
        <v>0</v>
      </c>
      <c r="AA785" s="2">
        <v>-24758.555840000001</v>
      </c>
      <c r="AB785" t="str">
        <f>VLOOKUP(Table2[[#This Row],[product]],Ref[#All],6,FALSE)</f>
        <v>BAG25</v>
      </c>
    </row>
    <row r="786" spans="1:28" x14ac:dyDescent="0.25">
      <c r="A786" t="str">
        <f>TEXT(Table2[[#This Row],[dated]],"mmm")</f>
        <v>Jun</v>
      </c>
      <c r="B786" t="s">
        <v>52</v>
      </c>
      <c r="C786" s="1" t="s">
        <v>536</v>
      </c>
      <c r="D786" t="str">
        <f>VLOOKUP(Table2[[#This Row],[product]],Ref[#All],7,FALSE)</f>
        <v>Rice</v>
      </c>
      <c r="E786" s="1" t="s">
        <v>176</v>
      </c>
      <c r="F786" t="str">
        <f>VLOOKUP(Table2[[#This Row],[product]],Ref[#All],2,FALSE)</f>
        <v>Rice Long Grade 1 Elngm 20Kg</v>
      </c>
      <c r="G786" t="str">
        <f>VLOOKUP(Table2[[#This Row],[product]],Ref[#All],3,FALSE)</f>
        <v>Rice Long Grain</v>
      </c>
      <c r="H786" t="str">
        <f>VLOOKUP(Table2[[#This Row],[product]],Ref[#All],4,FALSE)</f>
        <v>Import</v>
      </c>
      <c r="I786" s="1">
        <v>45827</v>
      </c>
      <c r="J786" t="s">
        <v>53</v>
      </c>
      <c r="K786" t="s">
        <v>1757</v>
      </c>
      <c r="L786" t="s">
        <v>1651</v>
      </c>
      <c r="M786" t="s">
        <v>1586</v>
      </c>
      <c r="N786" t="s">
        <v>784</v>
      </c>
      <c r="O786" t="s">
        <v>785</v>
      </c>
      <c r="P786" t="s">
        <v>788</v>
      </c>
      <c r="Q786" t="s">
        <v>55</v>
      </c>
      <c r="R786">
        <v>-2</v>
      </c>
      <c r="S786" s="15">
        <f>Table2[[#This Row],[movement_quantity]]/VLOOKUP(Table2[[#This Row],[product]],Ref[#All],5,FALSE)</f>
        <v>-0.04</v>
      </c>
      <c r="T786">
        <v>24317.853869999999</v>
      </c>
      <c r="U786" t="s">
        <v>17</v>
      </c>
      <c r="V786" t="s">
        <v>18</v>
      </c>
      <c r="W786" t="s">
        <v>1758</v>
      </c>
      <c r="X786" t="s">
        <v>17</v>
      </c>
      <c r="Y786" s="2" t="s">
        <v>1759</v>
      </c>
      <c r="Z786">
        <v>0</v>
      </c>
      <c r="AA786" s="2">
        <v>-48635.707739999998</v>
      </c>
      <c r="AB786" t="str">
        <f>VLOOKUP(Table2[[#This Row],[product]],Ref[#All],6,FALSE)</f>
        <v>BAG20</v>
      </c>
    </row>
    <row r="787" spans="1:28" x14ac:dyDescent="0.25">
      <c r="A787" t="str">
        <f>TEXT(Table2[[#This Row],[dated]],"mmm")</f>
        <v>Jun</v>
      </c>
      <c r="B787" t="s">
        <v>52</v>
      </c>
      <c r="C787" s="1" t="s">
        <v>536</v>
      </c>
      <c r="D787" t="str">
        <f>VLOOKUP(Table2[[#This Row],[product]],Ref[#All],7,FALSE)</f>
        <v>Rice</v>
      </c>
      <c r="E787" s="1" t="s">
        <v>176</v>
      </c>
      <c r="F787" t="str">
        <f>VLOOKUP(Table2[[#This Row],[product]],Ref[#All],2,FALSE)</f>
        <v>Rice Long Grade 1 Elngm 20Kg</v>
      </c>
      <c r="G787" t="str">
        <f>VLOOKUP(Table2[[#This Row],[product]],Ref[#All],3,FALSE)</f>
        <v>Rice Long Grain</v>
      </c>
      <c r="H787" t="str">
        <f>VLOOKUP(Table2[[#This Row],[product]],Ref[#All],4,FALSE)</f>
        <v>Import</v>
      </c>
      <c r="I787" s="1">
        <v>45832</v>
      </c>
      <c r="J787" t="s">
        <v>53</v>
      </c>
      <c r="K787" t="s">
        <v>1760</v>
      </c>
      <c r="L787" t="s">
        <v>1651</v>
      </c>
      <c r="M787" t="s">
        <v>1586</v>
      </c>
      <c r="N787" t="s">
        <v>784</v>
      </c>
      <c r="O787" t="s">
        <v>785</v>
      </c>
      <c r="P787" t="s">
        <v>788</v>
      </c>
      <c r="Q787" t="s">
        <v>55</v>
      </c>
      <c r="R787">
        <v>-2</v>
      </c>
      <c r="S787" s="15">
        <f>Table2[[#This Row],[movement_quantity]]/VLOOKUP(Table2[[#This Row],[product]],Ref[#All],5,FALSE)</f>
        <v>-0.04</v>
      </c>
      <c r="T787">
        <v>24317.853869999999</v>
      </c>
      <c r="U787" t="s">
        <v>17</v>
      </c>
      <c r="V787" t="s">
        <v>18</v>
      </c>
      <c r="W787" t="s">
        <v>1761</v>
      </c>
      <c r="X787" t="s">
        <v>17</v>
      </c>
      <c r="Y787" s="2" t="s">
        <v>1759</v>
      </c>
      <c r="Z787">
        <v>0</v>
      </c>
      <c r="AA787" s="2">
        <v>-48635.707739999998</v>
      </c>
      <c r="AB787" t="str">
        <f>VLOOKUP(Table2[[#This Row],[product]],Ref[#All],6,FALSE)</f>
        <v>BAG20</v>
      </c>
    </row>
    <row r="788" spans="1:28" x14ac:dyDescent="0.25">
      <c r="A788" t="str">
        <f>TEXT(Table2[[#This Row],[dated]],"mmm")</f>
        <v>Jun</v>
      </c>
      <c r="B788" t="s">
        <v>30</v>
      </c>
      <c r="C788" s="1" t="s">
        <v>536</v>
      </c>
      <c r="D788" t="str">
        <f>VLOOKUP(Table2[[#This Row],[product]],Ref[#All],7,FALSE)</f>
        <v>Flour</v>
      </c>
      <c r="E788" s="1" t="s">
        <v>36</v>
      </c>
      <c r="F788" t="str">
        <f>VLOOKUP(Table2[[#This Row],[product]],Ref[#All],2,FALSE)</f>
        <v>Flour Import Elngm 25Kg</v>
      </c>
      <c r="G788" t="str">
        <f>VLOOKUP(Table2[[#This Row],[product]],Ref[#All],3,FALSE)</f>
        <v>Flour Al-Nagm (Imported)</v>
      </c>
      <c r="H788" t="str">
        <f>VLOOKUP(Table2[[#This Row],[product]],Ref[#All],4,FALSE)</f>
        <v>Import</v>
      </c>
      <c r="I788" s="1">
        <v>45832</v>
      </c>
      <c r="J788" t="s">
        <v>53</v>
      </c>
      <c r="K788" t="s">
        <v>1762</v>
      </c>
      <c r="L788" t="s">
        <v>1651</v>
      </c>
      <c r="M788" t="s">
        <v>1586</v>
      </c>
      <c r="N788" t="s">
        <v>784</v>
      </c>
      <c r="O788" t="s">
        <v>785</v>
      </c>
      <c r="P788" t="s">
        <v>788</v>
      </c>
      <c r="Q788" t="s">
        <v>55</v>
      </c>
      <c r="R788">
        <v>-4</v>
      </c>
      <c r="S788" s="15">
        <f>Table2[[#This Row],[movement_quantity]]/VLOOKUP(Table2[[#This Row],[product]],Ref[#All],5,FALSE)</f>
        <v>-0.1</v>
      </c>
      <c r="T788">
        <v>24758.555840000001</v>
      </c>
      <c r="U788" t="s">
        <v>17</v>
      </c>
      <c r="V788" t="s">
        <v>18</v>
      </c>
      <c r="W788" t="s">
        <v>1763</v>
      </c>
      <c r="X788" t="s">
        <v>17</v>
      </c>
      <c r="Y788" s="2" t="s">
        <v>1289</v>
      </c>
      <c r="Z788">
        <v>0</v>
      </c>
      <c r="AA788" s="2">
        <v>-99034.223360000004</v>
      </c>
      <c r="AB788" t="str">
        <f>VLOOKUP(Table2[[#This Row],[product]],Ref[#All],6,FALSE)</f>
        <v>BAG25</v>
      </c>
    </row>
    <row r="789" spans="1:28" x14ac:dyDescent="0.25">
      <c r="A789" t="str">
        <f>TEXT(Table2[[#This Row],[dated]],"mmm")</f>
        <v>Jun</v>
      </c>
      <c r="B789" t="s">
        <v>30</v>
      </c>
      <c r="C789" s="1" t="s">
        <v>536</v>
      </c>
      <c r="D789" t="str">
        <f>VLOOKUP(Table2[[#This Row],[product]],Ref[#All],7,FALSE)</f>
        <v>Flour</v>
      </c>
      <c r="E789" s="1" t="s">
        <v>36</v>
      </c>
      <c r="F789" t="str">
        <f>VLOOKUP(Table2[[#This Row],[product]],Ref[#All],2,FALSE)</f>
        <v>Flour Import Elngm 25Kg</v>
      </c>
      <c r="G789" t="str">
        <f>VLOOKUP(Table2[[#This Row],[product]],Ref[#All],3,FALSE)</f>
        <v>Flour Al-Nagm (Imported)</v>
      </c>
      <c r="H789" t="str">
        <f>VLOOKUP(Table2[[#This Row],[product]],Ref[#All],4,FALSE)</f>
        <v>Import</v>
      </c>
      <c r="I789" s="1">
        <v>45832</v>
      </c>
      <c r="J789" t="s">
        <v>53</v>
      </c>
      <c r="K789" t="s">
        <v>1764</v>
      </c>
      <c r="L789" t="s">
        <v>1651</v>
      </c>
      <c r="M789" t="s">
        <v>1586</v>
      </c>
      <c r="N789" t="s">
        <v>784</v>
      </c>
      <c r="O789" t="s">
        <v>785</v>
      </c>
      <c r="P789" t="s">
        <v>788</v>
      </c>
      <c r="Q789" t="s">
        <v>55</v>
      </c>
      <c r="R789">
        <v>-8</v>
      </c>
      <c r="S789" s="15">
        <f>Table2[[#This Row],[movement_quantity]]/VLOOKUP(Table2[[#This Row],[product]],Ref[#All],5,FALSE)</f>
        <v>-0.2</v>
      </c>
      <c r="T789">
        <v>24758.555840000001</v>
      </c>
      <c r="U789" t="s">
        <v>17</v>
      </c>
      <c r="V789" t="s">
        <v>21</v>
      </c>
      <c r="W789" t="s">
        <v>1765</v>
      </c>
      <c r="X789" t="s">
        <v>17</v>
      </c>
      <c r="Y789" s="2" t="s">
        <v>1289</v>
      </c>
      <c r="Z789">
        <v>0</v>
      </c>
      <c r="AA789" s="2">
        <v>-198068.44672000001</v>
      </c>
      <c r="AB789" t="str">
        <f>VLOOKUP(Table2[[#This Row],[product]],Ref[#All],6,FALSE)</f>
        <v>BAG25</v>
      </c>
    </row>
    <row r="790" spans="1:28" x14ac:dyDescent="0.25">
      <c r="A790" t="str">
        <f>TEXT(Table2[[#This Row],[dated]],"mmm")</f>
        <v>Jun</v>
      </c>
      <c r="B790" t="s">
        <v>30</v>
      </c>
      <c r="C790" s="1" t="s">
        <v>536</v>
      </c>
      <c r="D790" t="str">
        <f>VLOOKUP(Table2[[#This Row],[product]],Ref[#All],7,FALSE)</f>
        <v>Rice</v>
      </c>
      <c r="E790" s="1" t="s">
        <v>176</v>
      </c>
      <c r="F790" t="str">
        <f>VLOOKUP(Table2[[#This Row],[product]],Ref[#All],2,FALSE)</f>
        <v>Rice Long Grade 1 Elngm 20Kg</v>
      </c>
      <c r="G790" t="str">
        <f>VLOOKUP(Table2[[#This Row],[product]],Ref[#All],3,FALSE)</f>
        <v>Rice Long Grain</v>
      </c>
      <c r="H790" t="str">
        <f>VLOOKUP(Table2[[#This Row],[product]],Ref[#All],4,FALSE)</f>
        <v>Import</v>
      </c>
      <c r="I790" s="1">
        <v>45832</v>
      </c>
      <c r="J790" t="s">
        <v>53</v>
      </c>
      <c r="K790" t="s">
        <v>1760</v>
      </c>
      <c r="L790" t="s">
        <v>1651</v>
      </c>
      <c r="M790" t="s">
        <v>1586</v>
      </c>
      <c r="N790" t="s">
        <v>784</v>
      </c>
      <c r="O790" t="s">
        <v>785</v>
      </c>
      <c r="P790" t="s">
        <v>788</v>
      </c>
      <c r="Q790" t="s">
        <v>55</v>
      </c>
      <c r="R790">
        <v>-2</v>
      </c>
      <c r="S790" s="15">
        <f>Table2[[#This Row],[movement_quantity]]/VLOOKUP(Table2[[#This Row],[product]],Ref[#All],5,FALSE)</f>
        <v>-0.04</v>
      </c>
      <c r="T790">
        <v>24317.853869999999</v>
      </c>
      <c r="U790" t="s">
        <v>17</v>
      </c>
      <c r="V790" t="s">
        <v>18</v>
      </c>
      <c r="W790" t="s">
        <v>1766</v>
      </c>
      <c r="X790" t="s">
        <v>17</v>
      </c>
      <c r="Y790" s="2" t="s">
        <v>1759</v>
      </c>
      <c r="Z790">
        <v>0</v>
      </c>
      <c r="AA790" s="2">
        <v>-48635.707739999998</v>
      </c>
      <c r="AB790" t="str">
        <f>VLOOKUP(Table2[[#This Row],[product]],Ref[#All],6,FALSE)</f>
        <v>BAG20</v>
      </c>
    </row>
    <row r="791" spans="1:28" x14ac:dyDescent="0.25">
      <c r="A791" t="str">
        <f>TEXT(Table2[[#This Row],[dated]],"mmm")</f>
        <v>Jun</v>
      </c>
      <c r="B791" t="s">
        <v>30</v>
      </c>
      <c r="C791" s="1" t="s">
        <v>536</v>
      </c>
      <c r="D791" t="str">
        <f>VLOOKUP(Table2[[#This Row],[product]],Ref[#All],7,FALSE)</f>
        <v>Rice</v>
      </c>
      <c r="E791" s="1" t="s">
        <v>176</v>
      </c>
      <c r="F791" t="str">
        <f>VLOOKUP(Table2[[#This Row],[product]],Ref[#All],2,FALSE)</f>
        <v>Rice Long Grade 1 Elngm 20Kg</v>
      </c>
      <c r="G791" t="str">
        <f>VLOOKUP(Table2[[#This Row],[product]],Ref[#All],3,FALSE)</f>
        <v>Rice Long Grain</v>
      </c>
      <c r="H791" t="str">
        <f>VLOOKUP(Table2[[#This Row],[product]],Ref[#All],4,FALSE)</f>
        <v>Import</v>
      </c>
      <c r="I791" s="1">
        <v>45832</v>
      </c>
      <c r="J791" t="s">
        <v>127</v>
      </c>
      <c r="K791" t="s">
        <v>1767</v>
      </c>
      <c r="L791" t="s">
        <v>1651</v>
      </c>
      <c r="M791" t="s">
        <v>1586</v>
      </c>
      <c r="N791" t="s">
        <v>784</v>
      </c>
      <c r="O791" t="s">
        <v>785</v>
      </c>
      <c r="P791" t="s">
        <v>788</v>
      </c>
      <c r="Q791" t="s">
        <v>55</v>
      </c>
      <c r="R791">
        <v>2</v>
      </c>
      <c r="S791" s="15">
        <f>Table2[[#This Row],[movement_quantity]]/VLOOKUP(Table2[[#This Row],[product]],Ref[#All],5,FALSE)</f>
        <v>0.04</v>
      </c>
      <c r="T791">
        <v>24317.853869999999</v>
      </c>
      <c r="U791" t="s">
        <v>41</v>
      </c>
      <c r="V791" t="s">
        <v>21</v>
      </c>
      <c r="W791" t="s">
        <v>1768</v>
      </c>
      <c r="X791" t="s">
        <v>1769</v>
      </c>
      <c r="Y791" s="2" t="s">
        <v>17</v>
      </c>
      <c r="Z791">
        <v>0</v>
      </c>
      <c r="AA791" s="2">
        <v>48635.707739999998</v>
      </c>
      <c r="AB791" t="str">
        <f>VLOOKUP(Table2[[#This Row],[product]],Ref[#All],6,FALSE)</f>
        <v>BAG20</v>
      </c>
    </row>
    <row r="792" spans="1:28" x14ac:dyDescent="0.25">
      <c r="A792" t="str">
        <f>TEXT(Table2[[#This Row],[dated]],"mmm")</f>
        <v>Jun</v>
      </c>
      <c r="B792" t="s">
        <v>96</v>
      </c>
      <c r="C792" s="1" t="s">
        <v>536</v>
      </c>
      <c r="D792" t="str">
        <f>VLOOKUP(Table2[[#This Row],[product]],Ref[#All],7,FALSE)</f>
        <v>Flour</v>
      </c>
      <c r="E792" s="1" t="s">
        <v>36</v>
      </c>
      <c r="F792" t="str">
        <f>VLOOKUP(Table2[[#This Row],[product]],Ref[#All],2,FALSE)</f>
        <v>Flour Import Elngm 25Kg</v>
      </c>
      <c r="G792" t="str">
        <f>VLOOKUP(Table2[[#This Row],[product]],Ref[#All],3,FALSE)</f>
        <v>Flour Al-Nagm (Imported)</v>
      </c>
      <c r="H792" t="str">
        <f>VLOOKUP(Table2[[#This Row],[product]],Ref[#All],4,FALSE)</f>
        <v>Import</v>
      </c>
      <c r="I792" s="1">
        <v>45832</v>
      </c>
      <c r="J792" t="s">
        <v>53</v>
      </c>
      <c r="K792" t="s">
        <v>1772</v>
      </c>
      <c r="L792" t="s">
        <v>1651</v>
      </c>
      <c r="M792" t="s">
        <v>1586</v>
      </c>
      <c r="N792" t="s">
        <v>784</v>
      </c>
      <c r="O792" t="s">
        <v>785</v>
      </c>
      <c r="P792" t="s">
        <v>788</v>
      </c>
      <c r="Q792" t="s">
        <v>55</v>
      </c>
      <c r="R792">
        <v>-1</v>
      </c>
      <c r="S792" s="15">
        <f>Table2[[#This Row],[movement_quantity]]/VLOOKUP(Table2[[#This Row],[product]],Ref[#All],5,FALSE)</f>
        <v>-2.5000000000000001E-2</v>
      </c>
      <c r="T792">
        <v>24758.555840000001</v>
      </c>
      <c r="U792" t="s">
        <v>17</v>
      </c>
      <c r="V792" t="s">
        <v>18</v>
      </c>
      <c r="W792" t="s">
        <v>1773</v>
      </c>
      <c r="X792" t="s">
        <v>17</v>
      </c>
      <c r="Y792" s="2" t="s">
        <v>1289</v>
      </c>
      <c r="Z792">
        <v>0</v>
      </c>
      <c r="AA792" s="2">
        <v>-24758.555840000001</v>
      </c>
      <c r="AB792" t="str">
        <f>VLOOKUP(Table2[[#This Row],[product]],Ref[#All],6,FALSE)</f>
        <v>BAG25</v>
      </c>
    </row>
    <row r="793" spans="1:28" x14ac:dyDescent="0.25">
      <c r="A793" t="str">
        <f>TEXT(Table2[[#This Row],[dated]],"mmm")</f>
        <v>Jun</v>
      </c>
      <c r="B793" t="s">
        <v>96</v>
      </c>
      <c r="C793" s="1" t="s">
        <v>536</v>
      </c>
      <c r="D793" t="str">
        <f>VLOOKUP(Table2[[#This Row],[product]],Ref[#All],7,FALSE)</f>
        <v>Sugar</v>
      </c>
      <c r="E793" s="1" t="s">
        <v>72</v>
      </c>
      <c r="F793" t="str">
        <f>VLOOKUP(Table2[[#This Row],[product]],Ref[#All],2,FALSE)</f>
        <v>White Sugar</v>
      </c>
      <c r="G793" t="str">
        <f>VLOOKUP(Table2[[#This Row],[product]],Ref[#All],3,FALSE)</f>
        <v>White Sugar</v>
      </c>
      <c r="H793" t="str">
        <f>VLOOKUP(Table2[[#This Row],[product]],Ref[#All],4,FALSE)</f>
        <v>Import</v>
      </c>
      <c r="I793" s="1">
        <v>45827</v>
      </c>
      <c r="J793" t="s">
        <v>53</v>
      </c>
      <c r="K793" t="s">
        <v>1774</v>
      </c>
      <c r="L793" t="s">
        <v>1651</v>
      </c>
      <c r="M793" t="s">
        <v>1586</v>
      </c>
      <c r="N793" t="s">
        <v>784</v>
      </c>
      <c r="O793" t="s">
        <v>785</v>
      </c>
      <c r="P793" t="s">
        <v>788</v>
      </c>
      <c r="Q793" t="s">
        <v>55</v>
      </c>
      <c r="R793">
        <v>-2</v>
      </c>
      <c r="S793" s="15">
        <f>Table2[[#This Row],[movement_quantity]]/VLOOKUP(Table2[[#This Row],[product]],Ref[#All],5,FALSE)</f>
        <v>-0.1</v>
      </c>
      <c r="T793">
        <v>83521.151800000007</v>
      </c>
      <c r="U793" t="s">
        <v>17</v>
      </c>
      <c r="V793" t="s">
        <v>18</v>
      </c>
      <c r="W793" t="s">
        <v>1775</v>
      </c>
      <c r="X793" t="s">
        <v>17</v>
      </c>
      <c r="Y793" s="2" t="s">
        <v>1320</v>
      </c>
      <c r="Z793">
        <v>0</v>
      </c>
      <c r="AA793" s="2">
        <v>-167042.30360000001</v>
      </c>
      <c r="AB793" t="str">
        <f>VLOOKUP(Table2[[#This Row],[product]],Ref[#All],6,FALSE)</f>
        <v>BAG50</v>
      </c>
    </row>
    <row r="794" spans="1:28" x14ac:dyDescent="0.25">
      <c r="A794" t="str">
        <f>TEXT(Table2[[#This Row],[dated]],"mmm")</f>
        <v>Jun</v>
      </c>
      <c r="B794" t="s">
        <v>15</v>
      </c>
      <c r="C794" s="1" t="s">
        <v>536</v>
      </c>
      <c r="D794" t="str">
        <f>VLOOKUP(Table2[[#This Row],[product]],Ref[#All],7,FALSE)</f>
        <v>Lentils</v>
      </c>
      <c r="E794" s="1" t="s">
        <v>39</v>
      </c>
      <c r="F794" t="str">
        <f>VLOOKUP(Table2[[#This Row],[product]],Ref[#All],2,FALSE)</f>
        <v>Lentil TAT 20KG</v>
      </c>
      <c r="G794" t="str">
        <f>VLOOKUP(Table2[[#This Row],[product]],Ref[#All],3,FALSE)</f>
        <v>Lentils</v>
      </c>
      <c r="H794" t="str">
        <f>VLOOKUP(Table2[[#This Row],[product]],Ref[#All],4,FALSE)</f>
        <v>Import</v>
      </c>
      <c r="I794" s="1">
        <v>45832</v>
      </c>
      <c r="J794" t="s">
        <v>53</v>
      </c>
      <c r="K794" t="s">
        <v>1776</v>
      </c>
      <c r="L794" t="s">
        <v>1651</v>
      </c>
      <c r="M794" t="s">
        <v>1586</v>
      </c>
      <c r="N794" t="s">
        <v>784</v>
      </c>
      <c r="O794" t="s">
        <v>785</v>
      </c>
      <c r="P794" t="s">
        <v>788</v>
      </c>
      <c r="Q794" t="s">
        <v>55</v>
      </c>
      <c r="R794">
        <v>-8</v>
      </c>
      <c r="S794" s="15">
        <f>Table2[[#This Row],[movement_quantity]]/VLOOKUP(Table2[[#This Row],[product]],Ref[#All],5,FALSE)</f>
        <v>-0.16</v>
      </c>
      <c r="T794">
        <v>37806.777110000003</v>
      </c>
      <c r="U794" t="s">
        <v>17</v>
      </c>
      <c r="V794" t="s">
        <v>18</v>
      </c>
      <c r="W794" t="s">
        <v>1777</v>
      </c>
      <c r="X794" t="s">
        <v>17</v>
      </c>
      <c r="Y794" s="2" t="s">
        <v>705</v>
      </c>
      <c r="Z794">
        <v>0</v>
      </c>
      <c r="AA794" s="2">
        <v>-302454.21688000002</v>
      </c>
      <c r="AB794" t="str">
        <f>VLOOKUP(Table2[[#This Row],[product]],Ref[#All],6,FALSE)</f>
        <v>BAG20</v>
      </c>
    </row>
    <row r="795" spans="1:28" x14ac:dyDescent="0.25">
      <c r="A795" t="str">
        <f>TEXT(Table2[[#This Row],[dated]],"mmm")</f>
        <v>Jun</v>
      </c>
      <c r="B795" t="s">
        <v>15</v>
      </c>
      <c r="C795" s="1" t="s">
        <v>536</v>
      </c>
      <c r="D795" t="str">
        <f>VLOOKUP(Table2[[#This Row],[product]],Ref[#All],7,FALSE)</f>
        <v>Lentils</v>
      </c>
      <c r="E795" s="1" t="s">
        <v>39</v>
      </c>
      <c r="F795" t="str">
        <f>VLOOKUP(Table2[[#This Row],[product]],Ref[#All],2,FALSE)</f>
        <v>Lentil TAT 20KG</v>
      </c>
      <c r="G795" t="str">
        <f>VLOOKUP(Table2[[#This Row],[product]],Ref[#All],3,FALSE)</f>
        <v>Lentils</v>
      </c>
      <c r="H795" t="str">
        <f>VLOOKUP(Table2[[#This Row],[product]],Ref[#All],4,FALSE)</f>
        <v>Import</v>
      </c>
      <c r="I795" s="1">
        <v>45832</v>
      </c>
      <c r="J795" t="s">
        <v>53</v>
      </c>
      <c r="K795" t="s">
        <v>1776</v>
      </c>
      <c r="L795" t="s">
        <v>1651</v>
      </c>
      <c r="M795" t="s">
        <v>1586</v>
      </c>
      <c r="N795" t="s">
        <v>784</v>
      </c>
      <c r="O795" t="s">
        <v>785</v>
      </c>
      <c r="P795" t="s">
        <v>788</v>
      </c>
      <c r="Q795" t="s">
        <v>55</v>
      </c>
      <c r="R795">
        <v>-3</v>
      </c>
      <c r="S795" s="15">
        <f>Table2[[#This Row],[movement_quantity]]/VLOOKUP(Table2[[#This Row],[product]],Ref[#All],5,FALSE)</f>
        <v>-0.06</v>
      </c>
      <c r="T795">
        <v>37806.777110000003</v>
      </c>
      <c r="U795" t="s">
        <v>17</v>
      </c>
      <c r="V795" t="s">
        <v>21</v>
      </c>
      <c r="W795" t="s">
        <v>1777</v>
      </c>
      <c r="X795" t="s">
        <v>17</v>
      </c>
      <c r="Y795" s="2" t="s">
        <v>1778</v>
      </c>
      <c r="Z795">
        <v>0</v>
      </c>
      <c r="AA795" s="2">
        <v>-113420.33133000002</v>
      </c>
      <c r="AB795" t="str">
        <f>VLOOKUP(Table2[[#This Row],[product]],Ref[#All],6,FALSE)</f>
        <v>BAG20</v>
      </c>
    </row>
    <row r="796" spans="1:28" x14ac:dyDescent="0.25">
      <c r="A796" t="str">
        <f>TEXT(Table2[[#This Row],[dated]],"mmm")</f>
        <v>Jun</v>
      </c>
      <c r="B796" t="s">
        <v>596</v>
      </c>
      <c r="C796" s="1" t="s">
        <v>536</v>
      </c>
      <c r="D796" t="str">
        <f>VLOOKUP(Table2[[#This Row],[product]],Ref[#All],7,FALSE)</f>
        <v>Lentils</v>
      </c>
      <c r="E796" s="1" t="s">
        <v>39</v>
      </c>
      <c r="F796" t="str">
        <f>VLOOKUP(Table2[[#This Row],[product]],Ref[#All],2,FALSE)</f>
        <v>Lentil TAT 20KG</v>
      </c>
      <c r="G796" t="str">
        <f>VLOOKUP(Table2[[#This Row],[product]],Ref[#All],3,FALSE)</f>
        <v>Lentils</v>
      </c>
      <c r="H796" t="str">
        <f>VLOOKUP(Table2[[#This Row],[product]],Ref[#All],4,FALSE)</f>
        <v>Import</v>
      </c>
      <c r="I796" s="1">
        <v>45827</v>
      </c>
      <c r="J796" t="s">
        <v>53</v>
      </c>
      <c r="K796" t="s">
        <v>1779</v>
      </c>
      <c r="L796" t="s">
        <v>1651</v>
      </c>
      <c r="M796" t="s">
        <v>1586</v>
      </c>
      <c r="N796" t="s">
        <v>784</v>
      </c>
      <c r="O796" t="s">
        <v>785</v>
      </c>
      <c r="P796" t="s">
        <v>788</v>
      </c>
      <c r="Q796" t="s">
        <v>55</v>
      </c>
      <c r="R796">
        <v>-5</v>
      </c>
      <c r="S796" s="15">
        <f>Table2[[#This Row],[movement_quantity]]/VLOOKUP(Table2[[#This Row],[product]],Ref[#All],5,FALSE)</f>
        <v>-0.1</v>
      </c>
      <c r="T796">
        <v>37806.777110000003</v>
      </c>
      <c r="U796" t="s">
        <v>17</v>
      </c>
      <c r="V796" t="s">
        <v>18</v>
      </c>
      <c r="W796" t="s">
        <v>1780</v>
      </c>
      <c r="X796" t="s">
        <v>17</v>
      </c>
      <c r="Y796" s="2" t="s">
        <v>599</v>
      </c>
      <c r="Z796">
        <v>0</v>
      </c>
      <c r="AA796" s="2">
        <v>-189033.88555000001</v>
      </c>
      <c r="AB796" t="str">
        <f>VLOOKUP(Table2[[#This Row],[product]],Ref[#All],6,FALSE)</f>
        <v>BAG20</v>
      </c>
    </row>
    <row r="797" spans="1:28" x14ac:dyDescent="0.25">
      <c r="A797" t="str">
        <f>TEXT(Table2[[#This Row],[dated]],"mmm")</f>
        <v>Jun</v>
      </c>
      <c r="B797" t="s">
        <v>596</v>
      </c>
      <c r="C797" s="1" t="s">
        <v>536</v>
      </c>
      <c r="D797" t="str">
        <f>VLOOKUP(Table2[[#This Row],[product]],Ref[#All],7,FALSE)</f>
        <v>Lentils</v>
      </c>
      <c r="E797" s="1" t="s">
        <v>39</v>
      </c>
      <c r="F797" t="str">
        <f>VLOOKUP(Table2[[#This Row],[product]],Ref[#All],2,FALSE)</f>
        <v>Lentil TAT 20KG</v>
      </c>
      <c r="G797" t="str">
        <f>VLOOKUP(Table2[[#This Row],[product]],Ref[#All],3,FALSE)</f>
        <v>Lentils</v>
      </c>
      <c r="H797" t="str">
        <f>VLOOKUP(Table2[[#This Row],[product]],Ref[#All],4,FALSE)</f>
        <v>Import</v>
      </c>
      <c r="I797" s="1">
        <v>45827</v>
      </c>
      <c r="J797" t="s">
        <v>53</v>
      </c>
      <c r="K797" t="s">
        <v>1781</v>
      </c>
      <c r="L797" t="s">
        <v>1651</v>
      </c>
      <c r="M797" t="s">
        <v>1586</v>
      </c>
      <c r="N797" t="s">
        <v>784</v>
      </c>
      <c r="O797" t="s">
        <v>785</v>
      </c>
      <c r="P797" t="s">
        <v>788</v>
      </c>
      <c r="Q797" t="s">
        <v>55</v>
      </c>
      <c r="R797">
        <v>-1</v>
      </c>
      <c r="S797" s="15">
        <f>Table2[[#This Row],[movement_quantity]]/VLOOKUP(Table2[[#This Row],[product]],Ref[#All],5,FALSE)</f>
        <v>-0.02</v>
      </c>
      <c r="T797">
        <v>37806.777110000003</v>
      </c>
      <c r="U797" t="s">
        <v>17</v>
      </c>
      <c r="V797" t="s">
        <v>21</v>
      </c>
      <c r="W797" t="s">
        <v>1782</v>
      </c>
      <c r="X797" t="s">
        <v>17</v>
      </c>
      <c r="Y797" s="2" t="s">
        <v>1783</v>
      </c>
      <c r="Z797">
        <v>0</v>
      </c>
      <c r="AA797" s="2">
        <v>-37806.777110000003</v>
      </c>
      <c r="AB797" t="str">
        <f>VLOOKUP(Table2[[#This Row],[product]],Ref[#All],6,FALSE)</f>
        <v>BAG20</v>
      </c>
    </row>
    <row r="798" spans="1:28" x14ac:dyDescent="0.25">
      <c r="A798" t="str">
        <f>TEXT(Table2[[#This Row],[dated]],"mmm")</f>
        <v>Jun</v>
      </c>
      <c r="B798" t="s">
        <v>596</v>
      </c>
      <c r="C798" s="1" t="s">
        <v>536</v>
      </c>
      <c r="D798" t="str">
        <f>VLOOKUP(Table2[[#This Row],[product]],Ref[#All],7,FALSE)</f>
        <v>Lentils</v>
      </c>
      <c r="E798" s="1" t="s">
        <v>39</v>
      </c>
      <c r="F798" t="str">
        <f>VLOOKUP(Table2[[#This Row],[product]],Ref[#All],2,FALSE)</f>
        <v>Lentil TAT 20KG</v>
      </c>
      <c r="G798" t="str">
        <f>VLOOKUP(Table2[[#This Row],[product]],Ref[#All],3,FALSE)</f>
        <v>Lentils</v>
      </c>
      <c r="H798" t="str">
        <f>VLOOKUP(Table2[[#This Row],[product]],Ref[#All],4,FALSE)</f>
        <v>Import</v>
      </c>
      <c r="I798" s="1">
        <v>45827</v>
      </c>
      <c r="J798" t="s">
        <v>53</v>
      </c>
      <c r="K798" t="s">
        <v>1784</v>
      </c>
      <c r="L798" t="s">
        <v>1651</v>
      </c>
      <c r="M798" t="s">
        <v>1586</v>
      </c>
      <c r="N798" t="s">
        <v>784</v>
      </c>
      <c r="O798" t="s">
        <v>785</v>
      </c>
      <c r="P798" t="s">
        <v>788</v>
      </c>
      <c r="Q798" t="s">
        <v>55</v>
      </c>
      <c r="R798">
        <v>-22</v>
      </c>
      <c r="S798" s="15">
        <f>Table2[[#This Row],[movement_quantity]]/VLOOKUP(Table2[[#This Row],[product]],Ref[#All],5,FALSE)</f>
        <v>-0.44</v>
      </c>
      <c r="T798">
        <v>37806.777110000003</v>
      </c>
      <c r="U798" t="s">
        <v>17</v>
      </c>
      <c r="V798" t="s">
        <v>22</v>
      </c>
      <c r="W798" t="s">
        <v>1785</v>
      </c>
      <c r="X798" t="s">
        <v>17</v>
      </c>
      <c r="Y798" s="2" t="s">
        <v>1783</v>
      </c>
      <c r="Z798">
        <v>0</v>
      </c>
      <c r="AA798" s="2">
        <v>-831749.09642000007</v>
      </c>
      <c r="AB798" t="str">
        <f>VLOOKUP(Table2[[#This Row],[product]],Ref[#All],6,FALSE)</f>
        <v>BAG20</v>
      </c>
    </row>
    <row r="799" spans="1:28" x14ac:dyDescent="0.25">
      <c r="A799" t="str">
        <f>TEXT(Table2[[#This Row],[dated]],"mmm")</f>
        <v>Jun</v>
      </c>
      <c r="B799" t="s">
        <v>596</v>
      </c>
      <c r="C799" s="1" t="s">
        <v>536</v>
      </c>
      <c r="D799" t="str">
        <f>VLOOKUP(Table2[[#This Row],[product]],Ref[#All],7,FALSE)</f>
        <v>Lentils</v>
      </c>
      <c r="E799" s="1" t="s">
        <v>39</v>
      </c>
      <c r="F799" t="str">
        <f>VLOOKUP(Table2[[#This Row],[product]],Ref[#All],2,FALSE)</f>
        <v>Lentil TAT 20KG</v>
      </c>
      <c r="G799" t="str">
        <f>VLOOKUP(Table2[[#This Row],[product]],Ref[#All],3,FALSE)</f>
        <v>Lentils</v>
      </c>
      <c r="H799" t="str">
        <f>VLOOKUP(Table2[[#This Row],[product]],Ref[#All],4,FALSE)</f>
        <v>Import</v>
      </c>
      <c r="I799" s="1">
        <v>45827</v>
      </c>
      <c r="J799" t="s">
        <v>53</v>
      </c>
      <c r="K799" t="s">
        <v>1786</v>
      </c>
      <c r="L799" t="s">
        <v>1651</v>
      </c>
      <c r="M799" t="s">
        <v>1586</v>
      </c>
      <c r="N799" t="s">
        <v>784</v>
      </c>
      <c r="O799" t="s">
        <v>785</v>
      </c>
      <c r="P799" t="s">
        <v>788</v>
      </c>
      <c r="Q799" t="s">
        <v>55</v>
      </c>
      <c r="R799">
        <v>-2</v>
      </c>
      <c r="S799" s="15">
        <f>Table2[[#This Row],[movement_quantity]]/VLOOKUP(Table2[[#This Row],[product]],Ref[#All],5,FALSE)</f>
        <v>-0.04</v>
      </c>
      <c r="T799">
        <v>37806.777110000003</v>
      </c>
      <c r="U799" t="s">
        <v>17</v>
      </c>
      <c r="V799" t="s">
        <v>23</v>
      </c>
      <c r="W799" t="s">
        <v>1787</v>
      </c>
      <c r="X799" t="s">
        <v>17</v>
      </c>
      <c r="Y799" s="2" t="s">
        <v>1783</v>
      </c>
      <c r="Z799">
        <v>0</v>
      </c>
      <c r="AA799" s="2">
        <v>-75613.554220000005</v>
      </c>
      <c r="AB799" t="str">
        <f>VLOOKUP(Table2[[#This Row],[product]],Ref[#All],6,FALSE)</f>
        <v>BAG20</v>
      </c>
    </row>
    <row r="800" spans="1:28" x14ac:dyDescent="0.25">
      <c r="A800" t="str">
        <f>TEXT(Table2[[#This Row],[dated]],"mmm")</f>
        <v>Jun</v>
      </c>
      <c r="B800" t="s">
        <v>596</v>
      </c>
      <c r="C800" s="1" t="s">
        <v>536</v>
      </c>
      <c r="D800" t="str">
        <f>VLOOKUP(Table2[[#This Row],[product]],Ref[#All],7,FALSE)</f>
        <v>Lentils</v>
      </c>
      <c r="E800" s="1" t="s">
        <v>39</v>
      </c>
      <c r="F800" t="str">
        <f>VLOOKUP(Table2[[#This Row],[product]],Ref[#All],2,FALSE)</f>
        <v>Lentil TAT 20KG</v>
      </c>
      <c r="G800" t="str">
        <f>VLOOKUP(Table2[[#This Row],[product]],Ref[#All],3,FALSE)</f>
        <v>Lentils</v>
      </c>
      <c r="H800" t="str">
        <f>VLOOKUP(Table2[[#This Row],[product]],Ref[#All],4,FALSE)</f>
        <v>Import</v>
      </c>
      <c r="I800" s="1">
        <v>45827</v>
      </c>
      <c r="J800" t="s">
        <v>53</v>
      </c>
      <c r="K800" t="s">
        <v>1788</v>
      </c>
      <c r="L800" t="s">
        <v>1651</v>
      </c>
      <c r="M800" t="s">
        <v>1586</v>
      </c>
      <c r="N800" t="s">
        <v>784</v>
      </c>
      <c r="O800" t="s">
        <v>785</v>
      </c>
      <c r="P800" t="s">
        <v>788</v>
      </c>
      <c r="Q800" t="s">
        <v>55</v>
      </c>
      <c r="R800">
        <v>-280</v>
      </c>
      <c r="S800" s="15">
        <f>Table2[[#This Row],[movement_quantity]]/VLOOKUP(Table2[[#This Row],[product]],Ref[#All],5,FALSE)</f>
        <v>-5.6</v>
      </c>
      <c r="T800">
        <v>37806.777110000003</v>
      </c>
      <c r="U800" t="s">
        <v>17</v>
      </c>
      <c r="V800" t="s">
        <v>24</v>
      </c>
      <c r="W800" t="s">
        <v>1789</v>
      </c>
      <c r="X800" t="s">
        <v>17</v>
      </c>
      <c r="Y800" s="2" t="s">
        <v>1783</v>
      </c>
      <c r="Z800">
        <v>0</v>
      </c>
      <c r="AA800" s="2">
        <v>-10585897.5908</v>
      </c>
      <c r="AB800" t="str">
        <f>VLOOKUP(Table2[[#This Row],[product]],Ref[#All],6,FALSE)</f>
        <v>BAG20</v>
      </c>
    </row>
    <row r="801" spans="1:28" x14ac:dyDescent="0.25">
      <c r="A801" t="str">
        <f>TEXT(Table2[[#This Row],[dated]],"mmm")</f>
        <v>Jun</v>
      </c>
      <c r="B801" t="s">
        <v>596</v>
      </c>
      <c r="C801" s="1" t="s">
        <v>536</v>
      </c>
      <c r="D801" t="str">
        <f>VLOOKUP(Table2[[#This Row],[product]],Ref[#All],7,FALSE)</f>
        <v>Lentils</v>
      </c>
      <c r="E801" s="1" t="s">
        <v>39</v>
      </c>
      <c r="F801" t="str">
        <f>VLOOKUP(Table2[[#This Row],[product]],Ref[#All],2,FALSE)</f>
        <v>Lentil TAT 20KG</v>
      </c>
      <c r="G801" t="str">
        <f>VLOOKUP(Table2[[#This Row],[product]],Ref[#All],3,FALSE)</f>
        <v>Lentils</v>
      </c>
      <c r="H801" t="str">
        <f>VLOOKUP(Table2[[#This Row],[product]],Ref[#All],4,FALSE)</f>
        <v>Import</v>
      </c>
      <c r="I801" s="1">
        <v>45827</v>
      </c>
      <c r="J801" t="s">
        <v>53</v>
      </c>
      <c r="K801" t="s">
        <v>1790</v>
      </c>
      <c r="L801" t="s">
        <v>1651</v>
      </c>
      <c r="M801" t="s">
        <v>1586</v>
      </c>
      <c r="N801" t="s">
        <v>784</v>
      </c>
      <c r="O801" t="s">
        <v>785</v>
      </c>
      <c r="P801" t="s">
        <v>788</v>
      </c>
      <c r="Q801" t="s">
        <v>55</v>
      </c>
      <c r="R801">
        <v>-4</v>
      </c>
      <c r="S801" s="15">
        <f>Table2[[#This Row],[movement_quantity]]/VLOOKUP(Table2[[#This Row],[product]],Ref[#All],5,FALSE)</f>
        <v>-0.08</v>
      </c>
      <c r="T801">
        <v>37806.777110000003</v>
      </c>
      <c r="U801" t="s">
        <v>17</v>
      </c>
      <c r="V801" t="s">
        <v>25</v>
      </c>
      <c r="W801" t="s">
        <v>1791</v>
      </c>
      <c r="X801" t="s">
        <v>17</v>
      </c>
      <c r="Y801" s="2" t="s">
        <v>1783</v>
      </c>
      <c r="Z801">
        <v>0</v>
      </c>
      <c r="AA801" s="2">
        <v>-151227.10844000001</v>
      </c>
      <c r="AB801" t="str">
        <f>VLOOKUP(Table2[[#This Row],[product]],Ref[#All],6,FALSE)</f>
        <v>BAG20</v>
      </c>
    </row>
    <row r="802" spans="1:28" x14ac:dyDescent="0.25">
      <c r="A802" t="str">
        <f>TEXT(Table2[[#This Row],[dated]],"mmm")</f>
        <v>Jun</v>
      </c>
      <c r="B802" t="s">
        <v>596</v>
      </c>
      <c r="C802" s="1" t="s">
        <v>536</v>
      </c>
      <c r="D802" t="str">
        <f>VLOOKUP(Table2[[#This Row],[product]],Ref[#All],7,FALSE)</f>
        <v>Sugar</v>
      </c>
      <c r="E802" s="1" t="s">
        <v>72</v>
      </c>
      <c r="F802" t="str">
        <f>VLOOKUP(Table2[[#This Row],[product]],Ref[#All],2,FALSE)</f>
        <v>White Sugar</v>
      </c>
      <c r="G802" t="str">
        <f>VLOOKUP(Table2[[#This Row],[product]],Ref[#All],3,FALSE)</f>
        <v>White Sugar</v>
      </c>
      <c r="H802" t="str">
        <f>VLOOKUP(Table2[[#This Row],[product]],Ref[#All],4,FALSE)</f>
        <v>Import</v>
      </c>
      <c r="I802" s="1">
        <v>45827</v>
      </c>
      <c r="J802" t="s">
        <v>53</v>
      </c>
      <c r="K802" t="s">
        <v>1792</v>
      </c>
      <c r="L802" t="s">
        <v>1651</v>
      </c>
      <c r="M802" t="s">
        <v>1586</v>
      </c>
      <c r="N802" t="s">
        <v>784</v>
      </c>
      <c r="O802" t="s">
        <v>785</v>
      </c>
      <c r="P802" t="s">
        <v>788</v>
      </c>
      <c r="Q802" t="s">
        <v>55</v>
      </c>
      <c r="R802">
        <v>-5</v>
      </c>
      <c r="S802" s="15">
        <f>Table2[[#This Row],[movement_quantity]]/VLOOKUP(Table2[[#This Row],[product]],Ref[#All],5,FALSE)</f>
        <v>-0.25</v>
      </c>
      <c r="T802">
        <v>83521.151800000007</v>
      </c>
      <c r="U802" t="s">
        <v>17</v>
      </c>
      <c r="V802" t="s">
        <v>18</v>
      </c>
      <c r="W802" t="s">
        <v>1793</v>
      </c>
      <c r="X802" t="s">
        <v>17</v>
      </c>
      <c r="Y802" s="2" t="s">
        <v>1320</v>
      </c>
      <c r="Z802">
        <v>0</v>
      </c>
      <c r="AA802" s="2">
        <v>-417605.75900000002</v>
      </c>
      <c r="AB802" t="str">
        <f>VLOOKUP(Table2[[#This Row],[product]],Ref[#All],6,FALSE)</f>
        <v>BAG50</v>
      </c>
    </row>
    <row r="803" spans="1:28" x14ac:dyDescent="0.25">
      <c r="A803" t="str">
        <f>TEXT(Table2[[#This Row],[dated]],"mmm")</f>
        <v>Jun</v>
      </c>
      <c r="B803" t="s">
        <v>596</v>
      </c>
      <c r="C803" s="1" t="s">
        <v>536</v>
      </c>
      <c r="D803" t="str">
        <f>VLOOKUP(Table2[[#This Row],[product]],Ref[#All],7,FALSE)</f>
        <v>Sugar</v>
      </c>
      <c r="E803" s="1" t="s">
        <v>72</v>
      </c>
      <c r="F803" t="str">
        <f>VLOOKUP(Table2[[#This Row],[product]],Ref[#All],2,FALSE)</f>
        <v>White Sugar</v>
      </c>
      <c r="G803" t="str">
        <f>VLOOKUP(Table2[[#This Row],[product]],Ref[#All],3,FALSE)</f>
        <v>White Sugar</v>
      </c>
      <c r="H803" t="str">
        <f>VLOOKUP(Table2[[#This Row],[product]],Ref[#All],4,FALSE)</f>
        <v>Import</v>
      </c>
      <c r="I803" s="1">
        <v>45827</v>
      </c>
      <c r="J803" t="s">
        <v>53</v>
      </c>
      <c r="K803" t="s">
        <v>1794</v>
      </c>
      <c r="L803" t="s">
        <v>1651</v>
      </c>
      <c r="M803" t="s">
        <v>1586</v>
      </c>
      <c r="N803" t="s">
        <v>784</v>
      </c>
      <c r="O803" t="s">
        <v>785</v>
      </c>
      <c r="P803" t="s">
        <v>788</v>
      </c>
      <c r="Q803" t="s">
        <v>55</v>
      </c>
      <c r="R803">
        <v>-3</v>
      </c>
      <c r="S803" s="15">
        <f>Table2[[#This Row],[movement_quantity]]/VLOOKUP(Table2[[#This Row],[product]],Ref[#All],5,FALSE)</f>
        <v>-0.15</v>
      </c>
      <c r="T803">
        <v>83521.151800000007</v>
      </c>
      <c r="U803" t="s">
        <v>17</v>
      </c>
      <c r="V803" t="s">
        <v>21</v>
      </c>
      <c r="W803" t="s">
        <v>1795</v>
      </c>
      <c r="X803" t="s">
        <v>17</v>
      </c>
      <c r="Y803" s="2" t="s">
        <v>1320</v>
      </c>
      <c r="Z803">
        <v>0</v>
      </c>
      <c r="AA803" s="2">
        <v>-250563.45540000004</v>
      </c>
      <c r="AB803" t="str">
        <f>VLOOKUP(Table2[[#This Row],[product]],Ref[#All],6,FALSE)</f>
        <v>BAG50</v>
      </c>
    </row>
    <row r="804" spans="1:28" x14ac:dyDescent="0.25">
      <c r="A804" t="str">
        <f>TEXT(Table2[[#This Row],[dated]],"mmm")</f>
        <v>Jun</v>
      </c>
      <c r="B804" t="s">
        <v>596</v>
      </c>
      <c r="C804" s="1" t="s">
        <v>536</v>
      </c>
      <c r="D804" t="str">
        <f>VLOOKUP(Table2[[#This Row],[product]],Ref[#All],7,FALSE)</f>
        <v>Sugar</v>
      </c>
      <c r="E804" s="1" t="s">
        <v>72</v>
      </c>
      <c r="F804" t="str">
        <f>VLOOKUP(Table2[[#This Row],[product]],Ref[#All],2,FALSE)</f>
        <v>White Sugar</v>
      </c>
      <c r="G804" t="str">
        <f>VLOOKUP(Table2[[#This Row],[product]],Ref[#All],3,FALSE)</f>
        <v>White Sugar</v>
      </c>
      <c r="H804" t="str">
        <f>VLOOKUP(Table2[[#This Row],[product]],Ref[#All],4,FALSE)</f>
        <v>Import</v>
      </c>
      <c r="I804" s="1">
        <v>45832</v>
      </c>
      <c r="J804" t="s">
        <v>53</v>
      </c>
      <c r="K804" t="s">
        <v>1796</v>
      </c>
      <c r="L804" t="s">
        <v>1651</v>
      </c>
      <c r="M804" t="s">
        <v>1586</v>
      </c>
      <c r="N804" t="s">
        <v>784</v>
      </c>
      <c r="O804" t="s">
        <v>785</v>
      </c>
      <c r="P804" t="s">
        <v>788</v>
      </c>
      <c r="Q804" t="s">
        <v>55</v>
      </c>
      <c r="R804">
        <v>-1</v>
      </c>
      <c r="S804" s="15">
        <f>Table2[[#This Row],[movement_quantity]]/VLOOKUP(Table2[[#This Row],[product]],Ref[#All],5,FALSE)</f>
        <v>-0.05</v>
      </c>
      <c r="T804">
        <v>83521.151800000007</v>
      </c>
      <c r="U804" t="s">
        <v>17</v>
      </c>
      <c r="V804" t="s">
        <v>18</v>
      </c>
      <c r="W804" t="s">
        <v>1797</v>
      </c>
      <c r="X804" t="s">
        <v>17</v>
      </c>
      <c r="Y804" s="2" t="s">
        <v>1320</v>
      </c>
      <c r="Z804">
        <v>0</v>
      </c>
      <c r="AA804" s="2">
        <v>-83521.151800000007</v>
      </c>
      <c r="AB804" t="str">
        <f>VLOOKUP(Table2[[#This Row],[product]],Ref[#All],6,FALSE)</f>
        <v>BAG50</v>
      </c>
    </row>
    <row r="805" spans="1:28" x14ac:dyDescent="0.25">
      <c r="A805" t="str">
        <f>TEXT(Table2[[#This Row],[dated]],"mmm")</f>
        <v>Jun</v>
      </c>
      <c r="B805" t="s">
        <v>642</v>
      </c>
      <c r="C805" s="1" t="s">
        <v>536</v>
      </c>
      <c r="D805" t="str">
        <f>VLOOKUP(Table2[[#This Row],[product]],Ref[#All],7,FALSE)</f>
        <v>Flour</v>
      </c>
      <c r="E805" s="1" t="s">
        <v>36</v>
      </c>
      <c r="F805" t="str">
        <f>VLOOKUP(Table2[[#This Row],[product]],Ref[#All],2,FALSE)</f>
        <v>Flour Import Elngm 25Kg</v>
      </c>
      <c r="G805" t="str">
        <f>VLOOKUP(Table2[[#This Row],[product]],Ref[#All],3,FALSE)</f>
        <v>Flour Al-Nagm (Imported)</v>
      </c>
      <c r="H805" t="str">
        <f>VLOOKUP(Table2[[#This Row],[product]],Ref[#All],4,FALSE)</f>
        <v>Import</v>
      </c>
      <c r="I805" s="1">
        <v>45827</v>
      </c>
      <c r="J805" t="s">
        <v>53</v>
      </c>
      <c r="K805" t="s">
        <v>1798</v>
      </c>
      <c r="L805" t="s">
        <v>1651</v>
      </c>
      <c r="M805" t="s">
        <v>1586</v>
      </c>
      <c r="N805" t="s">
        <v>784</v>
      </c>
      <c r="O805" t="s">
        <v>785</v>
      </c>
      <c r="P805" t="s">
        <v>788</v>
      </c>
      <c r="Q805" t="s">
        <v>55</v>
      </c>
      <c r="R805">
        <v>-6</v>
      </c>
      <c r="S805" s="15">
        <f>Table2[[#This Row],[movement_quantity]]/VLOOKUP(Table2[[#This Row],[product]],Ref[#All],5,FALSE)</f>
        <v>-0.15</v>
      </c>
      <c r="T805">
        <v>24758.555840000001</v>
      </c>
      <c r="U805" t="s">
        <v>17</v>
      </c>
      <c r="V805" t="s">
        <v>18</v>
      </c>
      <c r="W805" t="s">
        <v>1799</v>
      </c>
      <c r="X805" t="s">
        <v>17</v>
      </c>
      <c r="Y805" s="2" t="s">
        <v>1289</v>
      </c>
      <c r="Z805">
        <v>0</v>
      </c>
      <c r="AA805" s="2">
        <v>-148551.33504000001</v>
      </c>
      <c r="AB805" t="str">
        <f>VLOOKUP(Table2[[#This Row],[product]],Ref[#All],6,FALSE)</f>
        <v>BAG25</v>
      </c>
    </row>
    <row r="806" spans="1:28" x14ac:dyDescent="0.25">
      <c r="A806" t="str">
        <f>TEXT(Table2[[#This Row],[dated]],"mmm")</f>
        <v>Jun</v>
      </c>
      <c r="B806" t="s">
        <v>642</v>
      </c>
      <c r="C806" s="1" t="s">
        <v>536</v>
      </c>
      <c r="D806" t="str">
        <f>VLOOKUP(Table2[[#This Row],[product]],Ref[#All],7,FALSE)</f>
        <v>Flour</v>
      </c>
      <c r="E806" s="1" t="s">
        <v>36</v>
      </c>
      <c r="F806" t="str">
        <f>VLOOKUP(Table2[[#This Row],[product]],Ref[#All],2,FALSE)</f>
        <v>Flour Import Elngm 25Kg</v>
      </c>
      <c r="G806" t="str">
        <f>VLOOKUP(Table2[[#This Row],[product]],Ref[#All],3,FALSE)</f>
        <v>Flour Al-Nagm (Imported)</v>
      </c>
      <c r="H806" t="str">
        <f>VLOOKUP(Table2[[#This Row],[product]],Ref[#All],4,FALSE)</f>
        <v>Import</v>
      </c>
      <c r="I806" s="1">
        <v>45827</v>
      </c>
      <c r="J806" t="s">
        <v>53</v>
      </c>
      <c r="K806" t="s">
        <v>1800</v>
      </c>
      <c r="L806" t="s">
        <v>1651</v>
      </c>
      <c r="M806" t="s">
        <v>1586</v>
      </c>
      <c r="N806" t="s">
        <v>784</v>
      </c>
      <c r="O806" t="s">
        <v>785</v>
      </c>
      <c r="P806" t="s">
        <v>788</v>
      </c>
      <c r="Q806" t="s">
        <v>55</v>
      </c>
      <c r="R806">
        <v>-2</v>
      </c>
      <c r="S806" s="15">
        <f>Table2[[#This Row],[movement_quantity]]/VLOOKUP(Table2[[#This Row],[product]],Ref[#All],5,FALSE)</f>
        <v>-0.05</v>
      </c>
      <c r="T806">
        <v>24758.555840000001</v>
      </c>
      <c r="U806" t="s">
        <v>17</v>
      </c>
      <c r="V806" t="s">
        <v>21</v>
      </c>
      <c r="W806" t="s">
        <v>1801</v>
      </c>
      <c r="X806" t="s">
        <v>17</v>
      </c>
      <c r="Y806" s="2" t="s">
        <v>1289</v>
      </c>
      <c r="Z806">
        <v>0</v>
      </c>
      <c r="AA806" s="2">
        <v>-49517.111680000002</v>
      </c>
      <c r="AB806" t="str">
        <f>VLOOKUP(Table2[[#This Row],[product]],Ref[#All],6,FALSE)</f>
        <v>BAG25</v>
      </c>
    </row>
    <row r="807" spans="1:28" x14ac:dyDescent="0.25">
      <c r="A807" t="str">
        <f>TEXT(Table2[[#This Row],[dated]],"mmm")</f>
        <v>Jun</v>
      </c>
      <c r="B807" t="s">
        <v>642</v>
      </c>
      <c r="C807" s="1" t="s">
        <v>536</v>
      </c>
      <c r="D807" t="str">
        <f>VLOOKUP(Table2[[#This Row],[product]],Ref[#All],7,FALSE)</f>
        <v>Flour</v>
      </c>
      <c r="E807" s="1" t="s">
        <v>36</v>
      </c>
      <c r="F807" t="str">
        <f>VLOOKUP(Table2[[#This Row],[product]],Ref[#All],2,FALSE)</f>
        <v>Flour Import Elngm 25Kg</v>
      </c>
      <c r="G807" t="str">
        <f>VLOOKUP(Table2[[#This Row],[product]],Ref[#All],3,FALSE)</f>
        <v>Flour Al-Nagm (Imported)</v>
      </c>
      <c r="H807" t="str">
        <f>VLOOKUP(Table2[[#This Row],[product]],Ref[#All],4,FALSE)</f>
        <v>Import</v>
      </c>
      <c r="I807" s="1">
        <v>45827</v>
      </c>
      <c r="J807" t="s">
        <v>53</v>
      </c>
      <c r="K807" t="s">
        <v>1802</v>
      </c>
      <c r="L807" t="s">
        <v>1651</v>
      </c>
      <c r="M807" t="s">
        <v>1586</v>
      </c>
      <c r="N807" t="s">
        <v>784</v>
      </c>
      <c r="O807" t="s">
        <v>785</v>
      </c>
      <c r="P807" t="s">
        <v>788</v>
      </c>
      <c r="Q807" t="s">
        <v>55</v>
      </c>
      <c r="R807">
        <v>-2</v>
      </c>
      <c r="S807" s="15">
        <f>Table2[[#This Row],[movement_quantity]]/VLOOKUP(Table2[[#This Row],[product]],Ref[#All],5,FALSE)</f>
        <v>-0.05</v>
      </c>
      <c r="T807">
        <v>24758.555840000001</v>
      </c>
      <c r="U807" t="s">
        <v>17</v>
      </c>
      <c r="V807" t="s">
        <v>22</v>
      </c>
      <c r="W807" t="s">
        <v>1803</v>
      </c>
      <c r="X807" t="s">
        <v>17</v>
      </c>
      <c r="Y807" s="2" t="s">
        <v>1289</v>
      </c>
      <c r="Z807">
        <v>0</v>
      </c>
      <c r="AA807" s="2">
        <v>-49517.111680000002</v>
      </c>
      <c r="AB807" t="str">
        <f>VLOOKUP(Table2[[#This Row],[product]],Ref[#All],6,FALSE)</f>
        <v>BAG25</v>
      </c>
    </row>
    <row r="808" spans="1:28" x14ac:dyDescent="0.25">
      <c r="A808" t="str">
        <f>TEXT(Table2[[#This Row],[dated]],"mmm")</f>
        <v>Jun</v>
      </c>
      <c r="B808" t="s">
        <v>46</v>
      </c>
      <c r="C808" s="1" t="s">
        <v>536</v>
      </c>
      <c r="D808" t="str">
        <f>VLOOKUP(Table2[[#This Row],[product]],Ref[#All],7,FALSE)</f>
        <v>Flour</v>
      </c>
      <c r="E808" s="1" t="s">
        <v>36</v>
      </c>
      <c r="F808" t="str">
        <f>VLOOKUP(Table2[[#This Row],[product]],Ref[#All],2,FALSE)</f>
        <v>Flour Import Elngm 25Kg</v>
      </c>
      <c r="G808" t="str">
        <f>VLOOKUP(Table2[[#This Row],[product]],Ref[#All],3,FALSE)</f>
        <v>Flour Al-Nagm (Imported)</v>
      </c>
      <c r="H808" t="str">
        <f>VLOOKUP(Table2[[#This Row],[product]],Ref[#All],4,FALSE)</f>
        <v>Import</v>
      </c>
      <c r="I808" s="1">
        <v>45833</v>
      </c>
      <c r="J808" t="s">
        <v>53</v>
      </c>
      <c r="K808" t="s">
        <v>1804</v>
      </c>
      <c r="L808" t="s">
        <v>1651</v>
      </c>
      <c r="M808" t="s">
        <v>1586</v>
      </c>
      <c r="N808" t="s">
        <v>784</v>
      </c>
      <c r="O808" t="s">
        <v>785</v>
      </c>
      <c r="P808" t="s">
        <v>788</v>
      </c>
      <c r="Q808" t="s">
        <v>55</v>
      </c>
      <c r="R808">
        <v>-1</v>
      </c>
      <c r="S808" s="15">
        <f>Table2[[#This Row],[movement_quantity]]/VLOOKUP(Table2[[#This Row],[product]],Ref[#All],5,FALSE)</f>
        <v>-2.5000000000000001E-2</v>
      </c>
      <c r="T808">
        <v>24758.555840000001</v>
      </c>
      <c r="U808" t="s">
        <v>17</v>
      </c>
      <c r="V808" t="s">
        <v>18</v>
      </c>
      <c r="W808" t="s">
        <v>1805</v>
      </c>
      <c r="X808" t="s">
        <v>17</v>
      </c>
      <c r="Y808" s="2" t="s">
        <v>1289</v>
      </c>
      <c r="Z808">
        <v>0</v>
      </c>
      <c r="AA808" s="2">
        <v>-24758.555840000001</v>
      </c>
      <c r="AB808" t="str">
        <f>VLOOKUP(Table2[[#This Row],[product]],Ref[#All],6,FALSE)</f>
        <v>BAG25</v>
      </c>
    </row>
    <row r="809" spans="1:28" x14ac:dyDescent="0.25">
      <c r="A809" t="str">
        <f>TEXT(Table2[[#This Row],[dated]],"mmm")</f>
        <v>Jun</v>
      </c>
      <c r="B809" t="s">
        <v>46</v>
      </c>
      <c r="C809" s="1" t="s">
        <v>536</v>
      </c>
      <c r="D809" t="str">
        <f>VLOOKUP(Table2[[#This Row],[product]],Ref[#All],7,FALSE)</f>
        <v>Flour</v>
      </c>
      <c r="E809" s="1" t="s">
        <v>36</v>
      </c>
      <c r="F809" t="str">
        <f>VLOOKUP(Table2[[#This Row],[product]],Ref[#All],2,FALSE)</f>
        <v>Flour Import Elngm 25Kg</v>
      </c>
      <c r="G809" t="str">
        <f>VLOOKUP(Table2[[#This Row],[product]],Ref[#All],3,FALSE)</f>
        <v>Flour Al-Nagm (Imported)</v>
      </c>
      <c r="H809" t="str">
        <f>VLOOKUP(Table2[[#This Row],[product]],Ref[#All],4,FALSE)</f>
        <v>Import</v>
      </c>
      <c r="I809" s="1">
        <v>45833</v>
      </c>
      <c r="J809" t="s">
        <v>53</v>
      </c>
      <c r="K809" t="s">
        <v>1806</v>
      </c>
      <c r="L809" t="s">
        <v>1651</v>
      </c>
      <c r="M809" t="s">
        <v>1586</v>
      </c>
      <c r="N809" t="s">
        <v>784</v>
      </c>
      <c r="O809" t="s">
        <v>785</v>
      </c>
      <c r="P809" t="s">
        <v>788</v>
      </c>
      <c r="Q809" t="s">
        <v>55</v>
      </c>
      <c r="R809">
        <v>-17</v>
      </c>
      <c r="S809" s="15">
        <f>Table2[[#This Row],[movement_quantity]]/VLOOKUP(Table2[[#This Row],[product]],Ref[#All],5,FALSE)</f>
        <v>-0.42499999999999999</v>
      </c>
      <c r="T809">
        <v>24758.555840000001</v>
      </c>
      <c r="U809" t="s">
        <v>17</v>
      </c>
      <c r="V809" t="s">
        <v>21</v>
      </c>
      <c r="W809" t="s">
        <v>1807</v>
      </c>
      <c r="X809" t="s">
        <v>17</v>
      </c>
      <c r="Y809" s="2" t="s">
        <v>1289</v>
      </c>
      <c r="Z809">
        <v>0</v>
      </c>
      <c r="AA809" s="2">
        <v>-420895.44928</v>
      </c>
      <c r="AB809" t="str">
        <f>VLOOKUP(Table2[[#This Row],[product]],Ref[#All],6,FALSE)</f>
        <v>BAG25</v>
      </c>
    </row>
    <row r="810" spans="1:28" x14ac:dyDescent="0.25">
      <c r="A810" t="str">
        <f>TEXT(Table2[[#This Row],[dated]],"mmm")</f>
        <v>Jun</v>
      </c>
      <c r="B810" t="s">
        <v>46</v>
      </c>
      <c r="C810" s="1" t="s">
        <v>536</v>
      </c>
      <c r="D810" t="str">
        <f>VLOOKUP(Table2[[#This Row],[product]],Ref[#All],7,FALSE)</f>
        <v>Flour</v>
      </c>
      <c r="E810" s="1" t="s">
        <v>36</v>
      </c>
      <c r="F810" t="str">
        <f>VLOOKUP(Table2[[#This Row],[product]],Ref[#All],2,FALSE)</f>
        <v>Flour Import Elngm 25Kg</v>
      </c>
      <c r="G810" t="str">
        <f>VLOOKUP(Table2[[#This Row],[product]],Ref[#All],3,FALSE)</f>
        <v>Flour Al-Nagm (Imported)</v>
      </c>
      <c r="H810" t="str">
        <f>VLOOKUP(Table2[[#This Row],[product]],Ref[#All],4,FALSE)</f>
        <v>Import</v>
      </c>
      <c r="I810" s="1">
        <v>45833</v>
      </c>
      <c r="J810" t="s">
        <v>53</v>
      </c>
      <c r="K810" t="s">
        <v>1808</v>
      </c>
      <c r="L810" t="s">
        <v>1651</v>
      </c>
      <c r="M810" t="s">
        <v>1586</v>
      </c>
      <c r="N810" t="s">
        <v>784</v>
      </c>
      <c r="O810" t="s">
        <v>785</v>
      </c>
      <c r="P810" t="s">
        <v>788</v>
      </c>
      <c r="Q810" t="s">
        <v>55</v>
      </c>
      <c r="R810">
        <v>-1</v>
      </c>
      <c r="S810" s="15">
        <f>Table2[[#This Row],[movement_quantity]]/VLOOKUP(Table2[[#This Row],[product]],Ref[#All],5,FALSE)</f>
        <v>-2.5000000000000001E-2</v>
      </c>
      <c r="T810">
        <v>24758.555840000001</v>
      </c>
      <c r="U810" t="s">
        <v>17</v>
      </c>
      <c r="V810" t="s">
        <v>22</v>
      </c>
      <c r="W810" t="s">
        <v>1809</v>
      </c>
      <c r="X810" t="s">
        <v>17</v>
      </c>
      <c r="Y810" s="2" t="s">
        <v>1289</v>
      </c>
      <c r="Z810">
        <v>0</v>
      </c>
      <c r="AA810" s="2">
        <v>-24758.555840000001</v>
      </c>
      <c r="AB810" t="str">
        <f>VLOOKUP(Table2[[#This Row],[product]],Ref[#All],6,FALSE)</f>
        <v>BAG25</v>
      </c>
    </row>
    <row r="811" spans="1:28" x14ac:dyDescent="0.25">
      <c r="A811" t="str">
        <f>TEXT(Table2[[#This Row],[dated]],"mmm")</f>
        <v>Jun</v>
      </c>
      <c r="B811" t="s">
        <v>46</v>
      </c>
      <c r="C811" s="1" t="s">
        <v>536</v>
      </c>
      <c r="D811" t="str">
        <f>VLOOKUP(Table2[[#This Row],[product]],Ref[#All],7,FALSE)</f>
        <v>Flour</v>
      </c>
      <c r="E811" s="1" t="s">
        <v>36</v>
      </c>
      <c r="F811" t="str">
        <f>VLOOKUP(Table2[[#This Row],[product]],Ref[#All],2,FALSE)</f>
        <v>Flour Import Elngm 25Kg</v>
      </c>
      <c r="G811" t="str">
        <f>VLOOKUP(Table2[[#This Row],[product]],Ref[#All],3,FALSE)</f>
        <v>Flour Al-Nagm (Imported)</v>
      </c>
      <c r="H811" t="str">
        <f>VLOOKUP(Table2[[#This Row],[product]],Ref[#All],4,FALSE)</f>
        <v>Import</v>
      </c>
      <c r="I811" s="1">
        <v>45833</v>
      </c>
      <c r="J811" t="s">
        <v>53</v>
      </c>
      <c r="K811" t="s">
        <v>1810</v>
      </c>
      <c r="L811" t="s">
        <v>1651</v>
      </c>
      <c r="M811" t="s">
        <v>1586</v>
      </c>
      <c r="N811" t="s">
        <v>784</v>
      </c>
      <c r="O811" t="s">
        <v>785</v>
      </c>
      <c r="P811" t="s">
        <v>788</v>
      </c>
      <c r="Q811" t="s">
        <v>55</v>
      </c>
      <c r="R811">
        <v>-1</v>
      </c>
      <c r="S811" s="15">
        <f>Table2[[#This Row],[movement_quantity]]/VLOOKUP(Table2[[#This Row],[product]],Ref[#All],5,FALSE)</f>
        <v>-2.5000000000000001E-2</v>
      </c>
      <c r="T811">
        <v>24758.555840000001</v>
      </c>
      <c r="U811" t="s">
        <v>17</v>
      </c>
      <c r="V811" t="s">
        <v>23</v>
      </c>
      <c r="W811" t="s">
        <v>1811</v>
      </c>
      <c r="X811" t="s">
        <v>17</v>
      </c>
      <c r="Y811" s="2" t="s">
        <v>1289</v>
      </c>
      <c r="Z811">
        <v>0</v>
      </c>
      <c r="AA811" s="2">
        <v>-24758.555840000001</v>
      </c>
      <c r="AB811" t="str">
        <f>VLOOKUP(Table2[[#This Row],[product]],Ref[#All],6,FALSE)</f>
        <v>BAG25</v>
      </c>
    </row>
    <row r="812" spans="1:28" x14ac:dyDescent="0.25">
      <c r="A812" t="str">
        <f>TEXT(Table2[[#This Row],[dated]],"mmm")</f>
        <v>Jun</v>
      </c>
      <c r="B812" t="s">
        <v>46</v>
      </c>
      <c r="C812" s="1" t="s">
        <v>536</v>
      </c>
      <c r="D812" t="str">
        <f>VLOOKUP(Table2[[#This Row],[product]],Ref[#All],7,FALSE)</f>
        <v>Flour</v>
      </c>
      <c r="E812" s="1" t="s">
        <v>36</v>
      </c>
      <c r="F812" t="str">
        <f>VLOOKUP(Table2[[#This Row],[product]],Ref[#All],2,FALSE)</f>
        <v>Flour Import Elngm 25Kg</v>
      </c>
      <c r="G812" t="str">
        <f>VLOOKUP(Table2[[#This Row],[product]],Ref[#All],3,FALSE)</f>
        <v>Flour Al-Nagm (Imported)</v>
      </c>
      <c r="H812" t="str">
        <f>VLOOKUP(Table2[[#This Row],[product]],Ref[#All],4,FALSE)</f>
        <v>Import</v>
      </c>
      <c r="I812" s="1">
        <v>45833</v>
      </c>
      <c r="J812" t="s">
        <v>53</v>
      </c>
      <c r="K812" t="s">
        <v>1812</v>
      </c>
      <c r="L812" t="s">
        <v>1651</v>
      </c>
      <c r="M812" t="s">
        <v>1586</v>
      </c>
      <c r="N812" t="s">
        <v>784</v>
      </c>
      <c r="O812" t="s">
        <v>785</v>
      </c>
      <c r="P812" t="s">
        <v>788</v>
      </c>
      <c r="Q812" t="s">
        <v>55</v>
      </c>
      <c r="R812">
        <v>-2</v>
      </c>
      <c r="S812" s="15">
        <f>Table2[[#This Row],[movement_quantity]]/VLOOKUP(Table2[[#This Row],[product]],Ref[#All],5,FALSE)</f>
        <v>-0.05</v>
      </c>
      <c r="T812">
        <v>24758.555840000001</v>
      </c>
      <c r="U812" t="s">
        <v>17</v>
      </c>
      <c r="V812" t="s">
        <v>24</v>
      </c>
      <c r="W812" t="s">
        <v>1813</v>
      </c>
      <c r="X812" t="s">
        <v>17</v>
      </c>
      <c r="Y812" s="2" t="s">
        <v>1289</v>
      </c>
      <c r="Z812">
        <v>0</v>
      </c>
      <c r="AA812" s="2">
        <v>-49517.111680000002</v>
      </c>
      <c r="AB812" t="str">
        <f>VLOOKUP(Table2[[#This Row],[product]],Ref[#All],6,FALSE)</f>
        <v>BAG25</v>
      </c>
    </row>
    <row r="813" spans="1:28" x14ac:dyDescent="0.25">
      <c r="A813" t="str">
        <f>TEXT(Table2[[#This Row],[dated]],"mmm")</f>
        <v>Jun</v>
      </c>
      <c r="B813" t="s">
        <v>46</v>
      </c>
      <c r="C813" s="1" t="s">
        <v>536</v>
      </c>
      <c r="D813" t="str">
        <f>VLOOKUP(Table2[[#This Row],[product]],Ref[#All],7,FALSE)</f>
        <v>Flour</v>
      </c>
      <c r="E813" s="1" t="s">
        <v>36</v>
      </c>
      <c r="F813" t="str">
        <f>VLOOKUP(Table2[[#This Row],[product]],Ref[#All],2,FALSE)</f>
        <v>Flour Import Elngm 25Kg</v>
      </c>
      <c r="G813" t="str">
        <f>VLOOKUP(Table2[[#This Row],[product]],Ref[#All],3,FALSE)</f>
        <v>Flour Al-Nagm (Imported)</v>
      </c>
      <c r="H813" t="str">
        <f>VLOOKUP(Table2[[#This Row],[product]],Ref[#All],4,FALSE)</f>
        <v>Import</v>
      </c>
      <c r="I813" s="1">
        <v>45833</v>
      </c>
      <c r="J813" t="s">
        <v>53</v>
      </c>
      <c r="K813" t="s">
        <v>1814</v>
      </c>
      <c r="L813" t="s">
        <v>1651</v>
      </c>
      <c r="M813" t="s">
        <v>1586</v>
      </c>
      <c r="N813" t="s">
        <v>784</v>
      </c>
      <c r="O813" t="s">
        <v>785</v>
      </c>
      <c r="P813" t="s">
        <v>788</v>
      </c>
      <c r="Q813" t="s">
        <v>55</v>
      </c>
      <c r="R813">
        <v>-8</v>
      </c>
      <c r="S813" s="15">
        <f>Table2[[#This Row],[movement_quantity]]/VLOOKUP(Table2[[#This Row],[product]],Ref[#All],5,FALSE)</f>
        <v>-0.2</v>
      </c>
      <c r="T813">
        <v>24758.555840000001</v>
      </c>
      <c r="U813" t="s">
        <v>17</v>
      </c>
      <c r="V813" t="s">
        <v>25</v>
      </c>
      <c r="W813" t="s">
        <v>1815</v>
      </c>
      <c r="X813" t="s">
        <v>17</v>
      </c>
      <c r="Y813" s="2" t="s">
        <v>1289</v>
      </c>
      <c r="Z813">
        <v>0</v>
      </c>
      <c r="AA813" s="2">
        <v>-198068.44672000001</v>
      </c>
      <c r="AB813" t="str">
        <f>VLOOKUP(Table2[[#This Row],[product]],Ref[#All],6,FALSE)</f>
        <v>BAG25</v>
      </c>
    </row>
    <row r="814" spans="1:28" x14ac:dyDescent="0.25">
      <c r="A814" t="str">
        <f>TEXT(Table2[[#This Row],[dated]],"mmm")</f>
        <v>Jun</v>
      </c>
      <c r="B814" t="s">
        <v>46</v>
      </c>
      <c r="C814" s="1" t="s">
        <v>536</v>
      </c>
      <c r="D814" t="str">
        <f>VLOOKUP(Table2[[#This Row],[product]],Ref[#All],7,FALSE)</f>
        <v>Flour</v>
      </c>
      <c r="E814" s="1" t="s">
        <v>36</v>
      </c>
      <c r="F814" t="str">
        <f>VLOOKUP(Table2[[#This Row],[product]],Ref[#All],2,FALSE)</f>
        <v>Flour Import Elngm 25Kg</v>
      </c>
      <c r="G814" t="str">
        <f>VLOOKUP(Table2[[#This Row],[product]],Ref[#All],3,FALSE)</f>
        <v>Flour Al-Nagm (Imported)</v>
      </c>
      <c r="H814" t="str">
        <f>VLOOKUP(Table2[[#This Row],[product]],Ref[#All],4,FALSE)</f>
        <v>Import</v>
      </c>
      <c r="I814" s="1">
        <v>45833</v>
      </c>
      <c r="J814" t="s">
        <v>53</v>
      </c>
      <c r="K814" t="s">
        <v>1816</v>
      </c>
      <c r="L814" t="s">
        <v>1651</v>
      </c>
      <c r="M814" t="s">
        <v>1586</v>
      </c>
      <c r="N814" t="s">
        <v>784</v>
      </c>
      <c r="O814" t="s">
        <v>785</v>
      </c>
      <c r="P814" t="s">
        <v>788</v>
      </c>
      <c r="Q814" t="s">
        <v>55</v>
      </c>
      <c r="R814">
        <v>-57</v>
      </c>
      <c r="S814" s="15">
        <f>Table2[[#This Row],[movement_quantity]]/VLOOKUP(Table2[[#This Row],[product]],Ref[#All],5,FALSE)</f>
        <v>-1.425</v>
      </c>
      <c r="T814">
        <v>24758.555840000001</v>
      </c>
      <c r="U814" t="s">
        <v>17</v>
      </c>
      <c r="V814" t="s">
        <v>26</v>
      </c>
      <c r="W814" t="s">
        <v>1817</v>
      </c>
      <c r="X814" t="s">
        <v>17</v>
      </c>
      <c r="Y814" s="2" t="s">
        <v>1289</v>
      </c>
      <c r="Z814">
        <v>0</v>
      </c>
      <c r="AA814" s="2">
        <v>-1411237.68288</v>
      </c>
      <c r="AB814" t="str">
        <f>VLOOKUP(Table2[[#This Row],[product]],Ref[#All],6,FALSE)</f>
        <v>BAG25</v>
      </c>
    </row>
    <row r="815" spans="1:28" x14ac:dyDescent="0.25">
      <c r="A815" t="str">
        <f>TEXT(Table2[[#This Row],[dated]],"mmm")</f>
        <v>Jun</v>
      </c>
      <c r="B815" t="s">
        <v>46</v>
      </c>
      <c r="C815" s="1" t="s">
        <v>536</v>
      </c>
      <c r="D815" t="str">
        <f>VLOOKUP(Table2[[#This Row],[product]],Ref[#All],7,FALSE)</f>
        <v>Flour</v>
      </c>
      <c r="E815" s="1" t="s">
        <v>36</v>
      </c>
      <c r="F815" t="str">
        <f>VLOOKUP(Table2[[#This Row],[product]],Ref[#All],2,FALSE)</f>
        <v>Flour Import Elngm 25Kg</v>
      </c>
      <c r="G815" t="str">
        <f>VLOOKUP(Table2[[#This Row],[product]],Ref[#All],3,FALSE)</f>
        <v>Flour Al-Nagm (Imported)</v>
      </c>
      <c r="H815" t="str">
        <f>VLOOKUP(Table2[[#This Row],[product]],Ref[#All],4,FALSE)</f>
        <v>Import</v>
      </c>
      <c r="I815" s="1">
        <v>45833</v>
      </c>
      <c r="J815" t="s">
        <v>53</v>
      </c>
      <c r="K815" t="s">
        <v>1818</v>
      </c>
      <c r="L815" t="s">
        <v>1651</v>
      </c>
      <c r="M815" t="s">
        <v>1586</v>
      </c>
      <c r="N815" t="s">
        <v>784</v>
      </c>
      <c r="O815" t="s">
        <v>785</v>
      </c>
      <c r="P815" t="s">
        <v>788</v>
      </c>
      <c r="Q815" t="s">
        <v>55</v>
      </c>
      <c r="R815">
        <v>-4</v>
      </c>
      <c r="S815" s="15">
        <f>Table2[[#This Row],[movement_quantity]]/VLOOKUP(Table2[[#This Row],[product]],Ref[#All],5,FALSE)</f>
        <v>-0.1</v>
      </c>
      <c r="T815">
        <v>24758.555840000001</v>
      </c>
      <c r="U815" t="s">
        <v>17</v>
      </c>
      <c r="V815" t="s">
        <v>27</v>
      </c>
      <c r="W815" t="s">
        <v>1819</v>
      </c>
      <c r="X815" t="s">
        <v>17</v>
      </c>
      <c r="Y815" s="2" t="s">
        <v>1289</v>
      </c>
      <c r="Z815">
        <v>0</v>
      </c>
      <c r="AA815" s="2">
        <v>-99034.223360000004</v>
      </c>
      <c r="AB815" t="str">
        <f>VLOOKUP(Table2[[#This Row],[product]],Ref[#All],6,FALSE)</f>
        <v>BAG25</v>
      </c>
    </row>
    <row r="816" spans="1:28" x14ac:dyDescent="0.25">
      <c r="A816" t="str">
        <f>TEXT(Table2[[#This Row],[dated]],"mmm")</f>
        <v>Jun</v>
      </c>
      <c r="B816" t="s">
        <v>46</v>
      </c>
      <c r="C816" s="1" t="s">
        <v>536</v>
      </c>
      <c r="D816" t="str">
        <f>VLOOKUP(Table2[[#This Row],[product]],Ref[#All],7,FALSE)</f>
        <v>Flour</v>
      </c>
      <c r="E816" s="1" t="s">
        <v>36</v>
      </c>
      <c r="F816" t="str">
        <f>VLOOKUP(Table2[[#This Row],[product]],Ref[#All],2,FALSE)</f>
        <v>Flour Import Elngm 25Kg</v>
      </c>
      <c r="G816" t="str">
        <f>VLOOKUP(Table2[[#This Row],[product]],Ref[#All],3,FALSE)</f>
        <v>Flour Al-Nagm (Imported)</v>
      </c>
      <c r="H816" t="str">
        <f>VLOOKUP(Table2[[#This Row],[product]],Ref[#All],4,FALSE)</f>
        <v>Import</v>
      </c>
      <c r="I816" s="1">
        <v>45833</v>
      </c>
      <c r="J816" t="s">
        <v>53</v>
      </c>
      <c r="K816" t="s">
        <v>1820</v>
      </c>
      <c r="L816" t="s">
        <v>1651</v>
      </c>
      <c r="M816" t="s">
        <v>1586</v>
      </c>
      <c r="N816" t="s">
        <v>784</v>
      </c>
      <c r="O816" t="s">
        <v>785</v>
      </c>
      <c r="P816" t="s">
        <v>788</v>
      </c>
      <c r="Q816" t="s">
        <v>55</v>
      </c>
      <c r="R816">
        <v>-1</v>
      </c>
      <c r="S816" s="15">
        <f>Table2[[#This Row],[movement_quantity]]/VLOOKUP(Table2[[#This Row],[product]],Ref[#All],5,FALSE)</f>
        <v>-2.5000000000000001E-2</v>
      </c>
      <c r="T816">
        <v>24758.555840000001</v>
      </c>
      <c r="U816" t="s">
        <v>17</v>
      </c>
      <c r="V816" t="s">
        <v>28</v>
      </c>
      <c r="W816" t="s">
        <v>1821</v>
      </c>
      <c r="X816" t="s">
        <v>17</v>
      </c>
      <c r="Y816" s="2" t="s">
        <v>1289</v>
      </c>
      <c r="Z816">
        <v>0</v>
      </c>
      <c r="AA816" s="2">
        <v>-24758.555840000001</v>
      </c>
      <c r="AB816" t="str">
        <f>VLOOKUP(Table2[[#This Row],[product]],Ref[#All],6,FALSE)</f>
        <v>BAG25</v>
      </c>
    </row>
    <row r="817" spans="1:28" x14ac:dyDescent="0.25">
      <c r="A817" t="str">
        <f>TEXT(Table2[[#This Row],[dated]],"mmm")</f>
        <v>Jun</v>
      </c>
      <c r="B817" t="s">
        <v>46</v>
      </c>
      <c r="C817" s="1" t="s">
        <v>536</v>
      </c>
      <c r="D817" t="str">
        <f>VLOOKUP(Table2[[#This Row],[product]],Ref[#All],7,FALSE)</f>
        <v>Flour</v>
      </c>
      <c r="E817" s="1" t="s">
        <v>36</v>
      </c>
      <c r="F817" t="str">
        <f>VLOOKUP(Table2[[#This Row],[product]],Ref[#All],2,FALSE)</f>
        <v>Flour Import Elngm 25Kg</v>
      </c>
      <c r="G817" t="str">
        <f>VLOOKUP(Table2[[#This Row],[product]],Ref[#All],3,FALSE)</f>
        <v>Flour Al-Nagm (Imported)</v>
      </c>
      <c r="H817" t="str">
        <f>VLOOKUP(Table2[[#This Row],[product]],Ref[#All],4,FALSE)</f>
        <v>Import</v>
      </c>
      <c r="I817" s="1">
        <v>45833</v>
      </c>
      <c r="J817" t="s">
        <v>53</v>
      </c>
      <c r="K817" t="s">
        <v>1822</v>
      </c>
      <c r="L817" t="s">
        <v>1651</v>
      </c>
      <c r="M817" t="s">
        <v>1586</v>
      </c>
      <c r="N817" t="s">
        <v>784</v>
      </c>
      <c r="O817" t="s">
        <v>785</v>
      </c>
      <c r="P817" t="s">
        <v>788</v>
      </c>
      <c r="Q817" t="s">
        <v>55</v>
      </c>
      <c r="R817">
        <v>-10</v>
      </c>
      <c r="S817" s="15">
        <f>Table2[[#This Row],[movement_quantity]]/VLOOKUP(Table2[[#This Row],[product]],Ref[#All],5,FALSE)</f>
        <v>-0.25</v>
      </c>
      <c r="T817">
        <v>24758.555840000001</v>
      </c>
      <c r="U817" t="s">
        <v>17</v>
      </c>
      <c r="V817" t="s">
        <v>29</v>
      </c>
      <c r="W817" t="s">
        <v>1823</v>
      </c>
      <c r="X817" t="s">
        <v>17</v>
      </c>
      <c r="Y817" s="2" t="s">
        <v>1289</v>
      </c>
      <c r="Z817">
        <v>0</v>
      </c>
      <c r="AA817" s="2">
        <v>-247585.55840000001</v>
      </c>
      <c r="AB817" t="str">
        <f>VLOOKUP(Table2[[#This Row],[product]],Ref[#All],6,FALSE)</f>
        <v>BAG25</v>
      </c>
    </row>
    <row r="818" spans="1:28" x14ac:dyDescent="0.25">
      <c r="A818" t="str">
        <f>TEXT(Table2[[#This Row],[dated]],"mmm")</f>
        <v>Jun</v>
      </c>
      <c r="B818" t="s">
        <v>46</v>
      </c>
      <c r="C818" s="1" t="s">
        <v>536</v>
      </c>
      <c r="D818" t="str">
        <f>VLOOKUP(Table2[[#This Row],[product]],Ref[#All],7,FALSE)</f>
        <v>Flour</v>
      </c>
      <c r="E818" s="1" t="s">
        <v>36</v>
      </c>
      <c r="F818" t="str">
        <f>VLOOKUP(Table2[[#This Row],[product]],Ref[#All],2,FALSE)</f>
        <v>Flour Import Elngm 25Kg</v>
      </c>
      <c r="G818" t="str">
        <f>VLOOKUP(Table2[[#This Row],[product]],Ref[#All],3,FALSE)</f>
        <v>Flour Al-Nagm (Imported)</v>
      </c>
      <c r="H818" t="str">
        <f>VLOOKUP(Table2[[#This Row],[product]],Ref[#All],4,FALSE)</f>
        <v>Import</v>
      </c>
      <c r="I818" s="1">
        <v>45833</v>
      </c>
      <c r="J818" t="s">
        <v>53</v>
      </c>
      <c r="K818" t="s">
        <v>1824</v>
      </c>
      <c r="L818" t="s">
        <v>1651</v>
      </c>
      <c r="M818" t="s">
        <v>1586</v>
      </c>
      <c r="N818" t="s">
        <v>784</v>
      </c>
      <c r="O818" t="s">
        <v>785</v>
      </c>
      <c r="P818" t="s">
        <v>788</v>
      </c>
      <c r="Q818" t="s">
        <v>55</v>
      </c>
      <c r="R818">
        <v>-1</v>
      </c>
      <c r="S818" s="15">
        <f>Table2[[#This Row],[movement_quantity]]/VLOOKUP(Table2[[#This Row],[product]],Ref[#All],5,FALSE)</f>
        <v>-2.5000000000000001E-2</v>
      </c>
      <c r="T818">
        <v>24758.555840000001</v>
      </c>
      <c r="U818" t="s">
        <v>17</v>
      </c>
      <c r="V818" t="s">
        <v>31</v>
      </c>
      <c r="W818" t="s">
        <v>1825</v>
      </c>
      <c r="X818" t="s">
        <v>17</v>
      </c>
      <c r="Y818" s="2" t="s">
        <v>1289</v>
      </c>
      <c r="Z818">
        <v>0</v>
      </c>
      <c r="AA818" s="2">
        <v>-24758.555840000001</v>
      </c>
      <c r="AB818" t="str">
        <f>VLOOKUP(Table2[[#This Row],[product]],Ref[#All],6,FALSE)</f>
        <v>BAG25</v>
      </c>
    </row>
    <row r="819" spans="1:28" x14ac:dyDescent="0.25">
      <c r="A819" t="str">
        <f>TEXT(Table2[[#This Row],[dated]],"mmm")</f>
        <v>Jun</v>
      </c>
      <c r="B819" t="s">
        <v>46</v>
      </c>
      <c r="C819" s="1" t="s">
        <v>536</v>
      </c>
      <c r="D819" t="str">
        <f>VLOOKUP(Table2[[#This Row],[product]],Ref[#All],7,FALSE)</f>
        <v>Flour</v>
      </c>
      <c r="E819" s="1" t="s">
        <v>36</v>
      </c>
      <c r="F819" t="str">
        <f>VLOOKUP(Table2[[#This Row],[product]],Ref[#All],2,FALSE)</f>
        <v>Flour Import Elngm 25Kg</v>
      </c>
      <c r="G819" t="str">
        <f>VLOOKUP(Table2[[#This Row],[product]],Ref[#All],3,FALSE)</f>
        <v>Flour Al-Nagm (Imported)</v>
      </c>
      <c r="H819" t="str">
        <f>VLOOKUP(Table2[[#This Row],[product]],Ref[#All],4,FALSE)</f>
        <v>Import</v>
      </c>
      <c r="I819" s="1">
        <v>45833</v>
      </c>
      <c r="J819" t="s">
        <v>53</v>
      </c>
      <c r="K819" t="s">
        <v>1826</v>
      </c>
      <c r="L819" t="s">
        <v>1651</v>
      </c>
      <c r="M819" t="s">
        <v>1586</v>
      </c>
      <c r="N819" t="s">
        <v>784</v>
      </c>
      <c r="O819" t="s">
        <v>785</v>
      </c>
      <c r="P819" t="s">
        <v>788</v>
      </c>
      <c r="Q819" t="s">
        <v>55</v>
      </c>
      <c r="R819">
        <v>-6</v>
      </c>
      <c r="S819" s="15">
        <f>Table2[[#This Row],[movement_quantity]]/VLOOKUP(Table2[[#This Row],[product]],Ref[#All],5,FALSE)</f>
        <v>-0.15</v>
      </c>
      <c r="T819">
        <v>24758.555840000001</v>
      </c>
      <c r="U819" t="s">
        <v>17</v>
      </c>
      <c r="V819" t="s">
        <v>32</v>
      </c>
      <c r="W819" t="s">
        <v>1827</v>
      </c>
      <c r="X819" t="s">
        <v>17</v>
      </c>
      <c r="Y819" s="2" t="s">
        <v>1289</v>
      </c>
      <c r="Z819">
        <v>0</v>
      </c>
      <c r="AA819" s="2">
        <v>-148551.33504000001</v>
      </c>
      <c r="AB819" t="str">
        <f>VLOOKUP(Table2[[#This Row],[product]],Ref[#All],6,FALSE)</f>
        <v>BAG25</v>
      </c>
    </row>
    <row r="820" spans="1:28" x14ac:dyDescent="0.25">
      <c r="A820" t="str">
        <f>TEXT(Table2[[#This Row],[dated]],"mmm")</f>
        <v>Jun</v>
      </c>
      <c r="B820" t="s">
        <v>46</v>
      </c>
      <c r="C820" s="1" t="s">
        <v>536</v>
      </c>
      <c r="D820" t="str">
        <f>VLOOKUP(Table2[[#This Row],[product]],Ref[#All],7,FALSE)</f>
        <v>Flour</v>
      </c>
      <c r="E820" s="1" t="s">
        <v>36</v>
      </c>
      <c r="F820" t="str">
        <f>VLOOKUP(Table2[[#This Row],[product]],Ref[#All],2,FALSE)</f>
        <v>Flour Import Elngm 25Kg</v>
      </c>
      <c r="G820" t="str">
        <f>VLOOKUP(Table2[[#This Row],[product]],Ref[#All],3,FALSE)</f>
        <v>Flour Al-Nagm (Imported)</v>
      </c>
      <c r="H820" t="str">
        <f>VLOOKUP(Table2[[#This Row],[product]],Ref[#All],4,FALSE)</f>
        <v>Import</v>
      </c>
      <c r="I820" s="1">
        <v>45833</v>
      </c>
      <c r="J820" t="s">
        <v>53</v>
      </c>
      <c r="K820" t="s">
        <v>1828</v>
      </c>
      <c r="L820" t="s">
        <v>1651</v>
      </c>
      <c r="M820" t="s">
        <v>1586</v>
      </c>
      <c r="N820" t="s">
        <v>784</v>
      </c>
      <c r="O820" t="s">
        <v>785</v>
      </c>
      <c r="P820" t="s">
        <v>788</v>
      </c>
      <c r="Q820" t="s">
        <v>55</v>
      </c>
      <c r="R820">
        <v>-1</v>
      </c>
      <c r="S820" s="15">
        <f>Table2[[#This Row],[movement_quantity]]/VLOOKUP(Table2[[#This Row],[product]],Ref[#All],5,FALSE)</f>
        <v>-2.5000000000000001E-2</v>
      </c>
      <c r="T820">
        <v>24758.555840000001</v>
      </c>
      <c r="U820" t="s">
        <v>17</v>
      </c>
      <c r="V820" t="s">
        <v>44</v>
      </c>
      <c r="W820" t="s">
        <v>1829</v>
      </c>
      <c r="X820" t="s">
        <v>17</v>
      </c>
      <c r="Y820" s="2" t="s">
        <v>1289</v>
      </c>
      <c r="Z820">
        <v>0</v>
      </c>
      <c r="AA820" s="2">
        <v>-24758.555840000001</v>
      </c>
      <c r="AB820" t="str">
        <f>VLOOKUP(Table2[[#This Row],[product]],Ref[#All],6,FALSE)</f>
        <v>BAG25</v>
      </c>
    </row>
    <row r="821" spans="1:28" x14ac:dyDescent="0.25">
      <c r="A821" t="str">
        <f>TEXT(Table2[[#This Row],[dated]],"mmm")</f>
        <v>Jun</v>
      </c>
      <c r="B821" t="s">
        <v>46</v>
      </c>
      <c r="C821" s="1" t="s">
        <v>536</v>
      </c>
      <c r="D821" t="str">
        <f>VLOOKUP(Table2[[#This Row],[product]],Ref[#All],7,FALSE)</f>
        <v>Flour</v>
      </c>
      <c r="E821" s="1" t="s">
        <v>36</v>
      </c>
      <c r="F821" t="str">
        <f>VLOOKUP(Table2[[#This Row],[product]],Ref[#All],2,FALSE)</f>
        <v>Flour Import Elngm 25Kg</v>
      </c>
      <c r="G821" t="str">
        <f>VLOOKUP(Table2[[#This Row],[product]],Ref[#All],3,FALSE)</f>
        <v>Flour Al-Nagm (Imported)</v>
      </c>
      <c r="H821" t="str">
        <f>VLOOKUP(Table2[[#This Row],[product]],Ref[#All],4,FALSE)</f>
        <v>Import</v>
      </c>
      <c r="I821" s="1">
        <v>45833</v>
      </c>
      <c r="J821" t="s">
        <v>53</v>
      </c>
      <c r="K821" t="s">
        <v>1830</v>
      </c>
      <c r="L821" t="s">
        <v>1651</v>
      </c>
      <c r="M821" t="s">
        <v>1586</v>
      </c>
      <c r="N821" t="s">
        <v>784</v>
      </c>
      <c r="O821" t="s">
        <v>785</v>
      </c>
      <c r="P821" t="s">
        <v>788</v>
      </c>
      <c r="Q821" t="s">
        <v>55</v>
      </c>
      <c r="R821">
        <v>-2</v>
      </c>
      <c r="S821" s="15">
        <f>Table2[[#This Row],[movement_quantity]]/VLOOKUP(Table2[[#This Row],[product]],Ref[#All],5,FALSE)</f>
        <v>-0.05</v>
      </c>
      <c r="T821">
        <v>24758.555840000001</v>
      </c>
      <c r="U821" t="s">
        <v>17</v>
      </c>
      <c r="V821" t="s">
        <v>33</v>
      </c>
      <c r="W821" t="s">
        <v>1831</v>
      </c>
      <c r="X821" t="s">
        <v>17</v>
      </c>
      <c r="Y821" s="2" t="s">
        <v>1289</v>
      </c>
      <c r="Z821">
        <v>0</v>
      </c>
      <c r="AA821" s="2">
        <v>-49517.111680000002</v>
      </c>
      <c r="AB821" t="str">
        <f>VLOOKUP(Table2[[#This Row],[product]],Ref[#All],6,FALSE)</f>
        <v>BAG25</v>
      </c>
    </row>
    <row r="822" spans="1:28" x14ac:dyDescent="0.25">
      <c r="A822" t="str">
        <f>TEXT(Table2[[#This Row],[dated]],"mmm")</f>
        <v>Jun</v>
      </c>
      <c r="B822" t="s">
        <v>46</v>
      </c>
      <c r="C822" s="1" t="s">
        <v>536</v>
      </c>
      <c r="D822" t="str">
        <f>VLOOKUP(Table2[[#This Row],[product]],Ref[#All],7,FALSE)</f>
        <v>Flour</v>
      </c>
      <c r="E822" s="1" t="s">
        <v>36</v>
      </c>
      <c r="F822" t="str">
        <f>VLOOKUP(Table2[[#This Row],[product]],Ref[#All],2,FALSE)</f>
        <v>Flour Import Elngm 25Kg</v>
      </c>
      <c r="G822" t="str">
        <f>VLOOKUP(Table2[[#This Row],[product]],Ref[#All],3,FALSE)</f>
        <v>Flour Al-Nagm (Imported)</v>
      </c>
      <c r="H822" t="str">
        <f>VLOOKUP(Table2[[#This Row],[product]],Ref[#All],4,FALSE)</f>
        <v>Import</v>
      </c>
      <c r="I822" s="1">
        <v>45833</v>
      </c>
      <c r="J822" t="s">
        <v>53</v>
      </c>
      <c r="K822" t="s">
        <v>1832</v>
      </c>
      <c r="L822" t="s">
        <v>1651</v>
      </c>
      <c r="M822" t="s">
        <v>1586</v>
      </c>
      <c r="N822" t="s">
        <v>784</v>
      </c>
      <c r="O822" t="s">
        <v>785</v>
      </c>
      <c r="P822" t="s">
        <v>788</v>
      </c>
      <c r="Q822" t="s">
        <v>55</v>
      </c>
      <c r="R822">
        <v>-1</v>
      </c>
      <c r="S822" s="15">
        <f>Table2[[#This Row],[movement_quantity]]/VLOOKUP(Table2[[#This Row],[product]],Ref[#All],5,FALSE)</f>
        <v>-2.5000000000000001E-2</v>
      </c>
      <c r="T822">
        <v>24758.555840000001</v>
      </c>
      <c r="U822" t="s">
        <v>17</v>
      </c>
      <c r="V822" t="s">
        <v>34</v>
      </c>
      <c r="W822" t="s">
        <v>1833</v>
      </c>
      <c r="X822" t="s">
        <v>17</v>
      </c>
      <c r="Y822" s="2" t="s">
        <v>1289</v>
      </c>
      <c r="Z822">
        <v>0</v>
      </c>
      <c r="AA822" s="2">
        <v>-24758.555840000001</v>
      </c>
      <c r="AB822" t="str">
        <f>VLOOKUP(Table2[[#This Row],[product]],Ref[#All],6,FALSE)</f>
        <v>BAG25</v>
      </c>
    </row>
    <row r="823" spans="1:28" x14ac:dyDescent="0.25">
      <c r="A823" t="str">
        <f>TEXT(Table2[[#This Row],[dated]],"mmm")</f>
        <v>Jun</v>
      </c>
      <c r="B823" s="27" t="s">
        <v>46</v>
      </c>
      <c r="C823" s="1" t="s">
        <v>536</v>
      </c>
      <c r="D823" t="str">
        <f>VLOOKUP(Table2[[#This Row],[product]],Ref[#All],7,FALSE)</f>
        <v>Flour</v>
      </c>
      <c r="E823" s="22" t="s">
        <v>36</v>
      </c>
      <c r="F823" t="str">
        <f>VLOOKUP(Table2[[#This Row],[product]],Ref[#All],2,FALSE)</f>
        <v>Flour Import Elngm 25Kg</v>
      </c>
      <c r="G823" t="str">
        <f>VLOOKUP(Table2[[#This Row],[product]],Ref[#All],3,FALSE)</f>
        <v>Flour Al-Nagm (Imported)</v>
      </c>
      <c r="H823" t="str">
        <f>VLOOKUP(Table2[[#This Row],[product]],Ref[#All],4,FALSE)</f>
        <v>Import</v>
      </c>
      <c r="I823" s="22">
        <v>45833</v>
      </c>
      <c r="J823" s="21" t="s">
        <v>53</v>
      </c>
      <c r="K823" s="21" t="s">
        <v>1834</v>
      </c>
      <c r="L823" t="s">
        <v>1651</v>
      </c>
      <c r="M823" t="s">
        <v>1586</v>
      </c>
      <c r="N823" t="s">
        <v>784</v>
      </c>
      <c r="O823" t="s">
        <v>785</v>
      </c>
      <c r="P823" t="s">
        <v>788</v>
      </c>
      <c r="Q823" s="21" t="s">
        <v>55</v>
      </c>
      <c r="R823">
        <v>-2</v>
      </c>
      <c r="S823" s="15">
        <f>Table2[[#This Row],[movement_quantity]]/VLOOKUP(Table2[[#This Row],[product]],Ref[#All],5,FALSE)</f>
        <v>-0.05</v>
      </c>
      <c r="T823" s="21">
        <v>24758.555840000001</v>
      </c>
      <c r="U823" s="21" t="s">
        <v>17</v>
      </c>
      <c r="V823" s="21" t="s">
        <v>1282</v>
      </c>
      <c r="W823" s="21" t="s">
        <v>1835</v>
      </c>
      <c r="X823" s="21" t="s">
        <v>17</v>
      </c>
      <c r="Y823" s="35" t="s">
        <v>1289</v>
      </c>
      <c r="Z823" s="21">
        <v>0</v>
      </c>
      <c r="AA823" s="36">
        <v>-49517.111680000002</v>
      </c>
      <c r="AB823" t="str">
        <f>VLOOKUP(Table2[[#This Row],[product]],Ref[#All],6,FALSE)</f>
        <v>BAG25</v>
      </c>
    </row>
    <row r="824" spans="1:28" x14ac:dyDescent="0.25">
      <c r="A824" t="str">
        <f>TEXT(Table2[[#This Row],[dated]],"mmm")</f>
        <v>Jun</v>
      </c>
      <c r="B824" s="27" t="s">
        <v>46</v>
      </c>
      <c r="C824" s="1" t="s">
        <v>536</v>
      </c>
      <c r="D824" t="str">
        <f>VLOOKUP(Table2[[#This Row],[product]],Ref[#All],7,FALSE)</f>
        <v>Flour</v>
      </c>
      <c r="E824" s="22" t="s">
        <v>36</v>
      </c>
      <c r="F824" t="str">
        <f>VLOOKUP(Table2[[#This Row],[product]],Ref[#All],2,FALSE)</f>
        <v>Flour Import Elngm 25Kg</v>
      </c>
      <c r="G824" t="str">
        <f>VLOOKUP(Table2[[#This Row],[product]],Ref[#All],3,FALSE)</f>
        <v>Flour Al-Nagm (Imported)</v>
      </c>
      <c r="H824" t="str">
        <f>VLOOKUP(Table2[[#This Row],[product]],Ref[#All],4,FALSE)</f>
        <v>Import</v>
      </c>
      <c r="I824" s="22">
        <v>45833</v>
      </c>
      <c r="J824" s="21" t="s">
        <v>53</v>
      </c>
      <c r="K824" s="21" t="s">
        <v>1836</v>
      </c>
      <c r="L824" t="s">
        <v>1651</v>
      </c>
      <c r="M824" t="s">
        <v>1586</v>
      </c>
      <c r="N824" t="s">
        <v>784</v>
      </c>
      <c r="O824" t="s">
        <v>785</v>
      </c>
      <c r="P824" t="s">
        <v>788</v>
      </c>
      <c r="Q824" s="21" t="s">
        <v>55</v>
      </c>
      <c r="R824">
        <v>-8</v>
      </c>
      <c r="S824" s="15">
        <f>Table2[[#This Row],[movement_quantity]]/VLOOKUP(Table2[[#This Row],[product]],Ref[#All],5,FALSE)</f>
        <v>-0.2</v>
      </c>
      <c r="T824" s="21">
        <v>24758.555840000001</v>
      </c>
      <c r="U824" s="21" t="s">
        <v>17</v>
      </c>
      <c r="V824" s="21" t="s">
        <v>1352</v>
      </c>
      <c r="W824" s="21" t="s">
        <v>1837</v>
      </c>
      <c r="X824" s="21" t="s">
        <v>17</v>
      </c>
      <c r="Y824" s="35" t="s">
        <v>1289</v>
      </c>
      <c r="Z824" s="21">
        <v>0</v>
      </c>
      <c r="AA824" s="36">
        <v>-198068.44672000001</v>
      </c>
      <c r="AB824" t="str">
        <f>VLOOKUP(Table2[[#This Row],[product]],Ref[#All],6,FALSE)</f>
        <v>BAG25</v>
      </c>
    </row>
    <row r="825" spans="1:28" x14ac:dyDescent="0.25">
      <c r="A825" t="str">
        <f>TEXT(Table2[[#This Row],[dated]],"mmm")</f>
        <v>Jun</v>
      </c>
      <c r="B825" s="27" t="s">
        <v>46</v>
      </c>
      <c r="C825" s="1" t="s">
        <v>536</v>
      </c>
      <c r="D825" t="str">
        <f>VLOOKUP(Table2[[#This Row],[product]],Ref[#All],7,FALSE)</f>
        <v>Lentils</v>
      </c>
      <c r="E825" s="22" t="s">
        <v>39</v>
      </c>
      <c r="F825" t="str">
        <f>VLOOKUP(Table2[[#This Row],[product]],Ref[#All],2,FALSE)</f>
        <v>Lentil TAT 20KG</v>
      </c>
      <c r="G825" t="str">
        <f>VLOOKUP(Table2[[#This Row],[product]],Ref[#All],3,FALSE)</f>
        <v>Lentils</v>
      </c>
      <c r="H825" t="str">
        <f>VLOOKUP(Table2[[#This Row],[product]],Ref[#All],4,FALSE)</f>
        <v>Import</v>
      </c>
      <c r="I825" s="22">
        <v>45832</v>
      </c>
      <c r="J825" s="21" t="s">
        <v>53</v>
      </c>
      <c r="K825" s="21" t="s">
        <v>1841</v>
      </c>
      <c r="L825" t="s">
        <v>1651</v>
      </c>
      <c r="M825" t="s">
        <v>1586</v>
      </c>
      <c r="N825" t="s">
        <v>784</v>
      </c>
      <c r="O825" t="s">
        <v>785</v>
      </c>
      <c r="P825" t="s">
        <v>788</v>
      </c>
      <c r="Q825" s="21" t="s">
        <v>55</v>
      </c>
      <c r="R825">
        <v>-2</v>
      </c>
      <c r="S825" s="15">
        <f>Table2[[#This Row],[movement_quantity]]/VLOOKUP(Table2[[#This Row],[product]],Ref[#All],5,FALSE)</f>
        <v>-0.04</v>
      </c>
      <c r="T825" s="21">
        <v>37806.777110000003</v>
      </c>
      <c r="U825" s="21" t="s">
        <v>17</v>
      </c>
      <c r="V825" s="21" t="s">
        <v>18</v>
      </c>
      <c r="W825" s="21" t="s">
        <v>1842</v>
      </c>
      <c r="X825" s="21" t="s">
        <v>17</v>
      </c>
      <c r="Y825" s="35" t="s">
        <v>1244</v>
      </c>
      <c r="Z825" s="21">
        <v>0</v>
      </c>
      <c r="AA825" s="36">
        <v>-75613.554220000005</v>
      </c>
      <c r="AB825" t="str">
        <f>VLOOKUP(Table2[[#This Row],[product]],Ref[#All],6,FALSE)</f>
        <v>BAG20</v>
      </c>
    </row>
    <row r="826" spans="1:28" x14ac:dyDescent="0.25">
      <c r="A826" t="str">
        <f>TEXT(Table2[[#This Row],[dated]],"mmm")</f>
        <v>Jun</v>
      </c>
      <c r="B826" s="27" t="s">
        <v>46</v>
      </c>
      <c r="C826" s="1" t="s">
        <v>536</v>
      </c>
      <c r="D826" t="str">
        <f>VLOOKUP(Table2[[#This Row],[product]],Ref[#All],7,FALSE)</f>
        <v>Flour</v>
      </c>
      <c r="E826" s="22" t="s">
        <v>42</v>
      </c>
      <c r="F826" t="str">
        <f>VLOOKUP(Table2[[#This Row],[product]],Ref[#All],2,FALSE)</f>
        <v>Alnajm Flour from Mill 25KG</v>
      </c>
      <c r="G826" t="str">
        <f>VLOOKUP(Table2[[#This Row],[product]],Ref[#All],3,FALSE)</f>
        <v>Flour Al-Nagm (Mill)</v>
      </c>
      <c r="H826" t="str">
        <f>VLOOKUP(Table2[[#This Row],[product]],Ref[#All],4,FALSE)</f>
        <v>Import</v>
      </c>
      <c r="I826" s="22">
        <v>45833</v>
      </c>
      <c r="J826" s="21" t="s">
        <v>53</v>
      </c>
      <c r="K826" s="21" t="s">
        <v>1843</v>
      </c>
      <c r="L826" t="s">
        <v>1651</v>
      </c>
      <c r="M826" t="s">
        <v>1586</v>
      </c>
      <c r="N826" t="s">
        <v>784</v>
      </c>
      <c r="O826" t="s">
        <v>785</v>
      </c>
      <c r="P826" t="s">
        <v>788</v>
      </c>
      <c r="Q826" s="21" t="s">
        <v>55</v>
      </c>
      <c r="R826">
        <v>-16</v>
      </c>
      <c r="S826" s="15">
        <f>Table2[[#This Row],[movement_quantity]]/VLOOKUP(Table2[[#This Row],[product]],Ref[#All],5,FALSE)</f>
        <v>-0.4</v>
      </c>
      <c r="T826" s="21">
        <v>24758.555840000001</v>
      </c>
      <c r="U826" s="21" t="s">
        <v>17</v>
      </c>
      <c r="V826" s="21" t="s">
        <v>18</v>
      </c>
      <c r="W826" s="21" t="s">
        <v>1844</v>
      </c>
      <c r="X826" s="21" t="s">
        <v>17</v>
      </c>
      <c r="Y826" s="35" t="s">
        <v>1845</v>
      </c>
      <c r="Z826" s="21">
        <v>0</v>
      </c>
      <c r="AA826" s="36">
        <v>-396136.89344000001</v>
      </c>
      <c r="AB826" t="str">
        <f>VLOOKUP(Table2[[#This Row],[product]],Ref[#All],6,FALSE)</f>
        <v>BAG25</v>
      </c>
    </row>
    <row r="827" spans="1:28" x14ac:dyDescent="0.25">
      <c r="A827" t="str">
        <f>TEXT(Table2[[#This Row],[dated]],"mmm")</f>
        <v>Jun</v>
      </c>
      <c r="B827" s="27" t="s">
        <v>46</v>
      </c>
      <c r="C827" s="1" t="s">
        <v>536</v>
      </c>
      <c r="D827" t="str">
        <f>VLOOKUP(Table2[[#This Row],[product]],Ref[#All],7,FALSE)</f>
        <v>Flour</v>
      </c>
      <c r="E827" s="22" t="s">
        <v>42</v>
      </c>
      <c r="F827" t="str">
        <f>VLOOKUP(Table2[[#This Row],[product]],Ref[#All],2,FALSE)</f>
        <v>Alnajm Flour from Mill 25KG</v>
      </c>
      <c r="G827" t="str">
        <f>VLOOKUP(Table2[[#This Row],[product]],Ref[#All],3,FALSE)</f>
        <v>Flour Al-Nagm (Mill)</v>
      </c>
      <c r="H827" t="str">
        <f>VLOOKUP(Table2[[#This Row],[product]],Ref[#All],4,FALSE)</f>
        <v>Import</v>
      </c>
      <c r="I827" s="22">
        <v>45833</v>
      </c>
      <c r="J827" s="21" t="s">
        <v>53</v>
      </c>
      <c r="K827" s="21" t="s">
        <v>1846</v>
      </c>
      <c r="L827" t="s">
        <v>1651</v>
      </c>
      <c r="M827" t="s">
        <v>1586</v>
      </c>
      <c r="N827" t="s">
        <v>784</v>
      </c>
      <c r="O827" t="s">
        <v>785</v>
      </c>
      <c r="P827" t="s">
        <v>788</v>
      </c>
      <c r="Q827" s="21" t="s">
        <v>55</v>
      </c>
      <c r="R827">
        <v>-2</v>
      </c>
      <c r="S827" s="15">
        <f>Table2[[#This Row],[movement_quantity]]/VLOOKUP(Table2[[#This Row],[product]],Ref[#All],5,FALSE)</f>
        <v>-0.05</v>
      </c>
      <c r="T827" s="21">
        <v>24758.555840000001</v>
      </c>
      <c r="U827" s="21" t="s">
        <v>17</v>
      </c>
      <c r="V827" s="21" t="s">
        <v>21</v>
      </c>
      <c r="W827" s="21" t="s">
        <v>1847</v>
      </c>
      <c r="X827" s="21" t="s">
        <v>17</v>
      </c>
      <c r="Y827" s="35" t="s">
        <v>1845</v>
      </c>
      <c r="Z827" s="21">
        <v>0</v>
      </c>
      <c r="AA827" s="36">
        <v>-49517.111680000002</v>
      </c>
      <c r="AB827" t="str">
        <f>VLOOKUP(Table2[[#This Row],[product]],Ref[#All],6,FALSE)</f>
        <v>BAG25</v>
      </c>
    </row>
    <row r="828" spans="1:28" x14ac:dyDescent="0.25">
      <c r="A828" t="str">
        <f>TEXT(Table2[[#This Row],[dated]],"mmm")</f>
        <v>Jun</v>
      </c>
      <c r="B828" s="27" t="s">
        <v>46</v>
      </c>
      <c r="C828" s="1" t="s">
        <v>536</v>
      </c>
      <c r="D828" t="str">
        <f>VLOOKUP(Table2[[#This Row],[product]],Ref[#All],7,FALSE)</f>
        <v>Flour</v>
      </c>
      <c r="E828" s="22" t="s">
        <v>42</v>
      </c>
      <c r="F828" t="str">
        <f>VLOOKUP(Table2[[#This Row],[product]],Ref[#All],2,FALSE)</f>
        <v>Alnajm Flour from Mill 25KG</v>
      </c>
      <c r="G828" t="str">
        <f>VLOOKUP(Table2[[#This Row],[product]],Ref[#All],3,FALSE)</f>
        <v>Flour Al-Nagm (Mill)</v>
      </c>
      <c r="H828" t="str">
        <f>VLOOKUP(Table2[[#This Row],[product]],Ref[#All],4,FALSE)</f>
        <v>Import</v>
      </c>
      <c r="I828" s="22">
        <v>45833</v>
      </c>
      <c r="J828" s="21" t="s">
        <v>53</v>
      </c>
      <c r="K828" s="21" t="s">
        <v>1848</v>
      </c>
      <c r="L828" t="s">
        <v>1651</v>
      </c>
      <c r="M828" t="s">
        <v>1586</v>
      </c>
      <c r="N828" t="s">
        <v>784</v>
      </c>
      <c r="O828" t="s">
        <v>785</v>
      </c>
      <c r="P828" t="s">
        <v>788</v>
      </c>
      <c r="Q828" s="21" t="s">
        <v>55</v>
      </c>
      <c r="R828">
        <v>-3</v>
      </c>
      <c r="S828" s="15">
        <f>Table2[[#This Row],[movement_quantity]]/VLOOKUP(Table2[[#This Row],[product]],Ref[#All],5,FALSE)</f>
        <v>-7.4999999999999997E-2</v>
      </c>
      <c r="T828" s="21">
        <v>24758.555840000001</v>
      </c>
      <c r="U828" s="21" t="s">
        <v>17</v>
      </c>
      <c r="V828" s="21" t="s">
        <v>22</v>
      </c>
      <c r="W828" s="21" t="s">
        <v>1849</v>
      </c>
      <c r="X828" s="21" t="s">
        <v>17</v>
      </c>
      <c r="Y828" s="35" t="s">
        <v>1845</v>
      </c>
      <c r="Z828" s="21">
        <v>0</v>
      </c>
      <c r="AA828" s="36">
        <v>-74275.667520000003</v>
      </c>
      <c r="AB828" t="str">
        <f>VLOOKUP(Table2[[#This Row],[product]],Ref[#All],6,FALSE)</f>
        <v>BAG25</v>
      </c>
    </row>
    <row r="829" spans="1:28" x14ac:dyDescent="0.25">
      <c r="A829" t="str">
        <f>TEXT(Table2[[#This Row],[dated]],"mmm")</f>
        <v>Jun</v>
      </c>
      <c r="B829" s="27" t="s">
        <v>46</v>
      </c>
      <c r="C829" s="1" t="s">
        <v>536</v>
      </c>
      <c r="D829" t="str">
        <f>VLOOKUP(Table2[[#This Row],[product]],Ref[#All],7,FALSE)</f>
        <v>Flour</v>
      </c>
      <c r="E829" s="22" t="s">
        <v>42</v>
      </c>
      <c r="F829" t="str">
        <f>VLOOKUP(Table2[[#This Row],[product]],Ref[#All],2,FALSE)</f>
        <v>Alnajm Flour from Mill 25KG</v>
      </c>
      <c r="G829" t="str">
        <f>VLOOKUP(Table2[[#This Row],[product]],Ref[#All],3,FALSE)</f>
        <v>Flour Al-Nagm (Mill)</v>
      </c>
      <c r="H829" t="str">
        <f>VLOOKUP(Table2[[#This Row],[product]],Ref[#All],4,FALSE)</f>
        <v>Import</v>
      </c>
      <c r="I829" s="22">
        <v>45833</v>
      </c>
      <c r="J829" s="21" t="s">
        <v>53</v>
      </c>
      <c r="K829" s="21" t="s">
        <v>1850</v>
      </c>
      <c r="L829" t="s">
        <v>1651</v>
      </c>
      <c r="M829" t="s">
        <v>1586</v>
      </c>
      <c r="N829" t="s">
        <v>784</v>
      </c>
      <c r="O829" t="s">
        <v>785</v>
      </c>
      <c r="P829" t="s">
        <v>788</v>
      </c>
      <c r="Q829" s="21" t="s">
        <v>55</v>
      </c>
      <c r="R829">
        <v>-1</v>
      </c>
      <c r="S829" s="15">
        <f>Table2[[#This Row],[movement_quantity]]/VLOOKUP(Table2[[#This Row],[product]],Ref[#All],5,FALSE)</f>
        <v>-2.5000000000000001E-2</v>
      </c>
      <c r="T829" s="21">
        <v>24758.555840000001</v>
      </c>
      <c r="U829" s="21" t="s">
        <v>17</v>
      </c>
      <c r="V829" s="21" t="s">
        <v>23</v>
      </c>
      <c r="W829" s="21" t="s">
        <v>1851</v>
      </c>
      <c r="X829" s="21" t="s">
        <v>17</v>
      </c>
      <c r="Y829" s="35" t="s">
        <v>1845</v>
      </c>
      <c r="Z829" s="21">
        <v>0</v>
      </c>
      <c r="AA829" s="36">
        <v>-24758.555840000001</v>
      </c>
      <c r="AB829" t="str">
        <f>VLOOKUP(Table2[[#This Row],[product]],Ref[#All],6,FALSE)</f>
        <v>BAG25</v>
      </c>
    </row>
    <row r="830" spans="1:28" x14ac:dyDescent="0.25">
      <c r="A830" t="str">
        <f>TEXT(Table2[[#This Row],[dated]],"mmm")</f>
        <v>Jun</v>
      </c>
      <c r="B830" s="27" t="s">
        <v>46</v>
      </c>
      <c r="C830" s="1" t="s">
        <v>536</v>
      </c>
      <c r="D830" t="str">
        <f>VLOOKUP(Table2[[#This Row],[product]],Ref[#All],7,FALSE)</f>
        <v>Sugar</v>
      </c>
      <c r="E830" s="22" t="s">
        <v>72</v>
      </c>
      <c r="F830" t="str">
        <f>VLOOKUP(Table2[[#This Row],[product]],Ref[#All],2,FALSE)</f>
        <v>White Sugar</v>
      </c>
      <c r="G830" t="str">
        <f>VLOOKUP(Table2[[#This Row],[product]],Ref[#All],3,FALSE)</f>
        <v>White Sugar</v>
      </c>
      <c r="H830" t="str">
        <f>VLOOKUP(Table2[[#This Row],[product]],Ref[#All],4,FALSE)</f>
        <v>Import</v>
      </c>
      <c r="I830" s="22">
        <v>45827</v>
      </c>
      <c r="J830" s="21" t="s">
        <v>53</v>
      </c>
      <c r="K830" s="21" t="s">
        <v>1852</v>
      </c>
      <c r="L830" t="s">
        <v>1651</v>
      </c>
      <c r="M830" t="s">
        <v>1586</v>
      </c>
      <c r="N830" t="s">
        <v>784</v>
      </c>
      <c r="O830" t="s">
        <v>785</v>
      </c>
      <c r="P830" t="s">
        <v>788</v>
      </c>
      <c r="Q830" s="21" t="s">
        <v>55</v>
      </c>
      <c r="R830">
        <v>-6</v>
      </c>
      <c r="S830" s="15">
        <f>Table2[[#This Row],[movement_quantity]]/VLOOKUP(Table2[[#This Row],[product]],Ref[#All],5,FALSE)</f>
        <v>-0.3</v>
      </c>
      <c r="T830" s="21">
        <v>83521.151800000007</v>
      </c>
      <c r="U830" s="21" t="s">
        <v>17</v>
      </c>
      <c r="V830" s="21" t="s">
        <v>18</v>
      </c>
      <c r="W830" s="21" t="s">
        <v>1853</v>
      </c>
      <c r="X830" s="21" t="s">
        <v>17</v>
      </c>
      <c r="Y830" s="35" t="s">
        <v>1320</v>
      </c>
      <c r="Z830" s="21">
        <v>0</v>
      </c>
      <c r="AA830" s="36">
        <v>-501126.91080000007</v>
      </c>
      <c r="AB830" t="str">
        <f>VLOOKUP(Table2[[#This Row],[product]],Ref[#All],6,FALSE)</f>
        <v>BAG50</v>
      </c>
    </row>
    <row r="831" spans="1:28" x14ac:dyDescent="0.25">
      <c r="A831" t="str">
        <f>TEXT(Table2[[#This Row],[dated]],"mmm")</f>
        <v>Jun</v>
      </c>
      <c r="B831" s="27" t="s">
        <v>46</v>
      </c>
      <c r="C831" s="1" t="s">
        <v>536</v>
      </c>
      <c r="D831" t="str">
        <f>VLOOKUP(Table2[[#This Row],[product]],Ref[#All],7,FALSE)</f>
        <v>Sugar</v>
      </c>
      <c r="E831" s="22" t="s">
        <v>72</v>
      </c>
      <c r="F831" t="str">
        <f>VLOOKUP(Table2[[#This Row],[product]],Ref[#All],2,FALSE)</f>
        <v>White Sugar</v>
      </c>
      <c r="G831" t="str">
        <f>VLOOKUP(Table2[[#This Row],[product]],Ref[#All],3,FALSE)</f>
        <v>White Sugar</v>
      </c>
      <c r="H831" t="str">
        <f>VLOOKUP(Table2[[#This Row],[product]],Ref[#All],4,FALSE)</f>
        <v>Import</v>
      </c>
      <c r="I831" s="22">
        <v>45827</v>
      </c>
      <c r="J831" s="21" t="s">
        <v>53</v>
      </c>
      <c r="K831" s="21" t="s">
        <v>1854</v>
      </c>
      <c r="L831" t="s">
        <v>1651</v>
      </c>
      <c r="M831" t="s">
        <v>1586</v>
      </c>
      <c r="N831" t="s">
        <v>784</v>
      </c>
      <c r="O831" t="s">
        <v>785</v>
      </c>
      <c r="P831" t="s">
        <v>788</v>
      </c>
      <c r="Q831" s="21" t="s">
        <v>55</v>
      </c>
      <c r="R831">
        <v>-10</v>
      </c>
      <c r="S831" s="15">
        <f>Table2[[#This Row],[movement_quantity]]/VLOOKUP(Table2[[#This Row],[product]],Ref[#All],5,FALSE)</f>
        <v>-0.5</v>
      </c>
      <c r="T831" s="21">
        <v>83521.151800000007</v>
      </c>
      <c r="U831" s="21" t="s">
        <v>17</v>
      </c>
      <c r="V831" s="21" t="s">
        <v>21</v>
      </c>
      <c r="W831" s="21" t="s">
        <v>1855</v>
      </c>
      <c r="X831" s="21" t="s">
        <v>17</v>
      </c>
      <c r="Y831" s="35" t="s">
        <v>1320</v>
      </c>
      <c r="Z831" s="21">
        <v>0</v>
      </c>
      <c r="AA831" s="36">
        <v>-835211.51800000004</v>
      </c>
      <c r="AB831" t="str">
        <f>VLOOKUP(Table2[[#This Row],[product]],Ref[#All],6,FALSE)</f>
        <v>BAG50</v>
      </c>
    </row>
    <row r="832" spans="1:28" x14ac:dyDescent="0.25">
      <c r="A832" t="str">
        <f>TEXT(Table2[[#This Row],[dated]],"mmm")</f>
        <v>Jun</v>
      </c>
      <c r="B832" s="27" t="s">
        <v>46</v>
      </c>
      <c r="C832" s="1" t="s">
        <v>536</v>
      </c>
      <c r="D832" t="str">
        <f>VLOOKUP(Table2[[#This Row],[product]],Ref[#All],7,FALSE)</f>
        <v>Sugar</v>
      </c>
      <c r="E832" s="22" t="s">
        <v>72</v>
      </c>
      <c r="F832" t="str">
        <f>VLOOKUP(Table2[[#This Row],[product]],Ref[#All],2,FALSE)</f>
        <v>White Sugar</v>
      </c>
      <c r="G832" t="str">
        <f>VLOOKUP(Table2[[#This Row],[product]],Ref[#All],3,FALSE)</f>
        <v>White Sugar</v>
      </c>
      <c r="H832" t="str">
        <f>VLOOKUP(Table2[[#This Row],[product]],Ref[#All],4,FALSE)</f>
        <v>Import</v>
      </c>
      <c r="I832" s="22">
        <v>45827</v>
      </c>
      <c r="J832" s="21" t="s">
        <v>53</v>
      </c>
      <c r="K832" s="21" t="s">
        <v>1856</v>
      </c>
      <c r="L832" t="s">
        <v>1651</v>
      </c>
      <c r="M832" t="s">
        <v>1586</v>
      </c>
      <c r="N832" t="s">
        <v>784</v>
      </c>
      <c r="O832" t="s">
        <v>785</v>
      </c>
      <c r="P832" t="s">
        <v>788</v>
      </c>
      <c r="Q832" s="21" t="s">
        <v>55</v>
      </c>
      <c r="R832">
        <v>-2</v>
      </c>
      <c r="S832" s="15">
        <f>Table2[[#This Row],[movement_quantity]]/VLOOKUP(Table2[[#This Row],[product]],Ref[#All],5,FALSE)</f>
        <v>-0.1</v>
      </c>
      <c r="T832" s="21">
        <v>83521.151800000007</v>
      </c>
      <c r="U832" s="21" t="s">
        <v>17</v>
      </c>
      <c r="V832" s="21" t="s">
        <v>22</v>
      </c>
      <c r="W832" s="21" t="s">
        <v>1857</v>
      </c>
      <c r="X832" s="21" t="s">
        <v>17</v>
      </c>
      <c r="Y832" s="35" t="s">
        <v>1320</v>
      </c>
      <c r="Z832" s="21">
        <v>0</v>
      </c>
      <c r="AA832" s="36">
        <v>-167042.30360000001</v>
      </c>
      <c r="AB832" t="str">
        <f>VLOOKUP(Table2[[#This Row],[product]],Ref[#All],6,FALSE)</f>
        <v>BAG50</v>
      </c>
    </row>
    <row r="833" spans="1:28" x14ac:dyDescent="0.25">
      <c r="A833" t="str">
        <f>TEXT(Table2[[#This Row],[dated]],"mmm")</f>
        <v>Jun</v>
      </c>
      <c r="B833" s="27" t="s">
        <v>46</v>
      </c>
      <c r="C833" s="1" t="s">
        <v>536</v>
      </c>
      <c r="D833" t="str">
        <f>VLOOKUP(Table2[[#This Row],[product]],Ref[#All],7,FALSE)</f>
        <v>Sugar</v>
      </c>
      <c r="E833" s="22" t="s">
        <v>72</v>
      </c>
      <c r="F833" t="str">
        <f>VLOOKUP(Table2[[#This Row],[product]],Ref[#All],2,FALSE)</f>
        <v>White Sugar</v>
      </c>
      <c r="G833" t="str">
        <f>VLOOKUP(Table2[[#This Row],[product]],Ref[#All],3,FALSE)</f>
        <v>White Sugar</v>
      </c>
      <c r="H833" t="str">
        <f>VLOOKUP(Table2[[#This Row],[product]],Ref[#All],4,FALSE)</f>
        <v>Import</v>
      </c>
      <c r="I833" s="22">
        <v>45827</v>
      </c>
      <c r="J833" s="21" t="s">
        <v>53</v>
      </c>
      <c r="K833" s="21" t="s">
        <v>1858</v>
      </c>
      <c r="L833" t="s">
        <v>1651</v>
      </c>
      <c r="M833" t="s">
        <v>1586</v>
      </c>
      <c r="N833" t="s">
        <v>784</v>
      </c>
      <c r="O833" t="s">
        <v>785</v>
      </c>
      <c r="P833" t="s">
        <v>788</v>
      </c>
      <c r="Q833" s="21" t="s">
        <v>55</v>
      </c>
      <c r="R833">
        <v>-2</v>
      </c>
      <c r="S833" s="15">
        <f>Table2[[#This Row],[movement_quantity]]/VLOOKUP(Table2[[#This Row],[product]],Ref[#All],5,FALSE)</f>
        <v>-0.1</v>
      </c>
      <c r="T833" s="21">
        <v>83521.151800000007</v>
      </c>
      <c r="U833" s="21" t="s">
        <v>17</v>
      </c>
      <c r="V833" s="21" t="s">
        <v>23</v>
      </c>
      <c r="W833" s="21" t="s">
        <v>1859</v>
      </c>
      <c r="X833" s="21" t="s">
        <v>17</v>
      </c>
      <c r="Y833" s="35" t="s">
        <v>1320</v>
      </c>
      <c r="Z833" s="21">
        <v>0</v>
      </c>
      <c r="AA833" s="36">
        <v>-167042.30360000001</v>
      </c>
      <c r="AB833" t="str">
        <f>VLOOKUP(Table2[[#This Row],[product]],Ref[#All],6,FALSE)</f>
        <v>BAG50</v>
      </c>
    </row>
    <row r="834" spans="1:28" x14ac:dyDescent="0.25">
      <c r="A834" t="str">
        <f>TEXT(Table2[[#This Row],[dated]],"mmm")</f>
        <v>Jun</v>
      </c>
      <c r="B834" s="27" t="s">
        <v>46</v>
      </c>
      <c r="C834" s="1" t="s">
        <v>536</v>
      </c>
      <c r="D834" t="str">
        <f>VLOOKUP(Table2[[#This Row],[product]],Ref[#All],7,FALSE)</f>
        <v>Sugar</v>
      </c>
      <c r="E834" s="22" t="s">
        <v>72</v>
      </c>
      <c r="F834" t="str">
        <f>VLOOKUP(Table2[[#This Row],[product]],Ref[#All],2,FALSE)</f>
        <v>White Sugar</v>
      </c>
      <c r="G834" t="str">
        <f>VLOOKUP(Table2[[#This Row],[product]],Ref[#All],3,FALSE)</f>
        <v>White Sugar</v>
      </c>
      <c r="H834" t="str">
        <f>VLOOKUP(Table2[[#This Row],[product]],Ref[#All],4,FALSE)</f>
        <v>Import</v>
      </c>
      <c r="I834" s="22">
        <v>45827</v>
      </c>
      <c r="J834" s="21" t="s">
        <v>53</v>
      </c>
      <c r="K834" s="21" t="s">
        <v>1860</v>
      </c>
      <c r="L834" t="s">
        <v>1651</v>
      </c>
      <c r="M834" t="s">
        <v>1586</v>
      </c>
      <c r="N834" t="s">
        <v>784</v>
      </c>
      <c r="O834" t="s">
        <v>785</v>
      </c>
      <c r="P834" t="s">
        <v>788</v>
      </c>
      <c r="Q834" s="21" t="s">
        <v>55</v>
      </c>
      <c r="R834">
        <v>-1</v>
      </c>
      <c r="S834" s="15">
        <f>Table2[[#This Row],[movement_quantity]]/VLOOKUP(Table2[[#This Row],[product]],Ref[#All],5,FALSE)</f>
        <v>-0.05</v>
      </c>
      <c r="T834" s="21">
        <v>83521.151800000007</v>
      </c>
      <c r="U834" s="21" t="s">
        <v>17</v>
      </c>
      <c r="V834" s="21" t="s">
        <v>24</v>
      </c>
      <c r="W834" s="21" t="s">
        <v>1861</v>
      </c>
      <c r="X834" s="21" t="s">
        <v>17</v>
      </c>
      <c r="Y834" s="35" t="s">
        <v>1320</v>
      </c>
      <c r="Z834" s="21">
        <v>0</v>
      </c>
      <c r="AA834" s="36">
        <v>-83521.151800000007</v>
      </c>
      <c r="AB834" t="str">
        <f>VLOOKUP(Table2[[#This Row],[product]],Ref[#All],6,FALSE)</f>
        <v>BAG50</v>
      </c>
    </row>
    <row r="835" spans="1:28" x14ac:dyDescent="0.25">
      <c r="A835" t="str">
        <f>TEXT(Table2[[#This Row],[dated]],"mmm")</f>
        <v>Jun</v>
      </c>
      <c r="B835" s="27" t="s">
        <v>46</v>
      </c>
      <c r="C835" s="1" t="s">
        <v>536</v>
      </c>
      <c r="D835" t="str">
        <f>VLOOKUP(Table2[[#This Row],[product]],Ref[#All],7,FALSE)</f>
        <v>Sugar</v>
      </c>
      <c r="E835" s="22" t="s">
        <v>72</v>
      </c>
      <c r="F835" t="str">
        <f>VLOOKUP(Table2[[#This Row],[product]],Ref[#All],2,FALSE)</f>
        <v>White Sugar</v>
      </c>
      <c r="G835" t="str">
        <f>VLOOKUP(Table2[[#This Row],[product]],Ref[#All],3,FALSE)</f>
        <v>White Sugar</v>
      </c>
      <c r="H835" t="str">
        <f>VLOOKUP(Table2[[#This Row],[product]],Ref[#All],4,FALSE)</f>
        <v>Import</v>
      </c>
      <c r="I835" s="22">
        <v>45827</v>
      </c>
      <c r="J835" s="21" t="s">
        <v>53</v>
      </c>
      <c r="K835" s="21" t="s">
        <v>1862</v>
      </c>
      <c r="L835" t="s">
        <v>1651</v>
      </c>
      <c r="M835" t="s">
        <v>1586</v>
      </c>
      <c r="N835" t="s">
        <v>784</v>
      </c>
      <c r="O835" t="s">
        <v>785</v>
      </c>
      <c r="P835" t="s">
        <v>788</v>
      </c>
      <c r="Q835" s="21" t="s">
        <v>55</v>
      </c>
      <c r="R835">
        <v>-2</v>
      </c>
      <c r="S835" s="15">
        <f>Table2[[#This Row],[movement_quantity]]/VLOOKUP(Table2[[#This Row],[product]],Ref[#All],5,FALSE)</f>
        <v>-0.1</v>
      </c>
      <c r="T835" s="21">
        <v>83521.151800000007</v>
      </c>
      <c r="U835" s="21" t="s">
        <v>17</v>
      </c>
      <c r="V835" s="21" t="s">
        <v>25</v>
      </c>
      <c r="W835" s="21" t="s">
        <v>1863</v>
      </c>
      <c r="X835" s="21" t="s">
        <v>17</v>
      </c>
      <c r="Y835" s="35" t="s">
        <v>1320</v>
      </c>
      <c r="Z835" s="21">
        <v>0</v>
      </c>
      <c r="AA835" s="36">
        <v>-167042.30360000001</v>
      </c>
      <c r="AB835" t="str">
        <f>VLOOKUP(Table2[[#This Row],[product]],Ref[#All],6,FALSE)</f>
        <v>BAG50</v>
      </c>
    </row>
    <row r="836" spans="1:28" x14ac:dyDescent="0.25">
      <c r="A836" t="str">
        <f>TEXT(Table2[[#This Row],[dated]],"mmm")</f>
        <v>Jun</v>
      </c>
      <c r="B836" s="27" t="s">
        <v>46</v>
      </c>
      <c r="C836" s="1" t="s">
        <v>536</v>
      </c>
      <c r="D836" t="str">
        <f>VLOOKUP(Table2[[#This Row],[product]],Ref[#All],7,FALSE)</f>
        <v>Sugar</v>
      </c>
      <c r="E836" s="22" t="s">
        <v>72</v>
      </c>
      <c r="F836" t="str">
        <f>VLOOKUP(Table2[[#This Row],[product]],Ref[#All],2,FALSE)</f>
        <v>White Sugar</v>
      </c>
      <c r="G836" t="str">
        <f>VLOOKUP(Table2[[#This Row],[product]],Ref[#All],3,FALSE)</f>
        <v>White Sugar</v>
      </c>
      <c r="H836" t="str">
        <f>VLOOKUP(Table2[[#This Row],[product]],Ref[#All],4,FALSE)</f>
        <v>Import</v>
      </c>
      <c r="I836" s="22">
        <v>45827</v>
      </c>
      <c r="J836" s="21" t="s">
        <v>53</v>
      </c>
      <c r="K836" s="21" t="s">
        <v>1864</v>
      </c>
      <c r="L836" t="s">
        <v>1651</v>
      </c>
      <c r="M836" t="s">
        <v>1586</v>
      </c>
      <c r="N836" t="s">
        <v>784</v>
      </c>
      <c r="O836" t="s">
        <v>785</v>
      </c>
      <c r="P836" t="s">
        <v>788</v>
      </c>
      <c r="Q836" s="21" t="s">
        <v>55</v>
      </c>
      <c r="R836">
        <v>-1</v>
      </c>
      <c r="S836" s="15">
        <f>Table2[[#This Row],[movement_quantity]]/VLOOKUP(Table2[[#This Row],[product]],Ref[#All],5,FALSE)</f>
        <v>-0.05</v>
      </c>
      <c r="T836" s="21">
        <v>83521.151800000007</v>
      </c>
      <c r="U836" s="21" t="s">
        <v>17</v>
      </c>
      <c r="V836" s="21" t="s">
        <v>26</v>
      </c>
      <c r="W836" s="21" t="s">
        <v>1865</v>
      </c>
      <c r="X836" s="21" t="s">
        <v>17</v>
      </c>
      <c r="Y836" s="35" t="s">
        <v>1320</v>
      </c>
      <c r="Z836" s="21">
        <v>0</v>
      </c>
      <c r="AA836" s="36">
        <v>-83521.151800000007</v>
      </c>
      <c r="AB836" t="str">
        <f>VLOOKUP(Table2[[#This Row],[product]],Ref[#All],6,FALSE)</f>
        <v>BAG50</v>
      </c>
    </row>
    <row r="837" spans="1:28" x14ac:dyDescent="0.25">
      <c r="A837" t="str">
        <f>TEXT(Table2[[#This Row],[dated]],"mmm")</f>
        <v>Jun</v>
      </c>
      <c r="B837" s="27" t="s">
        <v>46</v>
      </c>
      <c r="C837" s="1" t="s">
        <v>536</v>
      </c>
      <c r="D837" t="str">
        <f>VLOOKUP(Table2[[#This Row],[product]],Ref[#All],7,FALSE)</f>
        <v>Sugar</v>
      </c>
      <c r="E837" s="22" t="s">
        <v>72</v>
      </c>
      <c r="F837" t="str">
        <f>VLOOKUP(Table2[[#This Row],[product]],Ref[#All],2,FALSE)</f>
        <v>White Sugar</v>
      </c>
      <c r="G837" t="str">
        <f>VLOOKUP(Table2[[#This Row],[product]],Ref[#All],3,FALSE)</f>
        <v>White Sugar</v>
      </c>
      <c r="H837" t="str">
        <f>VLOOKUP(Table2[[#This Row],[product]],Ref[#All],4,FALSE)</f>
        <v>Import</v>
      </c>
      <c r="I837" s="22">
        <v>45827</v>
      </c>
      <c r="J837" s="21" t="s">
        <v>53</v>
      </c>
      <c r="K837" s="21" t="s">
        <v>1866</v>
      </c>
      <c r="L837" t="s">
        <v>1651</v>
      </c>
      <c r="M837" t="s">
        <v>1586</v>
      </c>
      <c r="N837" t="s">
        <v>784</v>
      </c>
      <c r="O837" t="s">
        <v>785</v>
      </c>
      <c r="P837" t="s">
        <v>788</v>
      </c>
      <c r="Q837" s="21" t="s">
        <v>55</v>
      </c>
      <c r="R837">
        <v>-6</v>
      </c>
      <c r="S837" s="15">
        <f>Table2[[#This Row],[movement_quantity]]/VLOOKUP(Table2[[#This Row],[product]],Ref[#All],5,FALSE)</f>
        <v>-0.3</v>
      </c>
      <c r="T837" s="21">
        <v>83521.151800000007</v>
      </c>
      <c r="U837" s="21" t="s">
        <v>17</v>
      </c>
      <c r="V837" s="21" t="s">
        <v>27</v>
      </c>
      <c r="W837" s="21" t="s">
        <v>1867</v>
      </c>
      <c r="X837" s="21" t="s">
        <v>17</v>
      </c>
      <c r="Y837" s="35" t="s">
        <v>1320</v>
      </c>
      <c r="Z837" s="21">
        <v>0</v>
      </c>
      <c r="AA837" s="36">
        <v>-501126.91080000007</v>
      </c>
      <c r="AB837" t="str">
        <f>VLOOKUP(Table2[[#This Row],[product]],Ref[#All],6,FALSE)</f>
        <v>BAG50</v>
      </c>
    </row>
    <row r="838" spans="1:28" x14ac:dyDescent="0.25">
      <c r="A838" t="str">
        <f>TEXT(Table2[[#This Row],[dated]],"mmm")</f>
        <v>Jun</v>
      </c>
      <c r="B838" s="27" t="s">
        <v>46</v>
      </c>
      <c r="C838" s="1" t="s">
        <v>536</v>
      </c>
      <c r="D838" t="str">
        <f>VLOOKUP(Table2[[#This Row],[product]],Ref[#All],7,FALSE)</f>
        <v>Sugar</v>
      </c>
      <c r="E838" s="22" t="s">
        <v>72</v>
      </c>
      <c r="F838" t="str">
        <f>VLOOKUP(Table2[[#This Row],[product]],Ref[#All],2,FALSE)</f>
        <v>White Sugar</v>
      </c>
      <c r="G838" t="str">
        <f>VLOOKUP(Table2[[#This Row],[product]],Ref[#All],3,FALSE)</f>
        <v>White Sugar</v>
      </c>
      <c r="H838" t="str">
        <f>VLOOKUP(Table2[[#This Row],[product]],Ref[#All],4,FALSE)</f>
        <v>Import</v>
      </c>
      <c r="I838" s="22">
        <v>45827</v>
      </c>
      <c r="J838" s="21" t="s">
        <v>53</v>
      </c>
      <c r="K838" s="21" t="s">
        <v>1868</v>
      </c>
      <c r="L838" t="s">
        <v>1651</v>
      </c>
      <c r="M838" t="s">
        <v>1586</v>
      </c>
      <c r="N838" t="s">
        <v>784</v>
      </c>
      <c r="O838" t="s">
        <v>785</v>
      </c>
      <c r="P838" t="s">
        <v>788</v>
      </c>
      <c r="Q838" s="21" t="s">
        <v>55</v>
      </c>
      <c r="R838">
        <v>-2</v>
      </c>
      <c r="S838" s="15">
        <f>Table2[[#This Row],[movement_quantity]]/VLOOKUP(Table2[[#This Row],[product]],Ref[#All],5,FALSE)</f>
        <v>-0.1</v>
      </c>
      <c r="T838" s="21">
        <v>83521.151800000007</v>
      </c>
      <c r="U838" s="21" t="s">
        <v>17</v>
      </c>
      <c r="V838" s="21" t="s">
        <v>28</v>
      </c>
      <c r="W838" s="21" t="s">
        <v>1869</v>
      </c>
      <c r="X838" s="21" t="s">
        <v>17</v>
      </c>
      <c r="Y838" s="35" t="s">
        <v>1320</v>
      </c>
      <c r="Z838" s="21">
        <v>0</v>
      </c>
      <c r="AA838" s="36">
        <v>-167042.30360000001</v>
      </c>
      <c r="AB838" t="str">
        <f>VLOOKUP(Table2[[#This Row],[product]],Ref[#All],6,FALSE)</f>
        <v>BAG50</v>
      </c>
    </row>
    <row r="839" spans="1:28" x14ac:dyDescent="0.25">
      <c r="A839" t="str">
        <f>TEXT(Table2[[#This Row],[dated]],"mmm")</f>
        <v>Jun</v>
      </c>
      <c r="B839" s="27" t="s">
        <v>46</v>
      </c>
      <c r="C839" s="1" t="s">
        <v>536</v>
      </c>
      <c r="D839" t="str">
        <f>VLOOKUP(Table2[[#This Row],[product]],Ref[#All],7,FALSE)</f>
        <v>Sugar</v>
      </c>
      <c r="E839" s="22" t="s">
        <v>72</v>
      </c>
      <c r="F839" t="str">
        <f>VLOOKUP(Table2[[#This Row],[product]],Ref[#All],2,FALSE)</f>
        <v>White Sugar</v>
      </c>
      <c r="G839" t="str">
        <f>VLOOKUP(Table2[[#This Row],[product]],Ref[#All],3,FALSE)</f>
        <v>White Sugar</v>
      </c>
      <c r="H839" t="str">
        <f>VLOOKUP(Table2[[#This Row],[product]],Ref[#All],4,FALSE)</f>
        <v>Import</v>
      </c>
      <c r="I839" s="22">
        <v>45827</v>
      </c>
      <c r="J839" s="21" t="s">
        <v>53</v>
      </c>
      <c r="K839" s="21" t="s">
        <v>1870</v>
      </c>
      <c r="L839" t="s">
        <v>1651</v>
      </c>
      <c r="M839" t="s">
        <v>1586</v>
      </c>
      <c r="N839" t="s">
        <v>784</v>
      </c>
      <c r="O839" t="s">
        <v>785</v>
      </c>
      <c r="P839" t="s">
        <v>788</v>
      </c>
      <c r="Q839" s="21" t="s">
        <v>55</v>
      </c>
      <c r="R839">
        <v>-7</v>
      </c>
      <c r="S839" s="15">
        <f>Table2[[#This Row],[movement_quantity]]/VLOOKUP(Table2[[#This Row],[product]],Ref[#All],5,FALSE)</f>
        <v>-0.35</v>
      </c>
      <c r="T839" s="21">
        <v>83521.151800000007</v>
      </c>
      <c r="U839" s="21" t="s">
        <v>17</v>
      </c>
      <c r="V839" s="21" t="s">
        <v>29</v>
      </c>
      <c r="W839" s="21" t="s">
        <v>1871</v>
      </c>
      <c r="X839" s="21" t="s">
        <v>17</v>
      </c>
      <c r="Y839" s="35" t="s">
        <v>1320</v>
      </c>
      <c r="Z839" s="21">
        <v>0</v>
      </c>
      <c r="AA839" s="36">
        <v>-584648.06260000006</v>
      </c>
      <c r="AB839" t="str">
        <f>VLOOKUP(Table2[[#This Row],[product]],Ref[#All],6,FALSE)</f>
        <v>BAG50</v>
      </c>
    </row>
    <row r="840" spans="1:28" x14ac:dyDescent="0.25">
      <c r="A840" t="str">
        <f>TEXT(Table2[[#This Row],[dated]],"mmm")</f>
        <v>Jun</v>
      </c>
      <c r="B840" s="27" t="s">
        <v>46</v>
      </c>
      <c r="C840" s="1" t="s">
        <v>536</v>
      </c>
      <c r="D840" t="str">
        <f>VLOOKUP(Table2[[#This Row],[product]],Ref[#All],7,FALSE)</f>
        <v>Sugar</v>
      </c>
      <c r="E840" s="22" t="s">
        <v>72</v>
      </c>
      <c r="F840" t="str">
        <f>VLOOKUP(Table2[[#This Row],[product]],Ref[#All],2,FALSE)</f>
        <v>White Sugar</v>
      </c>
      <c r="G840" t="str">
        <f>VLOOKUP(Table2[[#This Row],[product]],Ref[#All],3,FALSE)</f>
        <v>White Sugar</v>
      </c>
      <c r="H840" t="str">
        <f>VLOOKUP(Table2[[#This Row],[product]],Ref[#All],4,FALSE)</f>
        <v>Import</v>
      </c>
      <c r="I840" s="22">
        <v>45827</v>
      </c>
      <c r="J840" s="21" t="s">
        <v>53</v>
      </c>
      <c r="K840" s="21" t="s">
        <v>1872</v>
      </c>
      <c r="L840" t="s">
        <v>1651</v>
      </c>
      <c r="M840" t="s">
        <v>1586</v>
      </c>
      <c r="N840" t="s">
        <v>784</v>
      </c>
      <c r="O840" t="s">
        <v>785</v>
      </c>
      <c r="P840" t="s">
        <v>788</v>
      </c>
      <c r="Q840" s="21" t="s">
        <v>55</v>
      </c>
      <c r="R840">
        <v>-4</v>
      </c>
      <c r="S840" s="15">
        <f>Table2[[#This Row],[movement_quantity]]/VLOOKUP(Table2[[#This Row],[product]],Ref[#All],5,FALSE)</f>
        <v>-0.2</v>
      </c>
      <c r="T840" s="21">
        <v>83521.151800000007</v>
      </c>
      <c r="U840" s="21" t="s">
        <v>17</v>
      </c>
      <c r="V840" s="21" t="s">
        <v>31</v>
      </c>
      <c r="W840" s="21" t="s">
        <v>1873</v>
      </c>
      <c r="X840" s="21" t="s">
        <v>17</v>
      </c>
      <c r="Y840" s="35" t="s">
        <v>1320</v>
      </c>
      <c r="Z840" s="21">
        <v>0</v>
      </c>
      <c r="AA840" s="36">
        <v>-334084.60720000003</v>
      </c>
      <c r="AB840" t="str">
        <f>VLOOKUP(Table2[[#This Row],[product]],Ref[#All],6,FALSE)</f>
        <v>BAG50</v>
      </c>
    </row>
    <row r="841" spans="1:28" x14ac:dyDescent="0.25">
      <c r="A841" t="str">
        <f>TEXT(Table2[[#This Row],[dated]],"mmm")</f>
        <v>Jun</v>
      </c>
      <c r="B841" s="27" t="s">
        <v>46</v>
      </c>
      <c r="C841" s="1" t="s">
        <v>536</v>
      </c>
      <c r="D841" t="str">
        <f>VLOOKUP(Table2[[#This Row],[product]],Ref[#All],7,FALSE)</f>
        <v>Sugar</v>
      </c>
      <c r="E841" s="22" t="s">
        <v>72</v>
      </c>
      <c r="F841" t="str">
        <f>VLOOKUP(Table2[[#This Row],[product]],Ref[#All],2,FALSE)</f>
        <v>White Sugar</v>
      </c>
      <c r="G841" t="str">
        <f>VLOOKUP(Table2[[#This Row],[product]],Ref[#All],3,FALSE)</f>
        <v>White Sugar</v>
      </c>
      <c r="H841" t="str">
        <f>VLOOKUP(Table2[[#This Row],[product]],Ref[#All],4,FALSE)</f>
        <v>Import</v>
      </c>
      <c r="I841" s="22">
        <v>45827</v>
      </c>
      <c r="J841" s="21" t="s">
        <v>53</v>
      </c>
      <c r="K841" s="21" t="s">
        <v>1874</v>
      </c>
      <c r="L841" t="s">
        <v>1651</v>
      </c>
      <c r="M841" t="s">
        <v>1586</v>
      </c>
      <c r="N841" t="s">
        <v>784</v>
      </c>
      <c r="O841" t="s">
        <v>785</v>
      </c>
      <c r="P841" t="s">
        <v>788</v>
      </c>
      <c r="Q841" s="21" t="s">
        <v>55</v>
      </c>
      <c r="R841">
        <v>-1</v>
      </c>
      <c r="S841" s="15">
        <f>Table2[[#This Row],[movement_quantity]]/VLOOKUP(Table2[[#This Row],[product]],Ref[#All],5,FALSE)</f>
        <v>-0.05</v>
      </c>
      <c r="T841" s="21">
        <v>83521.151800000007</v>
      </c>
      <c r="U841" s="21" t="s">
        <v>17</v>
      </c>
      <c r="V841" s="21" t="s">
        <v>32</v>
      </c>
      <c r="W841" s="21" t="s">
        <v>1875</v>
      </c>
      <c r="X841" s="21" t="s">
        <v>17</v>
      </c>
      <c r="Y841" s="35" t="s">
        <v>1320</v>
      </c>
      <c r="Z841" s="21">
        <v>0</v>
      </c>
      <c r="AA841" s="36">
        <v>-83521.151800000007</v>
      </c>
      <c r="AB841" t="str">
        <f>VLOOKUP(Table2[[#This Row],[product]],Ref[#All],6,FALSE)</f>
        <v>BAG50</v>
      </c>
    </row>
    <row r="842" spans="1:28" x14ac:dyDescent="0.25">
      <c r="A842" t="str">
        <f>TEXT(Table2[[#This Row],[dated]],"mmm")</f>
        <v>Jun</v>
      </c>
      <c r="B842" s="27" t="s">
        <v>46</v>
      </c>
      <c r="C842" s="1" t="s">
        <v>536</v>
      </c>
      <c r="D842" t="str">
        <f>VLOOKUP(Table2[[#This Row],[product]],Ref[#All],7,FALSE)</f>
        <v>Sugar</v>
      </c>
      <c r="E842" s="22" t="s">
        <v>72</v>
      </c>
      <c r="F842" t="str">
        <f>VLOOKUP(Table2[[#This Row],[product]],Ref[#All],2,FALSE)</f>
        <v>White Sugar</v>
      </c>
      <c r="G842" t="str">
        <f>VLOOKUP(Table2[[#This Row],[product]],Ref[#All],3,FALSE)</f>
        <v>White Sugar</v>
      </c>
      <c r="H842" t="str">
        <f>VLOOKUP(Table2[[#This Row],[product]],Ref[#All],4,FALSE)</f>
        <v>Import</v>
      </c>
      <c r="I842" s="22">
        <v>45827</v>
      </c>
      <c r="J842" s="21" t="s">
        <v>53</v>
      </c>
      <c r="K842" s="21" t="s">
        <v>1876</v>
      </c>
      <c r="L842" t="s">
        <v>1651</v>
      </c>
      <c r="M842" t="s">
        <v>1586</v>
      </c>
      <c r="N842" t="s">
        <v>784</v>
      </c>
      <c r="O842" t="s">
        <v>785</v>
      </c>
      <c r="P842" t="s">
        <v>788</v>
      </c>
      <c r="Q842" s="21" t="s">
        <v>55</v>
      </c>
      <c r="R842">
        <v>-1</v>
      </c>
      <c r="S842" s="15">
        <f>Table2[[#This Row],[movement_quantity]]/VLOOKUP(Table2[[#This Row],[product]],Ref[#All],5,FALSE)</f>
        <v>-0.05</v>
      </c>
      <c r="T842" s="21">
        <v>83521.151800000007</v>
      </c>
      <c r="U842" s="21" t="s">
        <v>17</v>
      </c>
      <c r="V842" s="21" t="s">
        <v>44</v>
      </c>
      <c r="W842" s="21" t="s">
        <v>1877</v>
      </c>
      <c r="X842" s="21" t="s">
        <v>17</v>
      </c>
      <c r="Y842" s="35" t="s">
        <v>1320</v>
      </c>
      <c r="Z842" s="21">
        <v>0</v>
      </c>
      <c r="AA842" s="36">
        <v>-83521.151800000007</v>
      </c>
      <c r="AB842" t="str">
        <f>VLOOKUP(Table2[[#This Row],[product]],Ref[#All],6,FALSE)</f>
        <v>BAG50</v>
      </c>
    </row>
    <row r="843" spans="1:28" x14ac:dyDescent="0.25">
      <c r="A843" t="str">
        <f>TEXT(Table2[[#This Row],[dated]],"mmm")</f>
        <v>Jun</v>
      </c>
      <c r="B843" s="27" t="s">
        <v>46</v>
      </c>
      <c r="C843" s="1" t="s">
        <v>536</v>
      </c>
      <c r="D843" t="str">
        <f>VLOOKUP(Table2[[#This Row],[product]],Ref[#All],7,FALSE)</f>
        <v>Sugar</v>
      </c>
      <c r="E843" s="22" t="s">
        <v>72</v>
      </c>
      <c r="F843" t="str">
        <f>VLOOKUP(Table2[[#This Row],[product]],Ref[#All],2,FALSE)</f>
        <v>White Sugar</v>
      </c>
      <c r="G843" t="str">
        <f>VLOOKUP(Table2[[#This Row],[product]],Ref[#All],3,FALSE)</f>
        <v>White Sugar</v>
      </c>
      <c r="H843" t="str">
        <f>VLOOKUP(Table2[[#This Row],[product]],Ref[#All],4,FALSE)</f>
        <v>Import</v>
      </c>
      <c r="I843" s="22">
        <v>45827</v>
      </c>
      <c r="J843" s="21" t="s">
        <v>53</v>
      </c>
      <c r="K843" s="21" t="s">
        <v>1878</v>
      </c>
      <c r="L843" t="s">
        <v>1651</v>
      </c>
      <c r="M843" t="s">
        <v>1586</v>
      </c>
      <c r="N843" t="s">
        <v>784</v>
      </c>
      <c r="O843" t="s">
        <v>785</v>
      </c>
      <c r="P843" t="s">
        <v>788</v>
      </c>
      <c r="Q843" s="21" t="s">
        <v>55</v>
      </c>
      <c r="R843">
        <v>-14</v>
      </c>
      <c r="S843" s="15">
        <f>Table2[[#This Row],[movement_quantity]]/VLOOKUP(Table2[[#This Row],[product]],Ref[#All],5,FALSE)</f>
        <v>-0.7</v>
      </c>
      <c r="T843" s="21">
        <v>83521.151800000007</v>
      </c>
      <c r="U843" s="21" t="s">
        <v>17</v>
      </c>
      <c r="V843" s="21" t="s">
        <v>33</v>
      </c>
      <c r="W843" s="21" t="s">
        <v>1879</v>
      </c>
      <c r="X843" s="21" t="s">
        <v>17</v>
      </c>
      <c r="Y843" s="35" t="s">
        <v>1320</v>
      </c>
      <c r="Z843" s="21">
        <v>0</v>
      </c>
      <c r="AA843" s="36">
        <v>-1169296.1252000001</v>
      </c>
      <c r="AB843" t="str">
        <f>VLOOKUP(Table2[[#This Row],[product]],Ref[#All],6,FALSE)</f>
        <v>BAG50</v>
      </c>
    </row>
    <row r="844" spans="1:28" x14ac:dyDescent="0.25">
      <c r="A844" t="str">
        <f>TEXT(Table2[[#This Row],[dated]],"mmm")</f>
        <v>Jun</v>
      </c>
      <c r="B844" s="27" t="s">
        <v>46</v>
      </c>
      <c r="C844" s="1" t="s">
        <v>536</v>
      </c>
      <c r="D844" t="str">
        <f>VLOOKUP(Table2[[#This Row],[product]],Ref[#All],7,FALSE)</f>
        <v>Sugar</v>
      </c>
      <c r="E844" s="22" t="s">
        <v>72</v>
      </c>
      <c r="F844" t="str">
        <f>VLOOKUP(Table2[[#This Row],[product]],Ref[#All],2,FALSE)</f>
        <v>White Sugar</v>
      </c>
      <c r="G844" t="str">
        <f>VLOOKUP(Table2[[#This Row],[product]],Ref[#All],3,FALSE)</f>
        <v>White Sugar</v>
      </c>
      <c r="H844" t="str">
        <f>VLOOKUP(Table2[[#This Row],[product]],Ref[#All],4,FALSE)</f>
        <v>Import</v>
      </c>
      <c r="I844" s="22">
        <v>45827</v>
      </c>
      <c r="J844" s="21" t="s">
        <v>53</v>
      </c>
      <c r="K844" s="21" t="s">
        <v>1880</v>
      </c>
      <c r="L844" t="s">
        <v>1651</v>
      </c>
      <c r="M844" t="s">
        <v>1586</v>
      </c>
      <c r="N844" t="s">
        <v>784</v>
      </c>
      <c r="O844" t="s">
        <v>785</v>
      </c>
      <c r="P844" t="s">
        <v>788</v>
      </c>
      <c r="Q844" s="21" t="s">
        <v>55</v>
      </c>
      <c r="R844">
        <v>-1</v>
      </c>
      <c r="S844" s="15">
        <f>Table2[[#This Row],[movement_quantity]]/VLOOKUP(Table2[[#This Row],[product]],Ref[#All],5,FALSE)</f>
        <v>-0.05</v>
      </c>
      <c r="T844" s="21">
        <v>83521.151800000007</v>
      </c>
      <c r="U844" s="21" t="s">
        <v>17</v>
      </c>
      <c r="V844" s="21" t="s">
        <v>34</v>
      </c>
      <c r="W844" s="21" t="s">
        <v>1881</v>
      </c>
      <c r="X844" s="21" t="s">
        <v>17</v>
      </c>
      <c r="Y844" s="35" t="s">
        <v>1320</v>
      </c>
      <c r="Z844" s="21">
        <v>0</v>
      </c>
      <c r="AA844" s="36">
        <v>-83521.151800000007</v>
      </c>
      <c r="AB844" t="str">
        <f>VLOOKUP(Table2[[#This Row],[product]],Ref[#All],6,FALSE)</f>
        <v>BAG50</v>
      </c>
    </row>
    <row r="845" spans="1:28" x14ac:dyDescent="0.25">
      <c r="A845" t="str">
        <f>TEXT(Table2[[#This Row],[dated]],"mmm")</f>
        <v>Jun</v>
      </c>
      <c r="B845" s="27" t="s">
        <v>46</v>
      </c>
      <c r="C845" s="1" t="s">
        <v>536</v>
      </c>
      <c r="D845" t="str">
        <f>VLOOKUP(Table2[[#This Row],[product]],Ref[#All],7,FALSE)</f>
        <v>Sugar</v>
      </c>
      <c r="E845" s="22" t="s">
        <v>72</v>
      </c>
      <c r="F845" t="str">
        <f>VLOOKUP(Table2[[#This Row],[product]],Ref[#All],2,FALSE)</f>
        <v>White Sugar</v>
      </c>
      <c r="G845" t="str">
        <f>VLOOKUP(Table2[[#This Row],[product]],Ref[#All],3,FALSE)</f>
        <v>White Sugar</v>
      </c>
      <c r="H845" t="str">
        <f>VLOOKUP(Table2[[#This Row],[product]],Ref[#All],4,FALSE)</f>
        <v>Import</v>
      </c>
      <c r="I845" s="22">
        <v>45827</v>
      </c>
      <c r="J845" s="21" t="s">
        <v>53</v>
      </c>
      <c r="K845" s="21" t="s">
        <v>1882</v>
      </c>
      <c r="L845" t="s">
        <v>1651</v>
      </c>
      <c r="M845" t="s">
        <v>1586</v>
      </c>
      <c r="N845" t="s">
        <v>784</v>
      </c>
      <c r="O845" t="s">
        <v>785</v>
      </c>
      <c r="P845" t="s">
        <v>788</v>
      </c>
      <c r="Q845" s="21" t="s">
        <v>55</v>
      </c>
      <c r="R845">
        <v>-1</v>
      </c>
      <c r="S845" s="15">
        <f>Table2[[#This Row],[movement_quantity]]/VLOOKUP(Table2[[#This Row],[product]],Ref[#All],5,FALSE)</f>
        <v>-0.05</v>
      </c>
      <c r="T845" s="21">
        <v>83521.151800000007</v>
      </c>
      <c r="U845" s="21" t="s">
        <v>17</v>
      </c>
      <c r="V845" s="21" t="s">
        <v>1282</v>
      </c>
      <c r="W845" s="21" t="s">
        <v>1883</v>
      </c>
      <c r="X845" s="21" t="s">
        <v>17</v>
      </c>
      <c r="Y845" s="35" t="s">
        <v>1320</v>
      </c>
      <c r="Z845" s="21">
        <v>0</v>
      </c>
      <c r="AA845" s="36">
        <v>-83521.151800000007</v>
      </c>
      <c r="AB845" t="str">
        <f>VLOOKUP(Table2[[#This Row],[product]],Ref[#All],6,FALSE)</f>
        <v>BAG50</v>
      </c>
    </row>
    <row r="846" spans="1:28" x14ac:dyDescent="0.25">
      <c r="A846" t="str">
        <f>TEXT(Table2[[#This Row],[dated]],"mmm")</f>
        <v>Jun</v>
      </c>
      <c r="B846" s="27" t="s">
        <v>46</v>
      </c>
      <c r="C846" s="1" t="s">
        <v>536</v>
      </c>
      <c r="D846" t="str">
        <f>VLOOKUP(Table2[[#This Row],[product]],Ref[#All],7,FALSE)</f>
        <v>Sugar</v>
      </c>
      <c r="E846" s="22" t="s">
        <v>72</v>
      </c>
      <c r="F846" t="str">
        <f>VLOOKUP(Table2[[#This Row],[product]],Ref[#All],2,FALSE)</f>
        <v>White Sugar</v>
      </c>
      <c r="G846" t="str">
        <f>VLOOKUP(Table2[[#This Row],[product]],Ref[#All],3,FALSE)</f>
        <v>White Sugar</v>
      </c>
      <c r="H846" t="str">
        <f>VLOOKUP(Table2[[#This Row],[product]],Ref[#All],4,FALSE)</f>
        <v>Import</v>
      </c>
      <c r="I846" s="22">
        <v>45827</v>
      </c>
      <c r="J846" s="21" t="s">
        <v>53</v>
      </c>
      <c r="K846" s="21" t="s">
        <v>1884</v>
      </c>
      <c r="L846" t="s">
        <v>1651</v>
      </c>
      <c r="M846" t="s">
        <v>1586</v>
      </c>
      <c r="N846" t="s">
        <v>784</v>
      </c>
      <c r="O846" t="s">
        <v>785</v>
      </c>
      <c r="P846" t="s">
        <v>788</v>
      </c>
      <c r="Q846" s="21" t="s">
        <v>55</v>
      </c>
      <c r="R846">
        <v>-2</v>
      </c>
      <c r="S846" s="15">
        <f>Table2[[#This Row],[movement_quantity]]/VLOOKUP(Table2[[#This Row],[product]],Ref[#All],5,FALSE)</f>
        <v>-0.1</v>
      </c>
      <c r="T846" s="21">
        <v>83521.151800000007</v>
      </c>
      <c r="U846" s="21" t="s">
        <v>17</v>
      </c>
      <c r="V846" s="21" t="s">
        <v>1352</v>
      </c>
      <c r="W846" s="21" t="s">
        <v>1885</v>
      </c>
      <c r="X846" s="21" t="s">
        <v>17</v>
      </c>
      <c r="Y846" s="35" t="s">
        <v>1320</v>
      </c>
      <c r="Z846" s="21">
        <v>0</v>
      </c>
      <c r="AA846" s="36">
        <v>-167042.30360000001</v>
      </c>
      <c r="AB846" t="str">
        <f>VLOOKUP(Table2[[#This Row],[product]],Ref[#All],6,FALSE)</f>
        <v>BAG50</v>
      </c>
    </row>
    <row r="847" spans="1:28" x14ac:dyDescent="0.25">
      <c r="A847" t="str">
        <f>TEXT(Table2[[#This Row],[dated]],"mmm")</f>
        <v>Jun</v>
      </c>
      <c r="B847" s="27" t="s">
        <v>46</v>
      </c>
      <c r="C847" s="1" t="s">
        <v>536</v>
      </c>
      <c r="D847" t="str">
        <f>VLOOKUP(Table2[[#This Row],[product]],Ref[#All],7,FALSE)</f>
        <v>Sugar</v>
      </c>
      <c r="E847" s="22" t="s">
        <v>72</v>
      </c>
      <c r="F847" t="str">
        <f>VLOOKUP(Table2[[#This Row],[product]],Ref[#All],2,FALSE)</f>
        <v>White Sugar</v>
      </c>
      <c r="G847" t="str">
        <f>VLOOKUP(Table2[[#This Row],[product]],Ref[#All],3,FALSE)</f>
        <v>White Sugar</v>
      </c>
      <c r="H847" t="str">
        <f>VLOOKUP(Table2[[#This Row],[product]],Ref[#All],4,FALSE)</f>
        <v>Import</v>
      </c>
      <c r="I847" s="22">
        <v>45827</v>
      </c>
      <c r="J847" s="21" t="s">
        <v>53</v>
      </c>
      <c r="K847" s="21" t="s">
        <v>1886</v>
      </c>
      <c r="L847" t="s">
        <v>1651</v>
      </c>
      <c r="M847" t="s">
        <v>1586</v>
      </c>
      <c r="N847" t="s">
        <v>784</v>
      </c>
      <c r="O847" t="s">
        <v>785</v>
      </c>
      <c r="P847" t="s">
        <v>788</v>
      </c>
      <c r="Q847" s="21" t="s">
        <v>55</v>
      </c>
      <c r="R847">
        <v>-5</v>
      </c>
      <c r="S847" s="15">
        <f>Table2[[#This Row],[movement_quantity]]/VLOOKUP(Table2[[#This Row],[product]],Ref[#All],5,FALSE)</f>
        <v>-0.25</v>
      </c>
      <c r="T847" s="21">
        <v>83521.151800000007</v>
      </c>
      <c r="U847" s="21" t="s">
        <v>17</v>
      </c>
      <c r="V847" s="21" t="s">
        <v>1355</v>
      </c>
      <c r="W847" s="21" t="s">
        <v>1887</v>
      </c>
      <c r="X847" s="21" t="s">
        <v>17</v>
      </c>
      <c r="Y847" s="35" t="s">
        <v>1320</v>
      </c>
      <c r="Z847" s="21">
        <v>0</v>
      </c>
      <c r="AA847" s="36">
        <v>-417605.75900000002</v>
      </c>
      <c r="AB847" t="str">
        <f>VLOOKUP(Table2[[#This Row],[product]],Ref[#All],6,FALSE)</f>
        <v>BAG50</v>
      </c>
    </row>
    <row r="848" spans="1:28" x14ac:dyDescent="0.25">
      <c r="A848" t="str">
        <f>TEXT(Table2[[#This Row],[dated]],"mmm")</f>
        <v>Jun</v>
      </c>
      <c r="B848" s="27" t="s">
        <v>46</v>
      </c>
      <c r="C848" s="1" t="s">
        <v>536</v>
      </c>
      <c r="D848" t="str">
        <f>VLOOKUP(Table2[[#This Row],[product]],Ref[#All],7,FALSE)</f>
        <v>Sugar</v>
      </c>
      <c r="E848" s="22" t="s">
        <v>72</v>
      </c>
      <c r="F848" t="str">
        <f>VLOOKUP(Table2[[#This Row],[product]],Ref[#All],2,FALSE)</f>
        <v>White Sugar</v>
      </c>
      <c r="G848" t="str">
        <f>VLOOKUP(Table2[[#This Row],[product]],Ref[#All],3,FALSE)</f>
        <v>White Sugar</v>
      </c>
      <c r="H848" t="str">
        <f>VLOOKUP(Table2[[#This Row],[product]],Ref[#All],4,FALSE)</f>
        <v>Import</v>
      </c>
      <c r="I848" s="22">
        <v>45827</v>
      </c>
      <c r="J848" s="21" t="s">
        <v>53</v>
      </c>
      <c r="K848" s="21" t="s">
        <v>1888</v>
      </c>
      <c r="L848" t="s">
        <v>1651</v>
      </c>
      <c r="M848" t="s">
        <v>1586</v>
      </c>
      <c r="N848" t="s">
        <v>784</v>
      </c>
      <c r="O848" t="s">
        <v>785</v>
      </c>
      <c r="P848" t="s">
        <v>788</v>
      </c>
      <c r="Q848" s="21" t="s">
        <v>55</v>
      </c>
      <c r="R848">
        <v>-1</v>
      </c>
      <c r="S848" s="15">
        <f>Table2[[#This Row],[movement_quantity]]/VLOOKUP(Table2[[#This Row],[product]],Ref[#All],5,FALSE)</f>
        <v>-0.05</v>
      </c>
      <c r="T848" s="21">
        <v>83521.151800000007</v>
      </c>
      <c r="U848" s="21" t="s">
        <v>17</v>
      </c>
      <c r="V848" s="21" t="s">
        <v>1358</v>
      </c>
      <c r="W848" s="21" t="s">
        <v>1889</v>
      </c>
      <c r="X848" s="21" t="s">
        <v>17</v>
      </c>
      <c r="Y848" s="35" t="s">
        <v>1320</v>
      </c>
      <c r="Z848" s="21">
        <v>0</v>
      </c>
      <c r="AA848" s="36">
        <v>-83521.151800000007</v>
      </c>
      <c r="AB848" t="str">
        <f>VLOOKUP(Table2[[#This Row],[product]],Ref[#All],6,FALSE)</f>
        <v>BAG50</v>
      </c>
    </row>
    <row r="849" spans="1:28" x14ac:dyDescent="0.25">
      <c r="A849" t="str">
        <f>TEXT(Table2[[#This Row],[dated]],"mmm")</f>
        <v>Jun</v>
      </c>
      <c r="B849" s="27" t="s">
        <v>46</v>
      </c>
      <c r="C849" s="1" t="s">
        <v>536</v>
      </c>
      <c r="D849" t="str">
        <f>VLOOKUP(Table2[[#This Row],[product]],Ref[#All],7,FALSE)</f>
        <v>Sugar</v>
      </c>
      <c r="E849" s="22" t="s">
        <v>72</v>
      </c>
      <c r="F849" t="str">
        <f>VLOOKUP(Table2[[#This Row],[product]],Ref[#All],2,FALSE)</f>
        <v>White Sugar</v>
      </c>
      <c r="G849" t="str">
        <f>VLOOKUP(Table2[[#This Row],[product]],Ref[#All],3,FALSE)</f>
        <v>White Sugar</v>
      </c>
      <c r="H849" t="str">
        <f>VLOOKUP(Table2[[#This Row],[product]],Ref[#All],4,FALSE)</f>
        <v>Import</v>
      </c>
      <c r="I849" s="22">
        <v>45832</v>
      </c>
      <c r="J849" s="21" t="s">
        <v>53</v>
      </c>
      <c r="K849" s="21" t="s">
        <v>1890</v>
      </c>
      <c r="L849" t="s">
        <v>1651</v>
      </c>
      <c r="M849" t="s">
        <v>1586</v>
      </c>
      <c r="N849" t="s">
        <v>784</v>
      </c>
      <c r="O849" t="s">
        <v>785</v>
      </c>
      <c r="P849" t="s">
        <v>788</v>
      </c>
      <c r="Q849" s="21" t="s">
        <v>55</v>
      </c>
      <c r="R849">
        <v>-9</v>
      </c>
      <c r="S849" s="15">
        <f>Table2[[#This Row],[movement_quantity]]/VLOOKUP(Table2[[#This Row],[product]],Ref[#All],5,FALSE)</f>
        <v>-0.45</v>
      </c>
      <c r="T849" s="21">
        <v>83521.151800000007</v>
      </c>
      <c r="U849" s="21" t="s">
        <v>17</v>
      </c>
      <c r="V849" s="21" t="s">
        <v>18</v>
      </c>
      <c r="W849" s="21" t="s">
        <v>1891</v>
      </c>
      <c r="X849" s="21" t="s">
        <v>17</v>
      </c>
      <c r="Y849" s="35" t="s">
        <v>1320</v>
      </c>
      <c r="Z849" s="21">
        <v>0</v>
      </c>
      <c r="AA849" s="36">
        <v>-751690.36620000005</v>
      </c>
      <c r="AB849" t="str">
        <f>VLOOKUP(Table2[[#This Row],[product]],Ref[#All],6,FALSE)</f>
        <v>BAG50</v>
      </c>
    </row>
    <row r="850" spans="1:28" x14ac:dyDescent="0.25">
      <c r="A850" t="str">
        <f>TEXT(Table2[[#This Row],[dated]],"mmm")</f>
        <v>Jun</v>
      </c>
      <c r="B850" s="27" t="s">
        <v>46</v>
      </c>
      <c r="C850" s="1" t="s">
        <v>536</v>
      </c>
      <c r="D850" t="str">
        <f>VLOOKUP(Table2[[#This Row],[product]],Ref[#All],7,FALSE)</f>
        <v>Sugar</v>
      </c>
      <c r="E850" s="22" t="s">
        <v>72</v>
      </c>
      <c r="F850" t="str">
        <f>VLOOKUP(Table2[[#This Row],[product]],Ref[#All],2,FALSE)</f>
        <v>White Sugar</v>
      </c>
      <c r="G850" t="str">
        <f>VLOOKUP(Table2[[#This Row],[product]],Ref[#All],3,FALSE)</f>
        <v>White Sugar</v>
      </c>
      <c r="H850" t="str">
        <f>VLOOKUP(Table2[[#This Row],[product]],Ref[#All],4,FALSE)</f>
        <v>Import</v>
      </c>
      <c r="I850" s="22">
        <v>45832</v>
      </c>
      <c r="J850" s="21" t="s">
        <v>53</v>
      </c>
      <c r="K850" s="21" t="s">
        <v>1892</v>
      </c>
      <c r="L850" t="s">
        <v>1651</v>
      </c>
      <c r="M850" t="s">
        <v>1586</v>
      </c>
      <c r="N850" t="s">
        <v>784</v>
      </c>
      <c r="O850" t="s">
        <v>785</v>
      </c>
      <c r="P850" t="s">
        <v>788</v>
      </c>
      <c r="Q850" s="21" t="s">
        <v>55</v>
      </c>
      <c r="R850">
        <v>-2</v>
      </c>
      <c r="S850" s="15">
        <f>Table2[[#This Row],[movement_quantity]]/VLOOKUP(Table2[[#This Row],[product]],Ref[#All],5,FALSE)</f>
        <v>-0.1</v>
      </c>
      <c r="T850" s="21">
        <v>83521.151800000007</v>
      </c>
      <c r="U850" s="21" t="s">
        <v>17</v>
      </c>
      <c r="V850" s="21" t="s">
        <v>21</v>
      </c>
      <c r="W850" s="21" t="s">
        <v>1893</v>
      </c>
      <c r="X850" s="21" t="s">
        <v>17</v>
      </c>
      <c r="Y850" s="35" t="s">
        <v>1320</v>
      </c>
      <c r="Z850" s="21">
        <v>0</v>
      </c>
      <c r="AA850" s="36">
        <v>-167042.30360000001</v>
      </c>
      <c r="AB850" t="str">
        <f>VLOOKUP(Table2[[#This Row],[product]],Ref[#All],6,FALSE)</f>
        <v>BAG50</v>
      </c>
    </row>
    <row r="851" spans="1:28" x14ac:dyDescent="0.25">
      <c r="A851" t="str">
        <f>TEXT(Table2[[#This Row],[dated]],"mmm")</f>
        <v>Jun</v>
      </c>
      <c r="B851" s="27" t="s">
        <v>46</v>
      </c>
      <c r="C851" s="1" t="s">
        <v>536</v>
      </c>
      <c r="D851" t="str">
        <f>VLOOKUP(Table2[[#This Row],[product]],Ref[#All],7,FALSE)</f>
        <v>Sugar</v>
      </c>
      <c r="E851" s="22" t="s">
        <v>72</v>
      </c>
      <c r="F851" t="str">
        <f>VLOOKUP(Table2[[#This Row],[product]],Ref[#All],2,FALSE)</f>
        <v>White Sugar</v>
      </c>
      <c r="G851" t="str">
        <f>VLOOKUP(Table2[[#This Row],[product]],Ref[#All],3,FALSE)</f>
        <v>White Sugar</v>
      </c>
      <c r="H851" t="str">
        <f>VLOOKUP(Table2[[#This Row],[product]],Ref[#All],4,FALSE)</f>
        <v>Import</v>
      </c>
      <c r="I851" s="22">
        <v>45832</v>
      </c>
      <c r="J851" s="21" t="s">
        <v>53</v>
      </c>
      <c r="K851" s="21" t="s">
        <v>1894</v>
      </c>
      <c r="L851" t="s">
        <v>1651</v>
      </c>
      <c r="M851" t="s">
        <v>1586</v>
      </c>
      <c r="N851" t="s">
        <v>784</v>
      </c>
      <c r="O851" t="s">
        <v>785</v>
      </c>
      <c r="P851" t="s">
        <v>788</v>
      </c>
      <c r="Q851" s="21" t="s">
        <v>55</v>
      </c>
      <c r="R851">
        <v>-44</v>
      </c>
      <c r="S851" s="15">
        <f>Table2[[#This Row],[movement_quantity]]/VLOOKUP(Table2[[#This Row],[product]],Ref[#All],5,FALSE)</f>
        <v>-2.2000000000000002</v>
      </c>
      <c r="T851" s="21">
        <v>83521.151800000007</v>
      </c>
      <c r="U851" s="21" t="s">
        <v>17</v>
      </c>
      <c r="V851" s="21" t="s">
        <v>22</v>
      </c>
      <c r="W851" s="21" t="s">
        <v>1895</v>
      </c>
      <c r="X851" s="21" t="s">
        <v>17</v>
      </c>
      <c r="Y851" s="35" t="s">
        <v>1320</v>
      </c>
      <c r="Z851" s="21">
        <v>0</v>
      </c>
      <c r="AA851" s="36">
        <v>-3674930.6792000001</v>
      </c>
      <c r="AB851" t="str">
        <f>VLOOKUP(Table2[[#This Row],[product]],Ref[#All],6,FALSE)</f>
        <v>BAG50</v>
      </c>
    </row>
    <row r="852" spans="1:28" x14ac:dyDescent="0.25">
      <c r="A852" t="str">
        <f>TEXT(Table2[[#This Row],[dated]],"mmm")</f>
        <v>Jun</v>
      </c>
      <c r="B852" s="27" t="s">
        <v>46</v>
      </c>
      <c r="C852" s="1" t="s">
        <v>536</v>
      </c>
      <c r="D852" t="str">
        <f>VLOOKUP(Table2[[#This Row],[product]],Ref[#All],7,FALSE)</f>
        <v>Sugar</v>
      </c>
      <c r="E852" s="22" t="s">
        <v>72</v>
      </c>
      <c r="F852" t="str">
        <f>VLOOKUP(Table2[[#This Row],[product]],Ref[#All],2,FALSE)</f>
        <v>White Sugar</v>
      </c>
      <c r="G852" t="str">
        <f>VLOOKUP(Table2[[#This Row],[product]],Ref[#All],3,FALSE)</f>
        <v>White Sugar</v>
      </c>
      <c r="H852" t="str">
        <f>VLOOKUP(Table2[[#This Row],[product]],Ref[#All],4,FALSE)</f>
        <v>Import</v>
      </c>
      <c r="I852" s="22">
        <v>45832</v>
      </c>
      <c r="J852" s="21" t="s">
        <v>53</v>
      </c>
      <c r="K852" s="21" t="s">
        <v>1896</v>
      </c>
      <c r="L852" t="s">
        <v>1651</v>
      </c>
      <c r="M852" t="s">
        <v>1586</v>
      </c>
      <c r="N852" t="s">
        <v>784</v>
      </c>
      <c r="O852" t="s">
        <v>785</v>
      </c>
      <c r="P852" t="s">
        <v>788</v>
      </c>
      <c r="Q852" s="21" t="s">
        <v>55</v>
      </c>
      <c r="R852">
        <v>-4</v>
      </c>
      <c r="S852" s="15">
        <f>Table2[[#This Row],[movement_quantity]]/VLOOKUP(Table2[[#This Row],[product]],Ref[#All],5,FALSE)</f>
        <v>-0.2</v>
      </c>
      <c r="T852" s="21">
        <v>83521.151800000007</v>
      </c>
      <c r="U852" s="21" t="s">
        <v>17</v>
      </c>
      <c r="V852" s="21" t="s">
        <v>23</v>
      </c>
      <c r="W852" s="21" t="s">
        <v>1897</v>
      </c>
      <c r="X852" s="21" t="s">
        <v>17</v>
      </c>
      <c r="Y852" s="35" t="s">
        <v>1320</v>
      </c>
      <c r="Z852" s="21">
        <v>0</v>
      </c>
      <c r="AA852" s="36">
        <v>-334084.60720000003</v>
      </c>
      <c r="AB852" t="str">
        <f>VLOOKUP(Table2[[#This Row],[product]],Ref[#All],6,FALSE)</f>
        <v>BAG50</v>
      </c>
    </row>
    <row r="853" spans="1:28" x14ac:dyDescent="0.25">
      <c r="A853" t="str">
        <f>TEXT(Table2[[#This Row],[dated]],"mmm")</f>
        <v>Jun</v>
      </c>
      <c r="B853" s="27" t="s">
        <v>46</v>
      </c>
      <c r="C853" s="1" t="s">
        <v>536</v>
      </c>
      <c r="D853" t="str">
        <f>VLOOKUP(Table2[[#This Row],[product]],Ref[#All],7,FALSE)</f>
        <v>Sugar</v>
      </c>
      <c r="E853" s="22" t="s">
        <v>72</v>
      </c>
      <c r="F853" t="str">
        <f>VLOOKUP(Table2[[#This Row],[product]],Ref[#All],2,FALSE)</f>
        <v>White Sugar</v>
      </c>
      <c r="G853" t="str">
        <f>VLOOKUP(Table2[[#This Row],[product]],Ref[#All],3,FALSE)</f>
        <v>White Sugar</v>
      </c>
      <c r="H853" t="str">
        <f>VLOOKUP(Table2[[#This Row],[product]],Ref[#All],4,FALSE)</f>
        <v>Import</v>
      </c>
      <c r="I853" s="22">
        <v>45832</v>
      </c>
      <c r="J853" s="21" t="s">
        <v>53</v>
      </c>
      <c r="K853" s="21" t="s">
        <v>1898</v>
      </c>
      <c r="L853" t="s">
        <v>1651</v>
      </c>
      <c r="M853" t="s">
        <v>1586</v>
      </c>
      <c r="N853" t="s">
        <v>784</v>
      </c>
      <c r="O853" t="s">
        <v>785</v>
      </c>
      <c r="P853" t="s">
        <v>788</v>
      </c>
      <c r="Q853" s="21" t="s">
        <v>55</v>
      </c>
      <c r="R853">
        <v>-8</v>
      </c>
      <c r="S853" s="15">
        <f>Table2[[#This Row],[movement_quantity]]/VLOOKUP(Table2[[#This Row],[product]],Ref[#All],5,FALSE)</f>
        <v>-0.4</v>
      </c>
      <c r="T853" s="21">
        <v>83521.151800000007</v>
      </c>
      <c r="U853" s="21" t="s">
        <v>17</v>
      </c>
      <c r="V853" s="21" t="s">
        <v>24</v>
      </c>
      <c r="W853" s="21" t="s">
        <v>1899</v>
      </c>
      <c r="X853" s="21" t="s">
        <v>17</v>
      </c>
      <c r="Y853" s="35" t="s">
        <v>1320</v>
      </c>
      <c r="Z853" s="21">
        <v>0</v>
      </c>
      <c r="AA853" s="36">
        <v>-668169.21440000006</v>
      </c>
      <c r="AB853" t="str">
        <f>VLOOKUP(Table2[[#This Row],[product]],Ref[#All],6,FALSE)</f>
        <v>BAG50</v>
      </c>
    </row>
    <row r="854" spans="1:28" x14ac:dyDescent="0.25">
      <c r="A854" t="str">
        <f>TEXT(Table2[[#This Row],[dated]],"mmm")</f>
        <v>Jun</v>
      </c>
      <c r="B854" s="27" t="s">
        <v>46</v>
      </c>
      <c r="C854" s="1" t="s">
        <v>536</v>
      </c>
      <c r="D854" t="str">
        <f>VLOOKUP(Table2[[#This Row],[product]],Ref[#All],7,FALSE)</f>
        <v>Sugar</v>
      </c>
      <c r="E854" s="22" t="s">
        <v>72</v>
      </c>
      <c r="F854" t="str">
        <f>VLOOKUP(Table2[[#This Row],[product]],Ref[#All],2,FALSE)</f>
        <v>White Sugar</v>
      </c>
      <c r="G854" t="str">
        <f>VLOOKUP(Table2[[#This Row],[product]],Ref[#All],3,FALSE)</f>
        <v>White Sugar</v>
      </c>
      <c r="H854" t="str">
        <f>VLOOKUP(Table2[[#This Row],[product]],Ref[#All],4,FALSE)</f>
        <v>Import</v>
      </c>
      <c r="I854" s="22">
        <v>45832</v>
      </c>
      <c r="J854" s="21" t="s">
        <v>53</v>
      </c>
      <c r="K854" s="21" t="s">
        <v>1900</v>
      </c>
      <c r="L854" t="s">
        <v>1651</v>
      </c>
      <c r="M854" t="s">
        <v>1586</v>
      </c>
      <c r="N854" t="s">
        <v>784</v>
      </c>
      <c r="O854" t="s">
        <v>785</v>
      </c>
      <c r="P854" t="s">
        <v>788</v>
      </c>
      <c r="Q854" s="21" t="s">
        <v>55</v>
      </c>
      <c r="R854">
        <v>-1</v>
      </c>
      <c r="S854" s="15">
        <f>Table2[[#This Row],[movement_quantity]]/VLOOKUP(Table2[[#This Row],[product]],Ref[#All],5,FALSE)</f>
        <v>-0.05</v>
      </c>
      <c r="T854" s="21">
        <v>83521.151800000007</v>
      </c>
      <c r="U854" s="21" t="s">
        <v>17</v>
      </c>
      <c r="V854" s="21" t="s">
        <v>25</v>
      </c>
      <c r="W854" s="21" t="s">
        <v>1901</v>
      </c>
      <c r="X854" s="21" t="s">
        <v>17</v>
      </c>
      <c r="Y854" s="35" t="s">
        <v>1320</v>
      </c>
      <c r="Z854" s="21">
        <v>0</v>
      </c>
      <c r="AA854" s="36">
        <v>-83521.151800000007</v>
      </c>
      <c r="AB854" t="str">
        <f>VLOOKUP(Table2[[#This Row],[product]],Ref[#All],6,FALSE)</f>
        <v>BAG50</v>
      </c>
    </row>
    <row r="855" spans="1:28" x14ac:dyDescent="0.25">
      <c r="A855" t="str">
        <f>TEXT(Table2[[#This Row],[dated]],"mmm")</f>
        <v>Jun</v>
      </c>
      <c r="B855" s="27" t="s">
        <v>46</v>
      </c>
      <c r="C855" s="1" t="s">
        <v>536</v>
      </c>
      <c r="D855" t="str">
        <f>VLOOKUP(Table2[[#This Row],[product]],Ref[#All],7,FALSE)</f>
        <v>Sugar</v>
      </c>
      <c r="E855" s="22" t="s">
        <v>72</v>
      </c>
      <c r="F855" t="str">
        <f>VLOOKUP(Table2[[#This Row],[product]],Ref[#All],2,FALSE)</f>
        <v>White Sugar</v>
      </c>
      <c r="G855" t="str">
        <f>VLOOKUP(Table2[[#This Row],[product]],Ref[#All],3,FALSE)</f>
        <v>White Sugar</v>
      </c>
      <c r="H855" t="str">
        <f>VLOOKUP(Table2[[#This Row],[product]],Ref[#All],4,FALSE)</f>
        <v>Import</v>
      </c>
      <c r="I855" s="30">
        <v>45832</v>
      </c>
      <c r="J855" s="31" t="s">
        <v>53</v>
      </c>
      <c r="K855" s="31" t="s">
        <v>1902</v>
      </c>
      <c r="L855" t="s">
        <v>1651</v>
      </c>
      <c r="M855" t="s">
        <v>1586</v>
      </c>
      <c r="N855" t="s">
        <v>784</v>
      </c>
      <c r="O855" t="s">
        <v>785</v>
      </c>
      <c r="P855" t="s">
        <v>788</v>
      </c>
      <c r="Q855" s="21" t="s">
        <v>55</v>
      </c>
      <c r="R855">
        <v>-7</v>
      </c>
      <c r="S855" s="15">
        <f>Table2[[#This Row],[movement_quantity]]/VLOOKUP(Table2[[#This Row],[product]],Ref[#All],5,FALSE)</f>
        <v>-0.35</v>
      </c>
      <c r="T855" s="21">
        <v>83521.151800000007</v>
      </c>
      <c r="U855" s="21" t="s">
        <v>17</v>
      </c>
      <c r="V855" s="21" t="s">
        <v>26</v>
      </c>
      <c r="W855" s="21" t="s">
        <v>1903</v>
      </c>
      <c r="X855" s="21" t="s">
        <v>17</v>
      </c>
      <c r="Y855" s="35" t="s">
        <v>1320</v>
      </c>
      <c r="Z855" s="21">
        <v>0</v>
      </c>
      <c r="AA855" s="36">
        <v>-584648.06260000006</v>
      </c>
      <c r="AB855" t="str">
        <f>VLOOKUP(Table2[[#This Row],[product]],Ref[#All],6,FALSE)</f>
        <v>BAG50</v>
      </c>
    </row>
    <row r="856" spans="1:28" x14ac:dyDescent="0.25">
      <c r="A856" t="str">
        <f>TEXT(Table2[[#This Row],[dated]],"mmm")</f>
        <v>Jun</v>
      </c>
      <c r="B856" t="s">
        <v>46</v>
      </c>
      <c r="C856" s="1" t="s">
        <v>536</v>
      </c>
      <c r="D856" t="str">
        <f>VLOOKUP(Table2[[#This Row],[product]],Ref[#All],7,FALSE)</f>
        <v>Sugar</v>
      </c>
      <c r="E856" s="1" t="s">
        <v>72</v>
      </c>
      <c r="F856" t="str">
        <f>VLOOKUP(Table2[[#This Row],[product]],Ref[#All],2,FALSE)</f>
        <v>White Sugar</v>
      </c>
      <c r="G856" t="str">
        <f>VLOOKUP(Table2[[#This Row],[product]],Ref[#All],3,FALSE)</f>
        <v>White Sugar</v>
      </c>
      <c r="H856" t="str">
        <f>VLOOKUP(Table2[[#This Row],[product]],Ref[#All],4,FALSE)</f>
        <v>Import</v>
      </c>
      <c r="I856" s="1">
        <v>45833</v>
      </c>
      <c r="J856" t="s">
        <v>53</v>
      </c>
      <c r="K856" t="s">
        <v>1904</v>
      </c>
      <c r="L856" t="s">
        <v>1651</v>
      </c>
      <c r="M856" t="s">
        <v>1586</v>
      </c>
      <c r="N856" t="s">
        <v>784</v>
      </c>
      <c r="O856" t="s">
        <v>785</v>
      </c>
      <c r="P856" t="s">
        <v>788</v>
      </c>
      <c r="Q856" t="s">
        <v>55</v>
      </c>
      <c r="R856">
        <v>-2</v>
      </c>
      <c r="S856" s="15">
        <f>Table2[[#This Row],[movement_quantity]]/VLOOKUP(Table2[[#This Row],[product]],Ref[#All],5,FALSE)</f>
        <v>-0.1</v>
      </c>
      <c r="T856">
        <v>83521.151800000007</v>
      </c>
      <c r="U856" t="s">
        <v>17</v>
      </c>
      <c r="V856" t="s">
        <v>18</v>
      </c>
      <c r="W856" t="s">
        <v>1905</v>
      </c>
      <c r="X856" t="s">
        <v>17</v>
      </c>
      <c r="Y856" s="2" t="s">
        <v>1320</v>
      </c>
      <c r="Z856">
        <v>0</v>
      </c>
      <c r="AA856" s="2">
        <v>-167042.30360000001</v>
      </c>
      <c r="AB856" t="str">
        <f>VLOOKUP(Table2[[#This Row],[product]],Ref[#All],6,FALSE)</f>
        <v>BAG50</v>
      </c>
    </row>
    <row r="857" spans="1:28" x14ac:dyDescent="0.25">
      <c r="A857" t="str">
        <f>TEXT(Table2[[#This Row],[dated]],"mmm")</f>
        <v>Jun</v>
      </c>
      <c r="B857" t="s">
        <v>46</v>
      </c>
      <c r="C857" s="1" t="s">
        <v>536</v>
      </c>
      <c r="D857" t="str">
        <f>VLOOKUP(Table2[[#This Row],[product]],Ref[#All],7,FALSE)</f>
        <v>Sugar</v>
      </c>
      <c r="E857" s="1" t="s">
        <v>72</v>
      </c>
      <c r="F857" t="str">
        <f>VLOOKUP(Table2[[#This Row],[product]],Ref[#All],2,FALSE)</f>
        <v>White Sugar</v>
      </c>
      <c r="G857" t="str">
        <f>VLOOKUP(Table2[[#This Row],[product]],Ref[#All],3,FALSE)</f>
        <v>White Sugar</v>
      </c>
      <c r="H857" t="str">
        <f>VLOOKUP(Table2[[#This Row],[product]],Ref[#All],4,FALSE)</f>
        <v>Import</v>
      </c>
      <c r="I857" s="1">
        <v>45833</v>
      </c>
      <c r="J857" t="s">
        <v>53</v>
      </c>
      <c r="K857" t="s">
        <v>1906</v>
      </c>
      <c r="L857" t="s">
        <v>1651</v>
      </c>
      <c r="M857" t="s">
        <v>1586</v>
      </c>
      <c r="N857" t="s">
        <v>784</v>
      </c>
      <c r="O857" t="s">
        <v>785</v>
      </c>
      <c r="P857" t="s">
        <v>788</v>
      </c>
      <c r="Q857" t="s">
        <v>55</v>
      </c>
      <c r="R857">
        <v>-2</v>
      </c>
      <c r="S857" s="15">
        <f>Table2[[#This Row],[movement_quantity]]/VLOOKUP(Table2[[#This Row],[product]],Ref[#All],5,FALSE)</f>
        <v>-0.1</v>
      </c>
      <c r="T857">
        <v>83521.151800000007</v>
      </c>
      <c r="U857" t="s">
        <v>17</v>
      </c>
      <c r="V857" t="s">
        <v>21</v>
      </c>
      <c r="W857" t="s">
        <v>1907</v>
      </c>
      <c r="X857" t="s">
        <v>17</v>
      </c>
      <c r="Y857" s="2" t="s">
        <v>1320</v>
      </c>
      <c r="Z857">
        <v>0</v>
      </c>
      <c r="AA857" s="2">
        <v>-167042.30360000001</v>
      </c>
      <c r="AB857" t="str">
        <f>VLOOKUP(Table2[[#This Row],[product]],Ref[#All],6,FALSE)</f>
        <v>BAG50</v>
      </c>
    </row>
    <row r="858" spans="1:28" x14ac:dyDescent="0.25">
      <c r="A858" t="str">
        <f>TEXT(Table2[[#This Row],[dated]],"mmm")</f>
        <v>Jul</v>
      </c>
      <c r="B858" s="28" t="s">
        <v>76</v>
      </c>
      <c r="C858" s="1" t="s">
        <v>536</v>
      </c>
      <c r="D858" t="str">
        <f>VLOOKUP(Table2[[#This Row],[product]],Ref[#All],7,FALSE)</f>
        <v>Pigeon Peas</v>
      </c>
      <c r="E858" s="28" t="s">
        <v>754</v>
      </c>
      <c r="F858" t="str">
        <f>VLOOKUP(Table2[[#This Row],[product]],Ref[#All],2,FALSE)</f>
        <v>Pigeon Peas New Halfa FG</v>
      </c>
      <c r="G858" t="str">
        <f>VLOOKUP(Table2[[#This Row],[product]],Ref[#All],3,FALSE)</f>
        <v>Pigeon Peas FG</v>
      </c>
      <c r="H858" t="str">
        <f>VLOOKUP(Table2[[#This Row],[product]],Ref[#All],4,FALSE)</f>
        <v>Export</v>
      </c>
      <c r="I858" s="1">
        <v>45868</v>
      </c>
      <c r="J858" s="28" t="s">
        <v>53</v>
      </c>
      <c r="K858" s="33" t="s">
        <v>2224</v>
      </c>
      <c r="L858" t="s">
        <v>1651</v>
      </c>
      <c r="M858" t="s">
        <v>1586</v>
      </c>
      <c r="N858" t="s">
        <v>784</v>
      </c>
      <c r="O858" t="s">
        <v>785</v>
      </c>
      <c r="P858" t="s">
        <v>788</v>
      </c>
      <c r="Q858" t="s">
        <v>2213</v>
      </c>
      <c r="R858">
        <v>-1</v>
      </c>
      <c r="S858" s="15">
        <f>Table2[[#This Row],[movement_quantity]]/VLOOKUP(Table2[[#This Row],[product]],Ref[#All],5,FALSE)</f>
        <v>-0.05</v>
      </c>
      <c r="T858" s="33">
        <v>108901.60609</v>
      </c>
      <c r="U858" s="33" t="s">
        <v>17</v>
      </c>
      <c r="V858" s="33" t="s">
        <v>18</v>
      </c>
      <c r="W858" s="33" t="s">
        <v>2225</v>
      </c>
      <c r="X858" s="33" t="s">
        <v>17</v>
      </c>
      <c r="Y858" s="33" t="s">
        <v>2226</v>
      </c>
      <c r="Z858" s="33">
        <v>0</v>
      </c>
      <c r="AA858">
        <v>-108901.60609</v>
      </c>
      <c r="AB858" t="str">
        <f>VLOOKUP(Table2[[#This Row],[product]],Ref[#All],6,FALSE)</f>
        <v>BAG50</v>
      </c>
    </row>
    <row r="859" spans="1:28" x14ac:dyDescent="0.25">
      <c r="A859" t="str">
        <f>TEXT(Table2[[#This Row],[dated]],"mmm")</f>
        <v>Jul</v>
      </c>
      <c r="B859" s="26" t="s">
        <v>76</v>
      </c>
      <c r="C859" s="1" t="s">
        <v>536</v>
      </c>
      <c r="D859" t="str">
        <f>VLOOKUP(Table2[[#This Row],[product]],Ref[#All],7,FALSE)</f>
        <v>Pigeon Peas</v>
      </c>
      <c r="E859" s="26" t="s">
        <v>754</v>
      </c>
      <c r="F859" t="str">
        <f>VLOOKUP(Table2[[#This Row],[product]],Ref[#All],2,FALSE)</f>
        <v>Pigeon Peas New Halfa FG</v>
      </c>
      <c r="G859" t="str">
        <f>VLOOKUP(Table2[[#This Row],[product]],Ref[#All],3,FALSE)</f>
        <v>Pigeon Peas FG</v>
      </c>
      <c r="H859" t="str">
        <f>VLOOKUP(Table2[[#This Row],[product]],Ref[#All],4,FALSE)</f>
        <v>Export</v>
      </c>
      <c r="I859" s="29">
        <v>45868</v>
      </c>
      <c r="J859" s="26" t="s">
        <v>53</v>
      </c>
      <c r="K859" s="34" t="s">
        <v>2227</v>
      </c>
      <c r="L859" t="s">
        <v>1651</v>
      </c>
      <c r="M859" t="s">
        <v>1586</v>
      </c>
      <c r="N859" t="s">
        <v>784</v>
      </c>
      <c r="O859" t="s">
        <v>785</v>
      </c>
      <c r="P859" t="s">
        <v>788</v>
      </c>
      <c r="Q859" t="s">
        <v>2213</v>
      </c>
      <c r="R859">
        <v>-1</v>
      </c>
      <c r="S859" s="15">
        <f>Table2[[#This Row],[movement_quantity]]/VLOOKUP(Table2[[#This Row],[product]],Ref[#All],5,FALSE)</f>
        <v>-0.05</v>
      </c>
      <c r="T859" s="34">
        <v>108901.60609</v>
      </c>
      <c r="U859" s="34" t="s">
        <v>17</v>
      </c>
      <c r="V859" s="34" t="s">
        <v>21</v>
      </c>
      <c r="W859" s="34" t="s">
        <v>2228</v>
      </c>
      <c r="X859" s="34" t="s">
        <v>17</v>
      </c>
      <c r="Y859" s="34" t="s">
        <v>2229</v>
      </c>
      <c r="Z859" s="34">
        <v>0</v>
      </c>
      <c r="AA859" s="32">
        <v>-108901.60609</v>
      </c>
      <c r="AB859" t="str">
        <f>VLOOKUP(Table2[[#This Row],[product]],Ref[#All],6,FALSE)</f>
        <v>BAG50</v>
      </c>
    </row>
    <row r="860" spans="1:28" x14ac:dyDescent="0.25">
      <c r="A860" t="str">
        <f>TEXT(Table2[[#This Row],[dated]],"mmm")</f>
        <v>Jul</v>
      </c>
      <c r="B860" s="28" t="s">
        <v>30</v>
      </c>
      <c r="C860" s="1" t="s">
        <v>536</v>
      </c>
      <c r="D860" t="str">
        <f>VLOOKUP(Table2[[#This Row],[product]],Ref[#All],7,FALSE)</f>
        <v>Rice</v>
      </c>
      <c r="E860" s="28" t="s">
        <v>176</v>
      </c>
      <c r="F860" t="str">
        <f>VLOOKUP(Table2[[#This Row],[product]],Ref[#All],2,FALSE)</f>
        <v>Rice Long Grade 1 Elngm 20Kg</v>
      </c>
      <c r="G860" t="str">
        <f>VLOOKUP(Table2[[#This Row],[product]],Ref[#All],3,FALSE)</f>
        <v>Rice Long Grain</v>
      </c>
      <c r="H860" t="str">
        <f>VLOOKUP(Table2[[#This Row],[product]],Ref[#All],4,FALSE)</f>
        <v>Import</v>
      </c>
      <c r="I860" s="1">
        <v>45862</v>
      </c>
      <c r="J860" s="28" t="s">
        <v>53</v>
      </c>
      <c r="K860" t="s">
        <v>1767</v>
      </c>
      <c r="L860" t="s">
        <v>1651</v>
      </c>
      <c r="M860" t="s">
        <v>1586</v>
      </c>
      <c r="N860" t="s">
        <v>784</v>
      </c>
      <c r="O860" t="s">
        <v>785</v>
      </c>
      <c r="P860" t="s">
        <v>788</v>
      </c>
      <c r="Q860" t="s">
        <v>55</v>
      </c>
      <c r="R860">
        <v>-2</v>
      </c>
      <c r="S860" s="15">
        <f>Table2[[#This Row],[movement_quantity]]/VLOOKUP(Table2[[#This Row],[product]],Ref[#All],5,FALSE)</f>
        <v>-0.04</v>
      </c>
      <c r="T860">
        <v>27661.955160000001</v>
      </c>
      <c r="U860" t="s">
        <v>17</v>
      </c>
      <c r="V860" t="s">
        <v>18</v>
      </c>
      <c r="W860" t="s">
        <v>2238</v>
      </c>
      <c r="X860" t="s">
        <v>17</v>
      </c>
      <c r="Y860" t="s">
        <v>1768</v>
      </c>
      <c r="Z860">
        <v>0</v>
      </c>
      <c r="AA860">
        <v>-55323.910320000003</v>
      </c>
      <c r="AB860" t="str">
        <f>VLOOKUP(Table2[[#This Row],[product]],Ref[#All],6,FALSE)</f>
        <v>BAG20</v>
      </c>
    </row>
    <row r="861" spans="1:28" x14ac:dyDescent="0.25">
      <c r="A861" t="str">
        <f>TEXT(Table2[[#This Row],[dated]],"mmm")</f>
        <v>Jul</v>
      </c>
      <c r="B861" s="28" t="s">
        <v>52</v>
      </c>
      <c r="C861" s="1" t="s">
        <v>536</v>
      </c>
      <c r="D861" t="str">
        <f>VLOOKUP(Table2[[#This Row],[product]],Ref[#All],7,FALSE)</f>
        <v>Rice</v>
      </c>
      <c r="E861" s="28" t="s">
        <v>176</v>
      </c>
      <c r="F861" t="str">
        <f>VLOOKUP(Table2[[#This Row],[product]],Ref[#All],2,FALSE)</f>
        <v>Rice Long Grade 1 Elngm 20Kg</v>
      </c>
      <c r="G861" t="str">
        <f>VLOOKUP(Table2[[#This Row],[product]],Ref[#All],3,FALSE)</f>
        <v>Rice Long Grain</v>
      </c>
      <c r="H861" t="str">
        <f>VLOOKUP(Table2[[#This Row],[product]],Ref[#All],4,FALSE)</f>
        <v>Import</v>
      </c>
      <c r="I861" s="1">
        <v>45862</v>
      </c>
      <c r="J861" s="28" t="s">
        <v>127</v>
      </c>
      <c r="K861" t="s">
        <v>1767</v>
      </c>
      <c r="L861" t="s">
        <v>1651</v>
      </c>
      <c r="M861" t="s">
        <v>1586</v>
      </c>
      <c r="N861" t="s">
        <v>784</v>
      </c>
      <c r="O861" t="s">
        <v>785</v>
      </c>
      <c r="P861" t="s">
        <v>788</v>
      </c>
      <c r="Q861" t="s">
        <v>55</v>
      </c>
      <c r="R861">
        <v>2</v>
      </c>
      <c r="S861" s="15">
        <f>Table2[[#This Row],[movement_quantity]]/VLOOKUP(Table2[[#This Row],[product]],Ref[#All],5,FALSE)</f>
        <v>0.04</v>
      </c>
      <c r="T861" s="33">
        <v>27661.955160000001</v>
      </c>
      <c r="U861" s="33" t="s">
        <v>153</v>
      </c>
      <c r="V861" s="33" t="s">
        <v>21</v>
      </c>
      <c r="W861" s="33" t="s">
        <v>2242</v>
      </c>
      <c r="X861" s="33" t="s">
        <v>2243</v>
      </c>
      <c r="Y861" s="33" t="s">
        <v>17</v>
      </c>
      <c r="Z861" s="33">
        <v>0</v>
      </c>
      <c r="AA861">
        <v>55323.910320000003</v>
      </c>
      <c r="AB861" t="str">
        <f>VLOOKUP(Table2[[#This Row],[product]],Ref[#All],6,FALSE)</f>
        <v>BAG20</v>
      </c>
    </row>
    <row r="862" spans="1:28" x14ac:dyDescent="0.25">
      <c r="A862" t="str">
        <f>TEXT(Table2[[#This Row],[dated]],"mmm")</f>
        <v>Jul</v>
      </c>
      <c r="B862" s="28" t="s">
        <v>15</v>
      </c>
      <c r="C862" s="1" t="s">
        <v>536</v>
      </c>
      <c r="D862" t="str">
        <f>VLOOKUP(Table2[[#This Row],[product]],Ref[#All],7,FALSE)</f>
        <v>Sugar</v>
      </c>
      <c r="E862" s="28" t="s">
        <v>72</v>
      </c>
      <c r="F862" t="str">
        <f>VLOOKUP(Table2[[#This Row],[product]],Ref[#All],2,FALSE)</f>
        <v>White Sugar</v>
      </c>
      <c r="G862" t="str">
        <f>VLOOKUP(Table2[[#This Row],[product]],Ref[#All],3,FALSE)</f>
        <v>White Sugar</v>
      </c>
      <c r="H862" t="str">
        <f>VLOOKUP(Table2[[#This Row],[product]],Ref[#All],4,FALSE)</f>
        <v>Import</v>
      </c>
      <c r="I862" s="1">
        <v>45862</v>
      </c>
      <c r="J862" s="28" t="s">
        <v>53</v>
      </c>
      <c r="K862" t="s">
        <v>2246</v>
      </c>
      <c r="L862" t="s">
        <v>1651</v>
      </c>
      <c r="M862" t="s">
        <v>1586</v>
      </c>
      <c r="N862" t="s">
        <v>784</v>
      </c>
      <c r="O862" t="s">
        <v>785</v>
      </c>
      <c r="P862" t="s">
        <v>788</v>
      </c>
      <c r="Q862" t="s">
        <v>55</v>
      </c>
      <c r="R862">
        <v>-1</v>
      </c>
      <c r="S862" s="15">
        <f>Table2[[#This Row],[movement_quantity]]/VLOOKUP(Table2[[#This Row],[product]],Ref[#All],5,FALSE)</f>
        <v>-0.05</v>
      </c>
      <c r="T862" s="33">
        <v>78293.8171</v>
      </c>
      <c r="U862" s="33" t="s">
        <v>17</v>
      </c>
      <c r="V862" s="33" t="s">
        <v>18</v>
      </c>
      <c r="W862" s="33" t="s">
        <v>2247</v>
      </c>
      <c r="X862" s="33" t="s">
        <v>17</v>
      </c>
      <c r="Y862" s="33" t="s">
        <v>1412</v>
      </c>
      <c r="Z862" s="33">
        <v>0</v>
      </c>
      <c r="AA862">
        <v>-78293.8171</v>
      </c>
      <c r="AB862" t="str">
        <f>VLOOKUP(Table2[[#This Row],[product]],Ref[#All],6,FALSE)</f>
        <v>BAG50</v>
      </c>
    </row>
    <row r="863" spans="1:28" x14ac:dyDescent="0.25">
      <c r="A863" t="str">
        <f>TEXT(Table2[[#This Row],[dated]],"mmm")</f>
        <v>Jul</v>
      </c>
      <c r="B863" s="26" t="s">
        <v>52</v>
      </c>
      <c r="C863" s="1" t="s">
        <v>536</v>
      </c>
      <c r="D863" t="str">
        <f>VLOOKUP(Table2[[#This Row],[product]],Ref[#All],7,FALSE)</f>
        <v>Sugar</v>
      </c>
      <c r="E863" s="26" t="s">
        <v>72</v>
      </c>
      <c r="F863" t="str">
        <f>VLOOKUP(Table2[[#This Row],[product]],Ref[#All],2,FALSE)</f>
        <v>White Sugar</v>
      </c>
      <c r="G863" t="str">
        <f>VLOOKUP(Table2[[#This Row],[product]],Ref[#All],3,FALSE)</f>
        <v>White Sugar</v>
      </c>
      <c r="H863" t="str">
        <f>VLOOKUP(Table2[[#This Row],[product]],Ref[#All],4,FALSE)</f>
        <v>Import</v>
      </c>
      <c r="I863" s="29">
        <v>45862</v>
      </c>
      <c r="J863" s="26" t="s">
        <v>127</v>
      </c>
      <c r="K863" s="32" t="s">
        <v>2246</v>
      </c>
      <c r="L863" t="s">
        <v>1651</v>
      </c>
      <c r="M863" t="s">
        <v>1586</v>
      </c>
      <c r="N863" t="s">
        <v>784</v>
      </c>
      <c r="O863" t="s">
        <v>785</v>
      </c>
      <c r="P863" t="s">
        <v>788</v>
      </c>
      <c r="Q863" t="s">
        <v>55</v>
      </c>
      <c r="R863">
        <v>1</v>
      </c>
      <c r="S863" s="15">
        <f>Table2[[#This Row],[movement_quantity]]/VLOOKUP(Table2[[#This Row],[product]],Ref[#All],5,FALSE)</f>
        <v>0.05</v>
      </c>
      <c r="T863" s="34">
        <v>78293.8171</v>
      </c>
      <c r="U863" s="34" t="s">
        <v>153</v>
      </c>
      <c r="V863" s="34" t="s">
        <v>18</v>
      </c>
      <c r="W863" s="34" t="s">
        <v>2248</v>
      </c>
      <c r="X863" s="34" t="s">
        <v>2249</v>
      </c>
      <c r="Y863" s="34" t="s">
        <v>17</v>
      </c>
      <c r="Z863" s="34">
        <v>0</v>
      </c>
      <c r="AA863" s="32">
        <v>78293.8171</v>
      </c>
      <c r="AB863" t="str">
        <f>VLOOKUP(Table2[[#This Row],[product]],Ref[#All],6,FALSE)</f>
        <v>BAG50</v>
      </c>
    </row>
    <row r="864" spans="1:28" x14ac:dyDescent="0.25">
      <c r="A864" t="str">
        <f>TEXT(Table2[[#This Row],[dated]],"mmm")</f>
        <v>Jul</v>
      </c>
      <c r="B864" s="26" t="s">
        <v>596</v>
      </c>
      <c r="C864" s="1" t="s">
        <v>536</v>
      </c>
      <c r="D864" t="str">
        <f>VLOOKUP(Table2[[#This Row],[product]],Ref[#All],7,FALSE)</f>
        <v>Flour</v>
      </c>
      <c r="E864" s="26" t="s">
        <v>36</v>
      </c>
      <c r="F864" t="str">
        <f>VLOOKUP(Table2[[#This Row],[product]],Ref[#All],2,FALSE)</f>
        <v>Flour Import Elngm 25Kg</v>
      </c>
      <c r="G864" t="str">
        <f>VLOOKUP(Table2[[#This Row],[product]],Ref[#All],3,FALSE)</f>
        <v>Flour Al-Nagm (Imported)</v>
      </c>
      <c r="H864" t="str">
        <f>VLOOKUP(Table2[[#This Row],[product]],Ref[#All],4,FALSE)</f>
        <v>Import</v>
      </c>
      <c r="I864" s="29">
        <v>45861</v>
      </c>
      <c r="J864" s="26" t="s">
        <v>53</v>
      </c>
      <c r="K864" s="32" t="s">
        <v>2271</v>
      </c>
      <c r="L864" t="s">
        <v>1651</v>
      </c>
      <c r="M864" t="s">
        <v>1586</v>
      </c>
      <c r="N864" t="s">
        <v>784</v>
      </c>
      <c r="O864" t="s">
        <v>785</v>
      </c>
      <c r="P864" t="s">
        <v>788</v>
      </c>
      <c r="Q864" t="s">
        <v>55</v>
      </c>
      <c r="R864">
        <v>-39</v>
      </c>
      <c r="S864" s="15">
        <f>Table2[[#This Row],[movement_quantity]]/VLOOKUP(Table2[[#This Row],[product]],Ref[#All],5,FALSE)</f>
        <v>-0.97499999999999998</v>
      </c>
      <c r="T864" s="32">
        <v>28919.106970000001</v>
      </c>
      <c r="U864" s="32" t="s">
        <v>17</v>
      </c>
      <c r="V864" s="32" t="s">
        <v>18</v>
      </c>
      <c r="W864" s="32" t="s">
        <v>2272</v>
      </c>
      <c r="X864" s="32" t="s">
        <v>17</v>
      </c>
      <c r="Y864" s="32" t="s">
        <v>2273</v>
      </c>
      <c r="Z864" s="32">
        <v>0</v>
      </c>
      <c r="AA864" s="32">
        <v>-1127845.1718300001</v>
      </c>
      <c r="AB864" t="str">
        <f>VLOOKUP(Table2[[#This Row],[product]],Ref[#All],6,FALSE)</f>
        <v>BAG25</v>
      </c>
    </row>
    <row r="865" spans="1:28" x14ac:dyDescent="0.25">
      <c r="A865" t="str">
        <f>TEXT(Table2[[#This Row],[dated]],"mmm")</f>
        <v>Jul</v>
      </c>
      <c r="B865" s="28" t="s">
        <v>596</v>
      </c>
      <c r="C865" s="1" t="s">
        <v>536</v>
      </c>
      <c r="D865" t="str">
        <f>VLOOKUP(Table2[[#This Row],[product]],Ref[#All],7,FALSE)</f>
        <v>Flour</v>
      </c>
      <c r="E865" s="28" t="s">
        <v>36</v>
      </c>
      <c r="F865" t="str">
        <f>VLOOKUP(Table2[[#This Row],[product]],Ref[#All],2,FALSE)</f>
        <v>Flour Import Elngm 25Kg</v>
      </c>
      <c r="G865" t="str">
        <f>VLOOKUP(Table2[[#This Row],[product]],Ref[#All],3,FALSE)</f>
        <v>Flour Al-Nagm (Imported)</v>
      </c>
      <c r="H865" t="str">
        <f>VLOOKUP(Table2[[#This Row],[product]],Ref[#All],4,FALSE)</f>
        <v>Import</v>
      </c>
      <c r="I865" s="1">
        <v>45861</v>
      </c>
      <c r="J865" s="28" t="s">
        <v>53</v>
      </c>
      <c r="K865" t="s">
        <v>2274</v>
      </c>
      <c r="L865" t="s">
        <v>1651</v>
      </c>
      <c r="M865" t="s">
        <v>1586</v>
      </c>
      <c r="N865" t="s">
        <v>784</v>
      </c>
      <c r="O865" t="s">
        <v>785</v>
      </c>
      <c r="P865" t="s">
        <v>788</v>
      </c>
      <c r="Q865" t="s">
        <v>55</v>
      </c>
      <c r="R865">
        <v>-22</v>
      </c>
      <c r="S865" s="15">
        <f>Table2[[#This Row],[movement_quantity]]/VLOOKUP(Table2[[#This Row],[product]],Ref[#All],5,FALSE)</f>
        <v>-0.55000000000000004</v>
      </c>
      <c r="T865">
        <v>28919.106970000001</v>
      </c>
      <c r="U865" t="s">
        <v>17</v>
      </c>
      <c r="V865" t="s">
        <v>21</v>
      </c>
      <c r="W865" t="s">
        <v>2275</v>
      </c>
      <c r="X865" t="s">
        <v>17</v>
      </c>
      <c r="Y865" t="s">
        <v>2273</v>
      </c>
      <c r="Z865">
        <v>0</v>
      </c>
      <c r="AA865">
        <v>-636220.35334000003</v>
      </c>
      <c r="AB865" t="str">
        <f>VLOOKUP(Table2[[#This Row],[product]],Ref[#All],6,FALSE)</f>
        <v>BAG25</v>
      </c>
    </row>
    <row r="866" spans="1:28" x14ac:dyDescent="0.25">
      <c r="A866" t="str">
        <f>TEXT(Table2[[#This Row],[dated]],"mmm")</f>
        <v>Jul</v>
      </c>
      <c r="B866" t="s">
        <v>46</v>
      </c>
      <c r="C866" s="1" t="s">
        <v>536</v>
      </c>
      <c r="D866" t="str">
        <f>VLOOKUP(Table2[[#This Row],[product]],Ref[#All],7,FALSE)</f>
        <v>Sugar</v>
      </c>
      <c r="E866" s="1" t="s">
        <v>72</v>
      </c>
      <c r="F866" t="str">
        <f>VLOOKUP(Table2[[#This Row],[product]],Ref[#All],2,FALSE)</f>
        <v>White Sugar</v>
      </c>
      <c r="G866" t="str">
        <f>VLOOKUP(Table2[[#This Row],[product]],Ref[#All],3,FALSE)</f>
        <v>White Sugar</v>
      </c>
      <c r="H866" t="str">
        <f>VLOOKUP(Table2[[#This Row],[product]],Ref[#All],4,FALSE)</f>
        <v>Import</v>
      </c>
      <c r="I866" s="1">
        <v>45858</v>
      </c>
      <c r="J866" t="s">
        <v>53</v>
      </c>
      <c r="K866" t="s">
        <v>2049</v>
      </c>
      <c r="L866" t="s">
        <v>1651</v>
      </c>
      <c r="M866" t="s">
        <v>1586</v>
      </c>
      <c r="N866" t="s">
        <v>784</v>
      </c>
      <c r="O866" t="s">
        <v>785</v>
      </c>
      <c r="P866" t="s">
        <v>788</v>
      </c>
      <c r="Q866" t="s">
        <v>55</v>
      </c>
      <c r="R866">
        <v>-1</v>
      </c>
      <c r="S866" s="15">
        <f>Table2[[#This Row],[movement_quantity]]/VLOOKUP(Table2[[#This Row],[product]],Ref[#All],5,FALSE)</f>
        <v>-0.05</v>
      </c>
      <c r="T866">
        <v>78293.8171</v>
      </c>
      <c r="U866" t="s">
        <v>17</v>
      </c>
      <c r="V866" t="s">
        <v>24</v>
      </c>
      <c r="W866" t="s">
        <v>2050</v>
      </c>
      <c r="X866" t="s">
        <v>17</v>
      </c>
      <c r="Y866" s="2" t="s">
        <v>1909</v>
      </c>
      <c r="Z866">
        <v>0</v>
      </c>
      <c r="AA866" s="2">
        <v>-78293.8171</v>
      </c>
      <c r="AB866" t="str">
        <f>VLOOKUP(Table2[[#This Row],[product]],Ref[#All],6,FALSE)</f>
        <v>BAG50</v>
      </c>
    </row>
    <row r="867" spans="1:28" x14ac:dyDescent="0.25">
      <c r="A867" t="str">
        <f>TEXT(Table2[[#This Row],[dated]],"mmm")</f>
        <v>Jul</v>
      </c>
      <c r="B867" t="s">
        <v>46</v>
      </c>
      <c r="C867" s="1" t="s">
        <v>536</v>
      </c>
      <c r="D867" t="str">
        <f>VLOOKUP(Table2[[#This Row],[product]],Ref[#All],7,FALSE)</f>
        <v>Sugar</v>
      </c>
      <c r="E867" s="1" t="s">
        <v>72</v>
      </c>
      <c r="F867" t="str">
        <f>VLOOKUP(Table2[[#This Row],[product]],Ref[#All],2,FALSE)</f>
        <v>White Sugar</v>
      </c>
      <c r="G867" t="str">
        <f>VLOOKUP(Table2[[#This Row],[product]],Ref[#All],3,FALSE)</f>
        <v>White Sugar</v>
      </c>
      <c r="H867" t="str">
        <f>VLOOKUP(Table2[[#This Row],[product]],Ref[#All],4,FALSE)</f>
        <v>Import</v>
      </c>
      <c r="I867" s="1">
        <v>45858</v>
      </c>
      <c r="J867" t="s">
        <v>53</v>
      </c>
      <c r="K867" t="s">
        <v>2049</v>
      </c>
      <c r="L867" t="s">
        <v>1651</v>
      </c>
      <c r="M867" t="s">
        <v>1586</v>
      </c>
      <c r="N867" t="s">
        <v>784</v>
      </c>
      <c r="O867" t="s">
        <v>785</v>
      </c>
      <c r="P867" t="s">
        <v>788</v>
      </c>
      <c r="Q867" t="s">
        <v>55</v>
      </c>
      <c r="R867">
        <v>-1</v>
      </c>
      <c r="S867" s="15">
        <f>Table2[[#This Row],[movement_quantity]]/VLOOKUP(Table2[[#This Row],[product]],Ref[#All],5,FALSE)</f>
        <v>-0.05</v>
      </c>
      <c r="T867">
        <v>78293.8171</v>
      </c>
      <c r="U867" t="s">
        <v>17</v>
      </c>
      <c r="V867" t="s">
        <v>25</v>
      </c>
      <c r="W867" t="s">
        <v>2050</v>
      </c>
      <c r="X867" t="s">
        <v>17</v>
      </c>
      <c r="Y867" s="2" t="s">
        <v>2047</v>
      </c>
      <c r="Z867">
        <v>0</v>
      </c>
      <c r="AA867" s="2">
        <v>-78293.8171</v>
      </c>
      <c r="AB867" t="str">
        <f>VLOOKUP(Table2[[#This Row],[product]],Ref[#All],6,FALSE)</f>
        <v>BAG50</v>
      </c>
    </row>
    <row r="868" spans="1:28" x14ac:dyDescent="0.25">
      <c r="A868" t="str">
        <f>TEXT(Table2[[#This Row],[dated]],"mmm")</f>
        <v>Jul</v>
      </c>
      <c r="B868" t="s">
        <v>46</v>
      </c>
      <c r="C868" s="1" t="s">
        <v>536</v>
      </c>
      <c r="D868" t="str">
        <f>VLOOKUP(Table2[[#This Row],[product]],Ref[#All],7,FALSE)</f>
        <v>Sugar</v>
      </c>
      <c r="E868" s="1" t="s">
        <v>72</v>
      </c>
      <c r="F868" t="str">
        <f>VLOOKUP(Table2[[#This Row],[product]],Ref[#All],2,FALSE)</f>
        <v>White Sugar</v>
      </c>
      <c r="G868" t="str">
        <f>VLOOKUP(Table2[[#This Row],[product]],Ref[#All],3,FALSE)</f>
        <v>White Sugar</v>
      </c>
      <c r="H868" t="str">
        <f>VLOOKUP(Table2[[#This Row],[product]],Ref[#All],4,FALSE)</f>
        <v>Import</v>
      </c>
      <c r="I868" s="1">
        <v>45858</v>
      </c>
      <c r="J868" t="s">
        <v>53</v>
      </c>
      <c r="K868" t="s">
        <v>2051</v>
      </c>
      <c r="L868" t="s">
        <v>1651</v>
      </c>
      <c r="M868" t="s">
        <v>1586</v>
      </c>
      <c r="N868" t="s">
        <v>784</v>
      </c>
      <c r="O868" t="s">
        <v>785</v>
      </c>
      <c r="P868" t="s">
        <v>788</v>
      </c>
      <c r="Q868" t="s">
        <v>55</v>
      </c>
      <c r="R868">
        <v>-2</v>
      </c>
      <c r="S868" s="15">
        <f>Table2[[#This Row],[movement_quantity]]/VLOOKUP(Table2[[#This Row],[product]],Ref[#All],5,FALSE)</f>
        <v>-0.1</v>
      </c>
      <c r="T868">
        <v>78293.8171</v>
      </c>
      <c r="U868" t="s">
        <v>17</v>
      </c>
      <c r="V868" t="s">
        <v>27</v>
      </c>
      <c r="W868" t="s">
        <v>2052</v>
      </c>
      <c r="X868" t="s">
        <v>17</v>
      </c>
      <c r="Y868" s="2" t="s">
        <v>2053</v>
      </c>
      <c r="Z868">
        <v>0</v>
      </c>
      <c r="AA868" s="2">
        <v>-156587.6342</v>
      </c>
      <c r="AB868" t="str">
        <f>VLOOKUP(Table2[[#This Row],[product]],Ref[#All],6,FALSE)</f>
        <v>BAG50</v>
      </c>
    </row>
    <row r="869" spans="1:28" x14ac:dyDescent="0.25">
      <c r="A869" t="str">
        <f>TEXT(Table2[[#This Row],[dated]],"mmm")</f>
        <v>Jul</v>
      </c>
      <c r="B869" t="s">
        <v>46</v>
      </c>
      <c r="C869" s="1" t="s">
        <v>536</v>
      </c>
      <c r="D869" t="str">
        <f>VLOOKUP(Table2[[#This Row],[product]],Ref[#All],7,FALSE)</f>
        <v>Sugar</v>
      </c>
      <c r="E869" s="1" t="s">
        <v>72</v>
      </c>
      <c r="F869" t="str">
        <f>VLOOKUP(Table2[[#This Row],[product]],Ref[#All],2,FALSE)</f>
        <v>White Sugar</v>
      </c>
      <c r="G869" t="str">
        <f>VLOOKUP(Table2[[#This Row],[product]],Ref[#All],3,FALSE)</f>
        <v>White Sugar</v>
      </c>
      <c r="H869" t="str">
        <f>VLOOKUP(Table2[[#This Row],[product]],Ref[#All],4,FALSE)</f>
        <v>Import</v>
      </c>
      <c r="I869" s="1">
        <v>45858</v>
      </c>
      <c r="J869" t="s">
        <v>53</v>
      </c>
      <c r="K869" t="s">
        <v>2072</v>
      </c>
      <c r="L869" t="s">
        <v>1651</v>
      </c>
      <c r="M869" t="s">
        <v>1586</v>
      </c>
      <c r="N869" t="s">
        <v>784</v>
      </c>
      <c r="O869" t="s">
        <v>785</v>
      </c>
      <c r="P869" t="s">
        <v>788</v>
      </c>
      <c r="Q869" t="s">
        <v>55</v>
      </c>
      <c r="R869">
        <v>-1</v>
      </c>
      <c r="S869" s="15">
        <f>Table2[[#This Row],[movement_quantity]]/VLOOKUP(Table2[[#This Row],[product]],Ref[#All],5,FALSE)</f>
        <v>-0.05</v>
      </c>
      <c r="T869">
        <v>78293.8171</v>
      </c>
      <c r="U869" t="s">
        <v>17</v>
      </c>
      <c r="V869" t="s">
        <v>21</v>
      </c>
      <c r="W869" t="s">
        <v>2073</v>
      </c>
      <c r="X869" t="s">
        <v>17</v>
      </c>
      <c r="Y869" s="2" t="s">
        <v>1320</v>
      </c>
      <c r="Z869">
        <v>0</v>
      </c>
      <c r="AA869" s="2">
        <v>-78293.8171</v>
      </c>
      <c r="AB869" t="str">
        <f>VLOOKUP(Table2[[#This Row],[product]],Ref[#All],6,FALSE)</f>
        <v>BAG50</v>
      </c>
    </row>
    <row r="870" spans="1:28" x14ac:dyDescent="0.25">
      <c r="A870" t="str">
        <f>TEXT(Table2[[#This Row],[dated]],"mmm")</f>
        <v>Jul</v>
      </c>
      <c r="B870" t="s">
        <v>46</v>
      </c>
      <c r="C870" s="1" t="s">
        <v>536</v>
      </c>
      <c r="D870" t="str">
        <f>VLOOKUP(Table2[[#This Row],[product]],Ref[#All],7,FALSE)</f>
        <v>Sugar</v>
      </c>
      <c r="E870" s="1" t="s">
        <v>72</v>
      </c>
      <c r="F870" t="str">
        <f>VLOOKUP(Table2[[#This Row],[product]],Ref[#All],2,FALSE)</f>
        <v>White Sugar</v>
      </c>
      <c r="G870" t="str">
        <f>VLOOKUP(Table2[[#This Row],[product]],Ref[#All],3,FALSE)</f>
        <v>White Sugar</v>
      </c>
      <c r="H870" t="str">
        <f>VLOOKUP(Table2[[#This Row],[product]],Ref[#All],4,FALSE)</f>
        <v>Import</v>
      </c>
      <c r="I870" s="1">
        <v>45858</v>
      </c>
      <c r="J870" t="s">
        <v>53</v>
      </c>
      <c r="K870" t="s">
        <v>2072</v>
      </c>
      <c r="L870" t="s">
        <v>1651</v>
      </c>
      <c r="M870" t="s">
        <v>1586</v>
      </c>
      <c r="N870" t="s">
        <v>784</v>
      </c>
      <c r="O870" t="s">
        <v>785</v>
      </c>
      <c r="P870" t="s">
        <v>788</v>
      </c>
      <c r="Q870" t="s">
        <v>55</v>
      </c>
      <c r="R870">
        <v>-1</v>
      </c>
      <c r="S870" s="15">
        <f>Table2[[#This Row],[movement_quantity]]/VLOOKUP(Table2[[#This Row],[product]],Ref[#All],5,FALSE)</f>
        <v>-0.05</v>
      </c>
      <c r="T870">
        <v>78293.8171</v>
      </c>
      <c r="U870" t="s">
        <v>17</v>
      </c>
      <c r="V870" t="s">
        <v>22</v>
      </c>
      <c r="W870" t="s">
        <v>2073</v>
      </c>
      <c r="X870" t="s">
        <v>17</v>
      </c>
      <c r="Y870" s="2" t="s">
        <v>1909</v>
      </c>
      <c r="Z870">
        <v>0</v>
      </c>
      <c r="AA870" s="2">
        <v>-78293.8171</v>
      </c>
      <c r="AB870" t="str">
        <f>VLOOKUP(Table2[[#This Row],[product]],Ref[#All],6,FALSE)</f>
        <v>BAG50</v>
      </c>
    </row>
    <row r="871" spans="1:28" x14ac:dyDescent="0.25">
      <c r="A871" t="str">
        <f>TEXT(Table2[[#This Row],[dated]],"mmm")</f>
        <v>Jul</v>
      </c>
      <c r="B871" t="s">
        <v>52</v>
      </c>
      <c r="C871" s="1" t="s">
        <v>536</v>
      </c>
      <c r="D871" t="str">
        <f>VLOOKUP(Table2[[#This Row],[product]],Ref[#All],7,FALSE)</f>
        <v>Lentils</v>
      </c>
      <c r="E871" s="1" t="s">
        <v>39</v>
      </c>
      <c r="F871" t="str">
        <f>VLOOKUP(Table2[[#This Row],[product]],Ref[#All],2,FALSE)</f>
        <v>Lentil TAT 20KG</v>
      </c>
      <c r="G871" t="str">
        <f>VLOOKUP(Table2[[#This Row],[product]],Ref[#All],3,FALSE)</f>
        <v>Lentils</v>
      </c>
      <c r="H871" t="str">
        <f>VLOOKUP(Table2[[#This Row],[product]],Ref[#All],4,FALSE)</f>
        <v>Import</v>
      </c>
      <c r="I871" s="1">
        <v>45858</v>
      </c>
      <c r="J871" t="s">
        <v>53</v>
      </c>
      <c r="K871" t="s">
        <v>2082</v>
      </c>
      <c r="L871" t="s">
        <v>1651</v>
      </c>
      <c r="M871" t="s">
        <v>1586</v>
      </c>
      <c r="N871" t="s">
        <v>784</v>
      </c>
      <c r="O871" t="s">
        <v>785</v>
      </c>
      <c r="P871" t="s">
        <v>788</v>
      </c>
      <c r="Q871" t="s">
        <v>55</v>
      </c>
      <c r="R871">
        <v>-3</v>
      </c>
      <c r="S871" s="15">
        <f>Table2[[#This Row],[movement_quantity]]/VLOOKUP(Table2[[#This Row],[product]],Ref[#All],5,FALSE)</f>
        <v>-0.06</v>
      </c>
      <c r="T871">
        <v>41075.795080000004</v>
      </c>
      <c r="U871" t="s">
        <v>17</v>
      </c>
      <c r="V871" t="s">
        <v>18</v>
      </c>
      <c r="W871" t="s">
        <v>2083</v>
      </c>
      <c r="X871" t="s">
        <v>17</v>
      </c>
      <c r="Y871" s="2" t="s">
        <v>1965</v>
      </c>
      <c r="Z871">
        <v>0</v>
      </c>
      <c r="AA871" s="2">
        <v>-123227.38524</v>
      </c>
      <c r="AB871" t="str">
        <f>VLOOKUP(Table2[[#This Row],[product]],Ref[#All],6,FALSE)</f>
        <v>BAG20</v>
      </c>
    </row>
    <row r="872" spans="1:28" x14ac:dyDescent="0.25">
      <c r="A872" t="str">
        <f>TEXT(Table2[[#This Row],[dated]],"mmm")</f>
        <v>Jul</v>
      </c>
      <c r="B872" t="s">
        <v>52</v>
      </c>
      <c r="C872" s="1" t="s">
        <v>536</v>
      </c>
      <c r="D872" t="str">
        <f>VLOOKUP(Table2[[#This Row],[product]],Ref[#All],7,FALSE)</f>
        <v>Flour</v>
      </c>
      <c r="E872" s="1" t="s">
        <v>42</v>
      </c>
      <c r="F872" t="str">
        <f>VLOOKUP(Table2[[#This Row],[product]],Ref[#All],2,FALSE)</f>
        <v>Alnajm Flour from Mill 25KG</v>
      </c>
      <c r="G872" t="str">
        <f>VLOOKUP(Table2[[#This Row],[product]],Ref[#All],3,FALSE)</f>
        <v>Flour Al-Nagm (Mill)</v>
      </c>
      <c r="H872" t="str">
        <f>VLOOKUP(Table2[[#This Row],[product]],Ref[#All],4,FALSE)</f>
        <v>Import</v>
      </c>
      <c r="I872" s="1">
        <v>45858</v>
      </c>
      <c r="J872" t="s">
        <v>53</v>
      </c>
      <c r="K872" t="s">
        <v>2084</v>
      </c>
      <c r="L872" t="s">
        <v>1651</v>
      </c>
      <c r="M872" t="s">
        <v>1586</v>
      </c>
      <c r="N872" t="s">
        <v>784</v>
      </c>
      <c r="O872" t="s">
        <v>785</v>
      </c>
      <c r="P872" t="s">
        <v>788</v>
      </c>
      <c r="Q872" t="s">
        <v>55</v>
      </c>
      <c r="R872">
        <v>-3</v>
      </c>
      <c r="S872" s="15">
        <f>Table2[[#This Row],[movement_quantity]]/VLOOKUP(Table2[[#This Row],[product]],Ref[#All],5,FALSE)</f>
        <v>-7.4999999999999997E-2</v>
      </c>
      <c r="T872">
        <v>28919.106970000001</v>
      </c>
      <c r="U872" t="s">
        <v>17</v>
      </c>
      <c r="V872" t="s">
        <v>18</v>
      </c>
      <c r="W872" t="s">
        <v>2085</v>
      </c>
      <c r="X872" t="s">
        <v>17</v>
      </c>
      <c r="Y872" s="2" t="s">
        <v>2086</v>
      </c>
      <c r="Z872">
        <v>0</v>
      </c>
      <c r="AA872" s="2">
        <v>-86757.320910000009</v>
      </c>
      <c r="AB872" t="str">
        <f>VLOOKUP(Table2[[#This Row],[product]],Ref[#All],6,FALSE)</f>
        <v>BAG25</v>
      </c>
    </row>
    <row r="873" spans="1:28" x14ac:dyDescent="0.25">
      <c r="A873" t="str">
        <f>TEXT(Table2[[#This Row],[dated]],"mmm")</f>
        <v>Jul</v>
      </c>
      <c r="B873" t="s">
        <v>30</v>
      </c>
      <c r="C873" s="1" t="s">
        <v>536</v>
      </c>
      <c r="D873" t="str">
        <f>VLOOKUP(Table2[[#This Row],[product]],Ref[#All],7,FALSE)</f>
        <v>Flour</v>
      </c>
      <c r="E873" s="1" t="s">
        <v>42</v>
      </c>
      <c r="F873" t="str">
        <f>VLOOKUP(Table2[[#This Row],[product]],Ref[#All],2,FALSE)</f>
        <v>Alnajm Flour from Mill 25KG</v>
      </c>
      <c r="G873" t="str">
        <f>VLOOKUP(Table2[[#This Row],[product]],Ref[#All],3,FALSE)</f>
        <v>Flour Al-Nagm (Mill)</v>
      </c>
      <c r="H873" t="str">
        <f>VLOOKUP(Table2[[#This Row],[product]],Ref[#All],4,FALSE)</f>
        <v>Import</v>
      </c>
      <c r="I873" s="1">
        <v>45858</v>
      </c>
      <c r="J873" t="s">
        <v>53</v>
      </c>
      <c r="K873" t="s">
        <v>2087</v>
      </c>
      <c r="L873" t="s">
        <v>1651</v>
      </c>
      <c r="M873" t="s">
        <v>1586</v>
      </c>
      <c r="N873" t="s">
        <v>784</v>
      </c>
      <c r="O873" t="s">
        <v>785</v>
      </c>
      <c r="P873" t="s">
        <v>788</v>
      </c>
      <c r="Q873" t="s">
        <v>55</v>
      </c>
      <c r="R873">
        <v>-7</v>
      </c>
      <c r="S873" s="15">
        <f>Table2[[#This Row],[movement_quantity]]/VLOOKUP(Table2[[#This Row],[product]],Ref[#All],5,FALSE)</f>
        <v>-0.17499999999999999</v>
      </c>
      <c r="T873">
        <v>28919.106970000001</v>
      </c>
      <c r="U873" t="s">
        <v>17</v>
      </c>
      <c r="V873" t="s">
        <v>18</v>
      </c>
      <c r="W873" t="s">
        <v>2088</v>
      </c>
      <c r="X873" t="s">
        <v>17</v>
      </c>
      <c r="Y873" s="2" t="s">
        <v>2089</v>
      </c>
      <c r="Z873">
        <v>0</v>
      </c>
      <c r="AA873" s="2">
        <v>-202433.74879000001</v>
      </c>
      <c r="AB873" t="str">
        <f>VLOOKUP(Table2[[#This Row],[product]],Ref[#All],6,FALSE)</f>
        <v>BAG25</v>
      </c>
    </row>
    <row r="874" spans="1:28" x14ac:dyDescent="0.25">
      <c r="A874" t="str">
        <f>TEXT(Table2[[#This Row],[dated]],"mmm")</f>
        <v>Jul</v>
      </c>
      <c r="B874" t="s">
        <v>30</v>
      </c>
      <c r="C874" s="1" t="s">
        <v>536</v>
      </c>
      <c r="D874" t="str">
        <f>VLOOKUP(Table2[[#This Row],[product]],Ref[#All],7,FALSE)</f>
        <v>Flour</v>
      </c>
      <c r="E874" s="1" t="s">
        <v>42</v>
      </c>
      <c r="F874" t="str">
        <f>VLOOKUP(Table2[[#This Row],[product]],Ref[#All],2,FALSE)</f>
        <v>Alnajm Flour from Mill 25KG</v>
      </c>
      <c r="G874" t="str">
        <f>VLOOKUP(Table2[[#This Row],[product]],Ref[#All],3,FALSE)</f>
        <v>Flour Al-Nagm (Mill)</v>
      </c>
      <c r="H874" t="str">
        <f>VLOOKUP(Table2[[#This Row],[product]],Ref[#All],4,FALSE)</f>
        <v>Import</v>
      </c>
      <c r="I874" s="1">
        <v>45858</v>
      </c>
      <c r="J874" t="s">
        <v>53</v>
      </c>
      <c r="K874" t="s">
        <v>2090</v>
      </c>
      <c r="L874" t="s">
        <v>1651</v>
      </c>
      <c r="M874" t="s">
        <v>1586</v>
      </c>
      <c r="N874" t="s">
        <v>784</v>
      </c>
      <c r="O874" t="s">
        <v>785</v>
      </c>
      <c r="P874" t="s">
        <v>788</v>
      </c>
      <c r="Q874" t="s">
        <v>55</v>
      </c>
      <c r="R874">
        <v>-10</v>
      </c>
      <c r="S874" s="15">
        <f>Table2[[#This Row],[movement_quantity]]/VLOOKUP(Table2[[#This Row],[product]],Ref[#All],5,FALSE)</f>
        <v>-0.25</v>
      </c>
      <c r="T874">
        <v>28919.106970000001</v>
      </c>
      <c r="U874" t="s">
        <v>17</v>
      </c>
      <c r="V874" t="s">
        <v>21</v>
      </c>
      <c r="W874" t="s">
        <v>2091</v>
      </c>
      <c r="X874" t="s">
        <v>17</v>
      </c>
      <c r="Y874" s="2" t="s">
        <v>2089</v>
      </c>
      <c r="Z874">
        <v>0</v>
      </c>
      <c r="AA874" s="2">
        <v>-289191.06969999999</v>
      </c>
      <c r="AB874" t="str">
        <f>VLOOKUP(Table2[[#This Row],[product]],Ref[#All],6,FALSE)</f>
        <v>BAG25</v>
      </c>
    </row>
    <row r="875" spans="1:28" x14ac:dyDescent="0.25">
      <c r="A875" t="str">
        <f>TEXT(Table2[[#This Row],[dated]],"mmm")</f>
        <v>Jul</v>
      </c>
      <c r="B875" t="s">
        <v>30</v>
      </c>
      <c r="C875" s="1" t="s">
        <v>536</v>
      </c>
      <c r="D875" t="str">
        <f>VLOOKUP(Table2[[#This Row],[product]],Ref[#All],7,FALSE)</f>
        <v>Flour</v>
      </c>
      <c r="E875" s="1" t="s">
        <v>42</v>
      </c>
      <c r="F875" t="str">
        <f>VLOOKUP(Table2[[#This Row],[product]],Ref[#All],2,FALSE)</f>
        <v>Alnajm Flour from Mill 25KG</v>
      </c>
      <c r="G875" t="str">
        <f>VLOOKUP(Table2[[#This Row],[product]],Ref[#All],3,FALSE)</f>
        <v>Flour Al-Nagm (Mill)</v>
      </c>
      <c r="H875" t="str">
        <f>VLOOKUP(Table2[[#This Row],[product]],Ref[#All],4,FALSE)</f>
        <v>Import</v>
      </c>
      <c r="I875" s="1">
        <v>45858</v>
      </c>
      <c r="J875" t="s">
        <v>53</v>
      </c>
      <c r="K875" t="s">
        <v>2092</v>
      </c>
      <c r="L875" t="s">
        <v>1651</v>
      </c>
      <c r="M875" t="s">
        <v>1586</v>
      </c>
      <c r="N875" t="s">
        <v>784</v>
      </c>
      <c r="O875" t="s">
        <v>785</v>
      </c>
      <c r="P875" t="s">
        <v>788</v>
      </c>
      <c r="Q875" t="s">
        <v>55</v>
      </c>
      <c r="R875">
        <v>-16</v>
      </c>
      <c r="S875" s="15">
        <f>Table2[[#This Row],[movement_quantity]]/VLOOKUP(Table2[[#This Row],[product]],Ref[#All],5,FALSE)</f>
        <v>-0.4</v>
      </c>
      <c r="T875">
        <v>28919.106970000001</v>
      </c>
      <c r="U875" t="s">
        <v>17</v>
      </c>
      <c r="V875" t="s">
        <v>22</v>
      </c>
      <c r="W875" t="s">
        <v>2093</v>
      </c>
      <c r="X875" t="s">
        <v>17</v>
      </c>
      <c r="Y875" s="2" t="s">
        <v>2089</v>
      </c>
      <c r="Z875">
        <v>0</v>
      </c>
      <c r="AA875" s="2">
        <v>-462705.71152000001</v>
      </c>
      <c r="AB875" t="str">
        <f>VLOOKUP(Table2[[#This Row],[product]],Ref[#All],6,FALSE)</f>
        <v>BAG25</v>
      </c>
    </row>
    <row r="876" spans="1:28" x14ac:dyDescent="0.25">
      <c r="A876" t="str">
        <f>TEXT(Table2[[#This Row],[dated]],"mmm")</f>
        <v>Jul</v>
      </c>
      <c r="B876" t="s">
        <v>30</v>
      </c>
      <c r="C876" s="1" t="s">
        <v>536</v>
      </c>
      <c r="D876" t="str">
        <f>VLOOKUP(Table2[[#This Row],[product]],Ref[#All],7,FALSE)</f>
        <v>Flour</v>
      </c>
      <c r="E876" s="1" t="s">
        <v>42</v>
      </c>
      <c r="F876" t="str">
        <f>VLOOKUP(Table2[[#This Row],[product]],Ref[#All],2,FALSE)</f>
        <v>Alnajm Flour from Mill 25KG</v>
      </c>
      <c r="G876" t="str">
        <f>VLOOKUP(Table2[[#This Row],[product]],Ref[#All],3,FALSE)</f>
        <v>Flour Al-Nagm (Mill)</v>
      </c>
      <c r="H876" t="str">
        <f>VLOOKUP(Table2[[#This Row],[product]],Ref[#All],4,FALSE)</f>
        <v>Import</v>
      </c>
      <c r="I876" s="1">
        <v>45858</v>
      </c>
      <c r="J876" t="s">
        <v>53</v>
      </c>
      <c r="K876" t="s">
        <v>2094</v>
      </c>
      <c r="L876" t="s">
        <v>1651</v>
      </c>
      <c r="M876" t="s">
        <v>1586</v>
      </c>
      <c r="N876" t="s">
        <v>784</v>
      </c>
      <c r="O876" t="s">
        <v>785</v>
      </c>
      <c r="P876" t="s">
        <v>788</v>
      </c>
      <c r="Q876" t="s">
        <v>55</v>
      </c>
      <c r="R876">
        <v>-2</v>
      </c>
      <c r="S876" s="15">
        <f>Table2[[#This Row],[movement_quantity]]/VLOOKUP(Table2[[#This Row],[product]],Ref[#All],5,FALSE)</f>
        <v>-0.05</v>
      </c>
      <c r="T876">
        <v>28919.106970000001</v>
      </c>
      <c r="U876" t="s">
        <v>17</v>
      </c>
      <c r="V876" t="s">
        <v>23</v>
      </c>
      <c r="W876" t="s">
        <v>2095</v>
      </c>
      <c r="X876" t="s">
        <v>17</v>
      </c>
      <c r="Y876" s="2" t="s">
        <v>2089</v>
      </c>
      <c r="Z876">
        <v>0</v>
      </c>
      <c r="AA876" s="2">
        <v>-57838.213940000001</v>
      </c>
      <c r="AB876" t="str">
        <f>VLOOKUP(Table2[[#This Row],[product]],Ref[#All],6,FALSE)</f>
        <v>BAG25</v>
      </c>
    </row>
    <row r="877" spans="1:28" x14ac:dyDescent="0.25">
      <c r="A877" t="str">
        <f>TEXT(Table2[[#This Row],[dated]],"mmm")</f>
        <v>Jul</v>
      </c>
      <c r="B877" t="s">
        <v>30</v>
      </c>
      <c r="C877" s="1" t="s">
        <v>536</v>
      </c>
      <c r="D877" t="str">
        <f>VLOOKUP(Table2[[#This Row],[product]],Ref[#All],7,FALSE)</f>
        <v>Flour</v>
      </c>
      <c r="E877" s="1" t="s">
        <v>42</v>
      </c>
      <c r="F877" t="str">
        <f>VLOOKUP(Table2[[#This Row],[product]],Ref[#All],2,FALSE)</f>
        <v>Alnajm Flour from Mill 25KG</v>
      </c>
      <c r="G877" t="str">
        <f>VLOOKUP(Table2[[#This Row],[product]],Ref[#All],3,FALSE)</f>
        <v>Flour Al-Nagm (Mill)</v>
      </c>
      <c r="H877" t="str">
        <f>VLOOKUP(Table2[[#This Row],[product]],Ref[#All],4,FALSE)</f>
        <v>Import</v>
      </c>
      <c r="I877" s="1">
        <v>45858</v>
      </c>
      <c r="J877" t="s">
        <v>53</v>
      </c>
      <c r="K877" t="s">
        <v>2096</v>
      </c>
      <c r="L877" t="s">
        <v>1651</v>
      </c>
      <c r="M877" t="s">
        <v>1586</v>
      </c>
      <c r="N877" t="s">
        <v>784</v>
      </c>
      <c r="O877" t="s">
        <v>785</v>
      </c>
      <c r="P877" t="s">
        <v>788</v>
      </c>
      <c r="Q877" t="s">
        <v>55</v>
      </c>
      <c r="R877">
        <v>-3</v>
      </c>
      <c r="S877" s="15">
        <f>Table2[[#This Row],[movement_quantity]]/VLOOKUP(Table2[[#This Row],[product]],Ref[#All],5,FALSE)</f>
        <v>-7.4999999999999997E-2</v>
      </c>
      <c r="T877">
        <v>28919.106970000001</v>
      </c>
      <c r="U877" t="s">
        <v>17</v>
      </c>
      <c r="V877" t="s">
        <v>24</v>
      </c>
      <c r="W877" t="s">
        <v>2097</v>
      </c>
      <c r="X877" t="s">
        <v>17</v>
      </c>
      <c r="Y877" s="2" t="s">
        <v>2089</v>
      </c>
      <c r="Z877">
        <v>0</v>
      </c>
      <c r="AA877" s="2">
        <v>-86757.320910000009</v>
      </c>
      <c r="AB877" t="str">
        <f>VLOOKUP(Table2[[#This Row],[product]],Ref[#All],6,FALSE)</f>
        <v>BAG25</v>
      </c>
    </row>
    <row r="878" spans="1:28" x14ac:dyDescent="0.25">
      <c r="A878" t="str">
        <f>TEXT(Table2[[#This Row],[dated]],"mmm")</f>
        <v>Jul</v>
      </c>
      <c r="B878" t="s">
        <v>30</v>
      </c>
      <c r="C878" s="1" t="s">
        <v>536</v>
      </c>
      <c r="D878" t="str">
        <f>VLOOKUP(Table2[[#This Row],[product]],Ref[#All],7,FALSE)</f>
        <v>Flour</v>
      </c>
      <c r="E878" s="1" t="s">
        <v>42</v>
      </c>
      <c r="F878" t="str">
        <f>VLOOKUP(Table2[[#This Row],[product]],Ref[#All],2,FALSE)</f>
        <v>Alnajm Flour from Mill 25KG</v>
      </c>
      <c r="G878" t="str">
        <f>VLOOKUP(Table2[[#This Row],[product]],Ref[#All],3,FALSE)</f>
        <v>Flour Al-Nagm (Mill)</v>
      </c>
      <c r="H878" t="str">
        <f>VLOOKUP(Table2[[#This Row],[product]],Ref[#All],4,FALSE)</f>
        <v>Import</v>
      </c>
      <c r="I878" s="1">
        <v>45858</v>
      </c>
      <c r="J878" t="s">
        <v>53</v>
      </c>
      <c r="K878" t="s">
        <v>2098</v>
      </c>
      <c r="L878" t="s">
        <v>1651</v>
      </c>
      <c r="M878" t="s">
        <v>1586</v>
      </c>
      <c r="N878" t="s">
        <v>784</v>
      </c>
      <c r="O878" t="s">
        <v>785</v>
      </c>
      <c r="P878" t="s">
        <v>788</v>
      </c>
      <c r="Q878" t="s">
        <v>55</v>
      </c>
      <c r="R878">
        <v>-2</v>
      </c>
      <c r="S878" s="15">
        <f>Table2[[#This Row],[movement_quantity]]/VLOOKUP(Table2[[#This Row],[product]],Ref[#All],5,FALSE)</f>
        <v>-0.05</v>
      </c>
      <c r="T878">
        <v>28919.106970000001</v>
      </c>
      <c r="U878" t="s">
        <v>17</v>
      </c>
      <c r="V878" t="s">
        <v>25</v>
      </c>
      <c r="W878" t="s">
        <v>2099</v>
      </c>
      <c r="X878" t="s">
        <v>17</v>
      </c>
      <c r="Y878" s="2" t="s">
        <v>2089</v>
      </c>
      <c r="Z878">
        <v>0</v>
      </c>
      <c r="AA878" s="2">
        <v>-57838.213940000001</v>
      </c>
      <c r="AB878" t="str">
        <f>VLOOKUP(Table2[[#This Row],[product]],Ref[#All],6,FALSE)</f>
        <v>BAG25</v>
      </c>
    </row>
    <row r="879" spans="1:28" x14ac:dyDescent="0.25">
      <c r="A879" t="str">
        <f>TEXT(Table2[[#This Row],[dated]],"mmm")</f>
        <v>Jul</v>
      </c>
      <c r="B879" t="s">
        <v>30</v>
      </c>
      <c r="C879" s="1" t="s">
        <v>536</v>
      </c>
      <c r="D879" t="str">
        <f>VLOOKUP(Table2[[#This Row],[product]],Ref[#All],7,FALSE)</f>
        <v>Flour</v>
      </c>
      <c r="E879" s="1" t="s">
        <v>42</v>
      </c>
      <c r="F879" t="str">
        <f>VLOOKUP(Table2[[#This Row],[product]],Ref[#All],2,FALSE)</f>
        <v>Alnajm Flour from Mill 25KG</v>
      </c>
      <c r="G879" t="str">
        <f>VLOOKUP(Table2[[#This Row],[product]],Ref[#All],3,FALSE)</f>
        <v>Flour Al-Nagm (Mill)</v>
      </c>
      <c r="H879" t="str">
        <f>VLOOKUP(Table2[[#This Row],[product]],Ref[#All],4,FALSE)</f>
        <v>Import</v>
      </c>
      <c r="I879" s="1">
        <v>45858</v>
      </c>
      <c r="J879" t="s">
        <v>53</v>
      </c>
      <c r="K879" t="s">
        <v>2100</v>
      </c>
      <c r="L879" t="s">
        <v>1651</v>
      </c>
      <c r="M879" t="s">
        <v>1586</v>
      </c>
      <c r="N879" t="s">
        <v>784</v>
      </c>
      <c r="O879" t="s">
        <v>785</v>
      </c>
      <c r="P879" t="s">
        <v>788</v>
      </c>
      <c r="Q879" t="s">
        <v>55</v>
      </c>
      <c r="R879">
        <v>-52</v>
      </c>
      <c r="S879" s="15">
        <f>Table2[[#This Row],[movement_quantity]]/VLOOKUP(Table2[[#This Row],[product]],Ref[#All],5,FALSE)</f>
        <v>-1.3</v>
      </c>
      <c r="T879">
        <v>28919.106970000001</v>
      </c>
      <c r="U879" t="s">
        <v>17</v>
      </c>
      <c r="V879" t="s">
        <v>26</v>
      </c>
      <c r="W879" t="s">
        <v>2101</v>
      </c>
      <c r="X879" t="s">
        <v>17</v>
      </c>
      <c r="Y879" s="2" t="s">
        <v>2089</v>
      </c>
      <c r="Z879">
        <v>0</v>
      </c>
      <c r="AA879" s="2">
        <v>-1503793.56244</v>
      </c>
      <c r="AB879" t="str">
        <f>VLOOKUP(Table2[[#This Row],[product]],Ref[#All],6,FALSE)</f>
        <v>BAG25</v>
      </c>
    </row>
    <row r="880" spans="1:28" x14ac:dyDescent="0.25">
      <c r="A880" t="str">
        <f>TEXT(Table2[[#This Row],[dated]],"mmm")</f>
        <v>Jul</v>
      </c>
      <c r="B880" t="s">
        <v>30</v>
      </c>
      <c r="C880" s="1" t="s">
        <v>536</v>
      </c>
      <c r="D880" t="str">
        <f>VLOOKUP(Table2[[#This Row],[product]],Ref[#All],7,FALSE)</f>
        <v>Flour</v>
      </c>
      <c r="E880" s="1" t="s">
        <v>42</v>
      </c>
      <c r="F880" t="str">
        <f>VLOOKUP(Table2[[#This Row],[product]],Ref[#All],2,FALSE)</f>
        <v>Alnajm Flour from Mill 25KG</v>
      </c>
      <c r="G880" t="str">
        <f>VLOOKUP(Table2[[#This Row],[product]],Ref[#All],3,FALSE)</f>
        <v>Flour Al-Nagm (Mill)</v>
      </c>
      <c r="H880" t="str">
        <f>VLOOKUP(Table2[[#This Row],[product]],Ref[#All],4,FALSE)</f>
        <v>Import</v>
      </c>
      <c r="I880" s="1">
        <v>45858</v>
      </c>
      <c r="J880" t="s">
        <v>53</v>
      </c>
      <c r="K880" t="s">
        <v>2102</v>
      </c>
      <c r="L880" t="s">
        <v>1651</v>
      </c>
      <c r="M880" t="s">
        <v>1586</v>
      </c>
      <c r="N880" t="s">
        <v>784</v>
      </c>
      <c r="O880" t="s">
        <v>785</v>
      </c>
      <c r="P880" t="s">
        <v>788</v>
      </c>
      <c r="Q880" t="s">
        <v>55</v>
      </c>
      <c r="R880">
        <v>-156</v>
      </c>
      <c r="S880" s="15">
        <f>Table2[[#This Row],[movement_quantity]]/VLOOKUP(Table2[[#This Row],[product]],Ref[#All],5,FALSE)</f>
        <v>-3.9</v>
      </c>
      <c r="T880">
        <v>28919.106970000001</v>
      </c>
      <c r="U880" t="s">
        <v>17</v>
      </c>
      <c r="V880" t="s">
        <v>27</v>
      </c>
      <c r="W880" t="s">
        <v>2103</v>
      </c>
      <c r="X880" t="s">
        <v>17</v>
      </c>
      <c r="Y880" s="2" t="s">
        <v>2089</v>
      </c>
      <c r="Z880">
        <v>0</v>
      </c>
      <c r="AA880" s="2">
        <v>-4511380.6873200005</v>
      </c>
      <c r="AB880" t="str">
        <f>VLOOKUP(Table2[[#This Row],[product]],Ref[#All],6,FALSE)</f>
        <v>BAG25</v>
      </c>
    </row>
    <row r="881" spans="1:28" x14ac:dyDescent="0.25">
      <c r="A881" t="str">
        <f>TEXT(Table2[[#This Row],[dated]],"mmm")</f>
        <v>Jul</v>
      </c>
      <c r="B881" t="s">
        <v>30</v>
      </c>
      <c r="C881" s="1" t="s">
        <v>536</v>
      </c>
      <c r="D881" t="str">
        <f>VLOOKUP(Table2[[#This Row],[product]],Ref[#All],7,FALSE)</f>
        <v>Flour</v>
      </c>
      <c r="E881" s="1" t="s">
        <v>42</v>
      </c>
      <c r="F881" t="str">
        <f>VLOOKUP(Table2[[#This Row],[product]],Ref[#All],2,FALSE)</f>
        <v>Alnajm Flour from Mill 25KG</v>
      </c>
      <c r="G881" t="str">
        <f>VLOOKUP(Table2[[#This Row],[product]],Ref[#All],3,FALSE)</f>
        <v>Flour Al-Nagm (Mill)</v>
      </c>
      <c r="H881" t="str">
        <f>VLOOKUP(Table2[[#This Row],[product]],Ref[#All],4,FALSE)</f>
        <v>Import</v>
      </c>
      <c r="I881" s="1">
        <v>45858</v>
      </c>
      <c r="J881" t="s">
        <v>53</v>
      </c>
      <c r="K881" t="s">
        <v>2104</v>
      </c>
      <c r="L881" t="s">
        <v>1651</v>
      </c>
      <c r="M881" t="s">
        <v>1586</v>
      </c>
      <c r="N881" t="s">
        <v>784</v>
      </c>
      <c r="O881" t="s">
        <v>785</v>
      </c>
      <c r="P881" t="s">
        <v>788</v>
      </c>
      <c r="Q881" t="s">
        <v>55</v>
      </c>
      <c r="R881">
        <v>-48</v>
      </c>
      <c r="S881" s="15">
        <f>Table2[[#This Row],[movement_quantity]]/VLOOKUP(Table2[[#This Row],[product]],Ref[#All],5,FALSE)</f>
        <v>-1.2</v>
      </c>
      <c r="T881">
        <v>28919.106970000001</v>
      </c>
      <c r="U881" t="s">
        <v>17</v>
      </c>
      <c r="V881" t="s">
        <v>28</v>
      </c>
      <c r="W881" t="s">
        <v>2105</v>
      </c>
      <c r="X881" t="s">
        <v>17</v>
      </c>
      <c r="Y881" s="2" t="s">
        <v>2089</v>
      </c>
      <c r="Z881">
        <v>0</v>
      </c>
      <c r="AA881" s="2">
        <v>-1388117.1345600002</v>
      </c>
      <c r="AB881" t="str">
        <f>VLOOKUP(Table2[[#This Row],[product]],Ref[#All],6,FALSE)</f>
        <v>BAG25</v>
      </c>
    </row>
    <row r="882" spans="1:28" x14ac:dyDescent="0.25">
      <c r="A882" t="str">
        <f>TEXT(Table2[[#This Row],[dated]],"mmm")</f>
        <v>Jul</v>
      </c>
      <c r="B882" t="s">
        <v>30</v>
      </c>
      <c r="C882" s="1" t="s">
        <v>536</v>
      </c>
      <c r="D882" t="str">
        <f>VLOOKUP(Table2[[#This Row],[product]],Ref[#All],7,FALSE)</f>
        <v>Flour</v>
      </c>
      <c r="E882" s="1" t="s">
        <v>42</v>
      </c>
      <c r="F882" t="str">
        <f>VLOOKUP(Table2[[#This Row],[product]],Ref[#All],2,FALSE)</f>
        <v>Alnajm Flour from Mill 25KG</v>
      </c>
      <c r="G882" t="str">
        <f>VLOOKUP(Table2[[#This Row],[product]],Ref[#All],3,FALSE)</f>
        <v>Flour Al-Nagm (Mill)</v>
      </c>
      <c r="H882" t="str">
        <f>VLOOKUP(Table2[[#This Row],[product]],Ref[#All],4,FALSE)</f>
        <v>Import</v>
      </c>
      <c r="I882" s="1">
        <v>45858</v>
      </c>
      <c r="J882" t="s">
        <v>53</v>
      </c>
      <c r="K882" t="s">
        <v>2106</v>
      </c>
      <c r="L882" s="21" t="s">
        <v>1651</v>
      </c>
      <c r="M882" t="s">
        <v>1586</v>
      </c>
      <c r="N882" t="s">
        <v>784</v>
      </c>
      <c r="O882" t="s">
        <v>785</v>
      </c>
      <c r="P882" t="s">
        <v>788</v>
      </c>
      <c r="Q882" t="s">
        <v>55</v>
      </c>
      <c r="R882">
        <v>-10</v>
      </c>
      <c r="S882" s="15">
        <f>Table2[[#This Row],[movement_quantity]]/VLOOKUP(Table2[[#This Row],[product]],Ref[#All],5,FALSE)</f>
        <v>-0.25</v>
      </c>
      <c r="T882">
        <v>28919.106970000001</v>
      </c>
      <c r="U882" t="s">
        <v>17</v>
      </c>
      <c r="V882" t="s">
        <v>29</v>
      </c>
      <c r="W882" t="s">
        <v>2107</v>
      </c>
      <c r="X882" t="s">
        <v>17</v>
      </c>
      <c r="Y882" s="2" t="s">
        <v>2089</v>
      </c>
      <c r="Z882">
        <v>0</v>
      </c>
      <c r="AA882" s="2">
        <v>-289191.06969999999</v>
      </c>
      <c r="AB882" t="str">
        <f>VLOOKUP(Table2[[#This Row],[product]],Ref[#All],6,FALSE)</f>
        <v>BAG25</v>
      </c>
    </row>
    <row r="883" spans="1:28" x14ac:dyDescent="0.25">
      <c r="A883" t="str">
        <f>TEXT(Table2[[#This Row],[dated]],"mmm")</f>
        <v>Jul</v>
      </c>
      <c r="B883" t="s">
        <v>642</v>
      </c>
      <c r="C883" s="1" t="s">
        <v>536</v>
      </c>
      <c r="D883" t="str">
        <f>VLOOKUP(Table2[[#This Row],[product]],Ref[#All],7,FALSE)</f>
        <v>Flour</v>
      </c>
      <c r="E883" s="1" t="s">
        <v>42</v>
      </c>
      <c r="F883" t="str">
        <f>VLOOKUP(Table2[[#This Row],[product]],Ref[#All],2,FALSE)</f>
        <v>Alnajm Flour from Mill 25KG</v>
      </c>
      <c r="G883" t="str">
        <f>VLOOKUP(Table2[[#This Row],[product]],Ref[#All],3,FALSE)</f>
        <v>Flour Al-Nagm (Mill)</v>
      </c>
      <c r="H883" t="str">
        <f>VLOOKUP(Table2[[#This Row],[product]],Ref[#All],4,FALSE)</f>
        <v>Import</v>
      </c>
      <c r="I883" s="1">
        <v>45858</v>
      </c>
      <c r="J883" t="s">
        <v>53</v>
      </c>
      <c r="K883" t="s">
        <v>2108</v>
      </c>
      <c r="L883" s="21" t="s">
        <v>1651</v>
      </c>
      <c r="M883" t="s">
        <v>1586</v>
      </c>
      <c r="N883" t="s">
        <v>784</v>
      </c>
      <c r="O883" t="s">
        <v>785</v>
      </c>
      <c r="P883" t="s">
        <v>788</v>
      </c>
      <c r="Q883" t="s">
        <v>55</v>
      </c>
      <c r="R883">
        <v>-400</v>
      </c>
      <c r="S883" s="15">
        <f>Table2[[#This Row],[movement_quantity]]/VLOOKUP(Table2[[#This Row],[product]],Ref[#All],5,FALSE)</f>
        <v>-10</v>
      </c>
      <c r="T883">
        <v>28919.106970000001</v>
      </c>
      <c r="U883" t="s">
        <v>17</v>
      </c>
      <c r="V883" t="s">
        <v>18</v>
      </c>
      <c r="W883" t="s">
        <v>2109</v>
      </c>
      <c r="X883" t="s">
        <v>17</v>
      </c>
      <c r="Y883" s="2" t="s">
        <v>2110</v>
      </c>
      <c r="Z883">
        <v>0</v>
      </c>
      <c r="AA883" s="2">
        <v>-11567642.788000001</v>
      </c>
      <c r="AB883" t="str">
        <f>VLOOKUP(Table2[[#This Row],[product]],Ref[#All],6,FALSE)</f>
        <v>BAG25</v>
      </c>
    </row>
    <row r="884" spans="1:28" x14ac:dyDescent="0.25">
      <c r="A884" t="str">
        <f>TEXT(Table2[[#This Row],[dated]],"mmm")</f>
        <v>Jul</v>
      </c>
      <c r="B884" t="s">
        <v>642</v>
      </c>
      <c r="C884" s="1" t="s">
        <v>536</v>
      </c>
      <c r="D884" t="str">
        <f>VLOOKUP(Table2[[#This Row],[product]],Ref[#All],7,FALSE)</f>
        <v>Flour</v>
      </c>
      <c r="E884" s="1" t="s">
        <v>42</v>
      </c>
      <c r="F884" t="str">
        <f>VLOOKUP(Table2[[#This Row],[product]],Ref[#All],2,FALSE)</f>
        <v>Alnajm Flour from Mill 25KG</v>
      </c>
      <c r="G884" t="str">
        <f>VLOOKUP(Table2[[#This Row],[product]],Ref[#All],3,FALSE)</f>
        <v>Flour Al-Nagm (Mill)</v>
      </c>
      <c r="H884" t="str">
        <f>VLOOKUP(Table2[[#This Row],[product]],Ref[#All],4,FALSE)</f>
        <v>Import</v>
      </c>
      <c r="I884" s="1">
        <v>45858</v>
      </c>
      <c r="J884" t="s">
        <v>53</v>
      </c>
      <c r="K884" t="s">
        <v>2111</v>
      </c>
      <c r="L884" t="s">
        <v>1651</v>
      </c>
      <c r="M884" t="s">
        <v>1586</v>
      </c>
      <c r="N884" t="s">
        <v>784</v>
      </c>
      <c r="O884" t="s">
        <v>785</v>
      </c>
      <c r="P884" t="s">
        <v>788</v>
      </c>
      <c r="Q884" t="s">
        <v>55</v>
      </c>
      <c r="R884">
        <v>-9</v>
      </c>
      <c r="S884" s="15">
        <f>Table2[[#This Row],[movement_quantity]]/VLOOKUP(Table2[[#This Row],[product]],Ref[#All],5,FALSE)</f>
        <v>-0.22500000000000001</v>
      </c>
      <c r="T884">
        <v>28919.106970000001</v>
      </c>
      <c r="U884" t="s">
        <v>17</v>
      </c>
      <c r="V884" t="s">
        <v>21</v>
      </c>
      <c r="W884" t="s">
        <v>2112</v>
      </c>
      <c r="X884" t="s">
        <v>17</v>
      </c>
      <c r="Y884" s="2" t="s">
        <v>2110</v>
      </c>
      <c r="Z884">
        <v>0</v>
      </c>
      <c r="AA884" s="2">
        <v>-260271.96273</v>
      </c>
      <c r="AB884" t="str">
        <f>VLOOKUP(Table2[[#This Row],[product]],Ref[#All],6,FALSE)</f>
        <v>BAG25</v>
      </c>
    </row>
    <row r="885" spans="1:28" x14ac:dyDescent="0.25">
      <c r="A885" t="str">
        <f>TEXT(Table2[[#This Row],[dated]],"mmm")</f>
        <v>Jul</v>
      </c>
      <c r="B885" t="s">
        <v>642</v>
      </c>
      <c r="C885" s="1" t="s">
        <v>536</v>
      </c>
      <c r="D885" t="str">
        <f>VLOOKUP(Table2[[#This Row],[product]],Ref[#All],7,FALSE)</f>
        <v>Flour</v>
      </c>
      <c r="E885" s="1" t="s">
        <v>42</v>
      </c>
      <c r="F885" t="str">
        <f>VLOOKUP(Table2[[#This Row],[product]],Ref[#All],2,FALSE)</f>
        <v>Alnajm Flour from Mill 25KG</v>
      </c>
      <c r="G885" t="str">
        <f>VLOOKUP(Table2[[#This Row],[product]],Ref[#All],3,FALSE)</f>
        <v>Flour Al-Nagm (Mill)</v>
      </c>
      <c r="H885" t="str">
        <f>VLOOKUP(Table2[[#This Row],[product]],Ref[#All],4,FALSE)</f>
        <v>Import</v>
      </c>
      <c r="I885" s="1">
        <v>45858</v>
      </c>
      <c r="J885" t="s">
        <v>53</v>
      </c>
      <c r="K885" t="s">
        <v>2113</v>
      </c>
      <c r="L885" s="21" t="s">
        <v>1651</v>
      </c>
      <c r="M885" t="s">
        <v>1586</v>
      </c>
      <c r="N885" t="s">
        <v>784</v>
      </c>
      <c r="O885" t="s">
        <v>785</v>
      </c>
      <c r="P885" t="s">
        <v>788</v>
      </c>
      <c r="Q885" t="s">
        <v>55</v>
      </c>
      <c r="R885">
        <v>-60</v>
      </c>
      <c r="S885" s="15">
        <f>Table2[[#This Row],[movement_quantity]]/VLOOKUP(Table2[[#This Row],[product]],Ref[#All],5,FALSE)</f>
        <v>-1.5</v>
      </c>
      <c r="T885">
        <v>28919.106970000001</v>
      </c>
      <c r="U885" t="s">
        <v>17</v>
      </c>
      <c r="V885" t="s">
        <v>22</v>
      </c>
      <c r="W885" t="s">
        <v>2114</v>
      </c>
      <c r="X885" t="s">
        <v>17</v>
      </c>
      <c r="Y885" s="2" t="s">
        <v>2110</v>
      </c>
      <c r="Z885">
        <v>0</v>
      </c>
      <c r="AA885" s="2">
        <v>-1735146.4182</v>
      </c>
      <c r="AB885" t="str">
        <f>VLOOKUP(Table2[[#This Row],[product]],Ref[#All],6,FALSE)</f>
        <v>BAG25</v>
      </c>
    </row>
    <row r="886" spans="1:28" x14ac:dyDescent="0.25">
      <c r="A886" t="str">
        <f>TEXT(Table2[[#This Row],[dated]],"mmm")</f>
        <v>Jul</v>
      </c>
      <c r="B886" t="s">
        <v>642</v>
      </c>
      <c r="C886" s="1" t="s">
        <v>536</v>
      </c>
      <c r="D886" t="str">
        <f>VLOOKUP(Table2[[#This Row],[product]],Ref[#All],7,FALSE)</f>
        <v>Flour</v>
      </c>
      <c r="E886" s="1" t="s">
        <v>42</v>
      </c>
      <c r="F886" t="str">
        <f>VLOOKUP(Table2[[#This Row],[product]],Ref[#All],2,FALSE)</f>
        <v>Alnajm Flour from Mill 25KG</v>
      </c>
      <c r="G886" t="str">
        <f>VLOOKUP(Table2[[#This Row],[product]],Ref[#All],3,FALSE)</f>
        <v>Flour Al-Nagm (Mill)</v>
      </c>
      <c r="H886" t="str">
        <f>VLOOKUP(Table2[[#This Row],[product]],Ref[#All],4,FALSE)</f>
        <v>Import</v>
      </c>
      <c r="I886" s="1">
        <v>45858</v>
      </c>
      <c r="J886" t="s">
        <v>53</v>
      </c>
      <c r="K886" t="s">
        <v>2115</v>
      </c>
      <c r="L886" s="21" t="s">
        <v>1651</v>
      </c>
      <c r="M886" t="s">
        <v>1586</v>
      </c>
      <c r="N886" t="s">
        <v>784</v>
      </c>
      <c r="O886" t="s">
        <v>785</v>
      </c>
      <c r="P886" t="s">
        <v>788</v>
      </c>
      <c r="Q886" t="s">
        <v>55</v>
      </c>
      <c r="R886">
        <v>-22</v>
      </c>
      <c r="S886" s="15">
        <f>Table2[[#This Row],[movement_quantity]]/VLOOKUP(Table2[[#This Row],[product]],Ref[#All],5,FALSE)</f>
        <v>-0.55000000000000004</v>
      </c>
      <c r="T886">
        <v>28919.106970000001</v>
      </c>
      <c r="U886" t="s">
        <v>17</v>
      </c>
      <c r="V886" t="s">
        <v>23</v>
      </c>
      <c r="W886" t="s">
        <v>2116</v>
      </c>
      <c r="X886" t="s">
        <v>17</v>
      </c>
      <c r="Y886" s="2" t="s">
        <v>2110</v>
      </c>
      <c r="Z886">
        <v>0</v>
      </c>
      <c r="AA886" s="2">
        <v>-636220.35334000003</v>
      </c>
      <c r="AB886" t="str">
        <f>VLOOKUP(Table2[[#This Row],[product]],Ref[#All],6,FALSE)</f>
        <v>BAG25</v>
      </c>
    </row>
    <row r="887" spans="1:28" x14ac:dyDescent="0.25">
      <c r="A887" t="str">
        <f>TEXT(Table2[[#This Row],[dated]],"mmm")</f>
        <v>Jul</v>
      </c>
      <c r="B887" t="s">
        <v>52</v>
      </c>
      <c r="C887" s="1" t="s">
        <v>536</v>
      </c>
      <c r="D887" t="str">
        <f>VLOOKUP(Table2[[#This Row],[product]],Ref[#All],7,FALSE)</f>
        <v>Flour</v>
      </c>
      <c r="E887" s="1" t="s">
        <v>36</v>
      </c>
      <c r="F887" t="str">
        <f>VLOOKUP(Table2[[#This Row],[product]],Ref[#All],2,FALSE)</f>
        <v>Flour Import Elngm 25Kg</v>
      </c>
      <c r="G887" t="str">
        <f>VLOOKUP(Table2[[#This Row],[product]],Ref[#All],3,FALSE)</f>
        <v>Flour Al-Nagm (Imported)</v>
      </c>
      <c r="H887" t="str">
        <f>VLOOKUP(Table2[[#This Row],[product]],Ref[#All],4,FALSE)</f>
        <v>Import</v>
      </c>
      <c r="I887" s="1">
        <v>45854</v>
      </c>
      <c r="J887" t="s">
        <v>53</v>
      </c>
      <c r="K887" t="s">
        <v>1959</v>
      </c>
      <c r="L887" t="s">
        <v>1651</v>
      </c>
      <c r="M887" t="s">
        <v>1586</v>
      </c>
      <c r="N887" t="s">
        <v>784</v>
      </c>
      <c r="O887" t="s">
        <v>785</v>
      </c>
      <c r="P887" t="s">
        <v>788</v>
      </c>
      <c r="Q887" t="s">
        <v>55</v>
      </c>
      <c r="R887">
        <v>-1</v>
      </c>
      <c r="S887" s="15">
        <f>Table2[[#This Row],[movement_quantity]]/VLOOKUP(Table2[[#This Row],[product]],Ref[#All],5,FALSE)</f>
        <v>-2.5000000000000001E-2</v>
      </c>
      <c r="T887">
        <v>28919.106970000001</v>
      </c>
      <c r="U887" t="s">
        <v>17</v>
      </c>
      <c r="V887" t="s">
        <v>18</v>
      </c>
      <c r="W887" t="s">
        <v>1960</v>
      </c>
      <c r="X887" t="s">
        <v>17</v>
      </c>
      <c r="Y887" s="2" t="s">
        <v>1289</v>
      </c>
      <c r="Z887">
        <v>0</v>
      </c>
      <c r="AA887" s="2">
        <v>-28919.106970000001</v>
      </c>
      <c r="AB887" t="str">
        <f>VLOOKUP(Table2[[#This Row],[product]],Ref[#All],6,FALSE)</f>
        <v>BAG25</v>
      </c>
    </row>
    <row r="888" spans="1:28" x14ac:dyDescent="0.25">
      <c r="A888" t="str">
        <f>TEXT(Table2[[#This Row],[dated]],"mmm")</f>
        <v>Jul</v>
      </c>
      <c r="B888" t="s">
        <v>52</v>
      </c>
      <c r="C888" s="1" t="s">
        <v>536</v>
      </c>
      <c r="D888" t="str">
        <f>VLOOKUP(Table2[[#This Row],[product]],Ref[#All],7,FALSE)</f>
        <v>Flour</v>
      </c>
      <c r="E888" s="1" t="s">
        <v>36</v>
      </c>
      <c r="F888" t="str">
        <f>VLOOKUP(Table2[[#This Row],[product]],Ref[#All],2,FALSE)</f>
        <v>Flour Import Elngm 25Kg</v>
      </c>
      <c r="G888" t="str">
        <f>VLOOKUP(Table2[[#This Row],[product]],Ref[#All],3,FALSE)</f>
        <v>Flour Al-Nagm (Imported)</v>
      </c>
      <c r="H888" t="str">
        <f>VLOOKUP(Table2[[#This Row],[product]],Ref[#All],4,FALSE)</f>
        <v>Import</v>
      </c>
      <c r="I888" s="1">
        <v>45854</v>
      </c>
      <c r="J888" t="s">
        <v>53</v>
      </c>
      <c r="K888" t="s">
        <v>1961</v>
      </c>
      <c r="L888" t="s">
        <v>1651</v>
      </c>
      <c r="M888" t="s">
        <v>1586</v>
      </c>
      <c r="N888" t="s">
        <v>784</v>
      </c>
      <c r="O888" t="s">
        <v>785</v>
      </c>
      <c r="P888" t="s">
        <v>788</v>
      </c>
      <c r="Q888" t="s">
        <v>55</v>
      </c>
      <c r="R888">
        <v>-2</v>
      </c>
      <c r="S888" s="15">
        <f>Table2[[#This Row],[movement_quantity]]/VLOOKUP(Table2[[#This Row],[product]],Ref[#All],5,FALSE)</f>
        <v>-0.05</v>
      </c>
      <c r="T888">
        <v>28919.106970000001</v>
      </c>
      <c r="U888" t="s">
        <v>17</v>
      </c>
      <c r="V888" t="s">
        <v>21</v>
      </c>
      <c r="W888" t="s">
        <v>1962</v>
      </c>
      <c r="X888" t="s">
        <v>17</v>
      </c>
      <c r="Y888" s="2" t="s">
        <v>1289</v>
      </c>
      <c r="Z888">
        <v>0</v>
      </c>
      <c r="AA888" s="2">
        <v>-57838.213940000001</v>
      </c>
      <c r="AB888" t="str">
        <f>VLOOKUP(Table2[[#This Row],[product]],Ref[#All],6,FALSE)</f>
        <v>BAG25</v>
      </c>
    </row>
    <row r="889" spans="1:28" x14ac:dyDescent="0.25">
      <c r="A889" t="str">
        <f>TEXT(Table2[[#This Row],[dated]],"mmm")</f>
        <v>Jul</v>
      </c>
      <c r="B889" t="s">
        <v>52</v>
      </c>
      <c r="C889" s="1" t="s">
        <v>536</v>
      </c>
      <c r="D889" t="str">
        <f>VLOOKUP(Table2[[#This Row],[product]],Ref[#All],7,FALSE)</f>
        <v>Lentils</v>
      </c>
      <c r="E889" s="1" t="s">
        <v>39</v>
      </c>
      <c r="F889" t="str">
        <f>VLOOKUP(Table2[[#This Row],[product]],Ref[#All],2,FALSE)</f>
        <v>Lentil TAT 20KG</v>
      </c>
      <c r="G889" t="str">
        <f>VLOOKUP(Table2[[#This Row],[product]],Ref[#All],3,FALSE)</f>
        <v>Lentils</v>
      </c>
      <c r="H889" t="str">
        <f>VLOOKUP(Table2[[#This Row],[product]],Ref[#All],4,FALSE)</f>
        <v>Import</v>
      </c>
      <c r="I889" s="1">
        <v>45854</v>
      </c>
      <c r="J889" t="s">
        <v>53</v>
      </c>
      <c r="K889" t="s">
        <v>1963</v>
      </c>
      <c r="L889" t="s">
        <v>1651</v>
      </c>
      <c r="M889" t="s">
        <v>1586</v>
      </c>
      <c r="N889" t="s">
        <v>784</v>
      </c>
      <c r="O889" t="s">
        <v>785</v>
      </c>
      <c r="P889" t="s">
        <v>788</v>
      </c>
      <c r="Q889" t="s">
        <v>55</v>
      </c>
      <c r="R889">
        <v>-1</v>
      </c>
      <c r="S889" s="15">
        <f>Table2[[#This Row],[movement_quantity]]/VLOOKUP(Table2[[#This Row],[product]],Ref[#All],5,FALSE)</f>
        <v>-0.02</v>
      </c>
      <c r="T889">
        <v>41075.795080000004</v>
      </c>
      <c r="U889" t="s">
        <v>17</v>
      </c>
      <c r="V889" t="s">
        <v>18</v>
      </c>
      <c r="W889" t="s">
        <v>1964</v>
      </c>
      <c r="X889" t="s">
        <v>17</v>
      </c>
      <c r="Y889" s="2" t="s">
        <v>1965</v>
      </c>
      <c r="Z889">
        <v>0</v>
      </c>
      <c r="AA889" s="2">
        <v>-41075.795080000004</v>
      </c>
      <c r="AB889" t="str">
        <f>VLOOKUP(Table2[[#This Row],[product]],Ref[#All],6,FALSE)</f>
        <v>BAG20</v>
      </c>
    </row>
    <row r="890" spans="1:28" x14ac:dyDescent="0.25">
      <c r="A890" t="str">
        <f>TEXT(Table2[[#This Row],[dated]],"mmm")</f>
        <v>Jul</v>
      </c>
      <c r="B890" t="s">
        <v>52</v>
      </c>
      <c r="C890" s="1" t="s">
        <v>536</v>
      </c>
      <c r="D890" t="str">
        <f>VLOOKUP(Table2[[#This Row],[product]],Ref[#All],7,FALSE)</f>
        <v>Lentils</v>
      </c>
      <c r="E890" s="1" t="s">
        <v>39</v>
      </c>
      <c r="F890" t="str">
        <f>VLOOKUP(Table2[[#This Row],[product]],Ref[#All],2,FALSE)</f>
        <v>Lentil TAT 20KG</v>
      </c>
      <c r="G890" t="str">
        <f>VLOOKUP(Table2[[#This Row],[product]],Ref[#All],3,FALSE)</f>
        <v>Lentils</v>
      </c>
      <c r="H890" t="str">
        <f>VLOOKUP(Table2[[#This Row],[product]],Ref[#All],4,FALSE)</f>
        <v>Import</v>
      </c>
      <c r="I890" s="1">
        <v>45854</v>
      </c>
      <c r="J890" t="s">
        <v>53</v>
      </c>
      <c r="K890" t="s">
        <v>1966</v>
      </c>
      <c r="L890" t="s">
        <v>1651</v>
      </c>
      <c r="M890" t="s">
        <v>1586</v>
      </c>
      <c r="N890" t="s">
        <v>784</v>
      </c>
      <c r="O890" t="s">
        <v>785</v>
      </c>
      <c r="P890" t="s">
        <v>788</v>
      </c>
      <c r="Q890" t="s">
        <v>55</v>
      </c>
      <c r="R890">
        <v>-4</v>
      </c>
      <c r="S890" s="15">
        <f>Table2[[#This Row],[movement_quantity]]/VLOOKUP(Table2[[#This Row],[product]],Ref[#All],5,FALSE)</f>
        <v>-0.08</v>
      </c>
      <c r="T890">
        <v>41075.795080000004</v>
      </c>
      <c r="U890" t="s">
        <v>17</v>
      </c>
      <c r="V890" t="s">
        <v>21</v>
      </c>
      <c r="W890" t="s">
        <v>1967</v>
      </c>
      <c r="X890" t="s">
        <v>17</v>
      </c>
      <c r="Y890" s="2" t="s">
        <v>1965</v>
      </c>
      <c r="Z890">
        <v>0</v>
      </c>
      <c r="AA890" s="2">
        <v>-164303.18032000001</v>
      </c>
      <c r="AB890" t="str">
        <f>VLOOKUP(Table2[[#This Row],[product]],Ref[#All],6,FALSE)</f>
        <v>BAG20</v>
      </c>
    </row>
    <row r="891" spans="1:28" x14ac:dyDescent="0.25">
      <c r="A891" t="str">
        <f>TEXT(Table2[[#This Row],[dated]],"mmm")</f>
        <v>Jul</v>
      </c>
      <c r="B891" t="s">
        <v>52</v>
      </c>
      <c r="C891" s="1" t="s">
        <v>536</v>
      </c>
      <c r="D891" t="str">
        <f>VLOOKUP(Table2[[#This Row],[product]],Ref[#All],7,FALSE)</f>
        <v>Flour</v>
      </c>
      <c r="E891" s="1" t="s">
        <v>42</v>
      </c>
      <c r="F891" t="str">
        <f>VLOOKUP(Table2[[#This Row],[product]],Ref[#All],2,FALSE)</f>
        <v>Alnajm Flour from Mill 25KG</v>
      </c>
      <c r="G891" t="str">
        <f>VLOOKUP(Table2[[#This Row],[product]],Ref[#All],3,FALSE)</f>
        <v>Flour Al-Nagm (Mill)</v>
      </c>
      <c r="H891" t="str">
        <f>VLOOKUP(Table2[[#This Row],[product]],Ref[#All],4,FALSE)</f>
        <v>Import</v>
      </c>
      <c r="I891" s="1">
        <v>45854</v>
      </c>
      <c r="J891" t="s">
        <v>53</v>
      </c>
      <c r="K891" t="s">
        <v>1968</v>
      </c>
      <c r="L891" s="21" t="s">
        <v>1651</v>
      </c>
      <c r="M891" t="s">
        <v>1586</v>
      </c>
      <c r="N891" t="s">
        <v>784</v>
      </c>
      <c r="O891" t="s">
        <v>785</v>
      </c>
      <c r="P891" t="s">
        <v>788</v>
      </c>
      <c r="Q891" t="s">
        <v>55</v>
      </c>
      <c r="R891">
        <v>-20</v>
      </c>
      <c r="S891" s="15">
        <f>Table2[[#This Row],[movement_quantity]]/VLOOKUP(Table2[[#This Row],[product]],Ref[#All],5,FALSE)</f>
        <v>-0.5</v>
      </c>
      <c r="T891">
        <v>28919.106970000001</v>
      </c>
      <c r="U891" t="s">
        <v>17</v>
      </c>
      <c r="V891" t="s">
        <v>18</v>
      </c>
      <c r="W891" t="s">
        <v>1969</v>
      </c>
      <c r="X891" t="s">
        <v>17</v>
      </c>
      <c r="Y891" s="2" t="s">
        <v>1754</v>
      </c>
      <c r="Z891">
        <v>0</v>
      </c>
      <c r="AA891" s="2">
        <v>-578382.13939999999</v>
      </c>
      <c r="AB891" t="str">
        <f>VLOOKUP(Table2[[#This Row],[product]],Ref[#All],6,FALSE)</f>
        <v>BAG25</v>
      </c>
    </row>
    <row r="892" spans="1:28" x14ac:dyDescent="0.25">
      <c r="A892" t="str">
        <f>TEXT(Table2[[#This Row],[dated]],"mmm")</f>
        <v>Jul</v>
      </c>
      <c r="B892" t="s">
        <v>52</v>
      </c>
      <c r="C892" s="1" t="s">
        <v>536</v>
      </c>
      <c r="D892" t="str">
        <f>VLOOKUP(Table2[[#This Row],[product]],Ref[#All],7,FALSE)</f>
        <v>Flour</v>
      </c>
      <c r="E892" s="1" t="s">
        <v>42</v>
      </c>
      <c r="F892" t="str">
        <f>VLOOKUP(Table2[[#This Row],[product]],Ref[#All],2,FALSE)</f>
        <v>Alnajm Flour from Mill 25KG</v>
      </c>
      <c r="G892" t="str">
        <f>VLOOKUP(Table2[[#This Row],[product]],Ref[#All],3,FALSE)</f>
        <v>Flour Al-Nagm (Mill)</v>
      </c>
      <c r="H892" t="str">
        <f>VLOOKUP(Table2[[#This Row],[product]],Ref[#All],4,FALSE)</f>
        <v>Import</v>
      </c>
      <c r="I892" s="1">
        <v>45854</v>
      </c>
      <c r="J892" t="s">
        <v>53</v>
      </c>
      <c r="K892" t="s">
        <v>1970</v>
      </c>
      <c r="L892" s="21" t="s">
        <v>1651</v>
      </c>
      <c r="M892" t="s">
        <v>1586</v>
      </c>
      <c r="N892" t="s">
        <v>784</v>
      </c>
      <c r="O892" t="s">
        <v>785</v>
      </c>
      <c r="P892" t="s">
        <v>788</v>
      </c>
      <c r="Q892" t="s">
        <v>55</v>
      </c>
      <c r="R892">
        <v>-48</v>
      </c>
      <c r="S892" s="15">
        <f>Table2[[#This Row],[movement_quantity]]/VLOOKUP(Table2[[#This Row],[product]],Ref[#All],5,FALSE)</f>
        <v>-1.2</v>
      </c>
      <c r="T892">
        <v>28919.106970000001</v>
      </c>
      <c r="U892" t="s">
        <v>17</v>
      </c>
      <c r="V892" t="s">
        <v>21</v>
      </c>
      <c r="W892" t="s">
        <v>1971</v>
      </c>
      <c r="X892" t="s">
        <v>17</v>
      </c>
      <c r="Y892" s="2" t="s">
        <v>1754</v>
      </c>
      <c r="Z892">
        <v>0</v>
      </c>
      <c r="AA892" s="2">
        <v>-1388117.1345600002</v>
      </c>
      <c r="AB892" t="str">
        <f>VLOOKUP(Table2[[#This Row],[product]],Ref[#All],6,FALSE)</f>
        <v>BAG25</v>
      </c>
    </row>
    <row r="893" spans="1:28" x14ac:dyDescent="0.25">
      <c r="A893" t="str">
        <f>TEXT(Table2[[#This Row],[dated]],"mmm")</f>
        <v>Jul</v>
      </c>
      <c r="B893" t="s">
        <v>52</v>
      </c>
      <c r="C893" s="1" t="s">
        <v>536</v>
      </c>
      <c r="D893" t="str">
        <f>VLOOKUP(Table2[[#This Row],[product]],Ref[#All],7,FALSE)</f>
        <v>Flour</v>
      </c>
      <c r="E893" s="1" t="s">
        <v>42</v>
      </c>
      <c r="F893" t="str">
        <f>VLOOKUP(Table2[[#This Row],[product]],Ref[#All],2,FALSE)</f>
        <v>Alnajm Flour from Mill 25KG</v>
      </c>
      <c r="G893" t="str">
        <f>VLOOKUP(Table2[[#This Row],[product]],Ref[#All],3,FALSE)</f>
        <v>Flour Al-Nagm (Mill)</v>
      </c>
      <c r="H893" t="str">
        <f>VLOOKUP(Table2[[#This Row],[product]],Ref[#All],4,FALSE)</f>
        <v>Import</v>
      </c>
      <c r="I893" s="1">
        <v>45854</v>
      </c>
      <c r="J893" t="s">
        <v>53</v>
      </c>
      <c r="K893" t="s">
        <v>2011</v>
      </c>
      <c r="L893" t="s">
        <v>1651</v>
      </c>
      <c r="M893" t="s">
        <v>1586</v>
      </c>
      <c r="N893" t="s">
        <v>784</v>
      </c>
      <c r="O893" t="s">
        <v>785</v>
      </c>
      <c r="P893" t="s">
        <v>788</v>
      </c>
      <c r="Q893" t="s">
        <v>55</v>
      </c>
      <c r="R893">
        <v>-3</v>
      </c>
      <c r="S893" s="15">
        <f>Table2[[#This Row],[movement_quantity]]/VLOOKUP(Table2[[#This Row],[product]],Ref[#All],5,FALSE)</f>
        <v>-7.4999999999999997E-2</v>
      </c>
      <c r="T893">
        <v>28919.106970000001</v>
      </c>
      <c r="U893" t="s">
        <v>17</v>
      </c>
      <c r="V893" t="s">
        <v>22</v>
      </c>
      <c r="W893" t="s">
        <v>2012</v>
      </c>
      <c r="X893" t="s">
        <v>17</v>
      </c>
      <c r="Y893" s="2" t="s">
        <v>1754</v>
      </c>
      <c r="Z893">
        <v>0</v>
      </c>
      <c r="AA893" s="2">
        <v>-86757.320910000009</v>
      </c>
      <c r="AB893" t="str">
        <f>VLOOKUP(Table2[[#This Row],[product]],Ref[#All],6,FALSE)</f>
        <v>BAG25</v>
      </c>
    </row>
    <row r="894" spans="1:28" x14ac:dyDescent="0.25">
      <c r="A894" t="str">
        <f>TEXT(Table2[[#This Row],[dated]],"mmm")</f>
        <v>Jul</v>
      </c>
      <c r="B894" t="s">
        <v>52</v>
      </c>
      <c r="C894" s="1" t="s">
        <v>536</v>
      </c>
      <c r="D894" t="str">
        <f>VLOOKUP(Table2[[#This Row],[product]],Ref[#All],7,FALSE)</f>
        <v>Flour</v>
      </c>
      <c r="E894" s="1" t="s">
        <v>42</v>
      </c>
      <c r="F894" t="str">
        <f>VLOOKUP(Table2[[#This Row],[product]],Ref[#All],2,FALSE)</f>
        <v>Alnajm Flour from Mill 25KG</v>
      </c>
      <c r="G894" t="str">
        <f>VLOOKUP(Table2[[#This Row],[product]],Ref[#All],3,FALSE)</f>
        <v>Flour Al-Nagm (Mill)</v>
      </c>
      <c r="H894" t="str">
        <f>VLOOKUP(Table2[[#This Row],[product]],Ref[#All],4,FALSE)</f>
        <v>Import</v>
      </c>
      <c r="I894" s="1">
        <v>45854</v>
      </c>
      <c r="J894" t="s">
        <v>53</v>
      </c>
      <c r="K894" t="s">
        <v>2013</v>
      </c>
      <c r="L894" s="21" t="s">
        <v>1651</v>
      </c>
      <c r="M894" t="s">
        <v>1586</v>
      </c>
      <c r="N894" t="s">
        <v>784</v>
      </c>
      <c r="O894" t="s">
        <v>785</v>
      </c>
      <c r="P894" t="s">
        <v>788</v>
      </c>
      <c r="Q894" t="s">
        <v>55</v>
      </c>
      <c r="R894">
        <v>-2</v>
      </c>
      <c r="S894" s="15">
        <f>Table2[[#This Row],[movement_quantity]]/VLOOKUP(Table2[[#This Row],[product]],Ref[#All],5,FALSE)</f>
        <v>-0.05</v>
      </c>
      <c r="T894">
        <v>28919.106970000001</v>
      </c>
      <c r="U894" t="s">
        <v>17</v>
      </c>
      <c r="V894" t="s">
        <v>23</v>
      </c>
      <c r="W894" t="s">
        <v>2014</v>
      </c>
      <c r="X894" t="s">
        <v>17</v>
      </c>
      <c r="Y894" s="2" t="s">
        <v>1754</v>
      </c>
      <c r="Z894">
        <v>0</v>
      </c>
      <c r="AA894" s="2">
        <v>-57838.213940000001</v>
      </c>
      <c r="AB894" t="str">
        <f>VLOOKUP(Table2[[#This Row],[product]],Ref[#All],6,FALSE)</f>
        <v>BAG25</v>
      </c>
    </row>
    <row r="895" spans="1:28" x14ac:dyDescent="0.25">
      <c r="A895" t="str">
        <f>TEXT(Table2[[#This Row],[dated]],"mmm")</f>
        <v>Jul</v>
      </c>
      <c r="B895" t="s">
        <v>52</v>
      </c>
      <c r="C895" s="1" t="s">
        <v>536</v>
      </c>
      <c r="D895" t="str">
        <f>VLOOKUP(Table2[[#This Row],[product]],Ref[#All],7,FALSE)</f>
        <v>Flour</v>
      </c>
      <c r="E895" s="1" t="s">
        <v>42</v>
      </c>
      <c r="F895" t="str">
        <f>VLOOKUP(Table2[[#This Row],[product]],Ref[#All],2,FALSE)</f>
        <v>Alnajm Flour from Mill 25KG</v>
      </c>
      <c r="G895" t="str">
        <f>VLOOKUP(Table2[[#This Row],[product]],Ref[#All],3,FALSE)</f>
        <v>Flour Al-Nagm (Mill)</v>
      </c>
      <c r="H895" t="str">
        <f>VLOOKUP(Table2[[#This Row],[product]],Ref[#All],4,FALSE)</f>
        <v>Import</v>
      </c>
      <c r="I895" s="1">
        <v>45854</v>
      </c>
      <c r="J895" t="s">
        <v>53</v>
      </c>
      <c r="K895" t="s">
        <v>2015</v>
      </c>
      <c r="L895" s="21" t="s">
        <v>1651</v>
      </c>
      <c r="M895" t="s">
        <v>1586</v>
      </c>
      <c r="N895" t="s">
        <v>784</v>
      </c>
      <c r="O895" t="s">
        <v>785</v>
      </c>
      <c r="P895" t="s">
        <v>788</v>
      </c>
      <c r="Q895" t="s">
        <v>55</v>
      </c>
      <c r="R895">
        <v>-5</v>
      </c>
      <c r="S895" s="15">
        <f>Table2[[#This Row],[movement_quantity]]/VLOOKUP(Table2[[#This Row],[product]],Ref[#All],5,FALSE)</f>
        <v>-0.125</v>
      </c>
      <c r="T895">
        <v>28919.106970000001</v>
      </c>
      <c r="U895" t="s">
        <v>17</v>
      </c>
      <c r="V895" t="s">
        <v>24</v>
      </c>
      <c r="W895" t="s">
        <v>2016</v>
      </c>
      <c r="X895" t="s">
        <v>17</v>
      </c>
      <c r="Y895" s="2" t="s">
        <v>1754</v>
      </c>
      <c r="Z895">
        <v>0</v>
      </c>
      <c r="AA895" s="2">
        <v>-144595.53485</v>
      </c>
      <c r="AB895" t="str">
        <f>VLOOKUP(Table2[[#This Row],[product]],Ref[#All],6,FALSE)</f>
        <v>BAG25</v>
      </c>
    </row>
    <row r="896" spans="1:28" x14ac:dyDescent="0.25">
      <c r="A896" t="str">
        <f>TEXT(Table2[[#This Row],[dated]],"mmm")</f>
        <v>Jul</v>
      </c>
      <c r="B896" t="s">
        <v>52</v>
      </c>
      <c r="C896" s="1" t="s">
        <v>536</v>
      </c>
      <c r="D896" t="str">
        <f>VLOOKUP(Table2[[#This Row],[product]],Ref[#All],7,FALSE)</f>
        <v>Flour</v>
      </c>
      <c r="E896" s="1" t="s">
        <v>42</v>
      </c>
      <c r="F896" t="str">
        <f>VLOOKUP(Table2[[#This Row],[product]],Ref[#All],2,FALSE)</f>
        <v>Alnajm Flour from Mill 25KG</v>
      </c>
      <c r="G896" t="str">
        <f>VLOOKUP(Table2[[#This Row],[product]],Ref[#All],3,FALSE)</f>
        <v>Flour Al-Nagm (Mill)</v>
      </c>
      <c r="H896" t="str">
        <f>VLOOKUP(Table2[[#This Row],[product]],Ref[#All],4,FALSE)</f>
        <v>Import</v>
      </c>
      <c r="I896" s="1">
        <v>45854</v>
      </c>
      <c r="J896" t="s">
        <v>53</v>
      </c>
      <c r="K896" t="s">
        <v>2017</v>
      </c>
      <c r="L896" t="s">
        <v>1651</v>
      </c>
      <c r="M896" t="s">
        <v>1586</v>
      </c>
      <c r="N896" t="s">
        <v>784</v>
      </c>
      <c r="O896" t="s">
        <v>785</v>
      </c>
      <c r="P896" t="s">
        <v>788</v>
      </c>
      <c r="Q896" t="s">
        <v>55</v>
      </c>
      <c r="R896">
        <v>-10</v>
      </c>
      <c r="S896" s="15">
        <f>Table2[[#This Row],[movement_quantity]]/VLOOKUP(Table2[[#This Row],[product]],Ref[#All],5,FALSE)</f>
        <v>-0.25</v>
      </c>
      <c r="T896">
        <v>28919.106970000001</v>
      </c>
      <c r="U896" t="s">
        <v>17</v>
      </c>
      <c r="V896" t="s">
        <v>25</v>
      </c>
      <c r="W896" t="s">
        <v>2018</v>
      </c>
      <c r="X896" t="s">
        <v>17</v>
      </c>
      <c r="Y896" s="2" t="s">
        <v>1754</v>
      </c>
      <c r="Z896">
        <v>0</v>
      </c>
      <c r="AA896" s="2">
        <v>-289191.06969999999</v>
      </c>
      <c r="AB896" t="str">
        <f>VLOOKUP(Table2[[#This Row],[product]],Ref[#All],6,FALSE)</f>
        <v>BAG25</v>
      </c>
    </row>
    <row r="897" spans="1:28" x14ac:dyDescent="0.25">
      <c r="A897" t="str">
        <f>TEXT(Table2[[#This Row],[dated]],"mmm")</f>
        <v>Jul</v>
      </c>
      <c r="B897" t="s">
        <v>52</v>
      </c>
      <c r="C897" s="1" t="s">
        <v>536</v>
      </c>
      <c r="D897" t="str">
        <f>VLOOKUP(Table2[[#This Row],[product]],Ref[#All],7,FALSE)</f>
        <v>Flour</v>
      </c>
      <c r="E897" s="1" t="s">
        <v>42</v>
      </c>
      <c r="F897" t="str">
        <f>VLOOKUP(Table2[[#This Row],[product]],Ref[#All],2,FALSE)</f>
        <v>Alnajm Flour from Mill 25KG</v>
      </c>
      <c r="G897" t="str">
        <f>VLOOKUP(Table2[[#This Row],[product]],Ref[#All],3,FALSE)</f>
        <v>Flour Al-Nagm (Mill)</v>
      </c>
      <c r="H897" t="str">
        <f>VLOOKUP(Table2[[#This Row],[product]],Ref[#All],4,FALSE)</f>
        <v>Import</v>
      </c>
      <c r="I897" s="1">
        <v>45854</v>
      </c>
      <c r="J897" t="s">
        <v>53</v>
      </c>
      <c r="K897" t="s">
        <v>2019</v>
      </c>
      <c r="L897" t="s">
        <v>1651</v>
      </c>
      <c r="M897" t="s">
        <v>1586</v>
      </c>
      <c r="N897" t="s">
        <v>784</v>
      </c>
      <c r="O897" t="s">
        <v>785</v>
      </c>
      <c r="P897" t="s">
        <v>788</v>
      </c>
      <c r="Q897" t="s">
        <v>55</v>
      </c>
      <c r="R897">
        <v>-10</v>
      </c>
      <c r="S897" s="15">
        <f>Table2[[#This Row],[movement_quantity]]/VLOOKUP(Table2[[#This Row],[product]],Ref[#All],5,FALSE)</f>
        <v>-0.25</v>
      </c>
      <c r="T897">
        <v>28919.106970000001</v>
      </c>
      <c r="U897" t="s">
        <v>17</v>
      </c>
      <c r="V897" t="s">
        <v>26</v>
      </c>
      <c r="W897" t="s">
        <v>2020</v>
      </c>
      <c r="X897" t="s">
        <v>17</v>
      </c>
      <c r="Y897" s="2" t="s">
        <v>1754</v>
      </c>
      <c r="Z897">
        <v>0</v>
      </c>
      <c r="AA897" s="2">
        <v>-289191.06969999999</v>
      </c>
      <c r="AB897" t="str">
        <f>VLOOKUP(Table2[[#This Row],[product]],Ref[#All],6,FALSE)</f>
        <v>BAG25</v>
      </c>
    </row>
    <row r="898" spans="1:28" x14ac:dyDescent="0.25">
      <c r="A898" t="str">
        <f>TEXT(Table2[[#This Row],[dated]],"mmm")</f>
        <v>Jul</v>
      </c>
      <c r="B898" t="s">
        <v>52</v>
      </c>
      <c r="C898" s="1" t="s">
        <v>536</v>
      </c>
      <c r="D898" t="str">
        <f>VLOOKUP(Table2[[#This Row],[product]],Ref[#All],7,FALSE)</f>
        <v>Flour</v>
      </c>
      <c r="E898" s="1" t="s">
        <v>42</v>
      </c>
      <c r="F898" t="str">
        <f>VLOOKUP(Table2[[#This Row],[product]],Ref[#All],2,FALSE)</f>
        <v>Alnajm Flour from Mill 25KG</v>
      </c>
      <c r="G898" t="str">
        <f>VLOOKUP(Table2[[#This Row],[product]],Ref[#All],3,FALSE)</f>
        <v>Flour Al-Nagm (Mill)</v>
      </c>
      <c r="H898" t="str">
        <f>VLOOKUP(Table2[[#This Row],[product]],Ref[#All],4,FALSE)</f>
        <v>Import</v>
      </c>
      <c r="I898" s="1">
        <v>45854</v>
      </c>
      <c r="J898" t="s">
        <v>53</v>
      </c>
      <c r="K898" t="s">
        <v>2021</v>
      </c>
      <c r="L898" t="s">
        <v>1651</v>
      </c>
      <c r="M898" t="s">
        <v>1586</v>
      </c>
      <c r="N898" t="s">
        <v>784</v>
      </c>
      <c r="O898" t="s">
        <v>785</v>
      </c>
      <c r="P898" t="s">
        <v>788</v>
      </c>
      <c r="Q898" t="s">
        <v>55</v>
      </c>
      <c r="R898">
        <v>-12</v>
      </c>
      <c r="S898" s="15">
        <f>Table2[[#This Row],[movement_quantity]]/VLOOKUP(Table2[[#This Row],[product]],Ref[#All],5,FALSE)</f>
        <v>-0.3</v>
      </c>
      <c r="T898">
        <v>28919.106970000001</v>
      </c>
      <c r="U898" t="s">
        <v>17</v>
      </c>
      <c r="V898" t="s">
        <v>27</v>
      </c>
      <c r="W898" t="s">
        <v>2022</v>
      </c>
      <c r="X898" t="s">
        <v>17</v>
      </c>
      <c r="Y898" s="2" t="s">
        <v>1754</v>
      </c>
      <c r="Z898">
        <v>0</v>
      </c>
      <c r="AA898" s="2">
        <v>-347029.28364000004</v>
      </c>
      <c r="AB898" t="str">
        <f>VLOOKUP(Table2[[#This Row],[product]],Ref[#All],6,FALSE)</f>
        <v>BAG25</v>
      </c>
    </row>
    <row r="899" spans="1:28" x14ac:dyDescent="0.25">
      <c r="A899" t="str">
        <f>TEXT(Table2[[#This Row],[dated]],"mmm")</f>
        <v>Jul</v>
      </c>
      <c r="B899" t="s">
        <v>96</v>
      </c>
      <c r="C899" s="1" t="s">
        <v>536</v>
      </c>
      <c r="D899" t="str">
        <f>VLOOKUP(Table2[[#This Row],[product]],Ref[#All],7,FALSE)</f>
        <v>Sugar</v>
      </c>
      <c r="E899" s="1" t="s">
        <v>72</v>
      </c>
      <c r="F899" t="str">
        <f>VLOOKUP(Table2[[#This Row],[product]],Ref[#All],2,FALSE)</f>
        <v>White Sugar</v>
      </c>
      <c r="G899" t="str">
        <f>VLOOKUP(Table2[[#This Row],[product]],Ref[#All],3,FALSE)</f>
        <v>White Sugar</v>
      </c>
      <c r="H899" t="str">
        <f>VLOOKUP(Table2[[#This Row],[product]],Ref[#All],4,FALSE)</f>
        <v>Import</v>
      </c>
      <c r="I899" s="1">
        <v>45854</v>
      </c>
      <c r="J899" t="s">
        <v>53</v>
      </c>
      <c r="K899" t="s">
        <v>2023</v>
      </c>
      <c r="L899" t="s">
        <v>1651</v>
      </c>
      <c r="M899" t="s">
        <v>1586</v>
      </c>
      <c r="N899" t="s">
        <v>784</v>
      </c>
      <c r="O899" t="s">
        <v>785</v>
      </c>
      <c r="P899" t="s">
        <v>788</v>
      </c>
      <c r="Q899" t="s">
        <v>55</v>
      </c>
      <c r="R899">
        <v>-2</v>
      </c>
      <c r="S899" s="15">
        <f>Table2[[#This Row],[movement_quantity]]/VLOOKUP(Table2[[#This Row],[product]],Ref[#All],5,FALSE)</f>
        <v>-0.1</v>
      </c>
      <c r="T899">
        <v>78293.8171</v>
      </c>
      <c r="U899" t="s">
        <v>17</v>
      </c>
      <c r="V899" t="s">
        <v>18</v>
      </c>
      <c r="W899" t="s">
        <v>2024</v>
      </c>
      <c r="X899" t="s">
        <v>17</v>
      </c>
      <c r="Y899" s="2" t="s">
        <v>1320</v>
      </c>
      <c r="Z899">
        <v>0</v>
      </c>
      <c r="AA899" s="2">
        <v>-156587.6342</v>
      </c>
      <c r="AB899" t="str">
        <f>VLOOKUP(Table2[[#This Row],[product]],Ref[#All],6,FALSE)</f>
        <v>BAG50</v>
      </c>
    </row>
    <row r="900" spans="1:28" x14ac:dyDescent="0.25">
      <c r="A900" t="str">
        <f>TEXT(Table2[[#This Row],[dated]],"mmm")</f>
        <v>Jul</v>
      </c>
      <c r="B900" t="s">
        <v>596</v>
      </c>
      <c r="C900" s="1" t="s">
        <v>536</v>
      </c>
      <c r="D900" t="str">
        <f>VLOOKUP(Table2[[#This Row],[product]],Ref[#All],7,FALSE)</f>
        <v>Lentils</v>
      </c>
      <c r="E900" s="1" t="s">
        <v>39</v>
      </c>
      <c r="F900" t="str">
        <f>VLOOKUP(Table2[[#This Row],[product]],Ref[#All],2,FALSE)</f>
        <v>Lentil TAT 20KG</v>
      </c>
      <c r="G900" t="str">
        <f>VLOOKUP(Table2[[#This Row],[product]],Ref[#All],3,FALSE)</f>
        <v>Lentils</v>
      </c>
      <c r="H900" t="str">
        <f>VLOOKUP(Table2[[#This Row],[product]],Ref[#All],4,FALSE)</f>
        <v>Import</v>
      </c>
      <c r="I900" s="1">
        <v>45854</v>
      </c>
      <c r="J900" t="s">
        <v>53</v>
      </c>
      <c r="K900" t="s">
        <v>2025</v>
      </c>
      <c r="L900" t="s">
        <v>1651</v>
      </c>
      <c r="M900" t="s">
        <v>1586</v>
      </c>
      <c r="N900" t="s">
        <v>784</v>
      </c>
      <c r="O900" t="s">
        <v>785</v>
      </c>
      <c r="P900" t="s">
        <v>788</v>
      </c>
      <c r="Q900" t="s">
        <v>55</v>
      </c>
      <c r="R900">
        <v>-3</v>
      </c>
      <c r="S900" s="15">
        <f>Table2[[#This Row],[movement_quantity]]/VLOOKUP(Table2[[#This Row],[product]],Ref[#All],5,FALSE)</f>
        <v>-0.06</v>
      </c>
      <c r="T900">
        <v>41075.795080000004</v>
      </c>
      <c r="U900" t="s">
        <v>17</v>
      </c>
      <c r="V900" t="s">
        <v>18</v>
      </c>
      <c r="W900" t="s">
        <v>2026</v>
      </c>
      <c r="X900" t="s">
        <v>17</v>
      </c>
      <c r="Y900" s="2" t="s">
        <v>2027</v>
      </c>
      <c r="Z900">
        <v>0</v>
      </c>
      <c r="AA900" s="2">
        <v>-123227.38524</v>
      </c>
      <c r="AB900" t="str">
        <f>VLOOKUP(Table2[[#This Row],[product]],Ref[#All],6,FALSE)</f>
        <v>BAG20</v>
      </c>
    </row>
    <row r="901" spans="1:28" x14ac:dyDescent="0.25">
      <c r="A901" t="str">
        <f>TEXT(Table2[[#This Row],[dated]],"mmm")</f>
        <v>Jul</v>
      </c>
      <c r="B901" t="s">
        <v>158</v>
      </c>
      <c r="C901" s="1" t="s">
        <v>536</v>
      </c>
      <c r="D901" t="str">
        <f>VLOOKUP(Table2[[#This Row],[product]],Ref[#All],7,FALSE)</f>
        <v>Flour</v>
      </c>
      <c r="E901" s="1" t="s">
        <v>36</v>
      </c>
      <c r="F901" t="str">
        <f>VLOOKUP(Table2[[#This Row],[product]],Ref[#All],2,FALSE)</f>
        <v>Flour Import Elngm 25Kg</v>
      </c>
      <c r="G901" t="str">
        <f>VLOOKUP(Table2[[#This Row],[product]],Ref[#All],3,FALSE)</f>
        <v>Flour Al-Nagm (Imported)</v>
      </c>
      <c r="H901" t="str">
        <f>VLOOKUP(Table2[[#This Row],[product]],Ref[#All],4,FALSE)</f>
        <v>Import</v>
      </c>
      <c r="I901" s="1">
        <v>45854</v>
      </c>
      <c r="J901" t="s">
        <v>53</v>
      </c>
      <c r="K901" t="s">
        <v>2028</v>
      </c>
      <c r="L901" t="s">
        <v>1651</v>
      </c>
      <c r="M901" t="s">
        <v>1586</v>
      </c>
      <c r="N901" t="s">
        <v>784</v>
      </c>
      <c r="O901" t="s">
        <v>785</v>
      </c>
      <c r="P901" t="s">
        <v>788</v>
      </c>
      <c r="Q901" t="s">
        <v>55</v>
      </c>
      <c r="R901">
        <v>-2</v>
      </c>
      <c r="S901" s="15">
        <f>Table2[[#This Row],[movement_quantity]]/VLOOKUP(Table2[[#This Row],[product]],Ref[#All],5,FALSE)</f>
        <v>-0.05</v>
      </c>
      <c r="T901">
        <v>28919.106970000001</v>
      </c>
      <c r="U901" t="s">
        <v>17</v>
      </c>
      <c r="V901" t="s">
        <v>22</v>
      </c>
      <c r="W901" t="s">
        <v>2029</v>
      </c>
      <c r="X901" t="s">
        <v>17</v>
      </c>
      <c r="Y901" s="2" t="s">
        <v>1289</v>
      </c>
      <c r="Z901">
        <v>0</v>
      </c>
      <c r="AA901" s="2">
        <v>-57838.213940000001</v>
      </c>
      <c r="AB901" t="str">
        <f>VLOOKUP(Table2[[#This Row],[product]],Ref[#All],6,FALSE)</f>
        <v>BAG25</v>
      </c>
    </row>
    <row r="902" spans="1:28" x14ac:dyDescent="0.25">
      <c r="A902" t="str">
        <f>TEXT(Table2[[#This Row],[dated]],"mmm")</f>
        <v>Jul</v>
      </c>
      <c r="B902" t="s">
        <v>158</v>
      </c>
      <c r="C902" s="1" t="s">
        <v>536</v>
      </c>
      <c r="D902" t="str">
        <f>VLOOKUP(Table2[[#This Row],[product]],Ref[#All],7,FALSE)</f>
        <v>Flour</v>
      </c>
      <c r="E902" s="1" t="s">
        <v>36</v>
      </c>
      <c r="F902" t="str">
        <f>VLOOKUP(Table2[[#This Row],[product]],Ref[#All],2,FALSE)</f>
        <v>Flour Import Elngm 25Kg</v>
      </c>
      <c r="G902" t="str">
        <f>VLOOKUP(Table2[[#This Row],[product]],Ref[#All],3,FALSE)</f>
        <v>Flour Al-Nagm (Imported)</v>
      </c>
      <c r="H902" t="str">
        <f>VLOOKUP(Table2[[#This Row],[product]],Ref[#All],4,FALSE)</f>
        <v>Import</v>
      </c>
      <c r="I902" s="1">
        <v>45854</v>
      </c>
      <c r="J902" t="s">
        <v>53</v>
      </c>
      <c r="K902" t="s">
        <v>2030</v>
      </c>
      <c r="L902" t="s">
        <v>1651</v>
      </c>
      <c r="M902" t="s">
        <v>1586</v>
      </c>
      <c r="N902" t="s">
        <v>784</v>
      </c>
      <c r="O902" t="s">
        <v>785</v>
      </c>
      <c r="P902" t="s">
        <v>788</v>
      </c>
      <c r="Q902" t="s">
        <v>55</v>
      </c>
      <c r="R902">
        <v>-1</v>
      </c>
      <c r="S902" s="15">
        <f>Table2[[#This Row],[movement_quantity]]/VLOOKUP(Table2[[#This Row],[product]],Ref[#All],5,FALSE)</f>
        <v>-2.5000000000000001E-2</v>
      </c>
      <c r="T902">
        <v>28919.106970000001</v>
      </c>
      <c r="U902" t="s">
        <v>17</v>
      </c>
      <c r="V902" t="s">
        <v>23</v>
      </c>
      <c r="W902" t="s">
        <v>2031</v>
      </c>
      <c r="X902" t="s">
        <v>17</v>
      </c>
      <c r="Y902" s="2" t="s">
        <v>1289</v>
      </c>
      <c r="Z902">
        <v>0</v>
      </c>
      <c r="AA902" s="2">
        <v>-28919.106970000001</v>
      </c>
      <c r="AB902" t="str">
        <f>VLOOKUP(Table2[[#This Row],[product]],Ref[#All],6,FALSE)</f>
        <v>BAG25</v>
      </c>
    </row>
    <row r="903" spans="1:28" x14ac:dyDescent="0.25">
      <c r="A903" t="str">
        <f>TEXT(Table2[[#This Row],[dated]],"mmm")</f>
        <v>Jul</v>
      </c>
      <c r="B903" t="s">
        <v>642</v>
      </c>
      <c r="C903" s="1" t="s">
        <v>536</v>
      </c>
      <c r="D903" t="str">
        <f>VLOOKUP(Table2[[#This Row],[product]],Ref[#All],7,FALSE)</f>
        <v>Flour</v>
      </c>
      <c r="E903" s="1" t="s">
        <v>42</v>
      </c>
      <c r="F903" t="str">
        <f>VLOOKUP(Table2[[#This Row],[product]],Ref[#All],2,FALSE)</f>
        <v>Alnajm Flour from Mill 25KG</v>
      </c>
      <c r="G903" t="str">
        <f>VLOOKUP(Table2[[#This Row],[product]],Ref[#All],3,FALSE)</f>
        <v>Flour Al-Nagm (Mill)</v>
      </c>
      <c r="H903" t="str">
        <f>VLOOKUP(Table2[[#This Row],[product]],Ref[#All],4,FALSE)</f>
        <v>Import</v>
      </c>
      <c r="I903" s="1">
        <v>45854</v>
      </c>
      <c r="J903" t="s">
        <v>53</v>
      </c>
      <c r="K903" t="s">
        <v>2032</v>
      </c>
      <c r="L903" t="s">
        <v>1651</v>
      </c>
      <c r="M903" t="s">
        <v>1586</v>
      </c>
      <c r="N903" t="s">
        <v>784</v>
      </c>
      <c r="O903" t="s">
        <v>785</v>
      </c>
      <c r="P903" t="s">
        <v>788</v>
      </c>
      <c r="Q903" t="s">
        <v>55</v>
      </c>
      <c r="R903">
        <v>-130</v>
      </c>
      <c r="S903" s="15">
        <f>Table2[[#This Row],[movement_quantity]]/VLOOKUP(Table2[[#This Row],[product]],Ref[#All],5,FALSE)</f>
        <v>-3.25</v>
      </c>
      <c r="T903">
        <v>28919.106970000001</v>
      </c>
      <c r="U903" t="s">
        <v>17</v>
      </c>
      <c r="V903" t="s">
        <v>18</v>
      </c>
      <c r="W903" t="s">
        <v>2033</v>
      </c>
      <c r="X903" t="s">
        <v>17</v>
      </c>
      <c r="Y903" s="2" t="s">
        <v>2034</v>
      </c>
      <c r="Z903">
        <v>0</v>
      </c>
      <c r="AA903" s="2">
        <v>-3759483.9061000003</v>
      </c>
      <c r="AB903" t="str">
        <f>VLOOKUP(Table2[[#This Row],[product]],Ref[#All],6,FALSE)</f>
        <v>BAG25</v>
      </c>
    </row>
    <row r="904" spans="1:28" x14ac:dyDescent="0.25">
      <c r="A904" t="str">
        <f>TEXT(Table2[[#This Row],[dated]],"mmm")</f>
        <v>Jul</v>
      </c>
      <c r="B904" t="s">
        <v>642</v>
      </c>
      <c r="C904" s="1" t="s">
        <v>536</v>
      </c>
      <c r="D904" t="str">
        <f>VLOOKUP(Table2[[#This Row],[product]],Ref[#All],7,FALSE)</f>
        <v>Flour</v>
      </c>
      <c r="E904" s="1" t="s">
        <v>42</v>
      </c>
      <c r="F904" t="str">
        <f>VLOOKUP(Table2[[#This Row],[product]],Ref[#All],2,FALSE)</f>
        <v>Alnajm Flour from Mill 25KG</v>
      </c>
      <c r="G904" t="str">
        <f>VLOOKUP(Table2[[#This Row],[product]],Ref[#All],3,FALSE)</f>
        <v>Flour Al-Nagm (Mill)</v>
      </c>
      <c r="H904" t="str">
        <f>VLOOKUP(Table2[[#This Row],[product]],Ref[#All],4,FALSE)</f>
        <v>Import</v>
      </c>
      <c r="I904" s="1">
        <v>45854</v>
      </c>
      <c r="J904" t="s">
        <v>53</v>
      </c>
      <c r="K904" t="s">
        <v>2035</v>
      </c>
      <c r="L904" t="s">
        <v>1651</v>
      </c>
      <c r="M904" t="s">
        <v>1586</v>
      </c>
      <c r="N904" t="s">
        <v>784</v>
      </c>
      <c r="O904" t="s">
        <v>785</v>
      </c>
      <c r="P904" t="s">
        <v>788</v>
      </c>
      <c r="Q904" t="s">
        <v>55</v>
      </c>
      <c r="R904">
        <v>-19</v>
      </c>
      <c r="S904" s="15">
        <f>Table2[[#This Row],[movement_quantity]]/VLOOKUP(Table2[[#This Row],[product]],Ref[#All],5,FALSE)</f>
        <v>-0.47499999999999998</v>
      </c>
      <c r="T904">
        <v>28919.106970000001</v>
      </c>
      <c r="U904" t="s">
        <v>17</v>
      </c>
      <c r="V904" t="s">
        <v>21</v>
      </c>
      <c r="W904" t="s">
        <v>2036</v>
      </c>
      <c r="X904" t="s">
        <v>17</v>
      </c>
      <c r="Y904" s="2" t="s">
        <v>2034</v>
      </c>
      <c r="Z904">
        <v>0</v>
      </c>
      <c r="AA904" s="2">
        <v>-549463.03243000002</v>
      </c>
      <c r="AB904" t="str">
        <f>VLOOKUP(Table2[[#This Row],[product]],Ref[#All],6,FALSE)</f>
        <v>BAG25</v>
      </c>
    </row>
    <row r="905" spans="1:28" x14ac:dyDescent="0.25">
      <c r="A905" t="str">
        <f>TEXT(Table2[[#This Row],[dated]],"mmm")</f>
        <v>Jul</v>
      </c>
      <c r="B905" t="s">
        <v>642</v>
      </c>
      <c r="C905" s="1" t="s">
        <v>536</v>
      </c>
      <c r="D905" t="str">
        <f>VLOOKUP(Table2[[#This Row],[product]],Ref[#All],7,FALSE)</f>
        <v>Flour</v>
      </c>
      <c r="E905" s="1" t="s">
        <v>42</v>
      </c>
      <c r="F905" t="str">
        <f>VLOOKUP(Table2[[#This Row],[product]],Ref[#All],2,FALSE)</f>
        <v>Alnajm Flour from Mill 25KG</v>
      </c>
      <c r="G905" t="str">
        <f>VLOOKUP(Table2[[#This Row],[product]],Ref[#All],3,FALSE)</f>
        <v>Flour Al-Nagm (Mill)</v>
      </c>
      <c r="H905" t="str">
        <f>VLOOKUP(Table2[[#This Row],[product]],Ref[#All],4,FALSE)</f>
        <v>Import</v>
      </c>
      <c r="I905" s="1">
        <v>45854</v>
      </c>
      <c r="J905" t="s">
        <v>53</v>
      </c>
      <c r="K905" t="s">
        <v>2037</v>
      </c>
      <c r="L905" t="s">
        <v>1651</v>
      </c>
      <c r="M905" t="s">
        <v>1586</v>
      </c>
      <c r="N905" t="s">
        <v>784</v>
      </c>
      <c r="O905" t="s">
        <v>785</v>
      </c>
      <c r="P905" t="s">
        <v>788</v>
      </c>
      <c r="Q905" t="s">
        <v>55</v>
      </c>
      <c r="R905">
        <v>-27</v>
      </c>
      <c r="S905" s="15">
        <f>Table2[[#This Row],[movement_quantity]]/VLOOKUP(Table2[[#This Row],[product]],Ref[#All],5,FALSE)</f>
        <v>-0.67500000000000004</v>
      </c>
      <c r="T905">
        <v>28919.106970000001</v>
      </c>
      <c r="U905" t="s">
        <v>17</v>
      </c>
      <c r="V905" t="s">
        <v>22</v>
      </c>
      <c r="W905" t="s">
        <v>2038</v>
      </c>
      <c r="X905" t="s">
        <v>17</v>
      </c>
      <c r="Y905" s="2" t="s">
        <v>2034</v>
      </c>
      <c r="Z905">
        <v>0</v>
      </c>
      <c r="AA905" s="2">
        <v>-780815.88818999997</v>
      </c>
      <c r="AB905" t="str">
        <f>VLOOKUP(Table2[[#This Row],[product]],Ref[#All],6,FALSE)</f>
        <v>BAG25</v>
      </c>
    </row>
    <row r="906" spans="1:28" ht="21" customHeight="1" x14ac:dyDescent="0.25">
      <c r="A906" t="str">
        <f>TEXT(Table2[[#This Row],[dated]],"mmm")</f>
        <v>Jul</v>
      </c>
      <c r="B906" t="s">
        <v>46</v>
      </c>
      <c r="C906" s="1" t="s">
        <v>536</v>
      </c>
      <c r="D906" t="str">
        <f>VLOOKUP(Table2[[#This Row],[product]],Ref[#All],7,FALSE)</f>
        <v>Flour</v>
      </c>
      <c r="E906" s="1" t="s">
        <v>42</v>
      </c>
      <c r="F906" t="str">
        <f>VLOOKUP(Table2[[#This Row],[product]],Ref[#All],2,FALSE)</f>
        <v>Alnajm Flour from Mill 25KG</v>
      </c>
      <c r="G906" t="str">
        <f>VLOOKUP(Table2[[#This Row],[product]],Ref[#All],3,FALSE)</f>
        <v>Flour Al-Nagm (Mill)</v>
      </c>
      <c r="H906" t="str">
        <f>VLOOKUP(Table2[[#This Row],[product]],Ref[#All],4,FALSE)</f>
        <v>Import</v>
      </c>
      <c r="I906" s="1">
        <v>45854</v>
      </c>
      <c r="J906" t="s">
        <v>53</v>
      </c>
      <c r="K906" t="s">
        <v>2039</v>
      </c>
      <c r="L906" t="s">
        <v>1651</v>
      </c>
      <c r="M906" t="s">
        <v>1586</v>
      </c>
      <c r="N906" t="s">
        <v>784</v>
      </c>
      <c r="O906" t="s">
        <v>785</v>
      </c>
      <c r="P906" t="s">
        <v>788</v>
      </c>
      <c r="Q906" t="s">
        <v>55</v>
      </c>
      <c r="R906">
        <v>-3</v>
      </c>
      <c r="S906" s="15">
        <f>Table2[[#This Row],[movement_quantity]]/VLOOKUP(Table2[[#This Row],[product]],Ref[#All],5,FALSE)</f>
        <v>-7.4999999999999997E-2</v>
      </c>
      <c r="T906">
        <v>28919.106970000001</v>
      </c>
      <c r="U906" t="s">
        <v>17</v>
      </c>
      <c r="V906" t="s">
        <v>18</v>
      </c>
      <c r="W906" t="s">
        <v>2040</v>
      </c>
      <c r="X906" t="s">
        <v>17</v>
      </c>
      <c r="Y906" s="2" t="s">
        <v>2041</v>
      </c>
      <c r="Z906">
        <v>0</v>
      </c>
      <c r="AA906" s="2">
        <v>-86757.320910000009</v>
      </c>
      <c r="AB906" t="str">
        <f>VLOOKUP(Table2[[#This Row],[product]],Ref[#All],6,FALSE)</f>
        <v>BAG25</v>
      </c>
    </row>
    <row r="907" spans="1:28" x14ac:dyDescent="0.25">
      <c r="A907" t="str">
        <f>TEXT(Table2[[#This Row],[dated]],"mmm")</f>
        <v>Jul</v>
      </c>
      <c r="B907" t="s">
        <v>158</v>
      </c>
      <c r="C907" s="1" t="s">
        <v>536</v>
      </c>
      <c r="D907" t="str">
        <f>VLOOKUP(Table2[[#This Row],[product]],Ref[#All],7,FALSE)</f>
        <v>Flour</v>
      </c>
      <c r="E907" s="1" t="s">
        <v>36</v>
      </c>
      <c r="F907" t="str">
        <f>VLOOKUP(Table2[[#This Row],[product]],Ref[#All],2,FALSE)</f>
        <v>Flour Import Elngm 25Kg</v>
      </c>
      <c r="G907" t="str">
        <f>VLOOKUP(Table2[[#This Row],[product]],Ref[#All],3,FALSE)</f>
        <v>Flour Al-Nagm (Imported)</v>
      </c>
      <c r="H907" t="str">
        <f>VLOOKUP(Table2[[#This Row],[product]],Ref[#All],4,FALSE)</f>
        <v>Import</v>
      </c>
      <c r="I907" s="1">
        <v>45854</v>
      </c>
      <c r="J907" t="s">
        <v>53</v>
      </c>
      <c r="K907" t="s">
        <v>2042</v>
      </c>
      <c r="L907" t="s">
        <v>1651</v>
      </c>
      <c r="M907" t="s">
        <v>1586</v>
      </c>
      <c r="N907" t="s">
        <v>784</v>
      </c>
      <c r="O907" t="s">
        <v>785</v>
      </c>
      <c r="P907" t="s">
        <v>788</v>
      </c>
      <c r="Q907" t="s">
        <v>55</v>
      </c>
      <c r="R907">
        <v>-1</v>
      </c>
      <c r="S907" s="15">
        <f>Table2[[#This Row],[movement_quantity]]/VLOOKUP(Table2[[#This Row],[product]],Ref[#All],5,FALSE)</f>
        <v>-2.5000000000000001E-2</v>
      </c>
      <c r="T907">
        <v>28919.106970000001</v>
      </c>
      <c r="U907" t="s">
        <v>17</v>
      </c>
      <c r="V907" t="s">
        <v>18</v>
      </c>
      <c r="W907" t="s">
        <v>2043</v>
      </c>
      <c r="X907" t="s">
        <v>17</v>
      </c>
      <c r="Y907" s="2" t="s">
        <v>1289</v>
      </c>
      <c r="Z907">
        <v>0</v>
      </c>
      <c r="AA907" s="2">
        <v>-28919.106970000001</v>
      </c>
      <c r="AB907" t="str">
        <f>VLOOKUP(Table2[[#This Row],[product]],Ref[#All],6,FALSE)</f>
        <v>BAG25</v>
      </c>
    </row>
    <row r="908" spans="1:28" x14ac:dyDescent="0.25">
      <c r="A908" t="str">
        <f>TEXT(Table2[[#This Row],[dated]],"mmm")</f>
        <v>Jul</v>
      </c>
      <c r="B908" t="s">
        <v>158</v>
      </c>
      <c r="C908" s="1" t="s">
        <v>536</v>
      </c>
      <c r="D908" t="str">
        <f>VLOOKUP(Table2[[#This Row],[product]],Ref[#All],7,FALSE)</f>
        <v>Flour</v>
      </c>
      <c r="E908" s="1" t="s">
        <v>36</v>
      </c>
      <c r="F908" t="str">
        <f>VLOOKUP(Table2[[#This Row],[product]],Ref[#All],2,FALSE)</f>
        <v>Flour Import Elngm 25Kg</v>
      </c>
      <c r="G908" t="str">
        <f>VLOOKUP(Table2[[#This Row],[product]],Ref[#All],3,FALSE)</f>
        <v>Flour Al-Nagm (Imported)</v>
      </c>
      <c r="H908" t="str">
        <f>VLOOKUP(Table2[[#This Row],[product]],Ref[#All],4,FALSE)</f>
        <v>Import</v>
      </c>
      <c r="I908" s="1">
        <v>45854</v>
      </c>
      <c r="J908" t="s">
        <v>53</v>
      </c>
      <c r="K908" t="s">
        <v>2044</v>
      </c>
      <c r="L908" t="s">
        <v>1651</v>
      </c>
      <c r="M908" t="s">
        <v>1586</v>
      </c>
      <c r="N908" t="s">
        <v>784</v>
      </c>
      <c r="O908" t="s">
        <v>785</v>
      </c>
      <c r="P908" t="s">
        <v>788</v>
      </c>
      <c r="Q908" t="s">
        <v>55</v>
      </c>
      <c r="R908">
        <v>-4</v>
      </c>
      <c r="S908" s="15">
        <f>Table2[[#This Row],[movement_quantity]]/VLOOKUP(Table2[[#This Row],[product]],Ref[#All],5,FALSE)</f>
        <v>-0.1</v>
      </c>
      <c r="T908">
        <v>28919.106970000001</v>
      </c>
      <c r="U908" t="s">
        <v>17</v>
      </c>
      <c r="V908" t="s">
        <v>21</v>
      </c>
      <c r="W908" t="s">
        <v>2045</v>
      </c>
      <c r="X908" t="s">
        <v>17</v>
      </c>
      <c r="Y908" s="2" t="s">
        <v>1289</v>
      </c>
      <c r="Z908">
        <v>0</v>
      </c>
      <c r="AA908" s="2">
        <v>-115676.42788</v>
      </c>
      <c r="AB908" t="str">
        <f>VLOOKUP(Table2[[#This Row],[product]],Ref[#All],6,FALSE)</f>
        <v>BAG25</v>
      </c>
    </row>
    <row r="909" spans="1:28" x14ac:dyDescent="0.25">
      <c r="A909" t="str">
        <f>TEXT(Table2[[#This Row],[dated]],"mmm")</f>
        <v>Jul</v>
      </c>
      <c r="B909" t="s">
        <v>158</v>
      </c>
      <c r="C909" s="1" t="s">
        <v>536</v>
      </c>
      <c r="D909" t="str">
        <f>VLOOKUP(Table2[[#This Row],[product]],Ref[#All],7,FALSE)</f>
        <v>Flour</v>
      </c>
      <c r="E909" s="1" t="s">
        <v>36</v>
      </c>
      <c r="F909" t="str">
        <f>VLOOKUP(Table2[[#This Row],[product]],Ref[#All],2,FALSE)</f>
        <v>Flour Import Elngm 25Kg</v>
      </c>
      <c r="G909" t="str">
        <f>VLOOKUP(Table2[[#This Row],[product]],Ref[#All],3,FALSE)</f>
        <v>Flour Al-Nagm (Imported)</v>
      </c>
      <c r="H909" t="str">
        <f>VLOOKUP(Table2[[#This Row],[product]],Ref[#All],4,FALSE)</f>
        <v>Import</v>
      </c>
      <c r="I909" s="1">
        <v>45846</v>
      </c>
      <c r="J909" t="s">
        <v>53</v>
      </c>
      <c r="K909" t="s">
        <v>2117</v>
      </c>
      <c r="L909" t="s">
        <v>1651</v>
      </c>
      <c r="M909" t="s">
        <v>1586</v>
      </c>
      <c r="N909" t="s">
        <v>784</v>
      </c>
      <c r="O909" t="s">
        <v>786</v>
      </c>
      <c r="P909" t="s">
        <v>2299</v>
      </c>
      <c r="Q909" t="s">
        <v>55</v>
      </c>
      <c r="R909">
        <v>-15</v>
      </c>
      <c r="S909" s="15">
        <f>Table2[[#This Row],[movement_quantity]]/VLOOKUP(Table2[[#This Row],[product]],Ref[#All],5,FALSE)</f>
        <v>-0.375</v>
      </c>
      <c r="T909">
        <v>28919.106970000001</v>
      </c>
      <c r="U909" t="s">
        <v>17</v>
      </c>
      <c r="V909" t="s">
        <v>18</v>
      </c>
      <c r="W909" t="s">
        <v>2118</v>
      </c>
      <c r="X909" t="s">
        <v>17</v>
      </c>
      <c r="Y909" s="23" t="s">
        <v>1289</v>
      </c>
      <c r="Z909">
        <v>0</v>
      </c>
      <c r="AA909" s="23">
        <v>-433786.60454999999</v>
      </c>
      <c r="AB909" t="str">
        <f>VLOOKUP(Table2[[#This Row],[product]],Ref[#All],6,FALSE)</f>
        <v>BAG25</v>
      </c>
    </row>
    <row r="910" spans="1:28" x14ac:dyDescent="0.25">
      <c r="A910" t="str">
        <f>TEXT(Table2[[#This Row],[dated]],"mmm")</f>
        <v>Jul</v>
      </c>
      <c r="B910" t="s">
        <v>158</v>
      </c>
      <c r="C910" s="1" t="s">
        <v>536</v>
      </c>
      <c r="D910" t="str">
        <f>VLOOKUP(Table2[[#This Row],[product]],Ref[#All],7,FALSE)</f>
        <v>Flour</v>
      </c>
      <c r="E910" s="1" t="s">
        <v>36</v>
      </c>
      <c r="F910" t="str">
        <f>VLOOKUP(Table2[[#This Row],[product]],Ref[#All],2,FALSE)</f>
        <v>Flour Import Elngm 25Kg</v>
      </c>
      <c r="G910" t="str">
        <f>VLOOKUP(Table2[[#This Row],[product]],Ref[#All],3,FALSE)</f>
        <v>Flour Al-Nagm (Imported)</v>
      </c>
      <c r="H910" t="str">
        <f>VLOOKUP(Table2[[#This Row],[product]],Ref[#All],4,FALSE)</f>
        <v>Import</v>
      </c>
      <c r="I910" s="1">
        <v>45846</v>
      </c>
      <c r="J910" t="s">
        <v>53</v>
      </c>
      <c r="K910" t="s">
        <v>2119</v>
      </c>
      <c r="L910" t="s">
        <v>1651</v>
      </c>
      <c r="M910" t="s">
        <v>1586</v>
      </c>
      <c r="N910" t="s">
        <v>784</v>
      </c>
      <c r="O910" t="s">
        <v>785</v>
      </c>
      <c r="P910" t="s">
        <v>788</v>
      </c>
      <c r="Q910" t="s">
        <v>55</v>
      </c>
      <c r="R910">
        <v>-2</v>
      </c>
      <c r="S910" s="15">
        <f>Table2[[#This Row],[movement_quantity]]/VLOOKUP(Table2[[#This Row],[product]],Ref[#All],5,FALSE)</f>
        <v>-0.05</v>
      </c>
      <c r="T910">
        <v>28919.106970000001</v>
      </c>
      <c r="U910" t="s">
        <v>17</v>
      </c>
      <c r="V910" t="s">
        <v>21</v>
      </c>
      <c r="W910" t="s">
        <v>2120</v>
      </c>
      <c r="X910" t="s">
        <v>17</v>
      </c>
      <c r="Y910" s="23" t="s">
        <v>1289</v>
      </c>
      <c r="Z910">
        <v>0</v>
      </c>
      <c r="AA910" s="23">
        <v>-57838.213940000001</v>
      </c>
      <c r="AB910" t="str">
        <f>VLOOKUP(Table2[[#This Row],[product]],Ref[#All],6,FALSE)</f>
        <v>BAG25</v>
      </c>
    </row>
    <row r="911" spans="1:28" x14ac:dyDescent="0.25">
      <c r="A911" t="str">
        <f>TEXT(Table2[[#This Row],[dated]],"mmm")</f>
        <v>Jul</v>
      </c>
      <c r="B911" t="s">
        <v>158</v>
      </c>
      <c r="C911" s="1" t="s">
        <v>536</v>
      </c>
      <c r="D911" t="str">
        <f>VLOOKUP(Table2[[#This Row],[product]],Ref[#All],7,FALSE)</f>
        <v>Flour</v>
      </c>
      <c r="E911" s="1" t="s">
        <v>36</v>
      </c>
      <c r="F911" t="str">
        <f>VLOOKUP(Table2[[#This Row],[product]],Ref[#All],2,FALSE)</f>
        <v>Flour Import Elngm 25Kg</v>
      </c>
      <c r="G911" t="str">
        <f>VLOOKUP(Table2[[#This Row],[product]],Ref[#All],3,FALSE)</f>
        <v>Flour Al-Nagm (Imported)</v>
      </c>
      <c r="H911" t="str">
        <f>VLOOKUP(Table2[[#This Row],[product]],Ref[#All],4,FALSE)</f>
        <v>Import</v>
      </c>
      <c r="I911" s="1">
        <v>45846</v>
      </c>
      <c r="J911" t="s">
        <v>53</v>
      </c>
      <c r="K911" t="s">
        <v>2121</v>
      </c>
      <c r="L911" t="s">
        <v>1651</v>
      </c>
      <c r="M911" t="s">
        <v>1586</v>
      </c>
      <c r="N911" t="s">
        <v>784</v>
      </c>
      <c r="O911" t="s">
        <v>785</v>
      </c>
      <c r="P911" t="s">
        <v>788</v>
      </c>
      <c r="Q911" t="s">
        <v>55</v>
      </c>
      <c r="R911">
        <v>-1</v>
      </c>
      <c r="S911" s="15">
        <f>Table2[[#This Row],[movement_quantity]]/VLOOKUP(Table2[[#This Row],[product]],Ref[#All],5,FALSE)</f>
        <v>-2.5000000000000001E-2</v>
      </c>
      <c r="T911">
        <v>28919.106970000001</v>
      </c>
      <c r="U911" t="s">
        <v>17</v>
      </c>
      <c r="V911" t="s">
        <v>22</v>
      </c>
      <c r="W911" t="s">
        <v>2122</v>
      </c>
      <c r="X911" t="s">
        <v>17</v>
      </c>
      <c r="Y911" s="23" t="s">
        <v>1289</v>
      </c>
      <c r="Z911">
        <v>0</v>
      </c>
      <c r="AA911" s="23">
        <v>-28919.106970000001</v>
      </c>
      <c r="AB911" t="str">
        <f>VLOOKUP(Table2[[#This Row],[product]],Ref[#All],6,FALSE)</f>
        <v>BAG25</v>
      </c>
    </row>
    <row r="912" spans="1:28" x14ac:dyDescent="0.25">
      <c r="A912" t="str">
        <f>TEXT(Table2[[#This Row],[dated]],"mmm")</f>
        <v>Jul</v>
      </c>
      <c r="B912" t="s">
        <v>158</v>
      </c>
      <c r="C912" s="1" t="s">
        <v>536</v>
      </c>
      <c r="D912" t="str">
        <f>VLOOKUP(Table2[[#This Row],[product]],Ref[#All],7,FALSE)</f>
        <v>Flour</v>
      </c>
      <c r="E912" s="1" t="s">
        <v>36</v>
      </c>
      <c r="F912" t="str">
        <f>VLOOKUP(Table2[[#This Row],[product]],Ref[#All],2,FALSE)</f>
        <v>Flour Import Elngm 25Kg</v>
      </c>
      <c r="G912" t="str">
        <f>VLOOKUP(Table2[[#This Row],[product]],Ref[#All],3,FALSE)</f>
        <v>Flour Al-Nagm (Imported)</v>
      </c>
      <c r="H912" t="str">
        <f>VLOOKUP(Table2[[#This Row],[product]],Ref[#All],4,FALSE)</f>
        <v>Import</v>
      </c>
      <c r="I912" s="1">
        <v>45846</v>
      </c>
      <c r="J912" t="s">
        <v>53</v>
      </c>
      <c r="K912" t="s">
        <v>2123</v>
      </c>
      <c r="L912" t="s">
        <v>1651</v>
      </c>
      <c r="M912" t="s">
        <v>1586</v>
      </c>
      <c r="N912" t="s">
        <v>784</v>
      </c>
      <c r="O912" t="s">
        <v>785</v>
      </c>
      <c r="P912" t="s">
        <v>788</v>
      </c>
      <c r="Q912" t="s">
        <v>55</v>
      </c>
      <c r="R912">
        <v>-1</v>
      </c>
      <c r="S912" s="15">
        <f>Table2[[#This Row],[movement_quantity]]/VLOOKUP(Table2[[#This Row],[product]],Ref[#All],5,FALSE)</f>
        <v>-2.5000000000000001E-2</v>
      </c>
      <c r="T912">
        <v>28919.106970000001</v>
      </c>
      <c r="U912" t="s">
        <v>17</v>
      </c>
      <c r="V912" t="s">
        <v>23</v>
      </c>
      <c r="W912" t="s">
        <v>2124</v>
      </c>
      <c r="X912" t="s">
        <v>17</v>
      </c>
      <c r="Y912" s="23" t="s">
        <v>1289</v>
      </c>
      <c r="Z912">
        <v>0</v>
      </c>
      <c r="AA912" s="23">
        <v>-28919.106970000001</v>
      </c>
      <c r="AB912" t="str">
        <f>VLOOKUP(Table2[[#This Row],[product]],Ref[#All],6,FALSE)</f>
        <v>BAG25</v>
      </c>
    </row>
    <row r="913" spans="1:28" x14ac:dyDescent="0.25">
      <c r="A913" t="str">
        <f>TEXT(Table2[[#This Row],[dated]],"mmm")</f>
        <v>Jul</v>
      </c>
      <c r="B913" t="s">
        <v>158</v>
      </c>
      <c r="C913" s="1" t="s">
        <v>536</v>
      </c>
      <c r="D913" t="str">
        <f>VLOOKUP(Table2[[#This Row],[product]],Ref[#All],7,FALSE)</f>
        <v>Flour</v>
      </c>
      <c r="E913" s="1" t="s">
        <v>36</v>
      </c>
      <c r="F913" t="str">
        <f>VLOOKUP(Table2[[#This Row],[product]],Ref[#All],2,FALSE)</f>
        <v>Flour Import Elngm 25Kg</v>
      </c>
      <c r="G913" t="str">
        <f>VLOOKUP(Table2[[#This Row],[product]],Ref[#All],3,FALSE)</f>
        <v>Flour Al-Nagm (Imported)</v>
      </c>
      <c r="H913" t="str">
        <f>VLOOKUP(Table2[[#This Row],[product]],Ref[#All],4,FALSE)</f>
        <v>Import</v>
      </c>
      <c r="I913" s="1">
        <v>45846</v>
      </c>
      <c r="J913" t="s">
        <v>53</v>
      </c>
      <c r="K913" t="s">
        <v>2125</v>
      </c>
      <c r="L913" t="s">
        <v>1651</v>
      </c>
      <c r="M913" t="s">
        <v>1586</v>
      </c>
      <c r="N913" t="s">
        <v>784</v>
      </c>
      <c r="O913" t="s">
        <v>785</v>
      </c>
      <c r="P913" t="s">
        <v>788</v>
      </c>
      <c r="Q913" t="s">
        <v>55</v>
      </c>
      <c r="R913">
        <v>-5</v>
      </c>
      <c r="S913" s="15">
        <f>Table2[[#This Row],[movement_quantity]]/VLOOKUP(Table2[[#This Row],[product]],Ref[#All],5,FALSE)</f>
        <v>-0.125</v>
      </c>
      <c r="T913">
        <v>28919.106970000001</v>
      </c>
      <c r="U913" t="s">
        <v>17</v>
      </c>
      <c r="V913" t="s">
        <v>24</v>
      </c>
      <c r="W913" t="s">
        <v>2126</v>
      </c>
      <c r="X913" t="s">
        <v>17</v>
      </c>
      <c r="Y913" s="23" t="s">
        <v>1289</v>
      </c>
      <c r="Z913">
        <v>0</v>
      </c>
      <c r="AA913" s="23">
        <v>-144595.53485</v>
      </c>
      <c r="AB913" t="str">
        <f>VLOOKUP(Table2[[#This Row],[product]],Ref[#All],6,FALSE)</f>
        <v>BAG25</v>
      </c>
    </row>
    <row r="914" spans="1:28" x14ac:dyDescent="0.25">
      <c r="A914" t="str">
        <f>TEXT(Table2[[#This Row],[dated]],"mmm")</f>
        <v>Jul</v>
      </c>
      <c r="B914" t="s">
        <v>158</v>
      </c>
      <c r="C914" s="1" t="s">
        <v>536</v>
      </c>
      <c r="D914" t="str">
        <f>VLOOKUP(Table2[[#This Row],[product]],Ref[#All],7,FALSE)</f>
        <v>Flour</v>
      </c>
      <c r="E914" s="1" t="s">
        <v>36</v>
      </c>
      <c r="F914" t="str">
        <f>VLOOKUP(Table2[[#This Row],[product]],Ref[#All],2,FALSE)</f>
        <v>Flour Import Elngm 25Kg</v>
      </c>
      <c r="G914" t="str">
        <f>VLOOKUP(Table2[[#This Row],[product]],Ref[#All],3,FALSE)</f>
        <v>Flour Al-Nagm (Imported)</v>
      </c>
      <c r="H914" t="str">
        <f>VLOOKUP(Table2[[#This Row],[product]],Ref[#All],4,FALSE)</f>
        <v>Import</v>
      </c>
      <c r="I914" s="1">
        <v>45846</v>
      </c>
      <c r="J914" t="s">
        <v>53</v>
      </c>
      <c r="K914" t="s">
        <v>2127</v>
      </c>
      <c r="L914" t="s">
        <v>1651</v>
      </c>
      <c r="M914" t="s">
        <v>1586</v>
      </c>
      <c r="N914" t="s">
        <v>784</v>
      </c>
      <c r="O914" t="s">
        <v>785</v>
      </c>
      <c r="P914" t="s">
        <v>788</v>
      </c>
      <c r="Q914" t="s">
        <v>55</v>
      </c>
      <c r="R914">
        <v>-1</v>
      </c>
      <c r="S914" s="15">
        <f>Table2[[#This Row],[movement_quantity]]/VLOOKUP(Table2[[#This Row],[product]],Ref[#All],5,FALSE)</f>
        <v>-2.5000000000000001E-2</v>
      </c>
      <c r="T914">
        <v>28919.106970000001</v>
      </c>
      <c r="U914" t="s">
        <v>17</v>
      </c>
      <c r="V914" t="s">
        <v>25</v>
      </c>
      <c r="W914" t="s">
        <v>2128</v>
      </c>
      <c r="X914" t="s">
        <v>17</v>
      </c>
      <c r="Y914" s="23" t="s">
        <v>1289</v>
      </c>
      <c r="Z914">
        <v>0</v>
      </c>
      <c r="AA914" s="23">
        <v>-28919.106970000001</v>
      </c>
      <c r="AB914" t="str">
        <f>VLOOKUP(Table2[[#This Row],[product]],Ref[#All],6,FALSE)</f>
        <v>BAG25</v>
      </c>
    </row>
    <row r="915" spans="1:28" x14ac:dyDescent="0.25">
      <c r="A915" t="str">
        <f>TEXT(Table2[[#This Row],[dated]],"mmm")</f>
        <v>Jul</v>
      </c>
      <c r="B915" t="s">
        <v>158</v>
      </c>
      <c r="C915" s="1" t="s">
        <v>536</v>
      </c>
      <c r="D915" t="str">
        <f>VLOOKUP(Table2[[#This Row],[product]],Ref[#All],7,FALSE)</f>
        <v>Flour</v>
      </c>
      <c r="E915" s="1" t="s">
        <v>36</v>
      </c>
      <c r="F915" t="str">
        <f>VLOOKUP(Table2[[#This Row],[product]],Ref[#All],2,FALSE)</f>
        <v>Flour Import Elngm 25Kg</v>
      </c>
      <c r="G915" t="str">
        <f>VLOOKUP(Table2[[#This Row],[product]],Ref[#All],3,FALSE)</f>
        <v>Flour Al-Nagm (Imported)</v>
      </c>
      <c r="H915" t="str">
        <f>VLOOKUP(Table2[[#This Row],[product]],Ref[#All],4,FALSE)</f>
        <v>Import</v>
      </c>
      <c r="I915" s="1">
        <v>45846</v>
      </c>
      <c r="J915" t="s">
        <v>53</v>
      </c>
      <c r="K915" t="s">
        <v>2129</v>
      </c>
      <c r="L915" t="s">
        <v>1651</v>
      </c>
      <c r="M915" t="s">
        <v>1586</v>
      </c>
      <c r="N915" t="s">
        <v>784</v>
      </c>
      <c r="O915" t="s">
        <v>785</v>
      </c>
      <c r="P915" t="s">
        <v>788</v>
      </c>
      <c r="Q915" t="s">
        <v>55</v>
      </c>
      <c r="R915">
        <v>-1</v>
      </c>
      <c r="S915" s="15">
        <f>Table2[[#This Row],[movement_quantity]]/VLOOKUP(Table2[[#This Row],[product]],Ref[#All],5,FALSE)</f>
        <v>-2.5000000000000001E-2</v>
      </c>
      <c r="T915">
        <v>28919.106970000001</v>
      </c>
      <c r="U915" t="s">
        <v>17</v>
      </c>
      <c r="V915" t="s">
        <v>26</v>
      </c>
      <c r="W915" t="s">
        <v>2130</v>
      </c>
      <c r="X915" t="s">
        <v>17</v>
      </c>
      <c r="Y915" s="23" t="s">
        <v>1289</v>
      </c>
      <c r="Z915">
        <v>0</v>
      </c>
      <c r="AA915" s="23">
        <v>-28919.106970000001</v>
      </c>
      <c r="AB915" t="str">
        <f>VLOOKUP(Table2[[#This Row],[product]],Ref[#All],6,FALSE)</f>
        <v>BAG25</v>
      </c>
    </row>
    <row r="916" spans="1:28" x14ac:dyDescent="0.25">
      <c r="A916" t="str">
        <f>TEXT(Table2[[#This Row],[dated]],"mmm")</f>
        <v>Jul</v>
      </c>
      <c r="B916" t="s">
        <v>158</v>
      </c>
      <c r="C916" s="1" t="s">
        <v>536</v>
      </c>
      <c r="D916" t="str">
        <f>VLOOKUP(Table2[[#This Row],[product]],Ref[#All],7,FALSE)</f>
        <v>Flour</v>
      </c>
      <c r="E916" s="1" t="s">
        <v>36</v>
      </c>
      <c r="F916" t="str">
        <f>VLOOKUP(Table2[[#This Row],[product]],Ref[#All],2,FALSE)</f>
        <v>Flour Import Elngm 25Kg</v>
      </c>
      <c r="G916" t="str">
        <f>VLOOKUP(Table2[[#This Row],[product]],Ref[#All],3,FALSE)</f>
        <v>Flour Al-Nagm (Imported)</v>
      </c>
      <c r="H916" t="str">
        <f>VLOOKUP(Table2[[#This Row],[product]],Ref[#All],4,FALSE)</f>
        <v>Import</v>
      </c>
      <c r="I916" s="1">
        <v>45846</v>
      </c>
      <c r="J916" t="s">
        <v>53</v>
      </c>
      <c r="K916" t="s">
        <v>2131</v>
      </c>
      <c r="L916" t="s">
        <v>1651</v>
      </c>
      <c r="M916" t="s">
        <v>1586</v>
      </c>
      <c r="N916" t="s">
        <v>784</v>
      </c>
      <c r="O916" t="s">
        <v>785</v>
      </c>
      <c r="P916" t="s">
        <v>788</v>
      </c>
      <c r="Q916" t="s">
        <v>55</v>
      </c>
      <c r="R916">
        <v>-2</v>
      </c>
      <c r="S916" s="15">
        <f>Table2[[#This Row],[movement_quantity]]/VLOOKUP(Table2[[#This Row],[product]],Ref[#All],5,FALSE)</f>
        <v>-0.05</v>
      </c>
      <c r="T916">
        <v>28919.106970000001</v>
      </c>
      <c r="U916" t="s">
        <v>17</v>
      </c>
      <c r="V916" t="s">
        <v>27</v>
      </c>
      <c r="W916" t="s">
        <v>2132</v>
      </c>
      <c r="X916" t="s">
        <v>17</v>
      </c>
      <c r="Y916" s="23" t="s">
        <v>1289</v>
      </c>
      <c r="Z916">
        <v>0</v>
      </c>
      <c r="AA916" s="23">
        <v>-57838.213940000001</v>
      </c>
      <c r="AB916" t="str">
        <f>VLOOKUP(Table2[[#This Row],[product]],Ref[#All],6,FALSE)</f>
        <v>BAG25</v>
      </c>
    </row>
    <row r="917" spans="1:28" x14ac:dyDescent="0.25">
      <c r="A917" t="str">
        <f>TEXT(Table2[[#This Row],[dated]],"mmm")</f>
        <v>Jul</v>
      </c>
      <c r="B917" t="s">
        <v>158</v>
      </c>
      <c r="C917" s="1" t="s">
        <v>536</v>
      </c>
      <c r="D917" t="str">
        <f>VLOOKUP(Table2[[#This Row],[product]],Ref[#All],7,FALSE)</f>
        <v>Flour</v>
      </c>
      <c r="E917" s="1" t="s">
        <v>36</v>
      </c>
      <c r="F917" t="str">
        <f>VLOOKUP(Table2[[#This Row],[product]],Ref[#All],2,FALSE)</f>
        <v>Flour Import Elngm 25Kg</v>
      </c>
      <c r="G917" t="str">
        <f>VLOOKUP(Table2[[#This Row],[product]],Ref[#All],3,FALSE)</f>
        <v>Flour Al-Nagm (Imported)</v>
      </c>
      <c r="H917" t="str">
        <f>VLOOKUP(Table2[[#This Row],[product]],Ref[#All],4,FALSE)</f>
        <v>Import</v>
      </c>
      <c r="I917" s="1">
        <v>45846</v>
      </c>
      <c r="J917" t="s">
        <v>53</v>
      </c>
      <c r="K917" t="s">
        <v>2133</v>
      </c>
      <c r="L917" t="s">
        <v>1651</v>
      </c>
      <c r="M917" t="s">
        <v>1586</v>
      </c>
      <c r="N917" t="s">
        <v>784</v>
      </c>
      <c r="O917" t="s">
        <v>785</v>
      </c>
      <c r="P917" t="s">
        <v>788</v>
      </c>
      <c r="Q917" t="s">
        <v>55</v>
      </c>
      <c r="R917">
        <v>-1</v>
      </c>
      <c r="S917" s="15">
        <f>Table2[[#This Row],[movement_quantity]]/VLOOKUP(Table2[[#This Row],[product]],Ref[#All],5,FALSE)</f>
        <v>-2.5000000000000001E-2</v>
      </c>
      <c r="T917">
        <v>28919.106970000001</v>
      </c>
      <c r="U917" t="s">
        <v>17</v>
      </c>
      <c r="V917" t="s">
        <v>28</v>
      </c>
      <c r="W917" t="s">
        <v>2134</v>
      </c>
      <c r="X917" t="s">
        <v>17</v>
      </c>
      <c r="Y917" s="23" t="s">
        <v>1289</v>
      </c>
      <c r="Z917">
        <v>0</v>
      </c>
      <c r="AA917" s="23">
        <v>-28919.106970000001</v>
      </c>
      <c r="AB917" t="str">
        <f>VLOOKUP(Table2[[#This Row],[product]],Ref[#All],6,FALSE)</f>
        <v>BAG25</v>
      </c>
    </row>
    <row r="918" spans="1:28" x14ac:dyDescent="0.25">
      <c r="A918" t="str">
        <f>TEXT(Table2[[#This Row],[dated]],"mmm")</f>
        <v>Aug</v>
      </c>
      <c r="B918" s="28" t="s">
        <v>596</v>
      </c>
      <c r="C918" s="1" t="s">
        <v>536</v>
      </c>
      <c r="D918" t="str">
        <f>VLOOKUP(Table2[[#This Row],[product]],Ref[#All],7,FALSE)</f>
        <v>Flour</v>
      </c>
      <c r="E918" s="28" t="s">
        <v>36</v>
      </c>
      <c r="F918" t="str">
        <f>VLOOKUP(Table2[[#This Row],[product]],Ref[#All],2,FALSE)</f>
        <v>Flour Import Elngm 25Kg</v>
      </c>
      <c r="G918" t="str">
        <f>VLOOKUP(Table2[[#This Row],[product]],Ref[#All],3,FALSE)</f>
        <v>Flour Al-Nagm (Imported)</v>
      </c>
      <c r="H918" t="str">
        <f>VLOOKUP(Table2[[#This Row],[product]],Ref[#All],4,FALSE)</f>
        <v>Import</v>
      </c>
      <c r="I918" s="1">
        <v>45872</v>
      </c>
      <c r="J918" t="s">
        <v>53</v>
      </c>
      <c r="K918" t="s">
        <v>2306</v>
      </c>
      <c r="L918" t="s">
        <v>1651</v>
      </c>
      <c r="M918" t="s">
        <v>1586</v>
      </c>
      <c r="N918" t="s">
        <v>784</v>
      </c>
      <c r="O918" t="s">
        <v>785</v>
      </c>
      <c r="P918" t="s">
        <v>788</v>
      </c>
      <c r="Q918" t="s">
        <v>2213</v>
      </c>
      <c r="R918">
        <v>-400</v>
      </c>
      <c r="S918" s="15">
        <f>Table2[[#This Row],[movement_quantity]]/VLOOKUP(Table2[[#This Row],[product]],Ref[#All],5,FALSE)</f>
        <v>-10</v>
      </c>
      <c r="T918">
        <v>37596.649819999999</v>
      </c>
      <c r="U918" t="s">
        <v>17</v>
      </c>
      <c r="V918" t="s">
        <v>18</v>
      </c>
      <c r="W918" t="s">
        <v>2407</v>
      </c>
      <c r="X918" t="s">
        <v>17</v>
      </c>
      <c r="Y918" s="2" t="s">
        <v>2273</v>
      </c>
      <c r="Z918">
        <v>0</v>
      </c>
      <c r="AA918" s="2">
        <v>-15038659.927999999</v>
      </c>
      <c r="AB918" t="str">
        <f>VLOOKUP(Table2[[#This Row],[product]],Ref[#All],6,FALSE)</f>
        <v>BAG25</v>
      </c>
    </row>
    <row r="919" spans="1:28" x14ac:dyDescent="0.25">
      <c r="A919" t="str">
        <f>TEXT(Table2[[#This Row],[dated]],"mmm")</f>
        <v>Aug</v>
      </c>
      <c r="B919" s="28" t="s">
        <v>596</v>
      </c>
      <c r="C919" s="1" t="s">
        <v>536</v>
      </c>
      <c r="D919" t="str">
        <f>VLOOKUP(Table2[[#This Row],[product]],Ref[#All],7,FALSE)</f>
        <v>Flour</v>
      </c>
      <c r="E919" s="28" t="s">
        <v>36</v>
      </c>
      <c r="F919" t="str">
        <f>VLOOKUP(Table2[[#This Row],[product]],Ref[#All],2,FALSE)</f>
        <v>Flour Import Elngm 25Kg</v>
      </c>
      <c r="G919" t="str">
        <f>VLOOKUP(Table2[[#This Row],[product]],Ref[#All],3,FALSE)</f>
        <v>Flour Al-Nagm (Imported)</v>
      </c>
      <c r="H919" t="str">
        <f>VLOOKUP(Table2[[#This Row],[product]],Ref[#All],4,FALSE)</f>
        <v>Import</v>
      </c>
      <c r="I919" s="1">
        <v>45872</v>
      </c>
      <c r="J919" t="s">
        <v>53</v>
      </c>
      <c r="K919" t="s">
        <v>2306</v>
      </c>
      <c r="L919" t="s">
        <v>1651</v>
      </c>
      <c r="M919" t="s">
        <v>1586</v>
      </c>
      <c r="N919" t="s">
        <v>784</v>
      </c>
      <c r="O919" t="s">
        <v>785</v>
      </c>
      <c r="P919" t="s">
        <v>788</v>
      </c>
      <c r="Q919" t="s">
        <v>2213</v>
      </c>
      <c r="R919">
        <v>-61</v>
      </c>
      <c r="S919" s="15">
        <f>Table2[[#This Row],[movement_quantity]]/VLOOKUP(Table2[[#This Row],[product]],Ref[#All],5,FALSE)</f>
        <v>-1.5249999999999999</v>
      </c>
      <c r="T919">
        <v>37596.649819999999</v>
      </c>
      <c r="U919" t="s">
        <v>17</v>
      </c>
      <c r="V919" t="s">
        <v>21</v>
      </c>
      <c r="W919" t="s">
        <v>2407</v>
      </c>
      <c r="X919" t="s">
        <v>17</v>
      </c>
      <c r="Y919" s="2" t="s">
        <v>2408</v>
      </c>
      <c r="Z919">
        <v>0</v>
      </c>
      <c r="AA919" s="2">
        <v>-2293395.6390200001</v>
      </c>
      <c r="AB919" t="str">
        <f>VLOOKUP(Table2[[#This Row],[product]],Ref[#All],6,FALSE)</f>
        <v>BAG25</v>
      </c>
    </row>
    <row r="920" spans="1:28" x14ac:dyDescent="0.25">
      <c r="A920" t="str">
        <f>TEXT(Table2[[#This Row],[dated]],"mmm")</f>
        <v>Aug</v>
      </c>
      <c r="B920" s="28" t="s">
        <v>46</v>
      </c>
      <c r="C920" s="1" t="s">
        <v>536</v>
      </c>
      <c r="D920" t="str">
        <f>VLOOKUP(Table2[[#This Row],[product]],Ref[#All],7,FALSE)</f>
        <v>Sugar</v>
      </c>
      <c r="E920" s="28" t="s">
        <v>72</v>
      </c>
      <c r="F920" t="str">
        <f>VLOOKUP(Table2[[#This Row],[product]],Ref[#All],2,FALSE)</f>
        <v>White Sugar</v>
      </c>
      <c r="G920" t="str">
        <f>VLOOKUP(Table2[[#This Row],[product]],Ref[#All],3,FALSE)</f>
        <v>White Sugar</v>
      </c>
      <c r="H920" t="str">
        <f>VLOOKUP(Table2[[#This Row],[product]],Ref[#All],4,FALSE)</f>
        <v>Import</v>
      </c>
      <c r="I920" s="1">
        <v>45873</v>
      </c>
      <c r="J920" t="s">
        <v>53</v>
      </c>
      <c r="K920" t="s">
        <v>2308</v>
      </c>
      <c r="L920" t="s">
        <v>1651</v>
      </c>
      <c r="M920" t="s">
        <v>1586</v>
      </c>
      <c r="N920" t="s">
        <v>784</v>
      </c>
      <c r="O920" t="s">
        <v>785</v>
      </c>
      <c r="P920" t="s">
        <v>788</v>
      </c>
      <c r="Q920" t="s">
        <v>2213</v>
      </c>
      <c r="R920">
        <v>-2</v>
      </c>
      <c r="S920" s="15">
        <f>Table2[[#This Row],[movement_quantity]]/VLOOKUP(Table2[[#This Row],[product]],Ref[#All],5,FALSE)</f>
        <v>-0.1</v>
      </c>
      <c r="T920">
        <v>101786.86455</v>
      </c>
      <c r="U920" t="s">
        <v>17</v>
      </c>
      <c r="V920" t="s">
        <v>18</v>
      </c>
      <c r="W920" t="s">
        <v>2412</v>
      </c>
      <c r="X920" t="s">
        <v>17</v>
      </c>
      <c r="Y920" s="2" t="s">
        <v>2053</v>
      </c>
      <c r="Z920">
        <v>0</v>
      </c>
      <c r="AA920" s="2">
        <v>-203573.7291</v>
      </c>
      <c r="AB920" t="str">
        <f>VLOOKUP(Table2[[#This Row],[product]],Ref[#All],6,FALSE)</f>
        <v>BAG50</v>
      </c>
    </row>
    <row r="921" spans="1:28" x14ac:dyDescent="0.25">
      <c r="A921" t="str">
        <f>TEXT(Table2[[#This Row],[dated]],"mmm")</f>
        <v>Aug</v>
      </c>
      <c r="B921" s="28" t="s">
        <v>30</v>
      </c>
      <c r="C921" s="1" t="s">
        <v>536</v>
      </c>
      <c r="D921" t="str">
        <f>VLOOKUP(Table2[[#This Row],[product]],Ref[#All],7,FALSE)</f>
        <v>Flour</v>
      </c>
      <c r="E921" s="28" t="s">
        <v>42</v>
      </c>
      <c r="F921" t="str">
        <f>VLOOKUP(Table2[[#This Row],[product]],Ref[#All],2,FALSE)</f>
        <v>Alnajm Flour from Mill 25KG</v>
      </c>
      <c r="G921" t="str">
        <f>VLOOKUP(Table2[[#This Row],[product]],Ref[#All],3,FALSE)</f>
        <v>Flour Al-Nagm (Mill)</v>
      </c>
      <c r="H921" t="str">
        <f>VLOOKUP(Table2[[#This Row],[product]],Ref[#All],4,FALSE)</f>
        <v>Import</v>
      </c>
      <c r="I921" s="1">
        <v>45873</v>
      </c>
      <c r="J921" t="s">
        <v>53</v>
      </c>
      <c r="K921" t="s">
        <v>2309</v>
      </c>
      <c r="L921" t="s">
        <v>1651</v>
      </c>
      <c r="M921" t="s">
        <v>1586</v>
      </c>
      <c r="N921" t="s">
        <v>784</v>
      </c>
      <c r="O921" t="s">
        <v>785</v>
      </c>
      <c r="P921" t="s">
        <v>788</v>
      </c>
      <c r="Q921" t="s">
        <v>2213</v>
      </c>
      <c r="R921">
        <v>-42</v>
      </c>
      <c r="S921" s="15">
        <f>Table2[[#This Row],[movement_quantity]]/VLOOKUP(Table2[[#This Row],[product]],Ref[#All],5,FALSE)</f>
        <v>-1.05</v>
      </c>
      <c r="T921">
        <v>37596.649819999999</v>
      </c>
      <c r="U921" t="s">
        <v>17</v>
      </c>
      <c r="V921" t="s">
        <v>18</v>
      </c>
      <c r="W921" t="s">
        <v>2413</v>
      </c>
      <c r="X921" t="s">
        <v>17</v>
      </c>
      <c r="Y921" s="2" t="s">
        <v>2414</v>
      </c>
      <c r="Z921">
        <v>0</v>
      </c>
      <c r="AA921" s="2">
        <v>-1579059.29244</v>
      </c>
      <c r="AB921" t="str">
        <f>VLOOKUP(Table2[[#This Row],[product]],Ref[#All],6,FALSE)</f>
        <v>BAG25</v>
      </c>
    </row>
    <row r="922" spans="1:28" x14ac:dyDescent="0.25">
      <c r="A922" t="str">
        <f>TEXT(Table2[[#This Row],[dated]],"mmm")</f>
        <v>Aug</v>
      </c>
      <c r="B922" s="28" t="s">
        <v>596</v>
      </c>
      <c r="C922" s="1" t="s">
        <v>536</v>
      </c>
      <c r="D922" t="str">
        <f>VLOOKUP(Table2[[#This Row],[product]],Ref[#All],7,FALSE)</f>
        <v>Lentils</v>
      </c>
      <c r="E922" s="28" t="s">
        <v>39</v>
      </c>
      <c r="F922" t="str">
        <f>VLOOKUP(Table2[[#This Row],[product]],Ref[#All],2,FALSE)</f>
        <v>Lentil TAT 20KG</v>
      </c>
      <c r="G922" t="str">
        <f>VLOOKUP(Table2[[#This Row],[product]],Ref[#All],3,FALSE)</f>
        <v>Lentils</v>
      </c>
      <c r="H922" t="str">
        <f>VLOOKUP(Table2[[#This Row],[product]],Ref[#All],4,FALSE)</f>
        <v>Import</v>
      </c>
      <c r="I922" s="1">
        <v>45874</v>
      </c>
      <c r="J922" t="s">
        <v>53</v>
      </c>
      <c r="K922" t="s">
        <v>2310</v>
      </c>
      <c r="L922" t="s">
        <v>1651</v>
      </c>
      <c r="M922" t="s">
        <v>1586</v>
      </c>
      <c r="N922" t="s">
        <v>784</v>
      </c>
      <c r="O922" t="s">
        <v>785</v>
      </c>
      <c r="P922" t="s">
        <v>788</v>
      </c>
      <c r="Q922" t="s">
        <v>2213</v>
      </c>
      <c r="R922">
        <v>-2</v>
      </c>
      <c r="S922" s="15">
        <f>Table2[[#This Row],[movement_quantity]]/VLOOKUP(Table2[[#This Row],[product]],Ref[#All],5,FALSE)</f>
        <v>-0.04</v>
      </c>
      <c r="T922">
        <v>53401.105539999997</v>
      </c>
      <c r="U922" t="s">
        <v>17</v>
      </c>
      <c r="V922" t="s">
        <v>18</v>
      </c>
      <c r="W922" t="s">
        <v>2415</v>
      </c>
      <c r="X922" t="s">
        <v>17</v>
      </c>
      <c r="Y922" s="2" t="s">
        <v>2027</v>
      </c>
      <c r="Z922">
        <v>0</v>
      </c>
      <c r="AA922" s="2">
        <v>-106802.21107999999</v>
      </c>
      <c r="AB922" t="str">
        <f>VLOOKUP(Table2[[#This Row],[product]],Ref[#All],6,FALSE)</f>
        <v>BAG20</v>
      </c>
    </row>
    <row r="923" spans="1:28" x14ac:dyDescent="0.25">
      <c r="A923" t="str">
        <f>TEXT(Table2[[#This Row],[dated]],"mmm")</f>
        <v>Aug</v>
      </c>
      <c r="B923" s="28" t="s">
        <v>596</v>
      </c>
      <c r="C923" s="1" t="s">
        <v>536</v>
      </c>
      <c r="D923" t="str">
        <f>VLOOKUP(Table2[[#This Row],[product]],Ref[#All],7,FALSE)</f>
        <v>Lentils</v>
      </c>
      <c r="E923" s="28" t="s">
        <v>39</v>
      </c>
      <c r="F923" t="str">
        <f>VLOOKUP(Table2[[#This Row],[product]],Ref[#All],2,FALSE)</f>
        <v>Lentil TAT 20KG</v>
      </c>
      <c r="G923" t="str">
        <f>VLOOKUP(Table2[[#This Row],[product]],Ref[#All],3,FALSE)</f>
        <v>Lentils</v>
      </c>
      <c r="H923" t="str">
        <f>VLOOKUP(Table2[[#This Row],[product]],Ref[#All],4,FALSE)</f>
        <v>Import</v>
      </c>
      <c r="I923" s="1">
        <v>45874</v>
      </c>
      <c r="J923" t="s">
        <v>53</v>
      </c>
      <c r="K923" t="s">
        <v>2311</v>
      </c>
      <c r="L923" t="s">
        <v>1651</v>
      </c>
      <c r="M923" t="s">
        <v>1586</v>
      </c>
      <c r="N923" t="s">
        <v>784</v>
      </c>
      <c r="O923" t="s">
        <v>785</v>
      </c>
      <c r="P923" t="s">
        <v>788</v>
      </c>
      <c r="Q923" t="s">
        <v>2213</v>
      </c>
      <c r="R923">
        <v>-1</v>
      </c>
      <c r="S923" s="15">
        <f>Table2[[#This Row],[movement_quantity]]/VLOOKUP(Table2[[#This Row],[product]],Ref[#All],5,FALSE)</f>
        <v>-0.02</v>
      </c>
      <c r="T923">
        <v>53401.105539999997</v>
      </c>
      <c r="U923" t="s">
        <v>17</v>
      </c>
      <c r="V923" t="s">
        <v>21</v>
      </c>
      <c r="W923" t="s">
        <v>2416</v>
      </c>
      <c r="X923" t="s">
        <v>17</v>
      </c>
      <c r="Y923" s="2" t="s">
        <v>2027</v>
      </c>
      <c r="Z923">
        <v>0</v>
      </c>
      <c r="AA923" s="2">
        <v>-53401.105539999997</v>
      </c>
      <c r="AB923" t="str">
        <f>VLOOKUP(Table2[[#This Row],[product]],Ref[#All],6,FALSE)</f>
        <v>BAG20</v>
      </c>
    </row>
    <row r="924" spans="1:28" x14ac:dyDescent="0.25">
      <c r="A924" t="str">
        <f>TEXT(Table2[[#This Row],[dated]],"mmm")</f>
        <v>Aug</v>
      </c>
      <c r="B924" s="28" t="s">
        <v>596</v>
      </c>
      <c r="C924" s="1" t="s">
        <v>536</v>
      </c>
      <c r="D924" t="str">
        <f>VLOOKUP(Table2[[#This Row],[product]],Ref[#All],7,FALSE)</f>
        <v>Lentils</v>
      </c>
      <c r="E924" s="28" t="s">
        <v>39</v>
      </c>
      <c r="F924" t="str">
        <f>VLOOKUP(Table2[[#This Row],[product]],Ref[#All],2,FALSE)</f>
        <v>Lentil TAT 20KG</v>
      </c>
      <c r="G924" t="str">
        <f>VLOOKUP(Table2[[#This Row],[product]],Ref[#All],3,FALSE)</f>
        <v>Lentils</v>
      </c>
      <c r="H924" t="str">
        <f>VLOOKUP(Table2[[#This Row],[product]],Ref[#All],4,FALSE)</f>
        <v>Import</v>
      </c>
      <c r="I924" s="1">
        <v>45874</v>
      </c>
      <c r="J924" t="s">
        <v>53</v>
      </c>
      <c r="K924" t="s">
        <v>2311</v>
      </c>
      <c r="L924" t="s">
        <v>1651</v>
      </c>
      <c r="M924" t="s">
        <v>1586</v>
      </c>
      <c r="N924" t="s">
        <v>784</v>
      </c>
      <c r="O924" t="s">
        <v>785</v>
      </c>
      <c r="P924" t="s">
        <v>788</v>
      </c>
      <c r="Q924" t="s">
        <v>2213</v>
      </c>
      <c r="R924">
        <v>-1</v>
      </c>
      <c r="S924" s="15">
        <f>Table2[[#This Row],[movement_quantity]]/VLOOKUP(Table2[[#This Row],[product]],Ref[#All],5,FALSE)</f>
        <v>-0.02</v>
      </c>
      <c r="T924">
        <v>53401.105539999997</v>
      </c>
      <c r="U924" t="s">
        <v>17</v>
      </c>
      <c r="V924" t="s">
        <v>22</v>
      </c>
      <c r="W924" t="s">
        <v>2416</v>
      </c>
      <c r="X924" t="s">
        <v>17</v>
      </c>
      <c r="Y924" s="2" t="s">
        <v>2417</v>
      </c>
      <c r="Z924">
        <v>0</v>
      </c>
      <c r="AA924" s="2">
        <v>-53401.105539999997</v>
      </c>
      <c r="AB924" t="str">
        <f>VLOOKUP(Table2[[#This Row],[product]],Ref[#All],6,FALSE)</f>
        <v>BAG20</v>
      </c>
    </row>
    <row r="925" spans="1:28" x14ac:dyDescent="0.25">
      <c r="A925" t="str">
        <f>TEXT(Table2[[#This Row],[dated]],"mmm")</f>
        <v>Aug</v>
      </c>
      <c r="B925" s="28" t="s">
        <v>596</v>
      </c>
      <c r="C925" s="1" t="s">
        <v>536</v>
      </c>
      <c r="D925" t="str">
        <f>VLOOKUP(Table2[[#This Row],[product]],Ref[#All],7,FALSE)</f>
        <v>Lentils</v>
      </c>
      <c r="E925" s="28" t="s">
        <v>39</v>
      </c>
      <c r="F925" t="str">
        <f>VLOOKUP(Table2[[#This Row],[product]],Ref[#All],2,FALSE)</f>
        <v>Lentil TAT 20KG</v>
      </c>
      <c r="G925" t="str">
        <f>VLOOKUP(Table2[[#This Row],[product]],Ref[#All],3,FALSE)</f>
        <v>Lentils</v>
      </c>
      <c r="H925" t="str">
        <f>VLOOKUP(Table2[[#This Row],[product]],Ref[#All],4,FALSE)</f>
        <v>Import</v>
      </c>
      <c r="I925" s="1">
        <v>45874</v>
      </c>
      <c r="J925" t="s">
        <v>53</v>
      </c>
      <c r="K925" t="s">
        <v>2312</v>
      </c>
      <c r="L925" t="s">
        <v>1651</v>
      </c>
      <c r="M925" t="s">
        <v>1586</v>
      </c>
      <c r="N925" t="s">
        <v>784</v>
      </c>
      <c r="O925" t="s">
        <v>785</v>
      </c>
      <c r="P925" t="s">
        <v>788</v>
      </c>
      <c r="Q925" t="s">
        <v>2213</v>
      </c>
      <c r="R925">
        <v>-67</v>
      </c>
      <c r="S925" s="15">
        <f>Table2[[#This Row],[movement_quantity]]/VLOOKUP(Table2[[#This Row],[product]],Ref[#All],5,FALSE)</f>
        <v>-1.34</v>
      </c>
      <c r="T925">
        <v>53401.105539999997</v>
      </c>
      <c r="U925" t="s">
        <v>17</v>
      </c>
      <c r="V925" t="s">
        <v>23</v>
      </c>
      <c r="W925" t="s">
        <v>2418</v>
      </c>
      <c r="X925" t="s">
        <v>17</v>
      </c>
      <c r="Y925" s="2" t="s">
        <v>2417</v>
      </c>
      <c r="Z925">
        <v>0</v>
      </c>
      <c r="AA925" s="2">
        <v>-3577874.07118</v>
      </c>
      <c r="AB925" t="str">
        <f>VLOOKUP(Table2[[#This Row],[product]],Ref[#All],6,FALSE)</f>
        <v>BAG20</v>
      </c>
    </row>
    <row r="926" spans="1:28" x14ac:dyDescent="0.25">
      <c r="A926" t="str">
        <f>TEXT(Table2[[#This Row],[dated]],"mmm")</f>
        <v>Aug</v>
      </c>
      <c r="B926" s="28" t="s">
        <v>596</v>
      </c>
      <c r="C926" s="1" t="s">
        <v>536</v>
      </c>
      <c r="D926" t="str">
        <f>VLOOKUP(Table2[[#This Row],[product]],Ref[#All],7,FALSE)</f>
        <v>Lentils</v>
      </c>
      <c r="E926" s="28" t="s">
        <v>39</v>
      </c>
      <c r="F926" t="str">
        <f>VLOOKUP(Table2[[#This Row],[product]],Ref[#All],2,FALSE)</f>
        <v>Lentil TAT 20KG</v>
      </c>
      <c r="G926" t="str">
        <f>VLOOKUP(Table2[[#This Row],[product]],Ref[#All],3,FALSE)</f>
        <v>Lentils</v>
      </c>
      <c r="H926" t="str">
        <f>VLOOKUP(Table2[[#This Row],[product]],Ref[#All],4,FALSE)</f>
        <v>Import</v>
      </c>
      <c r="I926" s="1">
        <v>45874</v>
      </c>
      <c r="J926" t="s">
        <v>53</v>
      </c>
      <c r="K926" t="s">
        <v>2313</v>
      </c>
      <c r="L926" t="s">
        <v>1651</v>
      </c>
      <c r="M926" t="s">
        <v>1586</v>
      </c>
      <c r="N926" t="s">
        <v>784</v>
      </c>
      <c r="O926" t="s">
        <v>785</v>
      </c>
      <c r="P926" t="s">
        <v>788</v>
      </c>
      <c r="Q926" t="s">
        <v>2213</v>
      </c>
      <c r="R926">
        <v>-3</v>
      </c>
      <c r="S926" s="15">
        <f>Table2[[#This Row],[movement_quantity]]/VLOOKUP(Table2[[#This Row],[product]],Ref[#All],5,FALSE)</f>
        <v>-0.06</v>
      </c>
      <c r="T926">
        <v>53401.105539999997</v>
      </c>
      <c r="U926" t="s">
        <v>17</v>
      </c>
      <c r="V926" t="s">
        <v>24</v>
      </c>
      <c r="W926" t="s">
        <v>2419</v>
      </c>
      <c r="X926" t="s">
        <v>17</v>
      </c>
      <c r="Y926" s="2" t="s">
        <v>2417</v>
      </c>
      <c r="Z926">
        <v>0</v>
      </c>
      <c r="AA926" s="2">
        <v>-160203.31662</v>
      </c>
      <c r="AB926" t="str">
        <f>VLOOKUP(Table2[[#This Row],[product]],Ref[#All],6,FALSE)</f>
        <v>BAG20</v>
      </c>
    </row>
    <row r="927" spans="1:28" x14ac:dyDescent="0.25">
      <c r="A927" t="str">
        <f>TEXT(Table2[[#This Row],[dated]],"mmm")</f>
        <v>Aug</v>
      </c>
      <c r="B927" s="28" t="s">
        <v>30</v>
      </c>
      <c r="C927" s="1" t="s">
        <v>536</v>
      </c>
      <c r="D927" t="str">
        <f>VLOOKUP(Table2[[#This Row],[product]],Ref[#All],7,FALSE)</f>
        <v>Flour</v>
      </c>
      <c r="E927" s="28" t="s">
        <v>42</v>
      </c>
      <c r="F927" t="str">
        <f>VLOOKUP(Table2[[#This Row],[product]],Ref[#All],2,FALSE)</f>
        <v>Alnajm Flour from Mill 25KG</v>
      </c>
      <c r="G927" t="str">
        <f>VLOOKUP(Table2[[#This Row],[product]],Ref[#All],3,FALSE)</f>
        <v>Flour Al-Nagm (Mill)</v>
      </c>
      <c r="H927" t="str">
        <f>VLOOKUP(Table2[[#This Row],[product]],Ref[#All],4,FALSE)</f>
        <v>Import</v>
      </c>
      <c r="I927" s="1">
        <v>45875</v>
      </c>
      <c r="J927" t="s">
        <v>53</v>
      </c>
      <c r="K927" t="s">
        <v>2314</v>
      </c>
      <c r="L927" t="s">
        <v>1651</v>
      </c>
      <c r="M927" t="s">
        <v>1586</v>
      </c>
      <c r="N927" t="s">
        <v>784</v>
      </c>
      <c r="O927" t="s">
        <v>785</v>
      </c>
      <c r="P927" t="s">
        <v>788</v>
      </c>
      <c r="Q927" t="s">
        <v>2213</v>
      </c>
      <c r="R927">
        <v>-108</v>
      </c>
      <c r="S927" s="15">
        <f>Table2[[#This Row],[movement_quantity]]/VLOOKUP(Table2[[#This Row],[product]],Ref[#All],5,FALSE)</f>
        <v>-2.7</v>
      </c>
      <c r="T927">
        <v>37596.649819999999</v>
      </c>
      <c r="U927" t="s">
        <v>17</v>
      </c>
      <c r="V927" t="s">
        <v>18</v>
      </c>
      <c r="W927" t="s">
        <v>2420</v>
      </c>
      <c r="X927" t="s">
        <v>17</v>
      </c>
      <c r="Y927" s="2" t="s">
        <v>2414</v>
      </c>
      <c r="Z927">
        <v>0</v>
      </c>
      <c r="AA927" s="2">
        <v>-4060438.1805599998</v>
      </c>
      <c r="AB927" t="str">
        <f>VLOOKUP(Table2[[#This Row],[product]],Ref[#All],6,FALSE)</f>
        <v>BAG25</v>
      </c>
    </row>
    <row r="928" spans="1:28" x14ac:dyDescent="0.25">
      <c r="A928" t="str">
        <f>TEXT(Table2[[#This Row],[dated]],"mmm")</f>
        <v>Aug</v>
      </c>
      <c r="B928" s="28" t="s">
        <v>596</v>
      </c>
      <c r="C928" s="1" t="s">
        <v>536</v>
      </c>
      <c r="D928" t="str">
        <f>VLOOKUP(Table2[[#This Row],[product]],Ref[#All],7,FALSE)</f>
        <v>Flour</v>
      </c>
      <c r="E928" s="28" t="s">
        <v>36</v>
      </c>
      <c r="F928" t="str">
        <f>VLOOKUP(Table2[[#This Row],[product]],Ref[#All],2,FALSE)</f>
        <v>Flour Import Elngm 25Kg</v>
      </c>
      <c r="G928" t="str">
        <f>VLOOKUP(Table2[[#This Row],[product]],Ref[#All],3,FALSE)</f>
        <v>Flour Al-Nagm (Imported)</v>
      </c>
      <c r="H928" t="str">
        <f>VLOOKUP(Table2[[#This Row],[product]],Ref[#All],4,FALSE)</f>
        <v>Import</v>
      </c>
      <c r="I928" s="1">
        <v>45880</v>
      </c>
      <c r="J928" t="s">
        <v>53</v>
      </c>
      <c r="K928" t="s">
        <v>2315</v>
      </c>
      <c r="L928" t="s">
        <v>1651</v>
      </c>
      <c r="M928" t="s">
        <v>1586</v>
      </c>
      <c r="N928" t="s">
        <v>784</v>
      </c>
      <c r="O928" t="s">
        <v>785</v>
      </c>
      <c r="P928" t="s">
        <v>788</v>
      </c>
      <c r="Q928" t="s">
        <v>55</v>
      </c>
      <c r="R928">
        <v>-2</v>
      </c>
      <c r="S928" s="15">
        <f>Table2[[#This Row],[movement_quantity]]/VLOOKUP(Table2[[#This Row],[product]],Ref[#All],5,FALSE)</f>
        <v>-0.05</v>
      </c>
      <c r="T928">
        <v>37596.649819999999</v>
      </c>
      <c r="U928" t="s">
        <v>17</v>
      </c>
      <c r="V928" t="s">
        <v>24</v>
      </c>
      <c r="W928" t="s">
        <v>2421</v>
      </c>
      <c r="X928" t="s">
        <v>17</v>
      </c>
      <c r="Y928" s="2" t="s">
        <v>2408</v>
      </c>
      <c r="Z928">
        <v>0</v>
      </c>
      <c r="AA928" s="2">
        <v>-75193.299639999997</v>
      </c>
      <c r="AB928" t="str">
        <f>VLOOKUP(Table2[[#This Row],[product]],Ref[#All],6,FALSE)</f>
        <v>BAG25</v>
      </c>
    </row>
    <row r="929" spans="1:28" x14ac:dyDescent="0.25">
      <c r="A929" t="str">
        <f>TEXT(Table2[[#This Row],[dated]],"mmm")</f>
        <v>Aug</v>
      </c>
      <c r="B929" s="28" t="s">
        <v>596</v>
      </c>
      <c r="C929" s="1" t="s">
        <v>536</v>
      </c>
      <c r="D929" t="str">
        <f>VLOOKUP(Table2[[#This Row],[product]],Ref[#All],7,FALSE)</f>
        <v>Flour</v>
      </c>
      <c r="E929" s="28" t="s">
        <v>36</v>
      </c>
      <c r="F929" t="str">
        <f>VLOOKUP(Table2[[#This Row],[product]],Ref[#All],2,FALSE)</f>
        <v>Flour Import Elngm 25Kg</v>
      </c>
      <c r="G929" t="str">
        <f>VLOOKUP(Table2[[#This Row],[product]],Ref[#All],3,FALSE)</f>
        <v>Flour Al-Nagm (Imported)</v>
      </c>
      <c r="H929" t="str">
        <f>VLOOKUP(Table2[[#This Row],[product]],Ref[#All],4,FALSE)</f>
        <v>Import</v>
      </c>
      <c r="I929" s="1">
        <v>45880</v>
      </c>
      <c r="J929" t="s">
        <v>53</v>
      </c>
      <c r="K929" t="s">
        <v>2315</v>
      </c>
      <c r="L929" t="s">
        <v>1651</v>
      </c>
      <c r="M929" t="s">
        <v>1586</v>
      </c>
      <c r="N929" t="s">
        <v>784</v>
      </c>
      <c r="O929" t="s">
        <v>785</v>
      </c>
      <c r="P929" t="s">
        <v>788</v>
      </c>
      <c r="Q929" t="s">
        <v>55</v>
      </c>
      <c r="R929">
        <v>-2</v>
      </c>
      <c r="S929" s="15">
        <f>Table2[[#This Row],[movement_quantity]]/VLOOKUP(Table2[[#This Row],[product]],Ref[#All],5,FALSE)</f>
        <v>-0.05</v>
      </c>
      <c r="T929">
        <v>37596.649819999999</v>
      </c>
      <c r="U929" t="s">
        <v>17</v>
      </c>
      <c r="V929" t="s">
        <v>25</v>
      </c>
      <c r="W929" t="s">
        <v>2421</v>
      </c>
      <c r="X929" t="s">
        <v>17</v>
      </c>
      <c r="Y929" s="2" t="s">
        <v>2422</v>
      </c>
      <c r="Z929">
        <v>0</v>
      </c>
      <c r="AA929" s="2">
        <v>-75193.299639999997</v>
      </c>
      <c r="AB929" t="str">
        <f>VLOOKUP(Table2[[#This Row],[product]],Ref[#All],6,FALSE)</f>
        <v>BAG25</v>
      </c>
    </row>
    <row r="930" spans="1:28" x14ac:dyDescent="0.25">
      <c r="A930" t="str">
        <f>TEXT(Table2[[#This Row],[dated]],"mmm")</f>
        <v>Aug</v>
      </c>
      <c r="B930" s="28" t="s">
        <v>596</v>
      </c>
      <c r="C930" s="1" t="s">
        <v>536</v>
      </c>
      <c r="D930" t="str">
        <f>VLOOKUP(Table2[[#This Row],[product]],Ref[#All],7,FALSE)</f>
        <v>Flour</v>
      </c>
      <c r="E930" s="28" t="s">
        <v>36</v>
      </c>
      <c r="F930" t="str">
        <f>VLOOKUP(Table2[[#This Row],[product]],Ref[#All],2,FALSE)</f>
        <v>Flour Import Elngm 25Kg</v>
      </c>
      <c r="G930" t="str">
        <f>VLOOKUP(Table2[[#This Row],[product]],Ref[#All],3,FALSE)</f>
        <v>Flour Al-Nagm (Imported)</v>
      </c>
      <c r="H930" t="str">
        <f>VLOOKUP(Table2[[#This Row],[product]],Ref[#All],4,FALSE)</f>
        <v>Import</v>
      </c>
      <c r="I930" s="1">
        <v>45880</v>
      </c>
      <c r="J930" t="s">
        <v>53</v>
      </c>
      <c r="K930" t="s">
        <v>2316</v>
      </c>
      <c r="L930" t="s">
        <v>1651</v>
      </c>
      <c r="M930" t="s">
        <v>1586</v>
      </c>
      <c r="N930" t="s">
        <v>784</v>
      </c>
      <c r="O930" t="s">
        <v>785</v>
      </c>
      <c r="P930" t="s">
        <v>788</v>
      </c>
      <c r="Q930" t="s">
        <v>55</v>
      </c>
      <c r="R930">
        <v>-1</v>
      </c>
      <c r="S930" s="15">
        <f>Table2[[#This Row],[movement_quantity]]/VLOOKUP(Table2[[#This Row],[product]],Ref[#All],5,FALSE)</f>
        <v>-2.5000000000000001E-2</v>
      </c>
      <c r="T930">
        <v>37596.649819999999</v>
      </c>
      <c r="U930" t="s">
        <v>17</v>
      </c>
      <c r="V930" t="s">
        <v>26</v>
      </c>
      <c r="W930" t="s">
        <v>2423</v>
      </c>
      <c r="X930" t="s">
        <v>17</v>
      </c>
      <c r="Y930" s="2" t="s">
        <v>2422</v>
      </c>
      <c r="Z930">
        <v>0</v>
      </c>
      <c r="AA930" s="2">
        <v>-37596.649819999999</v>
      </c>
      <c r="AB930" t="str">
        <f>VLOOKUP(Table2[[#This Row],[product]],Ref[#All],6,FALSE)</f>
        <v>BAG25</v>
      </c>
    </row>
    <row r="931" spans="1:28" x14ac:dyDescent="0.25">
      <c r="A931" t="str">
        <f>TEXT(Table2[[#This Row],[dated]],"mmm")</f>
        <v>Aug</v>
      </c>
      <c r="B931" s="28" t="s">
        <v>596</v>
      </c>
      <c r="C931" s="1" t="s">
        <v>536</v>
      </c>
      <c r="D931" t="str">
        <f>VLOOKUP(Table2[[#This Row],[product]],Ref[#All],7,FALSE)</f>
        <v>Flour</v>
      </c>
      <c r="E931" s="28" t="s">
        <v>36</v>
      </c>
      <c r="F931" t="str">
        <f>VLOOKUP(Table2[[#This Row],[product]],Ref[#All],2,FALSE)</f>
        <v>Flour Import Elngm 25Kg</v>
      </c>
      <c r="G931" t="str">
        <f>VLOOKUP(Table2[[#This Row],[product]],Ref[#All],3,FALSE)</f>
        <v>Flour Al-Nagm (Imported)</v>
      </c>
      <c r="H931" t="str">
        <f>VLOOKUP(Table2[[#This Row],[product]],Ref[#All],4,FALSE)</f>
        <v>Import</v>
      </c>
      <c r="I931" s="1">
        <v>45880</v>
      </c>
      <c r="J931" t="s">
        <v>53</v>
      </c>
      <c r="K931" t="s">
        <v>2317</v>
      </c>
      <c r="L931" t="s">
        <v>1651</v>
      </c>
      <c r="M931" t="s">
        <v>1586</v>
      </c>
      <c r="N931" t="s">
        <v>784</v>
      </c>
      <c r="O931" t="s">
        <v>785</v>
      </c>
      <c r="P931" t="s">
        <v>788</v>
      </c>
      <c r="Q931" t="s">
        <v>55</v>
      </c>
      <c r="R931">
        <v>-1</v>
      </c>
      <c r="S931" s="15">
        <f>Table2[[#This Row],[movement_quantity]]/VLOOKUP(Table2[[#This Row],[product]],Ref[#All],5,FALSE)</f>
        <v>-2.5000000000000001E-2</v>
      </c>
      <c r="T931">
        <v>37596.649819999999</v>
      </c>
      <c r="U931" t="s">
        <v>17</v>
      </c>
      <c r="V931" t="s">
        <v>27</v>
      </c>
      <c r="W931" t="s">
        <v>2424</v>
      </c>
      <c r="X931" t="s">
        <v>17</v>
      </c>
      <c r="Y931" s="2" t="s">
        <v>2422</v>
      </c>
      <c r="Z931">
        <v>0</v>
      </c>
      <c r="AA931" s="2">
        <v>-37596.649819999999</v>
      </c>
      <c r="AB931" t="str">
        <f>VLOOKUP(Table2[[#This Row],[product]],Ref[#All],6,FALSE)</f>
        <v>BAG25</v>
      </c>
    </row>
    <row r="932" spans="1:28" x14ac:dyDescent="0.25">
      <c r="A932" t="str">
        <f>TEXT(Table2[[#This Row],[dated]],"mmm")</f>
        <v>Aug</v>
      </c>
      <c r="B932" s="28" t="s">
        <v>596</v>
      </c>
      <c r="C932" s="1" t="s">
        <v>536</v>
      </c>
      <c r="D932" t="str">
        <f>VLOOKUP(Table2[[#This Row],[product]],Ref[#All],7,FALSE)</f>
        <v>Flour</v>
      </c>
      <c r="E932" s="28" t="s">
        <v>36</v>
      </c>
      <c r="F932" t="str">
        <f>VLOOKUP(Table2[[#This Row],[product]],Ref[#All],2,FALSE)</f>
        <v>Flour Import Elngm 25Kg</v>
      </c>
      <c r="G932" t="str">
        <f>VLOOKUP(Table2[[#This Row],[product]],Ref[#All],3,FALSE)</f>
        <v>Flour Al-Nagm (Imported)</v>
      </c>
      <c r="H932" t="str">
        <f>VLOOKUP(Table2[[#This Row],[product]],Ref[#All],4,FALSE)</f>
        <v>Import</v>
      </c>
      <c r="I932" s="1">
        <v>45880</v>
      </c>
      <c r="J932" t="s">
        <v>53</v>
      </c>
      <c r="K932" t="s">
        <v>2318</v>
      </c>
      <c r="L932" t="s">
        <v>1651</v>
      </c>
      <c r="M932" t="s">
        <v>1586</v>
      </c>
      <c r="N932" t="s">
        <v>784</v>
      </c>
      <c r="O932" t="s">
        <v>785</v>
      </c>
      <c r="P932" t="s">
        <v>788</v>
      </c>
      <c r="Q932" t="s">
        <v>55</v>
      </c>
      <c r="R932">
        <v>-1</v>
      </c>
      <c r="S932" s="15">
        <f>Table2[[#This Row],[movement_quantity]]/VLOOKUP(Table2[[#This Row],[product]],Ref[#All],5,FALSE)</f>
        <v>-2.5000000000000001E-2</v>
      </c>
      <c r="T932">
        <v>37596.649819999999</v>
      </c>
      <c r="U932" t="s">
        <v>17</v>
      </c>
      <c r="V932" t="s">
        <v>28</v>
      </c>
      <c r="W932" t="s">
        <v>2425</v>
      </c>
      <c r="X932" t="s">
        <v>17</v>
      </c>
      <c r="Y932" s="2" t="s">
        <v>2422</v>
      </c>
      <c r="Z932">
        <v>0</v>
      </c>
      <c r="AA932" s="2">
        <v>-37596.649819999999</v>
      </c>
      <c r="AB932" t="str">
        <f>VLOOKUP(Table2[[#This Row],[product]],Ref[#All],6,FALSE)</f>
        <v>BAG25</v>
      </c>
    </row>
    <row r="933" spans="1:28" x14ac:dyDescent="0.25">
      <c r="A933" t="str">
        <f>TEXT(Table2[[#This Row],[dated]],"mmm")</f>
        <v>Aug</v>
      </c>
      <c r="B933" s="28" t="s">
        <v>596</v>
      </c>
      <c r="C933" s="1" t="s">
        <v>536</v>
      </c>
      <c r="D933" t="str">
        <f>VLOOKUP(Table2[[#This Row],[product]],Ref[#All],7,FALSE)</f>
        <v>Flour</v>
      </c>
      <c r="E933" s="28" t="s">
        <v>36</v>
      </c>
      <c r="F933" t="str">
        <f>VLOOKUP(Table2[[#This Row],[product]],Ref[#All],2,FALSE)</f>
        <v>Flour Import Elngm 25Kg</v>
      </c>
      <c r="G933" t="str">
        <f>VLOOKUP(Table2[[#This Row],[product]],Ref[#All],3,FALSE)</f>
        <v>Flour Al-Nagm (Imported)</v>
      </c>
      <c r="H933" t="str">
        <f>VLOOKUP(Table2[[#This Row],[product]],Ref[#All],4,FALSE)</f>
        <v>Import</v>
      </c>
      <c r="I933" s="1">
        <v>45880</v>
      </c>
      <c r="J933" t="s">
        <v>53</v>
      </c>
      <c r="K933" t="s">
        <v>2327</v>
      </c>
      <c r="L933" t="s">
        <v>1651</v>
      </c>
      <c r="M933" t="s">
        <v>1586</v>
      </c>
      <c r="N933" t="s">
        <v>784</v>
      </c>
      <c r="O933" t="s">
        <v>785</v>
      </c>
      <c r="P933" t="s">
        <v>788</v>
      </c>
      <c r="Q933" t="s">
        <v>55</v>
      </c>
      <c r="R933">
        <v>-2</v>
      </c>
      <c r="S933" s="15">
        <f>Table2[[#This Row],[movement_quantity]]/VLOOKUP(Table2[[#This Row],[product]],Ref[#All],5,FALSE)</f>
        <v>-0.05</v>
      </c>
      <c r="T933">
        <v>37596.649819999999</v>
      </c>
      <c r="U933" t="s">
        <v>17</v>
      </c>
      <c r="V933" t="s">
        <v>18</v>
      </c>
      <c r="W933" t="s">
        <v>2436</v>
      </c>
      <c r="X933" t="s">
        <v>17</v>
      </c>
      <c r="Y933" s="2" t="s">
        <v>2408</v>
      </c>
      <c r="Z933">
        <v>0</v>
      </c>
      <c r="AA933" s="2">
        <v>-75193.299639999997</v>
      </c>
      <c r="AB933" t="str">
        <f>VLOOKUP(Table2[[#This Row],[product]],Ref[#All],6,FALSE)</f>
        <v>BAG25</v>
      </c>
    </row>
    <row r="934" spans="1:28" x14ac:dyDescent="0.25">
      <c r="A934" t="str">
        <f>TEXT(Table2[[#This Row],[dated]],"mmm")</f>
        <v>Aug</v>
      </c>
      <c r="B934" s="28" t="s">
        <v>596</v>
      </c>
      <c r="C934" s="1" t="s">
        <v>536</v>
      </c>
      <c r="D934" t="str">
        <f>VLOOKUP(Table2[[#This Row],[product]],Ref[#All],7,FALSE)</f>
        <v>Flour</v>
      </c>
      <c r="E934" s="28" t="s">
        <v>36</v>
      </c>
      <c r="F934" t="str">
        <f>VLOOKUP(Table2[[#This Row],[product]],Ref[#All],2,FALSE)</f>
        <v>Flour Import Elngm 25Kg</v>
      </c>
      <c r="G934" t="str">
        <f>VLOOKUP(Table2[[#This Row],[product]],Ref[#All],3,FALSE)</f>
        <v>Flour Al-Nagm (Imported)</v>
      </c>
      <c r="H934" t="str">
        <f>VLOOKUP(Table2[[#This Row],[product]],Ref[#All],4,FALSE)</f>
        <v>Import</v>
      </c>
      <c r="I934" s="1">
        <v>45880</v>
      </c>
      <c r="J934" t="s">
        <v>53</v>
      </c>
      <c r="K934" t="s">
        <v>2328</v>
      </c>
      <c r="L934" t="s">
        <v>1651</v>
      </c>
      <c r="M934" t="s">
        <v>1586</v>
      </c>
      <c r="N934" t="s">
        <v>784</v>
      </c>
      <c r="O934" t="s">
        <v>785</v>
      </c>
      <c r="P934" t="s">
        <v>788</v>
      </c>
      <c r="Q934" t="s">
        <v>55</v>
      </c>
      <c r="R934">
        <v>-8</v>
      </c>
      <c r="S934" s="15">
        <f>Table2[[#This Row],[movement_quantity]]/VLOOKUP(Table2[[#This Row],[product]],Ref[#All],5,FALSE)</f>
        <v>-0.2</v>
      </c>
      <c r="T934">
        <v>37596.649819999999</v>
      </c>
      <c r="U934" t="s">
        <v>17</v>
      </c>
      <c r="V934" t="s">
        <v>21</v>
      </c>
      <c r="W934" t="s">
        <v>2437</v>
      </c>
      <c r="X934" t="s">
        <v>17</v>
      </c>
      <c r="Y934" s="2" t="s">
        <v>2408</v>
      </c>
      <c r="Z934">
        <v>0</v>
      </c>
      <c r="AA934" s="2">
        <v>-300773.19855999999</v>
      </c>
      <c r="AB934" t="str">
        <f>VLOOKUP(Table2[[#This Row],[product]],Ref[#All],6,FALSE)</f>
        <v>BAG25</v>
      </c>
    </row>
    <row r="935" spans="1:28" x14ac:dyDescent="0.25">
      <c r="A935" t="str">
        <f>TEXT(Table2[[#This Row],[dated]],"mmm")</f>
        <v>Aug</v>
      </c>
      <c r="B935" s="28" t="s">
        <v>596</v>
      </c>
      <c r="C935" s="1" t="s">
        <v>536</v>
      </c>
      <c r="D935" t="str">
        <f>VLOOKUP(Table2[[#This Row],[product]],Ref[#All],7,FALSE)</f>
        <v>Flour</v>
      </c>
      <c r="E935" s="28" t="s">
        <v>36</v>
      </c>
      <c r="F935" t="str">
        <f>VLOOKUP(Table2[[#This Row],[product]],Ref[#All],2,FALSE)</f>
        <v>Flour Import Elngm 25Kg</v>
      </c>
      <c r="G935" t="str">
        <f>VLOOKUP(Table2[[#This Row],[product]],Ref[#All],3,FALSE)</f>
        <v>Flour Al-Nagm (Imported)</v>
      </c>
      <c r="H935" t="str">
        <f>VLOOKUP(Table2[[#This Row],[product]],Ref[#All],4,FALSE)</f>
        <v>Import</v>
      </c>
      <c r="I935" s="1">
        <v>45880</v>
      </c>
      <c r="J935" t="s">
        <v>53</v>
      </c>
      <c r="K935" t="s">
        <v>2329</v>
      </c>
      <c r="L935" t="s">
        <v>1651</v>
      </c>
      <c r="M935" t="s">
        <v>1586</v>
      </c>
      <c r="N935" t="s">
        <v>784</v>
      </c>
      <c r="O935" t="s">
        <v>785</v>
      </c>
      <c r="P935" t="s">
        <v>788</v>
      </c>
      <c r="Q935" t="s">
        <v>55</v>
      </c>
      <c r="R935">
        <v>-1</v>
      </c>
      <c r="S935" s="15">
        <f>Table2[[#This Row],[movement_quantity]]/VLOOKUP(Table2[[#This Row],[product]],Ref[#All],5,FALSE)</f>
        <v>-2.5000000000000001E-2</v>
      </c>
      <c r="T935">
        <v>37596.649819999999</v>
      </c>
      <c r="U935" t="s">
        <v>17</v>
      </c>
      <c r="V935" t="s">
        <v>22</v>
      </c>
      <c r="W935" t="s">
        <v>2438</v>
      </c>
      <c r="X935" t="s">
        <v>17</v>
      </c>
      <c r="Y935" s="2" t="s">
        <v>2408</v>
      </c>
      <c r="Z935">
        <v>0</v>
      </c>
      <c r="AA935" s="2">
        <v>-37596.649819999999</v>
      </c>
      <c r="AB935" t="str">
        <f>VLOOKUP(Table2[[#This Row],[product]],Ref[#All],6,FALSE)</f>
        <v>BAG25</v>
      </c>
    </row>
    <row r="936" spans="1:28" x14ac:dyDescent="0.25">
      <c r="A936" t="str">
        <f>TEXT(Table2[[#This Row],[dated]],"mmm")</f>
        <v>Aug</v>
      </c>
      <c r="B936" s="28" t="s">
        <v>52</v>
      </c>
      <c r="C936" s="1" t="s">
        <v>536</v>
      </c>
      <c r="D936" t="str">
        <f>VLOOKUP(Table2[[#This Row],[product]],Ref[#All],7,FALSE)</f>
        <v>Flour</v>
      </c>
      <c r="E936" s="28" t="s">
        <v>42</v>
      </c>
      <c r="F936" t="str">
        <f>VLOOKUP(Table2[[#This Row],[product]],Ref[#All],2,FALSE)</f>
        <v>Alnajm Flour from Mill 25KG</v>
      </c>
      <c r="G936" t="str">
        <f>VLOOKUP(Table2[[#This Row],[product]],Ref[#All],3,FALSE)</f>
        <v>Flour Al-Nagm (Mill)</v>
      </c>
      <c r="H936" t="str">
        <f>VLOOKUP(Table2[[#This Row],[product]],Ref[#All],4,FALSE)</f>
        <v>Import</v>
      </c>
      <c r="I936" s="1">
        <v>45890</v>
      </c>
      <c r="J936" t="s">
        <v>53</v>
      </c>
      <c r="K936" t="s">
        <v>2344</v>
      </c>
      <c r="L936" t="s">
        <v>1651</v>
      </c>
      <c r="M936" t="s">
        <v>1586</v>
      </c>
      <c r="N936" t="s">
        <v>784</v>
      </c>
      <c r="O936" t="s">
        <v>785</v>
      </c>
      <c r="P936" t="s">
        <v>788</v>
      </c>
      <c r="Q936" t="s">
        <v>55</v>
      </c>
      <c r="R936">
        <v>-2</v>
      </c>
      <c r="S936" s="15">
        <f>Table2[[#This Row],[movement_quantity]]/VLOOKUP(Table2[[#This Row],[product]],Ref[#All],5,FALSE)</f>
        <v>-0.05</v>
      </c>
      <c r="T936">
        <v>37596.649819999999</v>
      </c>
      <c r="U936" t="s">
        <v>17</v>
      </c>
      <c r="V936" t="s">
        <v>18</v>
      </c>
      <c r="W936" t="s">
        <v>2458</v>
      </c>
      <c r="X936" t="s">
        <v>17</v>
      </c>
      <c r="Y936" s="2" t="s">
        <v>2459</v>
      </c>
      <c r="Z936">
        <v>0</v>
      </c>
      <c r="AA936" s="2">
        <v>-75193.299639999997</v>
      </c>
      <c r="AB936" t="str">
        <f>VLOOKUP(Table2[[#This Row],[product]],Ref[#All],6,FALSE)</f>
        <v>BAG25</v>
      </c>
    </row>
    <row r="937" spans="1:28" x14ac:dyDescent="0.25">
      <c r="A937" t="str">
        <f>TEXT(Table2[[#This Row],[dated]],"mmm")</f>
        <v>Aug</v>
      </c>
      <c r="B937" s="28" t="s">
        <v>52</v>
      </c>
      <c r="C937" s="1" t="s">
        <v>536</v>
      </c>
      <c r="D937" t="str">
        <f>VLOOKUP(Table2[[#This Row],[product]],Ref[#All],7,FALSE)</f>
        <v>Flour</v>
      </c>
      <c r="E937" s="28" t="s">
        <v>42</v>
      </c>
      <c r="F937" t="str">
        <f>VLOOKUP(Table2[[#This Row],[product]],Ref[#All],2,FALSE)</f>
        <v>Alnajm Flour from Mill 25KG</v>
      </c>
      <c r="G937" t="str">
        <f>VLOOKUP(Table2[[#This Row],[product]],Ref[#All],3,FALSE)</f>
        <v>Flour Al-Nagm (Mill)</v>
      </c>
      <c r="H937" t="str">
        <f>VLOOKUP(Table2[[#This Row],[product]],Ref[#All],4,FALSE)</f>
        <v>Import</v>
      </c>
      <c r="I937" s="1">
        <v>45890</v>
      </c>
      <c r="J937" t="s">
        <v>53</v>
      </c>
      <c r="K937" t="s">
        <v>2345</v>
      </c>
      <c r="L937" t="s">
        <v>1651</v>
      </c>
      <c r="M937" t="s">
        <v>1586</v>
      </c>
      <c r="N937" t="s">
        <v>784</v>
      </c>
      <c r="O937" t="s">
        <v>785</v>
      </c>
      <c r="P937" t="s">
        <v>788</v>
      </c>
      <c r="Q937" t="s">
        <v>55</v>
      </c>
      <c r="R937">
        <v>-6</v>
      </c>
      <c r="S937" s="15">
        <f>Table2[[#This Row],[movement_quantity]]/VLOOKUP(Table2[[#This Row],[product]],Ref[#All],5,FALSE)</f>
        <v>-0.15</v>
      </c>
      <c r="T937">
        <v>37596.649819999999</v>
      </c>
      <c r="U937" t="s">
        <v>17</v>
      </c>
      <c r="V937" t="s">
        <v>21</v>
      </c>
      <c r="W937" t="s">
        <v>2460</v>
      </c>
      <c r="X937" t="s">
        <v>17</v>
      </c>
      <c r="Y937" s="2" t="s">
        <v>2459</v>
      </c>
      <c r="Z937">
        <v>0</v>
      </c>
      <c r="AA937" s="2">
        <v>-225579.89892000001</v>
      </c>
      <c r="AB937" t="str">
        <f>VLOOKUP(Table2[[#This Row],[product]],Ref[#All],6,FALSE)</f>
        <v>BAG25</v>
      </c>
    </row>
    <row r="938" spans="1:28" x14ac:dyDescent="0.25">
      <c r="A938" t="str">
        <f>TEXT(Table2[[#This Row],[dated]],"mmm")</f>
        <v>Aug</v>
      </c>
      <c r="B938" s="28" t="s">
        <v>52</v>
      </c>
      <c r="C938" s="1" t="s">
        <v>536</v>
      </c>
      <c r="D938" t="str">
        <f>VLOOKUP(Table2[[#This Row],[product]],Ref[#All],7,FALSE)</f>
        <v>Flour</v>
      </c>
      <c r="E938" s="28" t="s">
        <v>42</v>
      </c>
      <c r="F938" t="str">
        <f>VLOOKUP(Table2[[#This Row],[product]],Ref[#All],2,FALSE)</f>
        <v>Alnajm Flour from Mill 25KG</v>
      </c>
      <c r="G938" t="str">
        <f>VLOOKUP(Table2[[#This Row],[product]],Ref[#All],3,FALSE)</f>
        <v>Flour Al-Nagm (Mill)</v>
      </c>
      <c r="H938" t="str">
        <f>VLOOKUP(Table2[[#This Row],[product]],Ref[#All],4,FALSE)</f>
        <v>Import</v>
      </c>
      <c r="I938" s="1">
        <v>45890</v>
      </c>
      <c r="J938" t="s">
        <v>53</v>
      </c>
      <c r="K938" t="s">
        <v>2346</v>
      </c>
      <c r="L938" t="s">
        <v>1651</v>
      </c>
      <c r="M938" t="s">
        <v>1586</v>
      </c>
      <c r="N938" t="s">
        <v>784</v>
      </c>
      <c r="O938" t="s">
        <v>785</v>
      </c>
      <c r="P938" t="s">
        <v>788</v>
      </c>
      <c r="Q938" t="s">
        <v>55</v>
      </c>
      <c r="R938">
        <v>-1</v>
      </c>
      <c r="S938" s="15">
        <f>Table2[[#This Row],[movement_quantity]]/VLOOKUP(Table2[[#This Row],[product]],Ref[#All],5,FALSE)</f>
        <v>-2.5000000000000001E-2</v>
      </c>
      <c r="T938">
        <v>37596.649819999999</v>
      </c>
      <c r="U938" t="s">
        <v>17</v>
      </c>
      <c r="V938" t="s">
        <v>22</v>
      </c>
      <c r="W938" t="s">
        <v>2461</v>
      </c>
      <c r="X938" t="s">
        <v>17</v>
      </c>
      <c r="Y938" s="2" t="s">
        <v>2459</v>
      </c>
      <c r="Z938">
        <v>0</v>
      </c>
      <c r="AA938" s="2">
        <v>-37596.649819999999</v>
      </c>
      <c r="AB938" t="str">
        <f>VLOOKUP(Table2[[#This Row],[product]],Ref[#All],6,FALSE)</f>
        <v>BAG25</v>
      </c>
    </row>
    <row r="939" spans="1:28" x14ac:dyDescent="0.25">
      <c r="A939" t="str">
        <f>TEXT(Table2[[#This Row],[dated]],"mmm")</f>
        <v>Aug</v>
      </c>
      <c r="B939" s="28" t="s">
        <v>52</v>
      </c>
      <c r="C939" s="1" t="s">
        <v>536</v>
      </c>
      <c r="D939" t="str">
        <f>VLOOKUP(Table2[[#This Row],[product]],Ref[#All],7,FALSE)</f>
        <v>Flour</v>
      </c>
      <c r="E939" s="28" t="s">
        <v>42</v>
      </c>
      <c r="F939" t="str">
        <f>VLOOKUP(Table2[[#This Row],[product]],Ref[#All],2,FALSE)</f>
        <v>Alnajm Flour from Mill 25KG</v>
      </c>
      <c r="G939" t="str">
        <f>VLOOKUP(Table2[[#This Row],[product]],Ref[#All],3,FALSE)</f>
        <v>Flour Al-Nagm (Mill)</v>
      </c>
      <c r="H939" t="str">
        <f>VLOOKUP(Table2[[#This Row],[product]],Ref[#All],4,FALSE)</f>
        <v>Import</v>
      </c>
      <c r="I939" s="1">
        <v>45890</v>
      </c>
      <c r="J939" t="s">
        <v>53</v>
      </c>
      <c r="K939" t="s">
        <v>2353</v>
      </c>
      <c r="L939" t="s">
        <v>1651</v>
      </c>
      <c r="M939" t="s">
        <v>1586</v>
      </c>
      <c r="N939" t="s">
        <v>784</v>
      </c>
      <c r="O939" t="s">
        <v>785</v>
      </c>
      <c r="P939" t="s">
        <v>788</v>
      </c>
      <c r="Q939" t="s">
        <v>55</v>
      </c>
      <c r="R939">
        <v>-11</v>
      </c>
      <c r="S939" s="15">
        <f>Table2[[#This Row],[movement_quantity]]/VLOOKUP(Table2[[#This Row],[product]],Ref[#All],5,FALSE)</f>
        <v>-0.27500000000000002</v>
      </c>
      <c r="T939">
        <v>37596.649819999999</v>
      </c>
      <c r="U939" t="s">
        <v>17</v>
      </c>
      <c r="V939" t="s">
        <v>23</v>
      </c>
      <c r="W939" t="s">
        <v>2473</v>
      </c>
      <c r="X939" t="s">
        <v>17</v>
      </c>
      <c r="Y939" s="2" t="s">
        <v>2459</v>
      </c>
      <c r="Z939">
        <v>0</v>
      </c>
      <c r="AA939" s="2">
        <v>-413563.14801999996</v>
      </c>
      <c r="AB939" t="str">
        <f>VLOOKUP(Table2[[#This Row],[product]],Ref[#All],6,FALSE)</f>
        <v>BAG25</v>
      </c>
    </row>
    <row r="940" spans="1:28" x14ac:dyDescent="0.25">
      <c r="A940" t="str">
        <f>TEXT(Table2[[#This Row],[dated]],"mmm")</f>
        <v>Aug</v>
      </c>
      <c r="B940" s="28" t="s">
        <v>52</v>
      </c>
      <c r="C940" s="1" t="s">
        <v>536</v>
      </c>
      <c r="D940" t="str">
        <f>VLOOKUP(Table2[[#This Row],[product]],Ref[#All],7,FALSE)</f>
        <v>Flour</v>
      </c>
      <c r="E940" s="28" t="s">
        <v>42</v>
      </c>
      <c r="F940" t="str">
        <f>VLOOKUP(Table2[[#This Row],[product]],Ref[#All],2,FALSE)</f>
        <v>Alnajm Flour from Mill 25KG</v>
      </c>
      <c r="G940" t="str">
        <f>VLOOKUP(Table2[[#This Row],[product]],Ref[#All],3,FALSE)</f>
        <v>Flour Al-Nagm (Mill)</v>
      </c>
      <c r="H940" t="str">
        <f>VLOOKUP(Table2[[#This Row],[product]],Ref[#All],4,FALSE)</f>
        <v>Import</v>
      </c>
      <c r="I940" s="1">
        <v>45890</v>
      </c>
      <c r="J940" t="s">
        <v>53</v>
      </c>
      <c r="K940" t="s">
        <v>2354</v>
      </c>
      <c r="L940" t="s">
        <v>1651</v>
      </c>
      <c r="M940" t="s">
        <v>1586</v>
      </c>
      <c r="N940" t="s">
        <v>784</v>
      </c>
      <c r="O940" t="s">
        <v>785</v>
      </c>
      <c r="P940" t="s">
        <v>788</v>
      </c>
      <c r="Q940" t="s">
        <v>55</v>
      </c>
      <c r="R940">
        <v>-5</v>
      </c>
      <c r="S940" s="15">
        <f>Table2[[#This Row],[movement_quantity]]/VLOOKUP(Table2[[#This Row],[product]],Ref[#All],5,FALSE)</f>
        <v>-0.125</v>
      </c>
      <c r="T940">
        <v>37596.649819999999</v>
      </c>
      <c r="U940" t="s">
        <v>17</v>
      </c>
      <c r="V940" t="s">
        <v>24</v>
      </c>
      <c r="W940" t="s">
        <v>2474</v>
      </c>
      <c r="X940" t="s">
        <v>17</v>
      </c>
      <c r="Y940" s="2" t="s">
        <v>2459</v>
      </c>
      <c r="Z940">
        <v>0</v>
      </c>
      <c r="AA940" s="2">
        <v>-187983.24909999999</v>
      </c>
      <c r="AB940" t="str">
        <f>VLOOKUP(Table2[[#This Row],[product]],Ref[#All],6,FALSE)</f>
        <v>BAG25</v>
      </c>
    </row>
    <row r="941" spans="1:28" x14ac:dyDescent="0.25">
      <c r="A941" t="str">
        <f>TEXT(Table2[[#This Row],[dated]],"mmm")</f>
        <v>Aug</v>
      </c>
      <c r="B941" s="28" t="s">
        <v>52</v>
      </c>
      <c r="C941" s="1" t="s">
        <v>536</v>
      </c>
      <c r="D941" t="str">
        <f>VLOOKUP(Table2[[#This Row],[product]],Ref[#All],7,FALSE)</f>
        <v>Flour</v>
      </c>
      <c r="E941" s="28" t="s">
        <v>42</v>
      </c>
      <c r="F941" t="str">
        <f>VLOOKUP(Table2[[#This Row],[product]],Ref[#All],2,FALSE)</f>
        <v>Alnajm Flour from Mill 25KG</v>
      </c>
      <c r="G941" t="str">
        <f>VLOOKUP(Table2[[#This Row],[product]],Ref[#All],3,FALSE)</f>
        <v>Flour Al-Nagm (Mill)</v>
      </c>
      <c r="H941" t="str">
        <f>VLOOKUP(Table2[[#This Row],[product]],Ref[#All],4,FALSE)</f>
        <v>Import</v>
      </c>
      <c r="I941" s="1">
        <v>45890</v>
      </c>
      <c r="J941" t="s">
        <v>53</v>
      </c>
      <c r="K941" t="s">
        <v>2355</v>
      </c>
      <c r="L941" t="s">
        <v>1651</v>
      </c>
      <c r="M941" t="s">
        <v>1586</v>
      </c>
      <c r="N941" t="s">
        <v>784</v>
      </c>
      <c r="O941" t="s">
        <v>785</v>
      </c>
      <c r="P941" t="s">
        <v>788</v>
      </c>
      <c r="Q941" t="s">
        <v>55</v>
      </c>
      <c r="R941">
        <v>-6</v>
      </c>
      <c r="S941" s="15">
        <f>Table2[[#This Row],[movement_quantity]]/VLOOKUP(Table2[[#This Row],[product]],Ref[#All],5,FALSE)</f>
        <v>-0.15</v>
      </c>
      <c r="T941">
        <v>37596.649819999999</v>
      </c>
      <c r="U941" t="s">
        <v>17</v>
      </c>
      <c r="V941" t="s">
        <v>25</v>
      </c>
      <c r="W941" t="s">
        <v>2475</v>
      </c>
      <c r="X941" t="s">
        <v>17</v>
      </c>
      <c r="Y941" s="2" t="s">
        <v>2459</v>
      </c>
      <c r="Z941">
        <v>0</v>
      </c>
      <c r="AA941" s="2">
        <v>-225579.89892000001</v>
      </c>
      <c r="AB941" t="str">
        <f>VLOOKUP(Table2[[#This Row],[product]],Ref[#All],6,FALSE)</f>
        <v>BAG25</v>
      </c>
    </row>
    <row r="942" spans="1:28" x14ac:dyDescent="0.25">
      <c r="A942" t="str">
        <f>TEXT(Table2[[#This Row],[dated]],"mmm")</f>
        <v>Aug</v>
      </c>
      <c r="B942" s="28" t="s">
        <v>52</v>
      </c>
      <c r="C942" s="1" t="s">
        <v>536</v>
      </c>
      <c r="D942" t="str">
        <f>VLOOKUP(Table2[[#This Row],[product]],Ref[#All],7,FALSE)</f>
        <v>Flour</v>
      </c>
      <c r="E942" s="28" t="s">
        <v>42</v>
      </c>
      <c r="F942" t="str">
        <f>VLOOKUP(Table2[[#This Row],[product]],Ref[#All],2,FALSE)</f>
        <v>Alnajm Flour from Mill 25KG</v>
      </c>
      <c r="G942" t="str">
        <f>VLOOKUP(Table2[[#This Row],[product]],Ref[#All],3,FALSE)</f>
        <v>Flour Al-Nagm (Mill)</v>
      </c>
      <c r="H942" t="str">
        <f>VLOOKUP(Table2[[#This Row],[product]],Ref[#All],4,FALSE)</f>
        <v>Import</v>
      </c>
      <c r="I942" s="1">
        <v>45890</v>
      </c>
      <c r="J942" t="s">
        <v>53</v>
      </c>
      <c r="K942" t="s">
        <v>2356</v>
      </c>
      <c r="L942" t="s">
        <v>1651</v>
      </c>
      <c r="M942" t="s">
        <v>1586</v>
      </c>
      <c r="N942" t="s">
        <v>784</v>
      </c>
      <c r="O942" t="s">
        <v>785</v>
      </c>
      <c r="P942" t="s">
        <v>788</v>
      </c>
      <c r="Q942" t="s">
        <v>55</v>
      </c>
      <c r="R942">
        <v>-1</v>
      </c>
      <c r="S942" s="15">
        <f>Table2[[#This Row],[movement_quantity]]/VLOOKUP(Table2[[#This Row],[product]],Ref[#All],5,FALSE)</f>
        <v>-2.5000000000000001E-2</v>
      </c>
      <c r="T942">
        <v>37596.649819999999</v>
      </c>
      <c r="U942" t="s">
        <v>17</v>
      </c>
      <c r="V942" t="s">
        <v>26</v>
      </c>
      <c r="W942" t="s">
        <v>2476</v>
      </c>
      <c r="X942" t="s">
        <v>17</v>
      </c>
      <c r="Y942" s="2" t="s">
        <v>2459</v>
      </c>
      <c r="Z942">
        <v>0</v>
      </c>
      <c r="AA942" s="2">
        <v>-37596.649819999999</v>
      </c>
      <c r="AB942" t="str">
        <f>VLOOKUP(Table2[[#This Row],[product]],Ref[#All],6,FALSE)</f>
        <v>BAG25</v>
      </c>
    </row>
    <row r="943" spans="1:28" x14ac:dyDescent="0.25">
      <c r="A943" t="str">
        <f>TEXT(Table2[[#This Row],[dated]],"mmm")</f>
        <v>Aug</v>
      </c>
      <c r="B943" s="28" t="s">
        <v>52</v>
      </c>
      <c r="C943" s="1" t="s">
        <v>536</v>
      </c>
      <c r="D943" t="str">
        <f>VLOOKUP(Table2[[#This Row],[product]],Ref[#All],7,FALSE)</f>
        <v>Flour</v>
      </c>
      <c r="E943" s="28" t="s">
        <v>42</v>
      </c>
      <c r="F943" t="str">
        <f>VLOOKUP(Table2[[#This Row],[product]],Ref[#All],2,FALSE)</f>
        <v>Alnajm Flour from Mill 25KG</v>
      </c>
      <c r="G943" t="str">
        <f>VLOOKUP(Table2[[#This Row],[product]],Ref[#All],3,FALSE)</f>
        <v>Flour Al-Nagm (Mill)</v>
      </c>
      <c r="H943" t="str">
        <f>VLOOKUP(Table2[[#This Row],[product]],Ref[#All],4,FALSE)</f>
        <v>Import</v>
      </c>
      <c r="I943" s="1">
        <v>45890</v>
      </c>
      <c r="J943" t="s">
        <v>53</v>
      </c>
      <c r="K943" t="s">
        <v>2357</v>
      </c>
      <c r="L943" t="s">
        <v>1651</v>
      </c>
      <c r="M943" t="s">
        <v>1586</v>
      </c>
      <c r="N943" t="s">
        <v>784</v>
      </c>
      <c r="O943" t="s">
        <v>785</v>
      </c>
      <c r="P943" t="s">
        <v>788</v>
      </c>
      <c r="Q943" t="s">
        <v>55</v>
      </c>
      <c r="R943">
        <v>-19</v>
      </c>
      <c r="S943" s="15">
        <f>Table2[[#This Row],[movement_quantity]]/VLOOKUP(Table2[[#This Row],[product]],Ref[#All],5,FALSE)</f>
        <v>-0.47499999999999998</v>
      </c>
      <c r="T943">
        <v>37596.649819999999</v>
      </c>
      <c r="U943" t="s">
        <v>17</v>
      </c>
      <c r="V943" t="s">
        <v>27</v>
      </c>
      <c r="W943" t="s">
        <v>2477</v>
      </c>
      <c r="X943" t="s">
        <v>17</v>
      </c>
      <c r="Y943" s="2" t="s">
        <v>2459</v>
      </c>
      <c r="Z943">
        <v>0</v>
      </c>
      <c r="AA943" s="2">
        <v>-714336.34658000001</v>
      </c>
      <c r="AB943" t="str">
        <f>VLOOKUP(Table2[[#This Row],[product]],Ref[#All],6,FALSE)</f>
        <v>BAG25</v>
      </c>
    </row>
    <row r="944" spans="1:28" x14ac:dyDescent="0.25">
      <c r="A944" t="str">
        <f>TEXT(Table2[[#This Row],[dated]],"mmm")</f>
        <v>Aug</v>
      </c>
      <c r="B944" s="28" t="s">
        <v>52</v>
      </c>
      <c r="C944" s="1" t="s">
        <v>536</v>
      </c>
      <c r="D944" t="str">
        <f>VLOOKUP(Table2[[#This Row],[product]],Ref[#All],7,FALSE)</f>
        <v>Flour</v>
      </c>
      <c r="E944" s="28" t="s">
        <v>42</v>
      </c>
      <c r="F944" t="str">
        <f>VLOOKUP(Table2[[#This Row],[product]],Ref[#All],2,FALSE)</f>
        <v>Alnajm Flour from Mill 25KG</v>
      </c>
      <c r="G944" t="str">
        <f>VLOOKUP(Table2[[#This Row],[product]],Ref[#All],3,FALSE)</f>
        <v>Flour Al-Nagm (Mill)</v>
      </c>
      <c r="H944" t="str">
        <f>VLOOKUP(Table2[[#This Row],[product]],Ref[#All],4,FALSE)</f>
        <v>Import</v>
      </c>
      <c r="I944" s="1">
        <v>45890</v>
      </c>
      <c r="J944" t="s">
        <v>53</v>
      </c>
      <c r="K944" t="s">
        <v>2358</v>
      </c>
      <c r="L944" t="s">
        <v>1651</v>
      </c>
      <c r="M944" t="s">
        <v>1586</v>
      </c>
      <c r="N944" t="s">
        <v>784</v>
      </c>
      <c r="O944" t="s">
        <v>785</v>
      </c>
      <c r="P944" t="s">
        <v>788</v>
      </c>
      <c r="Q944" t="s">
        <v>55</v>
      </c>
      <c r="R944">
        <v>-28</v>
      </c>
      <c r="S944" s="15">
        <f>Table2[[#This Row],[movement_quantity]]/VLOOKUP(Table2[[#This Row],[product]],Ref[#All],5,FALSE)</f>
        <v>-0.7</v>
      </c>
      <c r="T944">
        <v>37596.649819999999</v>
      </c>
      <c r="U944" t="s">
        <v>17</v>
      </c>
      <c r="V944" t="s">
        <v>28</v>
      </c>
      <c r="W944" t="s">
        <v>2478</v>
      </c>
      <c r="X944" t="s">
        <v>17</v>
      </c>
      <c r="Y944" s="2" t="s">
        <v>2459</v>
      </c>
      <c r="Z944">
        <v>0</v>
      </c>
      <c r="AA944" s="2">
        <v>-1052706.19496</v>
      </c>
      <c r="AB944" t="str">
        <f>VLOOKUP(Table2[[#This Row],[product]],Ref[#All],6,FALSE)</f>
        <v>BAG25</v>
      </c>
    </row>
    <row r="945" spans="1:28" x14ac:dyDescent="0.25">
      <c r="A945" t="str">
        <f>TEXT(Table2[[#This Row],[dated]],"mmm")</f>
        <v>Aug</v>
      </c>
      <c r="B945" s="28" t="s">
        <v>52</v>
      </c>
      <c r="C945" s="1" t="s">
        <v>536</v>
      </c>
      <c r="D945" t="str">
        <f>VLOOKUP(Table2[[#This Row],[product]],Ref[#All],7,FALSE)</f>
        <v>Flour</v>
      </c>
      <c r="E945" s="28" t="s">
        <v>42</v>
      </c>
      <c r="F945" t="str">
        <f>VLOOKUP(Table2[[#This Row],[product]],Ref[#All],2,FALSE)</f>
        <v>Alnajm Flour from Mill 25KG</v>
      </c>
      <c r="G945" t="str">
        <f>VLOOKUP(Table2[[#This Row],[product]],Ref[#All],3,FALSE)</f>
        <v>Flour Al-Nagm (Mill)</v>
      </c>
      <c r="H945" t="str">
        <f>VLOOKUP(Table2[[#This Row],[product]],Ref[#All],4,FALSE)</f>
        <v>Import</v>
      </c>
      <c r="I945" s="1">
        <v>45890</v>
      </c>
      <c r="J945" t="s">
        <v>53</v>
      </c>
      <c r="K945" t="s">
        <v>2359</v>
      </c>
      <c r="L945" t="s">
        <v>1651</v>
      </c>
      <c r="M945" t="s">
        <v>1586</v>
      </c>
      <c r="N945" t="s">
        <v>784</v>
      </c>
      <c r="O945" t="s">
        <v>785</v>
      </c>
      <c r="P945" t="s">
        <v>788</v>
      </c>
      <c r="Q945" t="s">
        <v>55</v>
      </c>
      <c r="R945">
        <v>-3</v>
      </c>
      <c r="S945" s="15">
        <f>Table2[[#This Row],[movement_quantity]]/VLOOKUP(Table2[[#This Row],[product]],Ref[#All],5,FALSE)</f>
        <v>-7.4999999999999997E-2</v>
      </c>
      <c r="T945">
        <v>37596.649819999999</v>
      </c>
      <c r="U945" t="s">
        <v>17</v>
      </c>
      <c r="V945" t="s">
        <v>29</v>
      </c>
      <c r="W945" t="s">
        <v>2479</v>
      </c>
      <c r="X945" t="s">
        <v>17</v>
      </c>
      <c r="Y945" s="2" t="s">
        <v>2459</v>
      </c>
      <c r="Z945">
        <v>0</v>
      </c>
      <c r="AA945" s="2">
        <v>-112789.94946</v>
      </c>
      <c r="AB945" t="str">
        <f>VLOOKUP(Table2[[#This Row],[product]],Ref[#All],6,FALSE)</f>
        <v>BAG25</v>
      </c>
    </row>
    <row r="946" spans="1:28" x14ac:dyDescent="0.25">
      <c r="A946" t="str">
        <f>TEXT(Table2[[#This Row],[dated]],"mmm")</f>
        <v>Aug</v>
      </c>
      <c r="B946" s="28" t="s">
        <v>30</v>
      </c>
      <c r="C946" s="1" t="s">
        <v>536</v>
      </c>
      <c r="D946" t="str">
        <f>VLOOKUP(Table2[[#This Row],[product]],Ref[#All],7,FALSE)</f>
        <v>Flour</v>
      </c>
      <c r="E946" s="28" t="s">
        <v>42</v>
      </c>
      <c r="F946" t="str">
        <f>VLOOKUP(Table2[[#This Row],[product]],Ref[#All],2,FALSE)</f>
        <v>Alnajm Flour from Mill 25KG</v>
      </c>
      <c r="G946" t="str">
        <f>VLOOKUP(Table2[[#This Row],[product]],Ref[#All],3,FALSE)</f>
        <v>Flour Al-Nagm (Mill)</v>
      </c>
      <c r="H946" t="str">
        <f>VLOOKUP(Table2[[#This Row],[product]],Ref[#All],4,FALSE)</f>
        <v>Import</v>
      </c>
      <c r="I946" s="1">
        <v>45890</v>
      </c>
      <c r="J946" t="s">
        <v>53</v>
      </c>
      <c r="K946" t="s">
        <v>2360</v>
      </c>
      <c r="L946" t="s">
        <v>1651</v>
      </c>
      <c r="M946" t="s">
        <v>1586</v>
      </c>
      <c r="N946" t="s">
        <v>784</v>
      </c>
      <c r="O946" t="s">
        <v>785</v>
      </c>
      <c r="P946" t="s">
        <v>788</v>
      </c>
      <c r="Q946" t="s">
        <v>55</v>
      </c>
      <c r="R946">
        <v>-1</v>
      </c>
      <c r="S946" s="15">
        <f>Table2[[#This Row],[movement_quantity]]/VLOOKUP(Table2[[#This Row],[product]],Ref[#All],5,FALSE)</f>
        <v>-2.5000000000000001E-2</v>
      </c>
      <c r="T946">
        <v>37596.649819999999</v>
      </c>
      <c r="U946" t="s">
        <v>17</v>
      </c>
      <c r="V946" t="s">
        <v>18</v>
      </c>
      <c r="W946" t="s">
        <v>2480</v>
      </c>
      <c r="X946" t="s">
        <v>17</v>
      </c>
      <c r="Y946" s="2" t="s">
        <v>2481</v>
      </c>
      <c r="Z946">
        <v>0</v>
      </c>
      <c r="AA946" s="2">
        <v>-37596.649819999999</v>
      </c>
      <c r="AB946" t="str">
        <f>VLOOKUP(Table2[[#This Row],[product]],Ref[#All],6,FALSE)</f>
        <v>BAG25</v>
      </c>
    </row>
    <row r="947" spans="1:28" x14ac:dyDescent="0.25">
      <c r="A947" t="str">
        <f>TEXT(Table2[[#This Row],[dated]],"mmm")</f>
        <v>Aug</v>
      </c>
      <c r="B947" s="28" t="s">
        <v>30</v>
      </c>
      <c r="C947" s="1" t="s">
        <v>536</v>
      </c>
      <c r="D947" t="str">
        <f>VLOOKUP(Table2[[#This Row],[product]],Ref[#All],7,FALSE)</f>
        <v>Flour</v>
      </c>
      <c r="E947" s="28" t="s">
        <v>42</v>
      </c>
      <c r="F947" t="str">
        <f>VLOOKUP(Table2[[#This Row],[product]],Ref[#All],2,FALSE)</f>
        <v>Alnajm Flour from Mill 25KG</v>
      </c>
      <c r="G947" t="str">
        <f>VLOOKUP(Table2[[#This Row],[product]],Ref[#All],3,FALSE)</f>
        <v>Flour Al-Nagm (Mill)</v>
      </c>
      <c r="H947" t="str">
        <f>VLOOKUP(Table2[[#This Row],[product]],Ref[#All],4,FALSE)</f>
        <v>Import</v>
      </c>
      <c r="I947" s="1">
        <v>45890</v>
      </c>
      <c r="J947" t="s">
        <v>53</v>
      </c>
      <c r="K947" t="s">
        <v>2361</v>
      </c>
      <c r="L947" t="s">
        <v>1651</v>
      </c>
      <c r="M947" t="s">
        <v>1586</v>
      </c>
      <c r="N947" t="s">
        <v>784</v>
      </c>
      <c r="O947" t="s">
        <v>785</v>
      </c>
      <c r="P947" t="s">
        <v>788</v>
      </c>
      <c r="Q947" t="s">
        <v>55</v>
      </c>
      <c r="R947">
        <v>-29</v>
      </c>
      <c r="S947" s="15">
        <f>Table2[[#This Row],[movement_quantity]]/VLOOKUP(Table2[[#This Row],[product]],Ref[#All],5,FALSE)</f>
        <v>-0.72499999999999998</v>
      </c>
      <c r="T947">
        <v>37596.649819999999</v>
      </c>
      <c r="U947" t="s">
        <v>17</v>
      </c>
      <c r="V947" t="s">
        <v>21</v>
      </c>
      <c r="W947" t="s">
        <v>2482</v>
      </c>
      <c r="X947" t="s">
        <v>17</v>
      </c>
      <c r="Y947" s="2" t="s">
        <v>2481</v>
      </c>
      <c r="Z947">
        <v>0</v>
      </c>
      <c r="AA947" s="2">
        <v>-1090302.8447799999</v>
      </c>
      <c r="AB947" t="str">
        <f>VLOOKUP(Table2[[#This Row],[product]],Ref[#All],6,FALSE)</f>
        <v>BAG25</v>
      </c>
    </row>
    <row r="948" spans="1:28" x14ac:dyDescent="0.25">
      <c r="A948" t="str">
        <f>TEXT(Table2[[#This Row],[dated]],"mmm")</f>
        <v>Aug</v>
      </c>
      <c r="B948" s="28" t="s">
        <v>30</v>
      </c>
      <c r="C948" s="1" t="s">
        <v>536</v>
      </c>
      <c r="D948" t="str">
        <f>VLOOKUP(Table2[[#This Row],[product]],Ref[#All],7,FALSE)</f>
        <v>Flour</v>
      </c>
      <c r="E948" s="28" t="s">
        <v>42</v>
      </c>
      <c r="F948" t="str">
        <f>VLOOKUP(Table2[[#This Row],[product]],Ref[#All],2,FALSE)</f>
        <v>Alnajm Flour from Mill 25KG</v>
      </c>
      <c r="G948" t="str">
        <f>VLOOKUP(Table2[[#This Row],[product]],Ref[#All],3,FALSE)</f>
        <v>Flour Al-Nagm (Mill)</v>
      </c>
      <c r="H948" t="str">
        <f>VLOOKUP(Table2[[#This Row],[product]],Ref[#All],4,FALSE)</f>
        <v>Import</v>
      </c>
      <c r="I948" s="1">
        <v>45890</v>
      </c>
      <c r="J948" t="s">
        <v>53</v>
      </c>
      <c r="K948" t="s">
        <v>2362</v>
      </c>
      <c r="L948" t="s">
        <v>1651</v>
      </c>
      <c r="M948" t="s">
        <v>1586</v>
      </c>
      <c r="N948" t="s">
        <v>784</v>
      </c>
      <c r="O948" t="s">
        <v>785</v>
      </c>
      <c r="P948" t="s">
        <v>788</v>
      </c>
      <c r="Q948" t="s">
        <v>55</v>
      </c>
      <c r="R948">
        <v>-1</v>
      </c>
      <c r="S948" s="15">
        <f>Table2[[#This Row],[movement_quantity]]/VLOOKUP(Table2[[#This Row],[product]],Ref[#All],5,FALSE)</f>
        <v>-2.5000000000000001E-2</v>
      </c>
      <c r="T948">
        <v>37596.649819999999</v>
      </c>
      <c r="U948" t="s">
        <v>17</v>
      </c>
      <c r="V948" t="s">
        <v>22</v>
      </c>
      <c r="W948" t="s">
        <v>2483</v>
      </c>
      <c r="X948" t="s">
        <v>17</v>
      </c>
      <c r="Y948" s="2" t="s">
        <v>2481</v>
      </c>
      <c r="Z948">
        <v>0</v>
      </c>
      <c r="AA948" s="2">
        <v>-37596.649819999999</v>
      </c>
      <c r="AB948" t="str">
        <f>VLOOKUP(Table2[[#This Row],[product]],Ref[#All],6,FALSE)</f>
        <v>BAG25</v>
      </c>
    </row>
    <row r="949" spans="1:28" x14ac:dyDescent="0.25">
      <c r="A949" t="str">
        <f>TEXT(Table2[[#This Row],[dated]],"mmm")</f>
        <v>Aug</v>
      </c>
      <c r="B949" s="28" t="s">
        <v>52</v>
      </c>
      <c r="C949" s="1" t="s">
        <v>536</v>
      </c>
      <c r="D949" t="str">
        <f>VLOOKUP(Table2[[#This Row],[product]],Ref[#All],7,FALSE)</f>
        <v>Flour</v>
      </c>
      <c r="E949" s="28" t="s">
        <v>42</v>
      </c>
      <c r="F949" t="str">
        <f>VLOOKUP(Table2[[#This Row],[product]],Ref[#All],2,FALSE)</f>
        <v>Alnajm Flour from Mill 25KG</v>
      </c>
      <c r="G949" t="str">
        <f>VLOOKUP(Table2[[#This Row],[product]],Ref[#All],3,FALSE)</f>
        <v>Flour Al-Nagm (Mill)</v>
      </c>
      <c r="H949" t="str">
        <f>VLOOKUP(Table2[[#This Row],[product]],Ref[#All],4,FALSE)</f>
        <v>Import</v>
      </c>
      <c r="I949" s="1">
        <v>45894</v>
      </c>
      <c r="J949" t="s">
        <v>53</v>
      </c>
      <c r="K949" t="s">
        <v>2363</v>
      </c>
      <c r="L949" t="s">
        <v>1651</v>
      </c>
      <c r="M949" t="s">
        <v>1586</v>
      </c>
      <c r="N949" t="s">
        <v>784</v>
      </c>
      <c r="O949" t="s">
        <v>785</v>
      </c>
      <c r="P949" t="s">
        <v>788</v>
      </c>
      <c r="Q949" t="s">
        <v>55</v>
      </c>
      <c r="R949">
        <v>-279</v>
      </c>
      <c r="S949" s="15">
        <f>Table2[[#This Row],[movement_quantity]]/VLOOKUP(Table2[[#This Row],[product]],Ref[#All],5,FALSE)</f>
        <v>-6.9749999999999996</v>
      </c>
      <c r="T949">
        <v>37596.649819999999</v>
      </c>
      <c r="U949" t="s">
        <v>17</v>
      </c>
      <c r="V949" t="s">
        <v>18</v>
      </c>
      <c r="W949" t="s">
        <v>2484</v>
      </c>
      <c r="X949" t="s">
        <v>17</v>
      </c>
      <c r="Y949" s="2" t="s">
        <v>2485</v>
      </c>
      <c r="Z949">
        <v>0</v>
      </c>
      <c r="AA949" s="2">
        <v>-10489465.29978</v>
      </c>
      <c r="AB949" t="str">
        <f>VLOOKUP(Table2[[#This Row],[product]],Ref[#All],6,FALSE)</f>
        <v>BAG25</v>
      </c>
    </row>
    <row r="950" spans="1:28" x14ac:dyDescent="0.25">
      <c r="A950" t="str">
        <f>TEXT(Table2[[#This Row],[dated]],"mmm")</f>
        <v>Aug</v>
      </c>
      <c r="B950" s="28" t="s">
        <v>52</v>
      </c>
      <c r="C950" s="1" t="s">
        <v>536</v>
      </c>
      <c r="D950" t="str">
        <f>VLOOKUP(Table2[[#This Row],[product]],Ref[#All],7,FALSE)</f>
        <v>Flour</v>
      </c>
      <c r="E950" s="28" t="s">
        <v>42</v>
      </c>
      <c r="F950" t="str">
        <f>VLOOKUP(Table2[[#This Row],[product]],Ref[#All],2,FALSE)</f>
        <v>Alnajm Flour from Mill 25KG</v>
      </c>
      <c r="G950" t="str">
        <f>VLOOKUP(Table2[[#This Row],[product]],Ref[#All],3,FALSE)</f>
        <v>Flour Al-Nagm (Mill)</v>
      </c>
      <c r="H950" t="str">
        <f>VLOOKUP(Table2[[#This Row],[product]],Ref[#All],4,FALSE)</f>
        <v>Import</v>
      </c>
      <c r="I950" s="1">
        <v>45894</v>
      </c>
      <c r="J950" t="s">
        <v>53</v>
      </c>
      <c r="K950" t="s">
        <v>2364</v>
      </c>
      <c r="L950" t="s">
        <v>1651</v>
      </c>
      <c r="M950" t="s">
        <v>1586</v>
      </c>
      <c r="N950" t="s">
        <v>784</v>
      </c>
      <c r="O950" t="s">
        <v>785</v>
      </c>
      <c r="P950" t="s">
        <v>788</v>
      </c>
      <c r="Q950" t="s">
        <v>55</v>
      </c>
      <c r="R950">
        <v>-5</v>
      </c>
      <c r="S950" s="15">
        <f>Table2[[#This Row],[movement_quantity]]/VLOOKUP(Table2[[#This Row],[product]],Ref[#All],5,FALSE)</f>
        <v>-0.125</v>
      </c>
      <c r="T950">
        <v>37596.649819999999</v>
      </c>
      <c r="U950" t="s">
        <v>17</v>
      </c>
      <c r="V950" t="s">
        <v>21</v>
      </c>
      <c r="W950" t="s">
        <v>2486</v>
      </c>
      <c r="X950" t="s">
        <v>17</v>
      </c>
      <c r="Y950" s="2" t="s">
        <v>2485</v>
      </c>
      <c r="Z950">
        <v>0</v>
      </c>
      <c r="AA950" s="2">
        <v>-187983.24909999999</v>
      </c>
      <c r="AB950" t="str">
        <f>VLOOKUP(Table2[[#This Row],[product]],Ref[#All],6,FALSE)</f>
        <v>BAG25</v>
      </c>
    </row>
    <row r="951" spans="1:28" x14ac:dyDescent="0.25">
      <c r="A951" t="str">
        <f>TEXT(Table2[[#This Row],[dated]],"mmm")</f>
        <v>Aug</v>
      </c>
      <c r="B951" s="28" t="s">
        <v>52</v>
      </c>
      <c r="C951" s="1" t="s">
        <v>536</v>
      </c>
      <c r="D951" t="str">
        <f>VLOOKUP(Table2[[#This Row],[product]],Ref[#All],7,FALSE)</f>
        <v>Flour</v>
      </c>
      <c r="E951" s="28" t="s">
        <v>42</v>
      </c>
      <c r="F951" t="str">
        <f>VLOOKUP(Table2[[#This Row],[product]],Ref[#All],2,FALSE)</f>
        <v>Alnajm Flour from Mill 25KG</v>
      </c>
      <c r="G951" t="str">
        <f>VLOOKUP(Table2[[#This Row],[product]],Ref[#All],3,FALSE)</f>
        <v>Flour Al-Nagm (Mill)</v>
      </c>
      <c r="H951" t="str">
        <f>VLOOKUP(Table2[[#This Row],[product]],Ref[#All],4,FALSE)</f>
        <v>Import</v>
      </c>
      <c r="I951" s="1">
        <v>45894</v>
      </c>
      <c r="J951" t="s">
        <v>53</v>
      </c>
      <c r="K951" t="s">
        <v>2365</v>
      </c>
      <c r="L951" t="s">
        <v>1651</v>
      </c>
      <c r="M951" t="s">
        <v>1586</v>
      </c>
      <c r="N951" t="s">
        <v>784</v>
      </c>
      <c r="O951" t="s">
        <v>785</v>
      </c>
      <c r="P951" t="s">
        <v>788</v>
      </c>
      <c r="Q951" t="s">
        <v>55</v>
      </c>
      <c r="R951">
        <v>-22</v>
      </c>
      <c r="S951" s="15">
        <f>Table2[[#This Row],[movement_quantity]]/VLOOKUP(Table2[[#This Row],[product]],Ref[#All],5,FALSE)</f>
        <v>-0.55000000000000004</v>
      </c>
      <c r="T951">
        <v>37596.649819999999</v>
      </c>
      <c r="U951" t="s">
        <v>17</v>
      </c>
      <c r="V951" t="s">
        <v>22</v>
      </c>
      <c r="W951" t="s">
        <v>2487</v>
      </c>
      <c r="X951" t="s">
        <v>17</v>
      </c>
      <c r="Y951" s="2" t="s">
        <v>2485</v>
      </c>
      <c r="Z951">
        <v>0</v>
      </c>
      <c r="AA951" s="2">
        <v>-827126.29603999993</v>
      </c>
      <c r="AB951" t="str">
        <f>VLOOKUP(Table2[[#This Row],[product]],Ref[#All],6,FALSE)</f>
        <v>BAG25</v>
      </c>
    </row>
    <row r="952" spans="1:28" x14ac:dyDescent="0.25">
      <c r="A952" t="str">
        <f>TEXT(Table2[[#This Row],[dated]],"mmm")</f>
        <v>Aug</v>
      </c>
      <c r="B952" s="28" t="s">
        <v>52</v>
      </c>
      <c r="C952" s="1" t="s">
        <v>536</v>
      </c>
      <c r="D952" t="str">
        <f>VLOOKUP(Table2[[#This Row],[product]],Ref[#All],7,FALSE)</f>
        <v>Flour</v>
      </c>
      <c r="E952" s="28" t="s">
        <v>42</v>
      </c>
      <c r="F952" t="str">
        <f>VLOOKUP(Table2[[#This Row],[product]],Ref[#All],2,FALSE)</f>
        <v>Alnajm Flour from Mill 25KG</v>
      </c>
      <c r="G952" t="str">
        <f>VLOOKUP(Table2[[#This Row],[product]],Ref[#All],3,FALSE)</f>
        <v>Flour Al-Nagm (Mill)</v>
      </c>
      <c r="H952" t="str">
        <f>VLOOKUP(Table2[[#This Row],[product]],Ref[#All],4,FALSE)</f>
        <v>Import</v>
      </c>
      <c r="I952" s="1">
        <v>45894</v>
      </c>
      <c r="J952" t="s">
        <v>53</v>
      </c>
      <c r="K952" t="s">
        <v>2366</v>
      </c>
      <c r="L952" t="s">
        <v>1651</v>
      </c>
      <c r="M952" t="s">
        <v>1586</v>
      </c>
      <c r="N952" t="s">
        <v>784</v>
      </c>
      <c r="O952" t="s">
        <v>785</v>
      </c>
      <c r="P952" t="s">
        <v>788</v>
      </c>
      <c r="Q952" t="s">
        <v>55</v>
      </c>
      <c r="R952">
        <v>-15</v>
      </c>
      <c r="S952" s="15">
        <f>Table2[[#This Row],[movement_quantity]]/VLOOKUP(Table2[[#This Row],[product]],Ref[#All],5,FALSE)</f>
        <v>-0.375</v>
      </c>
      <c r="T952">
        <v>37596.649819999999</v>
      </c>
      <c r="U952" t="s">
        <v>17</v>
      </c>
      <c r="V952" t="s">
        <v>23</v>
      </c>
      <c r="W952" t="s">
        <v>2488</v>
      </c>
      <c r="X952" t="s">
        <v>17</v>
      </c>
      <c r="Y952" s="2" t="s">
        <v>2485</v>
      </c>
      <c r="Z952">
        <v>0</v>
      </c>
      <c r="AA952" s="2">
        <v>-563949.74729999993</v>
      </c>
      <c r="AB952" t="str">
        <f>VLOOKUP(Table2[[#This Row],[product]],Ref[#All],6,FALSE)</f>
        <v>BAG25</v>
      </c>
    </row>
    <row r="953" spans="1:28" x14ac:dyDescent="0.25">
      <c r="A953" t="str">
        <f>TEXT(Table2[[#This Row],[dated]],"mmm")</f>
        <v>Aug</v>
      </c>
      <c r="B953" s="28" t="s">
        <v>52</v>
      </c>
      <c r="C953" s="1" t="s">
        <v>536</v>
      </c>
      <c r="D953" t="str">
        <f>VLOOKUP(Table2[[#This Row],[product]],Ref[#All],7,FALSE)</f>
        <v>Flour</v>
      </c>
      <c r="E953" s="28" t="s">
        <v>42</v>
      </c>
      <c r="F953" t="str">
        <f>VLOOKUP(Table2[[#This Row],[product]],Ref[#All],2,FALSE)</f>
        <v>Alnajm Flour from Mill 25KG</v>
      </c>
      <c r="G953" t="str">
        <f>VLOOKUP(Table2[[#This Row],[product]],Ref[#All],3,FALSE)</f>
        <v>Flour Al-Nagm (Mill)</v>
      </c>
      <c r="H953" t="str">
        <f>VLOOKUP(Table2[[#This Row],[product]],Ref[#All],4,FALSE)</f>
        <v>Import</v>
      </c>
      <c r="I953" s="1">
        <v>45894</v>
      </c>
      <c r="J953" t="s">
        <v>53</v>
      </c>
      <c r="K953" t="s">
        <v>2367</v>
      </c>
      <c r="L953" t="s">
        <v>1651</v>
      </c>
      <c r="M953" t="s">
        <v>1586</v>
      </c>
      <c r="N953" t="s">
        <v>784</v>
      </c>
      <c r="O953" t="s">
        <v>785</v>
      </c>
      <c r="P953" t="s">
        <v>788</v>
      </c>
      <c r="Q953" t="s">
        <v>55</v>
      </c>
      <c r="R953">
        <v>-22</v>
      </c>
      <c r="S953" s="15">
        <f>Table2[[#This Row],[movement_quantity]]/VLOOKUP(Table2[[#This Row],[product]],Ref[#All],5,FALSE)</f>
        <v>-0.55000000000000004</v>
      </c>
      <c r="T953">
        <v>37596.649819999999</v>
      </c>
      <c r="U953" t="s">
        <v>17</v>
      </c>
      <c r="V953" t="s">
        <v>24</v>
      </c>
      <c r="W953" t="s">
        <v>2489</v>
      </c>
      <c r="X953" t="s">
        <v>17</v>
      </c>
      <c r="Y953" s="2" t="s">
        <v>2485</v>
      </c>
      <c r="Z953">
        <v>0</v>
      </c>
      <c r="AA953" s="2">
        <v>-827126.29603999993</v>
      </c>
      <c r="AB953" t="str">
        <f>VLOOKUP(Table2[[#This Row],[product]],Ref[#All],6,FALSE)</f>
        <v>BAG25</v>
      </c>
    </row>
    <row r="954" spans="1:28" x14ac:dyDescent="0.25">
      <c r="A954" t="str">
        <f>TEXT(Table2[[#This Row],[dated]],"mmm")</f>
        <v>Aug</v>
      </c>
      <c r="B954" s="28" t="s">
        <v>30</v>
      </c>
      <c r="C954" s="1" t="s">
        <v>536</v>
      </c>
      <c r="D954" t="str">
        <f>VLOOKUP(Table2[[#This Row],[product]],Ref[#All],7,FALSE)</f>
        <v>Flour</v>
      </c>
      <c r="E954" s="28" t="s">
        <v>42</v>
      </c>
      <c r="F954" t="str">
        <f>VLOOKUP(Table2[[#This Row],[product]],Ref[#All],2,FALSE)</f>
        <v>Alnajm Flour from Mill 25KG</v>
      </c>
      <c r="G954" t="str">
        <f>VLOOKUP(Table2[[#This Row],[product]],Ref[#All],3,FALSE)</f>
        <v>Flour Al-Nagm (Mill)</v>
      </c>
      <c r="H954" t="str">
        <f>VLOOKUP(Table2[[#This Row],[product]],Ref[#All],4,FALSE)</f>
        <v>Import</v>
      </c>
      <c r="I954" s="1">
        <v>45894</v>
      </c>
      <c r="J954" t="s">
        <v>53</v>
      </c>
      <c r="K954" t="s">
        <v>2368</v>
      </c>
      <c r="L954" t="s">
        <v>1651</v>
      </c>
      <c r="M954" t="s">
        <v>1586</v>
      </c>
      <c r="N954" t="s">
        <v>784</v>
      </c>
      <c r="O954" t="s">
        <v>785</v>
      </c>
      <c r="P954" t="s">
        <v>788</v>
      </c>
      <c r="Q954" t="s">
        <v>55</v>
      </c>
      <c r="R954">
        <v>-45</v>
      </c>
      <c r="S954" s="15">
        <f>Table2[[#This Row],[movement_quantity]]/VLOOKUP(Table2[[#This Row],[product]],Ref[#All],5,FALSE)</f>
        <v>-1.125</v>
      </c>
      <c r="T954">
        <v>37596.649819999999</v>
      </c>
      <c r="U954" t="s">
        <v>17</v>
      </c>
      <c r="V954" t="s">
        <v>18</v>
      </c>
      <c r="W954" t="s">
        <v>2490</v>
      </c>
      <c r="X954" t="s">
        <v>17</v>
      </c>
      <c r="Y954" s="2" t="s">
        <v>2491</v>
      </c>
      <c r="Z954">
        <v>0</v>
      </c>
      <c r="AA954" s="2">
        <v>-1691849.2419</v>
      </c>
      <c r="AB954" t="str">
        <f>VLOOKUP(Table2[[#This Row],[product]],Ref[#All],6,FALSE)</f>
        <v>BAG25</v>
      </c>
    </row>
    <row r="955" spans="1:28" x14ac:dyDescent="0.25">
      <c r="A955" t="str">
        <f>TEXT(Table2[[#This Row],[dated]],"mmm")</f>
        <v>Aug</v>
      </c>
      <c r="B955" s="28" t="s">
        <v>30</v>
      </c>
      <c r="C955" s="1" t="s">
        <v>536</v>
      </c>
      <c r="D955" t="str">
        <f>VLOOKUP(Table2[[#This Row],[product]],Ref[#All],7,FALSE)</f>
        <v>Flour</v>
      </c>
      <c r="E955" s="28" t="s">
        <v>42</v>
      </c>
      <c r="F955" t="str">
        <f>VLOOKUP(Table2[[#This Row],[product]],Ref[#All],2,FALSE)</f>
        <v>Alnajm Flour from Mill 25KG</v>
      </c>
      <c r="G955" t="str">
        <f>VLOOKUP(Table2[[#This Row],[product]],Ref[#All],3,FALSE)</f>
        <v>Flour Al-Nagm (Mill)</v>
      </c>
      <c r="H955" t="str">
        <f>VLOOKUP(Table2[[#This Row],[product]],Ref[#All],4,FALSE)</f>
        <v>Import</v>
      </c>
      <c r="I955" s="1">
        <v>45894</v>
      </c>
      <c r="J955" t="s">
        <v>53</v>
      </c>
      <c r="K955" t="s">
        <v>2369</v>
      </c>
      <c r="L955" t="s">
        <v>1651</v>
      </c>
      <c r="M955" t="s">
        <v>1586</v>
      </c>
      <c r="N955" t="s">
        <v>784</v>
      </c>
      <c r="O955" t="s">
        <v>785</v>
      </c>
      <c r="P955" t="s">
        <v>788</v>
      </c>
      <c r="Q955" t="s">
        <v>55</v>
      </c>
      <c r="R955">
        <v>-5</v>
      </c>
      <c r="S955" s="15">
        <f>Table2[[#This Row],[movement_quantity]]/VLOOKUP(Table2[[#This Row],[product]],Ref[#All],5,FALSE)</f>
        <v>-0.125</v>
      </c>
      <c r="T955">
        <v>37596.649819999999</v>
      </c>
      <c r="U955" t="s">
        <v>17</v>
      </c>
      <c r="V955" t="s">
        <v>21</v>
      </c>
      <c r="W955" t="s">
        <v>2492</v>
      </c>
      <c r="X955" t="s">
        <v>17</v>
      </c>
      <c r="Y955" s="2" t="s">
        <v>2491</v>
      </c>
      <c r="Z955">
        <v>0</v>
      </c>
      <c r="AA955" s="2">
        <v>-187983.24909999999</v>
      </c>
      <c r="AB955" t="str">
        <f>VLOOKUP(Table2[[#This Row],[product]],Ref[#All],6,FALSE)</f>
        <v>BAG25</v>
      </c>
    </row>
    <row r="956" spans="1:28" x14ac:dyDescent="0.25">
      <c r="A956" t="str">
        <f>TEXT(Table2[[#This Row],[dated]],"mmm")</f>
        <v>Aug</v>
      </c>
      <c r="B956" s="28" t="s">
        <v>30</v>
      </c>
      <c r="C956" s="1" t="s">
        <v>536</v>
      </c>
      <c r="D956" t="str">
        <f>VLOOKUP(Table2[[#This Row],[product]],Ref[#All],7,FALSE)</f>
        <v>Flour</v>
      </c>
      <c r="E956" s="28" t="s">
        <v>42</v>
      </c>
      <c r="F956" t="str">
        <f>VLOOKUP(Table2[[#This Row],[product]],Ref[#All],2,FALSE)</f>
        <v>Alnajm Flour from Mill 25KG</v>
      </c>
      <c r="G956" t="str">
        <f>VLOOKUP(Table2[[#This Row],[product]],Ref[#All],3,FALSE)</f>
        <v>Flour Al-Nagm (Mill)</v>
      </c>
      <c r="H956" t="str">
        <f>VLOOKUP(Table2[[#This Row],[product]],Ref[#All],4,FALSE)</f>
        <v>Import</v>
      </c>
      <c r="I956" s="1">
        <v>45894</v>
      </c>
      <c r="J956" t="s">
        <v>53</v>
      </c>
      <c r="K956" t="s">
        <v>2370</v>
      </c>
      <c r="L956" t="s">
        <v>1651</v>
      </c>
      <c r="M956" t="s">
        <v>1586</v>
      </c>
      <c r="N956" t="s">
        <v>784</v>
      </c>
      <c r="O956" t="s">
        <v>785</v>
      </c>
      <c r="P956" t="s">
        <v>788</v>
      </c>
      <c r="Q956" t="s">
        <v>55</v>
      </c>
      <c r="R956">
        <v>-2</v>
      </c>
      <c r="S956" s="15">
        <f>Table2[[#This Row],[movement_quantity]]/VLOOKUP(Table2[[#This Row],[product]],Ref[#All],5,FALSE)</f>
        <v>-0.05</v>
      </c>
      <c r="T956">
        <v>37596.649819999999</v>
      </c>
      <c r="U956" t="s">
        <v>17</v>
      </c>
      <c r="V956" t="s">
        <v>22</v>
      </c>
      <c r="W956" t="s">
        <v>2493</v>
      </c>
      <c r="X956" t="s">
        <v>17</v>
      </c>
      <c r="Y956" s="2" t="s">
        <v>2491</v>
      </c>
      <c r="Z956">
        <v>0</v>
      </c>
      <c r="AA956" s="2">
        <v>-75193.299639999997</v>
      </c>
      <c r="AB956" t="str">
        <f>VLOOKUP(Table2[[#This Row],[product]],Ref[#All],6,FALSE)</f>
        <v>BAG25</v>
      </c>
    </row>
    <row r="957" spans="1:28" x14ac:dyDescent="0.25">
      <c r="A957" t="str">
        <f>TEXT(Table2[[#This Row],[dated]],"mmm")</f>
        <v>Aug</v>
      </c>
      <c r="B957" s="28" t="s">
        <v>30</v>
      </c>
      <c r="C957" s="1" t="s">
        <v>536</v>
      </c>
      <c r="D957" t="str">
        <f>VLOOKUP(Table2[[#This Row],[product]],Ref[#All],7,FALSE)</f>
        <v>Flour</v>
      </c>
      <c r="E957" s="28" t="s">
        <v>42</v>
      </c>
      <c r="F957" t="str">
        <f>VLOOKUP(Table2[[#This Row],[product]],Ref[#All],2,FALSE)</f>
        <v>Alnajm Flour from Mill 25KG</v>
      </c>
      <c r="G957" t="str">
        <f>VLOOKUP(Table2[[#This Row],[product]],Ref[#All],3,FALSE)</f>
        <v>Flour Al-Nagm (Mill)</v>
      </c>
      <c r="H957" t="str">
        <f>VLOOKUP(Table2[[#This Row],[product]],Ref[#All],4,FALSE)</f>
        <v>Import</v>
      </c>
      <c r="I957" s="1">
        <v>45894</v>
      </c>
      <c r="J957" t="s">
        <v>53</v>
      </c>
      <c r="K957" t="s">
        <v>2371</v>
      </c>
      <c r="L957" t="s">
        <v>1651</v>
      </c>
      <c r="M957" t="s">
        <v>1586</v>
      </c>
      <c r="N957" t="s">
        <v>784</v>
      </c>
      <c r="O957" t="s">
        <v>785</v>
      </c>
      <c r="P957" t="s">
        <v>788</v>
      </c>
      <c r="Q957" t="s">
        <v>55</v>
      </c>
      <c r="R957">
        <v>-26</v>
      </c>
      <c r="S957" s="15">
        <f>Table2[[#This Row],[movement_quantity]]/VLOOKUP(Table2[[#This Row],[product]],Ref[#All],5,FALSE)</f>
        <v>-0.65</v>
      </c>
      <c r="T957">
        <v>37596.649819999999</v>
      </c>
      <c r="U957" t="s">
        <v>17</v>
      </c>
      <c r="V957" t="s">
        <v>23</v>
      </c>
      <c r="W957" t="s">
        <v>2494</v>
      </c>
      <c r="X957" t="s">
        <v>17</v>
      </c>
      <c r="Y957" s="2" t="s">
        <v>2491</v>
      </c>
      <c r="Z957">
        <v>0</v>
      </c>
      <c r="AA957" s="2">
        <v>-977512.89532000001</v>
      </c>
      <c r="AB957" t="str">
        <f>VLOOKUP(Table2[[#This Row],[product]],Ref[#All],6,FALSE)</f>
        <v>BAG25</v>
      </c>
    </row>
    <row r="958" spans="1:28" x14ac:dyDescent="0.25">
      <c r="A958" t="str">
        <f>TEXT(Table2[[#This Row],[dated]],"mmm")</f>
        <v>Aug</v>
      </c>
      <c r="B958" s="28" t="s">
        <v>30</v>
      </c>
      <c r="C958" s="1" t="s">
        <v>536</v>
      </c>
      <c r="D958" t="str">
        <f>VLOOKUP(Table2[[#This Row],[product]],Ref[#All],7,FALSE)</f>
        <v>Flour</v>
      </c>
      <c r="E958" s="28" t="s">
        <v>42</v>
      </c>
      <c r="F958" t="str">
        <f>VLOOKUP(Table2[[#This Row],[product]],Ref[#All],2,FALSE)</f>
        <v>Alnajm Flour from Mill 25KG</v>
      </c>
      <c r="G958" t="str">
        <f>VLOOKUP(Table2[[#This Row],[product]],Ref[#All],3,FALSE)</f>
        <v>Flour Al-Nagm (Mill)</v>
      </c>
      <c r="H958" t="str">
        <f>VLOOKUP(Table2[[#This Row],[product]],Ref[#All],4,FALSE)</f>
        <v>Import</v>
      </c>
      <c r="I958" s="1">
        <v>45894</v>
      </c>
      <c r="J958" t="s">
        <v>53</v>
      </c>
      <c r="K958" t="s">
        <v>2372</v>
      </c>
      <c r="L958" t="s">
        <v>1651</v>
      </c>
      <c r="M958" t="s">
        <v>1586</v>
      </c>
      <c r="N958" t="s">
        <v>784</v>
      </c>
      <c r="O958" t="s">
        <v>785</v>
      </c>
      <c r="P958" t="s">
        <v>788</v>
      </c>
      <c r="Q958" t="s">
        <v>55</v>
      </c>
      <c r="R958">
        <v>-21</v>
      </c>
      <c r="S958" s="15">
        <f>Table2[[#This Row],[movement_quantity]]/VLOOKUP(Table2[[#This Row],[product]],Ref[#All],5,FALSE)</f>
        <v>-0.52500000000000002</v>
      </c>
      <c r="T958">
        <v>37596.649819999999</v>
      </c>
      <c r="U958" t="s">
        <v>17</v>
      </c>
      <c r="V958" t="s">
        <v>24</v>
      </c>
      <c r="W958" t="s">
        <v>2495</v>
      </c>
      <c r="X958" t="s">
        <v>17</v>
      </c>
      <c r="Y958" s="2" t="s">
        <v>2491</v>
      </c>
      <c r="Z958">
        <v>0</v>
      </c>
      <c r="AA958" s="2">
        <v>-789529.64622</v>
      </c>
      <c r="AB958" t="str">
        <f>VLOOKUP(Table2[[#This Row],[product]],Ref[#All],6,FALSE)</f>
        <v>BAG25</v>
      </c>
    </row>
    <row r="959" spans="1:28" x14ac:dyDescent="0.25">
      <c r="A959" t="str">
        <f>TEXT(Table2[[#This Row],[dated]],"mmm")</f>
        <v>Aug</v>
      </c>
      <c r="B959" s="28" t="s">
        <v>30</v>
      </c>
      <c r="C959" s="1" t="s">
        <v>536</v>
      </c>
      <c r="D959" t="str">
        <f>VLOOKUP(Table2[[#This Row],[product]],Ref[#All],7,FALSE)</f>
        <v>Flour</v>
      </c>
      <c r="E959" s="28" t="s">
        <v>42</v>
      </c>
      <c r="F959" t="str">
        <f>VLOOKUP(Table2[[#This Row],[product]],Ref[#All],2,FALSE)</f>
        <v>Alnajm Flour from Mill 25KG</v>
      </c>
      <c r="G959" t="str">
        <f>VLOOKUP(Table2[[#This Row],[product]],Ref[#All],3,FALSE)</f>
        <v>Flour Al-Nagm (Mill)</v>
      </c>
      <c r="H959" t="str">
        <f>VLOOKUP(Table2[[#This Row],[product]],Ref[#All],4,FALSE)</f>
        <v>Import</v>
      </c>
      <c r="I959" s="1">
        <v>45894</v>
      </c>
      <c r="J959" t="s">
        <v>53</v>
      </c>
      <c r="K959" t="s">
        <v>2373</v>
      </c>
      <c r="L959" t="s">
        <v>1651</v>
      </c>
      <c r="M959" t="s">
        <v>1586</v>
      </c>
      <c r="N959" t="s">
        <v>784</v>
      </c>
      <c r="O959" t="s">
        <v>785</v>
      </c>
      <c r="P959" t="s">
        <v>788</v>
      </c>
      <c r="Q959" t="s">
        <v>55</v>
      </c>
      <c r="R959">
        <v>-29</v>
      </c>
      <c r="S959" s="15">
        <f>Table2[[#This Row],[movement_quantity]]/VLOOKUP(Table2[[#This Row],[product]],Ref[#All],5,FALSE)</f>
        <v>-0.72499999999999998</v>
      </c>
      <c r="T959">
        <v>37596.649819999999</v>
      </c>
      <c r="U959" t="s">
        <v>17</v>
      </c>
      <c r="V959" t="s">
        <v>25</v>
      </c>
      <c r="W959" t="s">
        <v>2496</v>
      </c>
      <c r="X959" t="s">
        <v>17</v>
      </c>
      <c r="Y959" s="2" t="s">
        <v>2491</v>
      </c>
      <c r="Z959">
        <v>0</v>
      </c>
      <c r="AA959" s="2">
        <v>-1090302.8447799999</v>
      </c>
      <c r="AB959" t="str">
        <f>VLOOKUP(Table2[[#This Row],[product]],Ref[#All],6,FALSE)</f>
        <v>BAG25</v>
      </c>
    </row>
    <row r="960" spans="1:28" x14ac:dyDescent="0.25">
      <c r="A960" t="str">
        <f>TEXT(Table2[[#This Row],[dated]],"mmm")</f>
        <v>Aug</v>
      </c>
      <c r="B960" s="28" t="s">
        <v>30</v>
      </c>
      <c r="C960" s="1" t="s">
        <v>536</v>
      </c>
      <c r="D960" t="str">
        <f>VLOOKUP(Table2[[#This Row],[product]],Ref[#All],7,FALSE)</f>
        <v>Flour</v>
      </c>
      <c r="E960" s="28" t="s">
        <v>42</v>
      </c>
      <c r="F960" t="str">
        <f>VLOOKUP(Table2[[#This Row],[product]],Ref[#All],2,FALSE)</f>
        <v>Alnajm Flour from Mill 25KG</v>
      </c>
      <c r="G960" t="str">
        <f>VLOOKUP(Table2[[#This Row],[product]],Ref[#All],3,FALSE)</f>
        <v>Flour Al-Nagm (Mill)</v>
      </c>
      <c r="H960" t="str">
        <f>VLOOKUP(Table2[[#This Row],[product]],Ref[#All],4,FALSE)</f>
        <v>Import</v>
      </c>
      <c r="I960" s="1">
        <v>45894</v>
      </c>
      <c r="J960" t="s">
        <v>53</v>
      </c>
      <c r="K960" t="s">
        <v>2374</v>
      </c>
      <c r="L960" t="s">
        <v>1651</v>
      </c>
      <c r="M960" t="s">
        <v>1586</v>
      </c>
      <c r="N960" t="s">
        <v>784</v>
      </c>
      <c r="O960" t="s">
        <v>785</v>
      </c>
      <c r="P960" t="s">
        <v>788</v>
      </c>
      <c r="Q960" t="s">
        <v>55</v>
      </c>
      <c r="R960">
        <v>-7</v>
      </c>
      <c r="S960" s="15">
        <f>Table2[[#This Row],[movement_quantity]]/VLOOKUP(Table2[[#This Row],[product]],Ref[#All],5,FALSE)</f>
        <v>-0.17499999999999999</v>
      </c>
      <c r="T960">
        <v>37596.649819999999</v>
      </c>
      <c r="U960" t="s">
        <v>17</v>
      </c>
      <c r="V960" t="s">
        <v>26</v>
      </c>
      <c r="W960" t="s">
        <v>2497</v>
      </c>
      <c r="X960" t="s">
        <v>17</v>
      </c>
      <c r="Y960" s="2" t="s">
        <v>2491</v>
      </c>
      <c r="Z960">
        <v>0</v>
      </c>
      <c r="AA960" s="2">
        <v>-263176.54874</v>
      </c>
      <c r="AB960" t="str">
        <f>VLOOKUP(Table2[[#This Row],[product]],Ref[#All],6,FALSE)</f>
        <v>BAG25</v>
      </c>
    </row>
    <row r="961" spans="1:28" x14ac:dyDescent="0.25">
      <c r="A961" t="str">
        <f>TEXT(Table2[[#This Row],[dated]],"mmm")</f>
        <v>Aug</v>
      </c>
      <c r="B961" s="28" t="s">
        <v>30</v>
      </c>
      <c r="C961" s="1" t="s">
        <v>536</v>
      </c>
      <c r="D961" t="str">
        <f>VLOOKUP(Table2[[#This Row],[product]],Ref[#All],7,FALSE)</f>
        <v>Flour</v>
      </c>
      <c r="E961" s="28" t="s">
        <v>42</v>
      </c>
      <c r="F961" t="str">
        <f>VLOOKUP(Table2[[#This Row],[product]],Ref[#All],2,FALSE)</f>
        <v>Alnajm Flour from Mill 25KG</v>
      </c>
      <c r="G961" t="str">
        <f>VLOOKUP(Table2[[#This Row],[product]],Ref[#All],3,FALSE)</f>
        <v>Flour Al-Nagm (Mill)</v>
      </c>
      <c r="H961" t="str">
        <f>VLOOKUP(Table2[[#This Row],[product]],Ref[#All],4,FALSE)</f>
        <v>Import</v>
      </c>
      <c r="I961" s="1">
        <v>45894</v>
      </c>
      <c r="J961" t="s">
        <v>53</v>
      </c>
      <c r="K961" t="s">
        <v>2375</v>
      </c>
      <c r="L961" t="s">
        <v>1651</v>
      </c>
      <c r="M961" t="s">
        <v>1586</v>
      </c>
      <c r="N961" t="s">
        <v>784</v>
      </c>
      <c r="O961" t="s">
        <v>785</v>
      </c>
      <c r="P961" t="s">
        <v>788</v>
      </c>
      <c r="Q961" t="s">
        <v>55</v>
      </c>
      <c r="R961">
        <v>-5</v>
      </c>
      <c r="S961" s="15">
        <f>Table2[[#This Row],[movement_quantity]]/VLOOKUP(Table2[[#This Row],[product]],Ref[#All],5,FALSE)</f>
        <v>-0.125</v>
      </c>
      <c r="T961">
        <v>37596.649819999999</v>
      </c>
      <c r="U961" t="s">
        <v>17</v>
      </c>
      <c r="V961" t="s">
        <v>27</v>
      </c>
      <c r="W961" t="s">
        <v>2498</v>
      </c>
      <c r="X961" t="s">
        <v>17</v>
      </c>
      <c r="Y961" s="2" t="s">
        <v>2491</v>
      </c>
      <c r="Z961">
        <v>0</v>
      </c>
      <c r="AA961" s="2">
        <v>-187983.24909999999</v>
      </c>
      <c r="AB961" t="str">
        <f>VLOOKUP(Table2[[#This Row],[product]],Ref[#All],6,FALSE)</f>
        <v>BAG25</v>
      </c>
    </row>
    <row r="962" spans="1:28" x14ac:dyDescent="0.25">
      <c r="A962" t="str">
        <f>TEXT(Table2[[#This Row],[dated]],"mmm")</f>
        <v>Aug</v>
      </c>
      <c r="B962" s="28" t="s">
        <v>30</v>
      </c>
      <c r="C962" s="1" t="s">
        <v>536</v>
      </c>
      <c r="D962" t="str">
        <f>VLOOKUP(Table2[[#This Row],[product]],Ref[#All],7,FALSE)</f>
        <v>Flour</v>
      </c>
      <c r="E962" s="28" t="s">
        <v>42</v>
      </c>
      <c r="F962" t="str">
        <f>VLOOKUP(Table2[[#This Row],[product]],Ref[#All],2,FALSE)</f>
        <v>Alnajm Flour from Mill 25KG</v>
      </c>
      <c r="G962" t="str">
        <f>VLOOKUP(Table2[[#This Row],[product]],Ref[#All],3,FALSE)</f>
        <v>Flour Al-Nagm (Mill)</v>
      </c>
      <c r="H962" t="str">
        <f>VLOOKUP(Table2[[#This Row],[product]],Ref[#All],4,FALSE)</f>
        <v>Import</v>
      </c>
      <c r="I962" s="1">
        <v>45894</v>
      </c>
      <c r="J962" t="s">
        <v>53</v>
      </c>
      <c r="K962" t="s">
        <v>2376</v>
      </c>
      <c r="L962" t="s">
        <v>1651</v>
      </c>
      <c r="M962" t="s">
        <v>1586</v>
      </c>
      <c r="N962" t="s">
        <v>784</v>
      </c>
      <c r="O962" t="s">
        <v>785</v>
      </c>
      <c r="P962" t="s">
        <v>788</v>
      </c>
      <c r="Q962" t="s">
        <v>55</v>
      </c>
      <c r="R962">
        <v>-6</v>
      </c>
      <c r="S962" s="15">
        <f>Table2[[#This Row],[movement_quantity]]/VLOOKUP(Table2[[#This Row],[product]],Ref[#All],5,FALSE)</f>
        <v>-0.15</v>
      </c>
      <c r="T962">
        <v>37596.649819999999</v>
      </c>
      <c r="U962" t="s">
        <v>17</v>
      </c>
      <c r="V962" t="s">
        <v>28</v>
      </c>
      <c r="W962" t="s">
        <v>2499</v>
      </c>
      <c r="X962" t="s">
        <v>17</v>
      </c>
      <c r="Y962" s="2" t="s">
        <v>2491</v>
      </c>
      <c r="Z962">
        <v>0</v>
      </c>
      <c r="AA962" s="2">
        <v>-225579.89892000001</v>
      </c>
      <c r="AB962" t="str">
        <f>VLOOKUP(Table2[[#This Row],[product]],Ref[#All],6,FALSE)</f>
        <v>BAG25</v>
      </c>
    </row>
    <row r="963" spans="1:28" x14ac:dyDescent="0.25">
      <c r="A963" t="str">
        <f>TEXT(Table2[[#This Row],[dated]],"mmm")</f>
        <v>Aug</v>
      </c>
      <c r="B963" s="28" t="s">
        <v>30</v>
      </c>
      <c r="C963" s="1" t="s">
        <v>536</v>
      </c>
      <c r="D963" t="str">
        <f>VLOOKUP(Table2[[#This Row],[product]],Ref[#All],7,FALSE)</f>
        <v>Flour</v>
      </c>
      <c r="E963" s="28" t="s">
        <v>42</v>
      </c>
      <c r="F963" t="str">
        <f>VLOOKUP(Table2[[#This Row],[product]],Ref[#All],2,FALSE)</f>
        <v>Alnajm Flour from Mill 25KG</v>
      </c>
      <c r="G963" t="str">
        <f>VLOOKUP(Table2[[#This Row],[product]],Ref[#All],3,FALSE)</f>
        <v>Flour Al-Nagm (Mill)</v>
      </c>
      <c r="H963" t="str">
        <f>VLOOKUP(Table2[[#This Row],[product]],Ref[#All],4,FALSE)</f>
        <v>Import</v>
      </c>
      <c r="I963" s="1">
        <v>45894</v>
      </c>
      <c r="J963" t="s">
        <v>53</v>
      </c>
      <c r="K963" t="s">
        <v>2377</v>
      </c>
      <c r="L963" t="s">
        <v>1651</v>
      </c>
      <c r="M963" t="s">
        <v>1586</v>
      </c>
      <c r="N963" t="s">
        <v>784</v>
      </c>
      <c r="O963" t="s">
        <v>785</v>
      </c>
      <c r="P963" t="s">
        <v>788</v>
      </c>
      <c r="Q963" t="s">
        <v>55</v>
      </c>
      <c r="R963">
        <v>-9</v>
      </c>
      <c r="S963" s="15">
        <f>Table2[[#This Row],[movement_quantity]]/VLOOKUP(Table2[[#This Row],[product]],Ref[#All],5,FALSE)</f>
        <v>-0.22500000000000001</v>
      </c>
      <c r="T963">
        <v>37596.649819999999</v>
      </c>
      <c r="U963" t="s">
        <v>17</v>
      </c>
      <c r="V963" t="s">
        <v>29</v>
      </c>
      <c r="W963" t="s">
        <v>2500</v>
      </c>
      <c r="X963" t="s">
        <v>17</v>
      </c>
      <c r="Y963" s="2" t="s">
        <v>2491</v>
      </c>
      <c r="Z963">
        <v>0</v>
      </c>
      <c r="AA963" s="2">
        <v>-338369.84837999998</v>
      </c>
      <c r="AB963" t="str">
        <f>VLOOKUP(Table2[[#This Row],[product]],Ref[#All],6,FALSE)</f>
        <v>BAG25</v>
      </c>
    </row>
    <row r="964" spans="1:28" x14ac:dyDescent="0.25">
      <c r="A964" t="str">
        <f>TEXT(Table2[[#This Row],[dated]],"mmm")</f>
        <v>Aug</v>
      </c>
      <c r="B964" s="28" t="s">
        <v>96</v>
      </c>
      <c r="C964" s="1" t="s">
        <v>536</v>
      </c>
      <c r="D964" t="str">
        <f>VLOOKUP(Table2[[#This Row],[product]],Ref[#All],7,FALSE)</f>
        <v>Flour</v>
      </c>
      <c r="E964" s="28" t="s">
        <v>42</v>
      </c>
      <c r="F964" t="str">
        <f>VLOOKUP(Table2[[#This Row],[product]],Ref[#All],2,FALSE)</f>
        <v>Alnajm Flour from Mill 25KG</v>
      </c>
      <c r="G964" t="str">
        <f>VLOOKUP(Table2[[#This Row],[product]],Ref[#All],3,FALSE)</f>
        <v>Flour Al-Nagm (Mill)</v>
      </c>
      <c r="H964" t="str">
        <f>VLOOKUP(Table2[[#This Row],[product]],Ref[#All],4,FALSE)</f>
        <v>Import</v>
      </c>
      <c r="I964" s="1">
        <v>45894</v>
      </c>
      <c r="J964" t="s">
        <v>53</v>
      </c>
      <c r="K964" t="s">
        <v>2378</v>
      </c>
      <c r="L964" t="s">
        <v>1651</v>
      </c>
      <c r="M964" t="s">
        <v>1586</v>
      </c>
      <c r="N964" t="s">
        <v>784</v>
      </c>
      <c r="O964" t="s">
        <v>785</v>
      </c>
      <c r="P964" t="s">
        <v>788</v>
      </c>
      <c r="Q964" t="s">
        <v>55</v>
      </c>
      <c r="R964">
        <v>-6</v>
      </c>
      <c r="S964" s="15">
        <f>Table2[[#This Row],[movement_quantity]]/VLOOKUP(Table2[[#This Row],[product]],Ref[#All],5,FALSE)</f>
        <v>-0.15</v>
      </c>
      <c r="T964">
        <v>37596.649819999999</v>
      </c>
      <c r="U964" t="s">
        <v>17</v>
      </c>
      <c r="V964" t="s">
        <v>18</v>
      </c>
      <c r="W964" t="s">
        <v>2501</v>
      </c>
      <c r="X964" t="s">
        <v>17</v>
      </c>
      <c r="Y964" s="2" t="s">
        <v>2502</v>
      </c>
      <c r="Z964">
        <v>0</v>
      </c>
      <c r="AA964" s="2">
        <v>-225579.89892000001</v>
      </c>
      <c r="AB964" t="str">
        <f>VLOOKUP(Table2[[#This Row],[product]],Ref[#All],6,FALSE)</f>
        <v>BAG25</v>
      </c>
    </row>
    <row r="965" spans="1:28" x14ac:dyDescent="0.25">
      <c r="A965" t="str">
        <f>TEXT(Table2[[#This Row],[dated]],"mmm")</f>
        <v>Aug</v>
      </c>
      <c r="B965" s="28" t="s">
        <v>96</v>
      </c>
      <c r="C965" s="1" t="s">
        <v>536</v>
      </c>
      <c r="D965" t="str">
        <f>VLOOKUP(Table2[[#This Row],[product]],Ref[#All],7,FALSE)</f>
        <v>Flour</v>
      </c>
      <c r="E965" s="28" t="s">
        <v>42</v>
      </c>
      <c r="F965" t="str">
        <f>VLOOKUP(Table2[[#This Row],[product]],Ref[#All],2,FALSE)</f>
        <v>Alnajm Flour from Mill 25KG</v>
      </c>
      <c r="G965" t="str">
        <f>VLOOKUP(Table2[[#This Row],[product]],Ref[#All],3,FALSE)</f>
        <v>Flour Al-Nagm (Mill)</v>
      </c>
      <c r="H965" t="str">
        <f>VLOOKUP(Table2[[#This Row],[product]],Ref[#All],4,FALSE)</f>
        <v>Import</v>
      </c>
      <c r="I965" s="1">
        <v>45894</v>
      </c>
      <c r="J965" t="s">
        <v>53</v>
      </c>
      <c r="K965" t="s">
        <v>2379</v>
      </c>
      <c r="L965" t="s">
        <v>1651</v>
      </c>
      <c r="M965" t="s">
        <v>1586</v>
      </c>
      <c r="N965" t="s">
        <v>784</v>
      </c>
      <c r="O965" t="s">
        <v>785</v>
      </c>
      <c r="P965" t="s">
        <v>788</v>
      </c>
      <c r="Q965" t="s">
        <v>55</v>
      </c>
      <c r="R965">
        <v>-14</v>
      </c>
      <c r="S965" s="15">
        <f>Table2[[#This Row],[movement_quantity]]/VLOOKUP(Table2[[#This Row],[product]],Ref[#All],5,FALSE)</f>
        <v>-0.35</v>
      </c>
      <c r="T965">
        <v>37596.649819999999</v>
      </c>
      <c r="U965" t="s">
        <v>17</v>
      </c>
      <c r="V965" t="s">
        <v>21</v>
      </c>
      <c r="W965" t="s">
        <v>2503</v>
      </c>
      <c r="X965" t="s">
        <v>17</v>
      </c>
      <c r="Y965" s="2" t="s">
        <v>2502</v>
      </c>
      <c r="Z965">
        <v>0</v>
      </c>
      <c r="AA965" s="2">
        <v>-526353.09748</v>
      </c>
      <c r="AB965" t="str">
        <f>VLOOKUP(Table2[[#This Row],[product]],Ref[#All],6,FALSE)</f>
        <v>BAG25</v>
      </c>
    </row>
    <row r="966" spans="1:28" x14ac:dyDescent="0.25">
      <c r="A966" t="str">
        <f>TEXT(Table2[[#This Row],[dated]],"mmm")</f>
        <v>Aug</v>
      </c>
      <c r="B966" s="28" t="s">
        <v>52</v>
      </c>
      <c r="C966" s="1" t="s">
        <v>536</v>
      </c>
      <c r="D966" t="str">
        <f>VLOOKUP(Table2[[#This Row],[product]],Ref[#All],7,FALSE)</f>
        <v>Lentils</v>
      </c>
      <c r="E966" s="28" t="s">
        <v>39</v>
      </c>
      <c r="F966" t="str">
        <f>VLOOKUP(Table2[[#This Row],[product]],Ref[#All],2,FALSE)</f>
        <v>Lentil TAT 20KG</v>
      </c>
      <c r="G966" t="str">
        <f>VLOOKUP(Table2[[#This Row],[product]],Ref[#All],3,FALSE)</f>
        <v>Lentils</v>
      </c>
      <c r="H966" t="str">
        <f>VLOOKUP(Table2[[#This Row],[product]],Ref[#All],4,FALSE)</f>
        <v>Import</v>
      </c>
      <c r="I966" s="1">
        <v>45896</v>
      </c>
      <c r="J966" t="s">
        <v>53</v>
      </c>
      <c r="K966" t="s">
        <v>2381</v>
      </c>
      <c r="L966" t="s">
        <v>1651</v>
      </c>
      <c r="M966" t="s">
        <v>1586</v>
      </c>
      <c r="N966" t="s">
        <v>784</v>
      </c>
      <c r="O966" t="s">
        <v>785</v>
      </c>
      <c r="P966" t="s">
        <v>788</v>
      </c>
      <c r="Q966" t="s">
        <v>55</v>
      </c>
      <c r="R966">
        <v>-107</v>
      </c>
      <c r="S966" s="15">
        <f>Table2[[#This Row],[movement_quantity]]/VLOOKUP(Table2[[#This Row],[product]],Ref[#All],5,FALSE)</f>
        <v>-2.14</v>
      </c>
      <c r="T966">
        <v>53401.105539999997</v>
      </c>
      <c r="U966" t="s">
        <v>17</v>
      </c>
      <c r="V966" t="s">
        <v>18</v>
      </c>
      <c r="W966" t="s">
        <v>2506</v>
      </c>
      <c r="X966" t="s">
        <v>17</v>
      </c>
      <c r="Y966" s="2" t="s">
        <v>2417</v>
      </c>
      <c r="Z966">
        <v>0</v>
      </c>
      <c r="AA966" s="2">
        <v>-5713918.2927799998</v>
      </c>
      <c r="AB966" t="str">
        <f>VLOOKUP(Table2[[#This Row],[product]],Ref[#All],6,FALSE)</f>
        <v>BAG20</v>
      </c>
    </row>
    <row r="967" spans="1:28" x14ac:dyDescent="0.25">
      <c r="A967" t="str">
        <f>TEXT(Table2[[#This Row],[dated]],"mmm")</f>
        <v>Aug</v>
      </c>
      <c r="B967" s="28" t="s">
        <v>52</v>
      </c>
      <c r="C967" s="1" t="s">
        <v>536</v>
      </c>
      <c r="D967" t="str">
        <f>VLOOKUP(Table2[[#This Row],[product]],Ref[#All],7,FALSE)</f>
        <v>Lentils</v>
      </c>
      <c r="E967" s="28" t="s">
        <v>39</v>
      </c>
      <c r="F967" t="str">
        <f>VLOOKUP(Table2[[#This Row],[product]],Ref[#All],2,FALSE)</f>
        <v>Lentil TAT 20KG</v>
      </c>
      <c r="G967" t="str">
        <f>VLOOKUP(Table2[[#This Row],[product]],Ref[#All],3,FALSE)</f>
        <v>Lentils</v>
      </c>
      <c r="H967" t="str">
        <f>VLOOKUP(Table2[[#This Row],[product]],Ref[#All],4,FALSE)</f>
        <v>Import</v>
      </c>
      <c r="I967" s="1">
        <v>45896</v>
      </c>
      <c r="J967" t="s">
        <v>53</v>
      </c>
      <c r="K967" t="s">
        <v>2381</v>
      </c>
      <c r="L967" t="s">
        <v>1651</v>
      </c>
      <c r="M967" t="s">
        <v>1586</v>
      </c>
      <c r="N967" t="s">
        <v>784</v>
      </c>
      <c r="O967" t="s">
        <v>785</v>
      </c>
      <c r="P967" t="s">
        <v>788</v>
      </c>
      <c r="Q967" t="s">
        <v>55</v>
      </c>
      <c r="R967">
        <v>-1</v>
      </c>
      <c r="S967" s="15">
        <f>Table2[[#This Row],[movement_quantity]]/VLOOKUP(Table2[[#This Row],[product]],Ref[#All],5,FALSE)</f>
        <v>-0.02</v>
      </c>
      <c r="T967">
        <v>53401.105539999997</v>
      </c>
      <c r="U967" t="s">
        <v>17</v>
      </c>
      <c r="V967" t="s">
        <v>21</v>
      </c>
      <c r="W967" t="s">
        <v>2506</v>
      </c>
      <c r="X967" t="s">
        <v>17</v>
      </c>
      <c r="Y967" s="2" t="s">
        <v>2254</v>
      </c>
      <c r="Z967">
        <v>0</v>
      </c>
      <c r="AA967" s="2">
        <v>-53401.105539999997</v>
      </c>
      <c r="AB967" t="str">
        <f>VLOOKUP(Table2[[#This Row],[product]],Ref[#All],6,FALSE)</f>
        <v>BAG20</v>
      </c>
    </row>
    <row r="968" spans="1:28" x14ac:dyDescent="0.25">
      <c r="A968" t="str">
        <f>TEXT(Table2[[#This Row],[dated]],"mmm")</f>
        <v>Aug</v>
      </c>
      <c r="B968" s="28" t="s">
        <v>52</v>
      </c>
      <c r="C968" s="1" t="s">
        <v>536</v>
      </c>
      <c r="D968" t="str">
        <f>VLOOKUP(Table2[[#This Row],[product]],Ref[#All],7,FALSE)</f>
        <v>Lentils</v>
      </c>
      <c r="E968" s="28" t="s">
        <v>39</v>
      </c>
      <c r="F968" t="str">
        <f>VLOOKUP(Table2[[#This Row],[product]],Ref[#All],2,FALSE)</f>
        <v>Lentil TAT 20KG</v>
      </c>
      <c r="G968" t="str">
        <f>VLOOKUP(Table2[[#This Row],[product]],Ref[#All],3,FALSE)</f>
        <v>Lentils</v>
      </c>
      <c r="H968" t="str">
        <f>VLOOKUP(Table2[[#This Row],[product]],Ref[#All],4,FALSE)</f>
        <v>Import</v>
      </c>
      <c r="I968" s="1">
        <v>45896</v>
      </c>
      <c r="J968" t="s">
        <v>53</v>
      </c>
      <c r="K968" t="s">
        <v>2381</v>
      </c>
      <c r="L968" t="s">
        <v>1651</v>
      </c>
      <c r="M968" t="s">
        <v>1586</v>
      </c>
      <c r="N968" t="s">
        <v>784</v>
      </c>
      <c r="O968" t="s">
        <v>785</v>
      </c>
      <c r="P968" t="s">
        <v>788</v>
      </c>
      <c r="Q968" t="s">
        <v>55</v>
      </c>
      <c r="R968">
        <v>-1</v>
      </c>
      <c r="S968" s="15">
        <f>Table2[[#This Row],[movement_quantity]]/VLOOKUP(Table2[[#This Row],[product]],Ref[#All],5,FALSE)</f>
        <v>-0.02</v>
      </c>
      <c r="T968">
        <v>53401.105539999997</v>
      </c>
      <c r="U968" t="s">
        <v>17</v>
      </c>
      <c r="V968" t="s">
        <v>22</v>
      </c>
      <c r="W968" t="s">
        <v>2506</v>
      </c>
      <c r="X968" t="s">
        <v>17</v>
      </c>
      <c r="Y968" s="2" t="s">
        <v>2257</v>
      </c>
      <c r="Z968">
        <v>0</v>
      </c>
      <c r="AA968" s="2">
        <v>-53401.105539999997</v>
      </c>
      <c r="AB968" t="str">
        <f>VLOOKUP(Table2[[#This Row],[product]],Ref[#All],6,FALSE)</f>
        <v>BAG20</v>
      </c>
    </row>
    <row r="969" spans="1:28" x14ac:dyDescent="0.25">
      <c r="A969" t="str">
        <f>TEXT(Table2[[#This Row],[dated]],"mmm")</f>
        <v>Aug</v>
      </c>
      <c r="B969" s="28" t="s">
        <v>52</v>
      </c>
      <c r="C969" s="1" t="s">
        <v>536</v>
      </c>
      <c r="D969" t="str">
        <f>VLOOKUP(Table2[[#This Row],[product]],Ref[#All],7,FALSE)</f>
        <v>Lentils</v>
      </c>
      <c r="E969" s="28" t="s">
        <v>39</v>
      </c>
      <c r="F969" t="str">
        <f>VLOOKUP(Table2[[#This Row],[product]],Ref[#All],2,FALSE)</f>
        <v>Lentil TAT 20KG</v>
      </c>
      <c r="G969" t="str">
        <f>VLOOKUP(Table2[[#This Row],[product]],Ref[#All],3,FALSE)</f>
        <v>Lentils</v>
      </c>
      <c r="H969" t="str">
        <f>VLOOKUP(Table2[[#This Row],[product]],Ref[#All],4,FALSE)</f>
        <v>Import</v>
      </c>
      <c r="I969" s="1">
        <v>45896</v>
      </c>
      <c r="J969" t="s">
        <v>53</v>
      </c>
      <c r="K969" t="s">
        <v>2381</v>
      </c>
      <c r="L969" t="s">
        <v>1651</v>
      </c>
      <c r="M969" t="s">
        <v>1586</v>
      </c>
      <c r="N969" t="s">
        <v>784</v>
      </c>
      <c r="O969" t="s">
        <v>785</v>
      </c>
      <c r="P969" t="s">
        <v>788</v>
      </c>
      <c r="Q969" t="s">
        <v>55</v>
      </c>
      <c r="R969">
        <v>-6</v>
      </c>
      <c r="S969" s="15">
        <f>Table2[[#This Row],[movement_quantity]]/VLOOKUP(Table2[[#This Row],[product]],Ref[#All],5,FALSE)</f>
        <v>-0.12</v>
      </c>
      <c r="T969">
        <v>53401.105539999997</v>
      </c>
      <c r="U969" t="s">
        <v>17</v>
      </c>
      <c r="V969" t="s">
        <v>23</v>
      </c>
      <c r="W969" t="s">
        <v>2506</v>
      </c>
      <c r="X969" t="s">
        <v>17</v>
      </c>
      <c r="Y969" s="2" t="s">
        <v>2260</v>
      </c>
      <c r="Z969">
        <v>0</v>
      </c>
      <c r="AA969" s="2">
        <v>-320406.63324</v>
      </c>
      <c r="AB969" t="str">
        <f>VLOOKUP(Table2[[#This Row],[product]],Ref[#All],6,FALSE)</f>
        <v>BAG20</v>
      </c>
    </row>
    <row r="970" spans="1:28" x14ac:dyDescent="0.25">
      <c r="A970" t="str">
        <f>TEXT(Table2[[#This Row],[dated]],"mmm")</f>
        <v>Aug</v>
      </c>
      <c r="B970" s="28" t="s">
        <v>52</v>
      </c>
      <c r="C970" s="1" t="s">
        <v>536</v>
      </c>
      <c r="D970" t="str">
        <f>VLOOKUP(Table2[[#This Row],[product]],Ref[#All],7,FALSE)</f>
        <v>Lentils</v>
      </c>
      <c r="E970" s="28" t="s">
        <v>39</v>
      </c>
      <c r="F970" t="str">
        <f>VLOOKUP(Table2[[#This Row],[product]],Ref[#All],2,FALSE)</f>
        <v>Lentil TAT 20KG</v>
      </c>
      <c r="G970" t="str">
        <f>VLOOKUP(Table2[[#This Row],[product]],Ref[#All],3,FALSE)</f>
        <v>Lentils</v>
      </c>
      <c r="H970" t="str">
        <f>VLOOKUP(Table2[[#This Row],[product]],Ref[#All],4,FALSE)</f>
        <v>Import</v>
      </c>
      <c r="I970" s="1">
        <v>45896</v>
      </c>
      <c r="J970" t="s">
        <v>53</v>
      </c>
      <c r="K970" t="s">
        <v>2381</v>
      </c>
      <c r="L970" t="s">
        <v>1651</v>
      </c>
      <c r="M970" t="s">
        <v>1586</v>
      </c>
      <c r="N970" t="s">
        <v>784</v>
      </c>
      <c r="O970" t="s">
        <v>785</v>
      </c>
      <c r="P970" t="s">
        <v>788</v>
      </c>
      <c r="Q970" t="s">
        <v>55</v>
      </c>
      <c r="R970">
        <v>-6</v>
      </c>
      <c r="S970" s="15">
        <f>Table2[[#This Row],[movement_quantity]]/VLOOKUP(Table2[[#This Row],[product]],Ref[#All],5,FALSE)</f>
        <v>-0.12</v>
      </c>
      <c r="T970">
        <v>53401.105539999997</v>
      </c>
      <c r="U970" t="s">
        <v>17</v>
      </c>
      <c r="V970" t="s">
        <v>24</v>
      </c>
      <c r="W970" t="s">
        <v>2506</v>
      </c>
      <c r="X970" t="s">
        <v>17</v>
      </c>
      <c r="Y970" s="2" t="s">
        <v>2426</v>
      </c>
      <c r="Z970">
        <v>0</v>
      </c>
      <c r="AA970" s="2">
        <v>-320406.63324</v>
      </c>
      <c r="AB970" t="str">
        <f>VLOOKUP(Table2[[#This Row],[product]],Ref[#All],6,FALSE)</f>
        <v>BAG20</v>
      </c>
    </row>
    <row r="971" spans="1:28" x14ac:dyDescent="0.25">
      <c r="A971" t="str">
        <f>TEXT(Table2[[#This Row],[dated]],"mmm")</f>
        <v>Aug</v>
      </c>
      <c r="B971" s="28" t="s">
        <v>132</v>
      </c>
      <c r="C971" s="1" t="s">
        <v>536</v>
      </c>
      <c r="D971" t="str">
        <f>VLOOKUP(Table2[[#This Row],[product]],Ref[#All],7,FALSE)</f>
        <v>Rice</v>
      </c>
      <c r="E971" s="28" t="s">
        <v>133</v>
      </c>
      <c r="F971" t="str">
        <f>VLOOKUP(Table2[[#This Row],[product]],Ref[#All],2,FALSE)</f>
        <v>Rice Short Grain Dalian</v>
      </c>
      <c r="G971" t="str">
        <f>VLOOKUP(Table2[[#This Row],[product]],Ref[#All],3,FALSE)</f>
        <v>Rice Short Grain</v>
      </c>
      <c r="H971" t="str">
        <f>VLOOKUP(Table2[[#This Row],[product]],Ref[#All],4,FALSE)</f>
        <v>Import</v>
      </c>
      <c r="I971" s="1">
        <v>45897</v>
      </c>
      <c r="J971" t="s">
        <v>53</v>
      </c>
      <c r="K971" t="s">
        <v>2382</v>
      </c>
      <c r="L971" t="s">
        <v>1651</v>
      </c>
      <c r="M971" t="s">
        <v>1586</v>
      </c>
      <c r="N971" t="s">
        <v>784</v>
      </c>
      <c r="O971" t="s">
        <v>785</v>
      </c>
      <c r="P971" t="s">
        <v>788</v>
      </c>
      <c r="Q971" t="s">
        <v>55</v>
      </c>
      <c r="R971">
        <v>-10</v>
      </c>
      <c r="S971" s="15">
        <f>Table2[[#This Row],[movement_quantity]]/VLOOKUP(Table2[[#This Row],[product]],Ref[#All],5,FALSE)</f>
        <v>-0.25</v>
      </c>
      <c r="T971">
        <v>11822.45469</v>
      </c>
      <c r="U971" t="s">
        <v>17</v>
      </c>
      <c r="V971" t="s">
        <v>18</v>
      </c>
      <c r="W971" t="s">
        <v>2507</v>
      </c>
      <c r="X971" t="s">
        <v>17</v>
      </c>
      <c r="Y971" s="2" t="s">
        <v>136</v>
      </c>
      <c r="Z971">
        <v>0</v>
      </c>
      <c r="AA971" s="2">
        <v>-118224.5469</v>
      </c>
      <c r="AB971" t="str">
        <f>VLOOKUP(Table2[[#This Row],[product]],Ref[#All],6,FALSE)</f>
        <v>BAG25</v>
      </c>
    </row>
    <row r="972" spans="1:28" x14ac:dyDescent="0.25">
      <c r="A972" t="str">
        <f>TEXT(Table2[[#This Row],[dated]],"mmm")</f>
        <v>Aug</v>
      </c>
      <c r="B972" s="28" t="s">
        <v>132</v>
      </c>
      <c r="C972" s="1" t="s">
        <v>536</v>
      </c>
      <c r="D972" t="str">
        <f>VLOOKUP(Table2[[#This Row],[product]],Ref[#All],7,FALSE)</f>
        <v>Rice</v>
      </c>
      <c r="E972" s="28" t="s">
        <v>133</v>
      </c>
      <c r="F972" t="str">
        <f>VLOOKUP(Table2[[#This Row],[product]],Ref[#All],2,FALSE)</f>
        <v>Rice Short Grain Dalian</v>
      </c>
      <c r="G972" t="str">
        <f>VLOOKUP(Table2[[#This Row],[product]],Ref[#All],3,FALSE)</f>
        <v>Rice Short Grain</v>
      </c>
      <c r="H972" t="str">
        <f>VLOOKUP(Table2[[#This Row],[product]],Ref[#All],4,FALSE)</f>
        <v>Import</v>
      </c>
      <c r="I972" s="1">
        <v>45897</v>
      </c>
      <c r="J972" t="s">
        <v>53</v>
      </c>
      <c r="K972" t="s">
        <v>2383</v>
      </c>
      <c r="L972" t="s">
        <v>1651</v>
      </c>
      <c r="M972" t="s">
        <v>1586</v>
      </c>
      <c r="N972" t="s">
        <v>784</v>
      </c>
      <c r="O972" t="s">
        <v>785</v>
      </c>
      <c r="P972" t="s">
        <v>788</v>
      </c>
      <c r="Q972" t="s">
        <v>55</v>
      </c>
      <c r="R972">
        <v>-20</v>
      </c>
      <c r="S972" s="15">
        <f>Table2[[#This Row],[movement_quantity]]/VLOOKUP(Table2[[#This Row],[product]],Ref[#All],5,FALSE)</f>
        <v>-0.5</v>
      </c>
      <c r="T972">
        <v>11822.45469</v>
      </c>
      <c r="U972" t="s">
        <v>17</v>
      </c>
      <c r="V972" t="s">
        <v>21</v>
      </c>
      <c r="W972" t="s">
        <v>2508</v>
      </c>
      <c r="X972" t="s">
        <v>17</v>
      </c>
      <c r="Y972" s="2" t="s">
        <v>136</v>
      </c>
      <c r="Z972">
        <v>0</v>
      </c>
      <c r="AA972" s="2">
        <v>-236449.0938</v>
      </c>
      <c r="AB972" t="str">
        <f>VLOOKUP(Table2[[#This Row],[product]],Ref[#All],6,FALSE)</f>
        <v>BAG25</v>
      </c>
    </row>
    <row r="973" spans="1:28" x14ac:dyDescent="0.25">
      <c r="A973" t="str">
        <f>TEXT(Table2[[#This Row],[dated]],"mmm")</f>
        <v>Aug</v>
      </c>
      <c r="B973" s="28" t="s">
        <v>132</v>
      </c>
      <c r="C973" s="1" t="s">
        <v>536</v>
      </c>
      <c r="D973" t="str">
        <f>VLOOKUP(Table2[[#This Row],[product]],Ref[#All],7,FALSE)</f>
        <v>Rice</v>
      </c>
      <c r="E973" s="28" t="s">
        <v>133</v>
      </c>
      <c r="F973" t="str">
        <f>VLOOKUP(Table2[[#This Row],[product]],Ref[#All],2,FALSE)</f>
        <v>Rice Short Grain Dalian</v>
      </c>
      <c r="G973" t="str">
        <f>VLOOKUP(Table2[[#This Row],[product]],Ref[#All],3,FALSE)</f>
        <v>Rice Short Grain</v>
      </c>
      <c r="H973" t="str">
        <f>VLOOKUP(Table2[[#This Row],[product]],Ref[#All],4,FALSE)</f>
        <v>Import</v>
      </c>
      <c r="I973" s="1">
        <v>45897</v>
      </c>
      <c r="J973" t="s">
        <v>53</v>
      </c>
      <c r="K973" t="s">
        <v>2384</v>
      </c>
      <c r="L973" t="s">
        <v>1651</v>
      </c>
      <c r="M973" t="s">
        <v>1586</v>
      </c>
      <c r="N973" t="s">
        <v>784</v>
      </c>
      <c r="O973" t="s">
        <v>785</v>
      </c>
      <c r="P973" t="s">
        <v>788</v>
      </c>
      <c r="Q973" t="s">
        <v>55</v>
      </c>
      <c r="R973">
        <v>-47</v>
      </c>
      <c r="S973" s="15">
        <f>Table2[[#This Row],[movement_quantity]]/VLOOKUP(Table2[[#This Row],[product]],Ref[#All],5,FALSE)</f>
        <v>-1.175</v>
      </c>
      <c r="T973">
        <v>11822.45469</v>
      </c>
      <c r="U973" t="s">
        <v>17</v>
      </c>
      <c r="V973" t="s">
        <v>22</v>
      </c>
      <c r="W973" t="s">
        <v>2509</v>
      </c>
      <c r="X973" t="s">
        <v>17</v>
      </c>
      <c r="Y973" s="2" t="s">
        <v>136</v>
      </c>
      <c r="Z973">
        <v>0</v>
      </c>
      <c r="AA973" s="2">
        <v>-555655.37043000001</v>
      </c>
      <c r="AB973" t="str">
        <f>VLOOKUP(Table2[[#This Row],[product]],Ref[#All],6,FALSE)</f>
        <v>BAG25</v>
      </c>
    </row>
    <row r="974" spans="1:28" x14ac:dyDescent="0.25">
      <c r="A974" t="str">
        <f>TEXT(Table2[[#This Row],[dated]],"mmm")</f>
        <v>Aug</v>
      </c>
      <c r="B974" s="28" t="s">
        <v>132</v>
      </c>
      <c r="C974" s="1" t="s">
        <v>536</v>
      </c>
      <c r="D974" t="str">
        <f>VLOOKUP(Table2[[#This Row],[product]],Ref[#All],7,FALSE)</f>
        <v>Rice</v>
      </c>
      <c r="E974" s="28" t="s">
        <v>133</v>
      </c>
      <c r="F974" t="str">
        <f>VLOOKUP(Table2[[#This Row],[product]],Ref[#All],2,FALSE)</f>
        <v>Rice Short Grain Dalian</v>
      </c>
      <c r="G974" t="str">
        <f>VLOOKUP(Table2[[#This Row],[product]],Ref[#All],3,FALSE)</f>
        <v>Rice Short Grain</v>
      </c>
      <c r="H974" t="str">
        <f>VLOOKUP(Table2[[#This Row],[product]],Ref[#All],4,FALSE)</f>
        <v>Import</v>
      </c>
      <c r="I974" s="1">
        <v>45897</v>
      </c>
      <c r="J974" t="s">
        <v>53</v>
      </c>
      <c r="K974" t="s">
        <v>2385</v>
      </c>
      <c r="L974" t="s">
        <v>1651</v>
      </c>
      <c r="M974" t="s">
        <v>1586</v>
      </c>
      <c r="N974" t="s">
        <v>784</v>
      </c>
      <c r="O974" t="s">
        <v>785</v>
      </c>
      <c r="P974" t="s">
        <v>788</v>
      </c>
      <c r="Q974" t="s">
        <v>55</v>
      </c>
      <c r="R974">
        <v>-11</v>
      </c>
      <c r="S974" s="15">
        <f>Table2[[#This Row],[movement_quantity]]/VLOOKUP(Table2[[#This Row],[product]],Ref[#All],5,FALSE)</f>
        <v>-0.27500000000000002</v>
      </c>
      <c r="T974">
        <v>11822.45469</v>
      </c>
      <c r="U974" t="s">
        <v>17</v>
      </c>
      <c r="V974" t="s">
        <v>23</v>
      </c>
      <c r="W974" t="s">
        <v>2510</v>
      </c>
      <c r="X974" t="s">
        <v>17</v>
      </c>
      <c r="Y974" s="2" t="s">
        <v>136</v>
      </c>
      <c r="Z974">
        <v>0</v>
      </c>
      <c r="AA974" s="2">
        <v>-130047.00159</v>
      </c>
      <c r="AB974" t="str">
        <f>VLOOKUP(Table2[[#This Row],[product]],Ref[#All],6,FALSE)</f>
        <v>BAG25</v>
      </c>
    </row>
    <row r="975" spans="1:28" x14ac:dyDescent="0.25">
      <c r="A975" t="str">
        <f>TEXT(Table2[[#This Row],[dated]],"mmm")</f>
        <v>Aug</v>
      </c>
      <c r="B975" s="28" t="s">
        <v>132</v>
      </c>
      <c r="C975" s="1" t="s">
        <v>536</v>
      </c>
      <c r="D975" t="str">
        <f>VLOOKUP(Table2[[#This Row],[product]],Ref[#All],7,FALSE)</f>
        <v>Rice</v>
      </c>
      <c r="E975" s="28" t="s">
        <v>133</v>
      </c>
      <c r="F975" t="str">
        <f>VLOOKUP(Table2[[#This Row],[product]],Ref[#All],2,FALSE)</f>
        <v>Rice Short Grain Dalian</v>
      </c>
      <c r="G975" t="str">
        <f>VLOOKUP(Table2[[#This Row],[product]],Ref[#All],3,FALSE)</f>
        <v>Rice Short Grain</v>
      </c>
      <c r="H975" t="str">
        <f>VLOOKUP(Table2[[#This Row],[product]],Ref[#All],4,FALSE)</f>
        <v>Import</v>
      </c>
      <c r="I975" s="1">
        <v>45897</v>
      </c>
      <c r="J975" t="s">
        <v>53</v>
      </c>
      <c r="K975" t="s">
        <v>2386</v>
      </c>
      <c r="L975" t="s">
        <v>1651</v>
      </c>
      <c r="M975" t="s">
        <v>1586</v>
      </c>
      <c r="N975" t="s">
        <v>784</v>
      </c>
      <c r="O975" t="s">
        <v>785</v>
      </c>
      <c r="P975" t="s">
        <v>788</v>
      </c>
      <c r="Q975" t="s">
        <v>55</v>
      </c>
      <c r="R975">
        <v>-15</v>
      </c>
      <c r="S975" s="15">
        <f>Table2[[#This Row],[movement_quantity]]/VLOOKUP(Table2[[#This Row],[product]],Ref[#All],5,FALSE)</f>
        <v>-0.375</v>
      </c>
      <c r="T975">
        <v>11822.45469</v>
      </c>
      <c r="U975" t="s">
        <v>17</v>
      </c>
      <c r="V975" t="s">
        <v>24</v>
      </c>
      <c r="W975" t="s">
        <v>2511</v>
      </c>
      <c r="X975" t="s">
        <v>17</v>
      </c>
      <c r="Y975" s="2" t="s">
        <v>136</v>
      </c>
      <c r="Z975">
        <v>0</v>
      </c>
      <c r="AA975" s="2">
        <v>-177336.82034999999</v>
      </c>
      <c r="AB975" t="str">
        <f>VLOOKUP(Table2[[#This Row],[product]],Ref[#All],6,FALSE)</f>
        <v>BAG25</v>
      </c>
    </row>
    <row r="976" spans="1:28" x14ac:dyDescent="0.25">
      <c r="A976" t="str">
        <f>TEXT(Table2[[#This Row],[dated]],"mmm")</f>
        <v>Aug</v>
      </c>
      <c r="B976" s="28" t="s">
        <v>132</v>
      </c>
      <c r="C976" s="1" t="s">
        <v>536</v>
      </c>
      <c r="D976" t="str">
        <f>VLOOKUP(Table2[[#This Row],[product]],Ref[#All],7,FALSE)</f>
        <v>Rice</v>
      </c>
      <c r="E976" s="28" t="s">
        <v>133</v>
      </c>
      <c r="F976" t="str">
        <f>VLOOKUP(Table2[[#This Row],[product]],Ref[#All],2,FALSE)</f>
        <v>Rice Short Grain Dalian</v>
      </c>
      <c r="G976" t="str">
        <f>VLOOKUP(Table2[[#This Row],[product]],Ref[#All],3,FALSE)</f>
        <v>Rice Short Grain</v>
      </c>
      <c r="H976" t="str">
        <f>VLOOKUP(Table2[[#This Row],[product]],Ref[#All],4,FALSE)</f>
        <v>Import</v>
      </c>
      <c r="I976" s="1">
        <v>45897</v>
      </c>
      <c r="J976" t="s">
        <v>53</v>
      </c>
      <c r="K976" t="s">
        <v>2387</v>
      </c>
      <c r="L976" t="s">
        <v>1651</v>
      </c>
      <c r="M976" t="s">
        <v>1586</v>
      </c>
      <c r="N976" t="s">
        <v>784</v>
      </c>
      <c r="O976" t="s">
        <v>785</v>
      </c>
      <c r="P976" t="s">
        <v>788</v>
      </c>
      <c r="Q976" t="s">
        <v>55</v>
      </c>
      <c r="R976">
        <v>-50</v>
      </c>
      <c r="S976" s="15">
        <f>Table2[[#This Row],[movement_quantity]]/VLOOKUP(Table2[[#This Row],[product]],Ref[#All],5,FALSE)</f>
        <v>-1.25</v>
      </c>
      <c r="T976">
        <v>11822.45469</v>
      </c>
      <c r="U976" t="s">
        <v>17</v>
      </c>
      <c r="V976" t="s">
        <v>25</v>
      </c>
      <c r="W976" t="s">
        <v>2512</v>
      </c>
      <c r="X976" t="s">
        <v>17</v>
      </c>
      <c r="Y976" s="2" t="s">
        <v>136</v>
      </c>
      <c r="Z976">
        <v>0</v>
      </c>
      <c r="AA976" s="2">
        <v>-591122.73450000002</v>
      </c>
      <c r="AB976" t="str">
        <f>VLOOKUP(Table2[[#This Row],[product]],Ref[#All],6,FALSE)</f>
        <v>BAG25</v>
      </c>
    </row>
    <row r="977" spans="1:28" x14ac:dyDescent="0.25">
      <c r="A977" t="str">
        <f>TEXT(Table2[[#This Row],[dated]],"mmm")</f>
        <v>Aug</v>
      </c>
      <c r="B977" s="28" t="s">
        <v>132</v>
      </c>
      <c r="C977" s="1" t="s">
        <v>536</v>
      </c>
      <c r="D977" t="str">
        <f>VLOOKUP(Table2[[#This Row],[product]],Ref[#All],7,FALSE)</f>
        <v>Rice</v>
      </c>
      <c r="E977" s="28" t="s">
        <v>133</v>
      </c>
      <c r="F977" t="str">
        <f>VLOOKUP(Table2[[#This Row],[product]],Ref[#All],2,FALSE)</f>
        <v>Rice Short Grain Dalian</v>
      </c>
      <c r="G977" t="str">
        <f>VLOOKUP(Table2[[#This Row],[product]],Ref[#All],3,FALSE)</f>
        <v>Rice Short Grain</v>
      </c>
      <c r="H977" t="str">
        <f>VLOOKUP(Table2[[#This Row],[product]],Ref[#All],4,FALSE)</f>
        <v>Import</v>
      </c>
      <c r="I977" s="1">
        <v>45897</v>
      </c>
      <c r="J977" t="s">
        <v>53</v>
      </c>
      <c r="K977" t="s">
        <v>2388</v>
      </c>
      <c r="L977" t="s">
        <v>1651</v>
      </c>
      <c r="M977" t="s">
        <v>1586</v>
      </c>
      <c r="N977" t="s">
        <v>784</v>
      </c>
      <c r="O977" t="s">
        <v>785</v>
      </c>
      <c r="P977" t="s">
        <v>788</v>
      </c>
      <c r="Q977" t="s">
        <v>55</v>
      </c>
      <c r="R977">
        <v>-11</v>
      </c>
      <c r="S977" s="15">
        <f>Table2[[#This Row],[movement_quantity]]/VLOOKUP(Table2[[#This Row],[product]],Ref[#All],5,FALSE)</f>
        <v>-0.27500000000000002</v>
      </c>
      <c r="T977">
        <v>11822.45469</v>
      </c>
      <c r="U977" t="s">
        <v>17</v>
      </c>
      <c r="V977" t="s">
        <v>26</v>
      </c>
      <c r="W977" t="s">
        <v>2513</v>
      </c>
      <c r="X977" t="s">
        <v>17</v>
      </c>
      <c r="Y977" s="2" t="s">
        <v>136</v>
      </c>
      <c r="Z977">
        <v>0</v>
      </c>
      <c r="AA977" s="2">
        <v>-130047.00159</v>
      </c>
      <c r="AB977" t="str">
        <f>VLOOKUP(Table2[[#This Row],[product]],Ref[#All],6,FALSE)</f>
        <v>BAG25</v>
      </c>
    </row>
    <row r="978" spans="1:28" x14ac:dyDescent="0.25">
      <c r="A978" t="str">
        <f>TEXT(Table2[[#This Row],[dated]],"mmm")</f>
        <v>Aug</v>
      </c>
      <c r="B978" s="28" t="s">
        <v>132</v>
      </c>
      <c r="C978" s="1" t="s">
        <v>536</v>
      </c>
      <c r="D978" t="str">
        <f>VLOOKUP(Table2[[#This Row],[product]],Ref[#All],7,FALSE)</f>
        <v>Rice</v>
      </c>
      <c r="E978" s="28" t="s">
        <v>133</v>
      </c>
      <c r="F978" t="str">
        <f>VLOOKUP(Table2[[#This Row],[product]],Ref[#All],2,FALSE)</f>
        <v>Rice Short Grain Dalian</v>
      </c>
      <c r="G978" t="str">
        <f>VLOOKUP(Table2[[#This Row],[product]],Ref[#All],3,FALSE)</f>
        <v>Rice Short Grain</v>
      </c>
      <c r="H978" t="str">
        <f>VLOOKUP(Table2[[#This Row],[product]],Ref[#All],4,FALSE)</f>
        <v>Import</v>
      </c>
      <c r="I978" s="1">
        <v>45897</v>
      </c>
      <c r="J978" t="s">
        <v>53</v>
      </c>
      <c r="K978" t="s">
        <v>2389</v>
      </c>
      <c r="L978" t="s">
        <v>1651</v>
      </c>
      <c r="M978" t="s">
        <v>1586</v>
      </c>
      <c r="N978" t="s">
        <v>784</v>
      </c>
      <c r="O978" t="s">
        <v>785</v>
      </c>
      <c r="P978" t="s">
        <v>788</v>
      </c>
      <c r="Q978" t="s">
        <v>55</v>
      </c>
      <c r="R978">
        <v>-315</v>
      </c>
      <c r="S978" s="15">
        <f>Table2[[#This Row],[movement_quantity]]/VLOOKUP(Table2[[#This Row],[product]],Ref[#All],5,FALSE)</f>
        <v>-7.875</v>
      </c>
      <c r="T978">
        <v>11822.45469</v>
      </c>
      <c r="U978" t="s">
        <v>17</v>
      </c>
      <c r="V978" t="s">
        <v>27</v>
      </c>
      <c r="W978" t="s">
        <v>2514</v>
      </c>
      <c r="X978" t="s">
        <v>17</v>
      </c>
      <c r="Y978" s="2" t="s">
        <v>136</v>
      </c>
      <c r="Z978">
        <v>0</v>
      </c>
      <c r="AA978" s="2">
        <v>-3724073.2273500003</v>
      </c>
      <c r="AB978" t="str">
        <f>VLOOKUP(Table2[[#This Row],[product]],Ref[#All],6,FALSE)</f>
        <v>BAG25</v>
      </c>
    </row>
    <row r="979" spans="1:28" x14ac:dyDescent="0.25">
      <c r="A979" t="str">
        <f>TEXT(Table2[[#This Row],[dated]],"mmm")</f>
        <v>Aug</v>
      </c>
      <c r="B979" s="28" t="s">
        <v>132</v>
      </c>
      <c r="C979" s="1" t="s">
        <v>536</v>
      </c>
      <c r="D979" t="str">
        <f>VLOOKUP(Table2[[#This Row],[product]],Ref[#All],7,FALSE)</f>
        <v>Rice</v>
      </c>
      <c r="E979" s="28" t="s">
        <v>133</v>
      </c>
      <c r="F979" t="str">
        <f>VLOOKUP(Table2[[#This Row],[product]],Ref[#All],2,FALSE)</f>
        <v>Rice Short Grain Dalian</v>
      </c>
      <c r="G979" t="str">
        <f>VLOOKUP(Table2[[#This Row],[product]],Ref[#All],3,FALSE)</f>
        <v>Rice Short Grain</v>
      </c>
      <c r="H979" t="str">
        <f>VLOOKUP(Table2[[#This Row],[product]],Ref[#All],4,FALSE)</f>
        <v>Import</v>
      </c>
      <c r="I979" s="1">
        <v>45897</v>
      </c>
      <c r="J979" t="s">
        <v>53</v>
      </c>
      <c r="K979" t="s">
        <v>2390</v>
      </c>
      <c r="L979" t="s">
        <v>1651</v>
      </c>
      <c r="M979" t="s">
        <v>1586</v>
      </c>
      <c r="N979" t="s">
        <v>784</v>
      </c>
      <c r="O979" t="s">
        <v>785</v>
      </c>
      <c r="P979" t="s">
        <v>788</v>
      </c>
      <c r="Q979" t="s">
        <v>55</v>
      </c>
      <c r="R979">
        <v>-19</v>
      </c>
      <c r="S979" s="15">
        <f>Table2[[#This Row],[movement_quantity]]/VLOOKUP(Table2[[#This Row],[product]],Ref[#All],5,FALSE)</f>
        <v>-0.47499999999999998</v>
      </c>
      <c r="T979">
        <v>11822.45469</v>
      </c>
      <c r="U979" t="s">
        <v>17</v>
      </c>
      <c r="V979" t="s">
        <v>28</v>
      </c>
      <c r="W979" t="s">
        <v>2515</v>
      </c>
      <c r="X979" t="s">
        <v>17</v>
      </c>
      <c r="Y979" s="2" t="s">
        <v>136</v>
      </c>
      <c r="Z979">
        <v>0</v>
      </c>
      <c r="AA979" s="2">
        <v>-224626.63911000002</v>
      </c>
      <c r="AB979" t="str">
        <f>VLOOKUP(Table2[[#This Row],[product]],Ref[#All],6,FALSE)</f>
        <v>BAG25</v>
      </c>
    </row>
    <row r="980" spans="1:28" x14ac:dyDescent="0.25">
      <c r="A980" t="str">
        <f>TEXT(Table2[[#This Row],[dated]],"mmm")</f>
        <v>Aug</v>
      </c>
      <c r="B980" s="28" t="s">
        <v>132</v>
      </c>
      <c r="C980" s="1" t="s">
        <v>536</v>
      </c>
      <c r="D980" t="str">
        <f>VLOOKUP(Table2[[#This Row],[product]],Ref[#All],7,FALSE)</f>
        <v>Rice</v>
      </c>
      <c r="E980" s="28" t="s">
        <v>133</v>
      </c>
      <c r="F980" t="str">
        <f>VLOOKUP(Table2[[#This Row],[product]],Ref[#All],2,FALSE)</f>
        <v>Rice Short Grain Dalian</v>
      </c>
      <c r="G980" t="str">
        <f>VLOOKUP(Table2[[#This Row],[product]],Ref[#All],3,FALSE)</f>
        <v>Rice Short Grain</v>
      </c>
      <c r="H980" t="str">
        <f>VLOOKUP(Table2[[#This Row],[product]],Ref[#All],4,FALSE)</f>
        <v>Import</v>
      </c>
      <c r="I980" s="1">
        <v>45897</v>
      </c>
      <c r="J980" t="s">
        <v>53</v>
      </c>
      <c r="K980" t="s">
        <v>2391</v>
      </c>
      <c r="L980" t="s">
        <v>1651</v>
      </c>
      <c r="M980" t="s">
        <v>1586</v>
      </c>
      <c r="N980" t="s">
        <v>784</v>
      </c>
      <c r="O980" t="s">
        <v>785</v>
      </c>
      <c r="P980" t="s">
        <v>788</v>
      </c>
      <c r="Q980" t="s">
        <v>55</v>
      </c>
      <c r="R980">
        <v>-9</v>
      </c>
      <c r="S980" s="15">
        <f>Table2[[#This Row],[movement_quantity]]/VLOOKUP(Table2[[#This Row],[product]],Ref[#All],5,FALSE)</f>
        <v>-0.22500000000000001</v>
      </c>
      <c r="T980">
        <v>11822.45469</v>
      </c>
      <c r="U980" t="s">
        <v>17</v>
      </c>
      <c r="V980" t="s">
        <v>29</v>
      </c>
      <c r="W980" t="s">
        <v>2516</v>
      </c>
      <c r="X980" t="s">
        <v>17</v>
      </c>
      <c r="Y980" s="2" t="s">
        <v>136</v>
      </c>
      <c r="Z980">
        <v>0</v>
      </c>
      <c r="AA980" s="2">
        <v>-106402.09221</v>
      </c>
      <c r="AB980" t="str">
        <f>VLOOKUP(Table2[[#This Row],[product]],Ref[#All],6,FALSE)</f>
        <v>BAG25</v>
      </c>
    </row>
    <row r="981" spans="1:28" x14ac:dyDescent="0.25">
      <c r="A981" t="str">
        <f>TEXT(Table2[[#This Row],[dated]],"mmm")</f>
        <v>Aug</v>
      </c>
      <c r="B981" s="28" t="s">
        <v>132</v>
      </c>
      <c r="C981" s="1" t="s">
        <v>536</v>
      </c>
      <c r="D981" t="str">
        <f>VLOOKUP(Table2[[#This Row],[product]],Ref[#All],7,FALSE)</f>
        <v>Rice</v>
      </c>
      <c r="E981" s="28" t="s">
        <v>133</v>
      </c>
      <c r="F981" t="str">
        <f>VLOOKUP(Table2[[#This Row],[product]],Ref[#All],2,FALSE)</f>
        <v>Rice Short Grain Dalian</v>
      </c>
      <c r="G981" t="str">
        <f>VLOOKUP(Table2[[#This Row],[product]],Ref[#All],3,FALSE)</f>
        <v>Rice Short Grain</v>
      </c>
      <c r="H981" t="str">
        <f>VLOOKUP(Table2[[#This Row],[product]],Ref[#All],4,FALSE)</f>
        <v>Import</v>
      </c>
      <c r="I981" s="1">
        <v>45897</v>
      </c>
      <c r="J981" t="s">
        <v>53</v>
      </c>
      <c r="K981" t="s">
        <v>2392</v>
      </c>
      <c r="L981" t="s">
        <v>1651</v>
      </c>
      <c r="M981" t="s">
        <v>1586</v>
      </c>
      <c r="N981" t="s">
        <v>784</v>
      </c>
      <c r="O981" t="s">
        <v>785</v>
      </c>
      <c r="P981" t="s">
        <v>788</v>
      </c>
      <c r="Q981" t="s">
        <v>55</v>
      </c>
      <c r="R981">
        <v>-1</v>
      </c>
      <c r="S981" s="15">
        <f>Table2[[#This Row],[movement_quantity]]/VLOOKUP(Table2[[#This Row],[product]],Ref[#All],5,FALSE)</f>
        <v>-2.5000000000000001E-2</v>
      </c>
      <c r="T981">
        <v>11822.45469</v>
      </c>
      <c r="U981" t="s">
        <v>17</v>
      </c>
      <c r="V981" t="s">
        <v>31</v>
      </c>
      <c r="W981" t="s">
        <v>2517</v>
      </c>
      <c r="X981" t="s">
        <v>17</v>
      </c>
      <c r="Y981" s="2" t="s">
        <v>136</v>
      </c>
      <c r="Z981">
        <v>0</v>
      </c>
      <c r="AA981" s="2">
        <v>-11822.45469</v>
      </c>
      <c r="AB981" t="str">
        <f>VLOOKUP(Table2[[#This Row],[product]],Ref[#All],6,FALSE)</f>
        <v>BAG25</v>
      </c>
    </row>
    <row r="982" spans="1:28" x14ac:dyDescent="0.25">
      <c r="A982" t="str">
        <f>TEXT(Table2[[#This Row],[dated]],"mmm")</f>
        <v>Aug</v>
      </c>
      <c r="B982" s="28" t="s">
        <v>132</v>
      </c>
      <c r="C982" s="1" t="s">
        <v>536</v>
      </c>
      <c r="D982" t="str">
        <f>VLOOKUP(Table2[[#This Row],[product]],Ref[#All],7,FALSE)</f>
        <v>Rice</v>
      </c>
      <c r="E982" s="28" t="s">
        <v>133</v>
      </c>
      <c r="F982" t="str">
        <f>VLOOKUP(Table2[[#This Row],[product]],Ref[#All],2,FALSE)</f>
        <v>Rice Short Grain Dalian</v>
      </c>
      <c r="G982" t="str">
        <f>VLOOKUP(Table2[[#This Row],[product]],Ref[#All],3,FALSE)</f>
        <v>Rice Short Grain</v>
      </c>
      <c r="H982" t="str">
        <f>VLOOKUP(Table2[[#This Row],[product]],Ref[#All],4,FALSE)</f>
        <v>Import</v>
      </c>
      <c r="I982" s="1">
        <v>45897</v>
      </c>
      <c r="J982" t="s">
        <v>53</v>
      </c>
      <c r="K982" t="s">
        <v>2393</v>
      </c>
      <c r="L982" t="s">
        <v>1651</v>
      </c>
      <c r="M982" t="s">
        <v>1586</v>
      </c>
      <c r="N982" t="s">
        <v>784</v>
      </c>
      <c r="O982" t="s">
        <v>785</v>
      </c>
      <c r="P982" t="s">
        <v>788</v>
      </c>
      <c r="Q982" t="s">
        <v>55</v>
      </c>
      <c r="R982">
        <v>-55</v>
      </c>
      <c r="S982" s="15">
        <f>Table2[[#This Row],[movement_quantity]]/VLOOKUP(Table2[[#This Row],[product]],Ref[#All],5,FALSE)</f>
        <v>-1.375</v>
      </c>
      <c r="T982">
        <v>11822.45469</v>
      </c>
      <c r="U982" t="s">
        <v>17</v>
      </c>
      <c r="V982" t="s">
        <v>32</v>
      </c>
      <c r="W982" t="s">
        <v>2518</v>
      </c>
      <c r="X982" t="s">
        <v>17</v>
      </c>
      <c r="Y982" s="2" t="s">
        <v>136</v>
      </c>
      <c r="Z982">
        <v>0</v>
      </c>
      <c r="AA982" s="2">
        <v>-650235.00795</v>
      </c>
      <c r="AB982" t="str">
        <f>VLOOKUP(Table2[[#This Row],[product]],Ref[#All],6,FALSE)</f>
        <v>BAG25</v>
      </c>
    </row>
    <row r="983" spans="1:28" x14ac:dyDescent="0.25">
      <c r="A983" t="str">
        <f>TEXT(Table2[[#This Row],[dated]],"mmm")</f>
        <v>Aug</v>
      </c>
      <c r="B983" s="28" t="s">
        <v>132</v>
      </c>
      <c r="C983" s="1" t="s">
        <v>536</v>
      </c>
      <c r="D983" t="str">
        <f>VLOOKUP(Table2[[#This Row],[product]],Ref[#All],7,FALSE)</f>
        <v>Rice</v>
      </c>
      <c r="E983" s="28" t="s">
        <v>133</v>
      </c>
      <c r="F983" t="str">
        <f>VLOOKUP(Table2[[#This Row],[product]],Ref[#All],2,FALSE)</f>
        <v>Rice Short Grain Dalian</v>
      </c>
      <c r="G983" t="str">
        <f>VLOOKUP(Table2[[#This Row],[product]],Ref[#All],3,FALSE)</f>
        <v>Rice Short Grain</v>
      </c>
      <c r="H983" t="str">
        <f>VLOOKUP(Table2[[#This Row],[product]],Ref[#All],4,FALSE)</f>
        <v>Import</v>
      </c>
      <c r="I983" s="1">
        <v>45897</v>
      </c>
      <c r="J983" t="s">
        <v>53</v>
      </c>
      <c r="K983" t="s">
        <v>2394</v>
      </c>
      <c r="L983" t="s">
        <v>1651</v>
      </c>
      <c r="M983" t="s">
        <v>1586</v>
      </c>
      <c r="N983" t="s">
        <v>784</v>
      </c>
      <c r="O983" t="s">
        <v>785</v>
      </c>
      <c r="P983" t="s">
        <v>788</v>
      </c>
      <c r="Q983" t="s">
        <v>55</v>
      </c>
      <c r="R983">
        <v>-35</v>
      </c>
      <c r="S983" s="15">
        <f>Table2[[#This Row],[movement_quantity]]/VLOOKUP(Table2[[#This Row],[product]],Ref[#All],5,FALSE)</f>
        <v>-0.875</v>
      </c>
      <c r="T983">
        <v>11822.45469</v>
      </c>
      <c r="U983" t="s">
        <v>17</v>
      </c>
      <c r="V983" t="s">
        <v>44</v>
      </c>
      <c r="W983" t="s">
        <v>2519</v>
      </c>
      <c r="X983" t="s">
        <v>17</v>
      </c>
      <c r="Y983" s="2" t="s">
        <v>136</v>
      </c>
      <c r="Z983">
        <v>0</v>
      </c>
      <c r="AA983" s="2">
        <v>-413785.91415000003</v>
      </c>
      <c r="AB983" t="str">
        <f>VLOOKUP(Table2[[#This Row],[product]],Ref[#All],6,FALSE)</f>
        <v>BAG25</v>
      </c>
    </row>
    <row r="984" spans="1:28" x14ac:dyDescent="0.25">
      <c r="A984" t="str">
        <f>TEXT(Table2[[#This Row],[dated]],"mmm")</f>
        <v>Aug</v>
      </c>
      <c r="B984" s="28" t="s">
        <v>132</v>
      </c>
      <c r="C984" s="1" t="s">
        <v>536</v>
      </c>
      <c r="D984" t="str">
        <f>VLOOKUP(Table2[[#This Row],[product]],Ref[#All],7,FALSE)</f>
        <v>Rice</v>
      </c>
      <c r="E984" s="28" t="s">
        <v>133</v>
      </c>
      <c r="F984" t="str">
        <f>VLOOKUP(Table2[[#This Row],[product]],Ref[#All],2,FALSE)</f>
        <v>Rice Short Grain Dalian</v>
      </c>
      <c r="G984" t="str">
        <f>VLOOKUP(Table2[[#This Row],[product]],Ref[#All],3,FALSE)</f>
        <v>Rice Short Grain</v>
      </c>
      <c r="H984" t="str">
        <f>VLOOKUP(Table2[[#This Row],[product]],Ref[#All],4,FALSE)</f>
        <v>Import</v>
      </c>
      <c r="I984" s="1">
        <v>45897</v>
      </c>
      <c r="J984" t="s">
        <v>53</v>
      </c>
      <c r="K984" t="s">
        <v>2395</v>
      </c>
      <c r="L984" t="s">
        <v>1651</v>
      </c>
      <c r="M984" t="s">
        <v>1586</v>
      </c>
      <c r="N984" t="s">
        <v>784</v>
      </c>
      <c r="O984" t="s">
        <v>785</v>
      </c>
      <c r="P984" t="s">
        <v>788</v>
      </c>
      <c r="Q984" t="s">
        <v>55</v>
      </c>
      <c r="R984">
        <v>-31</v>
      </c>
      <c r="S984" s="15">
        <f>Table2[[#This Row],[movement_quantity]]/VLOOKUP(Table2[[#This Row],[product]],Ref[#All],5,FALSE)</f>
        <v>-0.77500000000000002</v>
      </c>
      <c r="T984">
        <v>11822.45469</v>
      </c>
      <c r="U984" t="s">
        <v>17</v>
      </c>
      <c r="V984" t="s">
        <v>33</v>
      </c>
      <c r="W984" t="s">
        <v>2520</v>
      </c>
      <c r="X984" t="s">
        <v>17</v>
      </c>
      <c r="Y984" s="2" t="s">
        <v>136</v>
      </c>
      <c r="Z984">
        <v>0</v>
      </c>
      <c r="AA984" s="2">
        <v>-366496.09539000003</v>
      </c>
      <c r="AB984" t="str">
        <f>VLOOKUP(Table2[[#This Row],[product]],Ref[#All],6,FALSE)</f>
        <v>BAG25</v>
      </c>
    </row>
    <row r="985" spans="1:28" x14ac:dyDescent="0.25">
      <c r="A985" t="str">
        <f>TEXT(Table2[[#This Row],[dated]],"mmm")</f>
        <v>Aug</v>
      </c>
      <c r="B985" s="28" t="s">
        <v>132</v>
      </c>
      <c r="C985" s="1" t="s">
        <v>536</v>
      </c>
      <c r="D985" t="str">
        <f>VLOOKUP(Table2[[#This Row],[product]],Ref[#All],7,FALSE)</f>
        <v>Rice</v>
      </c>
      <c r="E985" s="28" t="s">
        <v>133</v>
      </c>
      <c r="F985" t="str">
        <f>VLOOKUP(Table2[[#This Row],[product]],Ref[#All],2,FALSE)</f>
        <v>Rice Short Grain Dalian</v>
      </c>
      <c r="G985" t="str">
        <f>VLOOKUP(Table2[[#This Row],[product]],Ref[#All],3,FALSE)</f>
        <v>Rice Short Grain</v>
      </c>
      <c r="H985" t="str">
        <f>VLOOKUP(Table2[[#This Row],[product]],Ref[#All],4,FALSE)</f>
        <v>Import</v>
      </c>
      <c r="I985" s="1">
        <v>45897</v>
      </c>
      <c r="J985" t="s">
        <v>53</v>
      </c>
      <c r="K985" t="s">
        <v>2396</v>
      </c>
      <c r="L985" t="s">
        <v>1651</v>
      </c>
      <c r="M985" t="s">
        <v>1586</v>
      </c>
      <c r="N985" t="s">
        <v>784</v>
      </c>
      <c r="O985" t="s">
        <v>785</v>
      </c>
      <c r="P985" t="s">
        <v>788</v>
      </c>
      <c r="Q985" t="s">
        <v>55</v>
      </c>
      <c r="R985">
        <v>-25</v>
      </c>
      <c r="S985" s="15">
        <f>Table2[[#This Row],[movement_quantity]]/VLOOKUP(Table2[[#This Row],[product]],Ref[#All],5,FALSE)</f>
        <v>-0.625</v>
      </c>
      <c r="T985">
        <v>11822.45469</v>
      </c>
      <c r="U985" t="s">
        <v>17</v>
      </c>
      <c r="V985" t="s">
        <v>34</v>
      </c>
      <c r="W985" t="s">
        <v>2521</v>
      </c>
      <c r="X985" t="s">
        <v>17</v>
      </c>
      <c r="Y985" s="2" t="s">
        <v>136</v>
      </c>
      <c r="Z985">
        <v>0</v>
      </c>
      <c r="AA985" s="2">
        <v>-295561.36725000001</v>
      </c>
      <c r="AB985" t="str">
        <f>VLOOKUP(Table2[[#This Row],[product]],Ref[#All],6,FALSE)</f>
        <v>BAG25</v>
      </c>
    </row>
    <row r="986" spans="1:28" x14ac:dyDescent="0.25">
      <c r="A986" t="str">
        <f>TEXT(Table2[[#This Row],[dated]],"mmm")</f>
        <v>Aug</v>
      </c>
      <c r="B986" s="28" t="s">
        <v>132</v>
      </c>
      <c r="C986" s="1" t="s">
        <v>536</v>
      </c>
      <c r="D986" t="str">
        <f>VLOOKUP(Table2[[#This Row],[product]],Ref[#All],7,FALSE)</f>
        <v>Rice</v>
      </c>
      <c r="E986" s="28" t="s">
        <v>133</v>
      </c>
      <c r="F986" t="str">
        <f>VLOOKUP(Table2[[#This Row],[product]],Ref[#All],2,FALSE)</f>
        <v>Rice Short Grain Dalian</v>
      </c>
      <c r="G986" t="str">
        <f>VLOOKUP(Table2[[#This Row],[product]],Ref[#All],3,FALSE)</f>
        <v>Rice Short Grain</v>
      </c>
      <c r="H986" t="str">
        <f>VLOOKUP(Table2[[#This Row],[product]],Ref[#All],4,FALSE)</f>
        <v>Import</v>
      </c>
      <c r="I986" s="1">
        <v>45897</v>
      </c>
      <c r="J986" t="s">
        <v>53</v>
      </c>
      <c r="K986" t="s">
        <v>2397</v>
      </c>
      <c r="L986" t="s">
        <v>1651</v>
      </c>
      <c r="M986" t="s">
        <v>1586</v>
      </c>
      <c r="N986" t="s">
        <v>784</v>
      </c>
      <c r="O986" t="s">
        <v>785</v>
      </c>
      <c r="P986" t="s">
        <v>788</v>
      </c>
      <c r="Q986" t="s">
        <v>55</v>
      </c>
      <c r="R986">
        <v>-3</v>
      </c>
      <c r="S986" s="15">
        <f>Table2[[#This Row],[movement_quantity]]/VLOOKUP(Table2[[#This Row],[product]],Ref[#All],5,FALSE)</f>
        <v>-7.4999999999999997E-2</v>
      </c>
      <c r="T986">
        <v>11822.45469</v>
      </c>
      <c r="U986" t="s">
        <v>17</v>
      </c>
      <c r="V986" t="s">
        <v>1282</v>
      </c>
      <c r="W986" t="s">
        <v>2522</v>
      </c>
      <c r="X986" t="s">
        <v>17</v>
      </c>
      <c r="Y986" s="2" t="s">
        <v>136</v>
      </c>
      <c r="Z986">
        <v>0</v>
      </c>
      <c r="AA986" s="2">
        <v>-35467.364070000003</v>
      </c>
      <c r="AB986" t="str">
        <f>VLOOKUP(Table2[[#This Row],[product]],Ref[#All],6,FALSE)</f>
        <v>BAG25</v>
      </c>
    </row>
    <row r="987" spans="1:28" x14ac:dyDescent="0.25">
      <c r="A987" t="str">
        <f>TEXT(Table2[[#This Row],[dated]],"mmm")</f>
        <v>Aug</v>
      </c>
      <c r="B987" s="28" t="s">
        <v>132</v>
      </c>
      <c r="C987" s="1" t="s">
        <v>536</v>
      </c>
      <c r="D987" t="str">
        <f>VLOOKUP(Table2[[#This Row],[product]],Ref[#All],7,FALSE)</f>
        <v>Rice</v>
      </c>
      <c r="E987" s="28" t="s">
        <v>133</v>
      </c>
      <c r="F987" t="str">
        <f>VLOOKUP(Table2[[#This Row],[product]],Ref[#All],2,FALSE)</f>
        <v>Rice Short Grain Dalian</v>
      </c>
      <c r="G987" t="str">
        <f>VLOOKUP(Table2[[#This Row],[product]],Ref[#All],3,FALSE)</f>
        <v>Rice Short Grain</v>
      </c>
      <c r="H987" t="str">
        <f>VLOOKUP(Table2[[#This Row],[product]],Ref[#All],4,FALSE)</f>
        <v>Import</v>
      </c>
      <c r="I987" s="1">
        <v>45897</v>
      </c>
      <c r="J987" t="s">
        <v>53</v>
      </c>
      <c r="K987" t="s">
        <v>2398</v>
      </c>
      <c r="L987" t="s">
        <v>1651</v>
      </c>
      <c r="M987" t="s">
        <v>1586</v>
      </c>
      <c r="N987" t="s">
        <v>784</v>
      </c>
      <c r="O987" t="s">
        <v>785</v>
      </c>
      <c r="P987" t="s">
        <v>788</v>
      </c>
      <c r="Q987" t="s">
        <v>55</v>
      </c>
      <c r="R987">
        <v>-5</v>
      </c>
      <c r="S987" s="15">
        <f>Table2[[#This Row],[movement_quantity]]/VLOOKUP(Table2[[#This Row],[product]],Ref[#All],5,FALSE)</f>
        <v>-0.125</v>
      </c>
      <c r="T987">
        <v>11822.45469</v>
      </c>
      <c r="U987" t="s">
        <v>17</v>
      </c>
      <c r="V987" t="s">
        <v>1352</v>
      </c>
      <c r="W987" t="s">
        <v>2523</v>
      </c>
      <c r="X987" t="s">
        <v>17</v>
      </c>
      <c r="Y987" s="2" t="s">
        <v>136</v>
      </c>
      <c r="Z987">
        <v>0</v>
      </c>
      <c r="AA987" s="2">
        <v>-59112.273450000001</v>
      </c>
      <c r="AB987" t="str">
        <f>VLOOKUP(Table2[[#This Row],[product]],Ref[#All],6,FALSE)</f>
        <v>BAG25</v>
      </c>
    </row>
    <row r="988" spans="1:28" x14ac:dyDescent="0.25">
      <c r="A988" t="str">
        <f>TEXT(Table2[[#This Row],[dated]],"mmm")</f>
        <v>Aug</v>
      </c>
      <c r="B988" s="28" t="s">
        <v>132</v>
      </c>
      <c r="C988" s="1" t="s">
        <v>536</v>
      </c>
      <c r="D988" t="str">
        <f>VLOOKUP(Table2[[#This Row],[product]],Ref[#All],7,FALSE)</f>
        <v>Rice</v>
      </c>
      <c r="E988" s="28" t="s">
        <v>133</v>
      </c>
      <c r="F988" t="str">
        <f>VLOOKUP(Table2[[#This Row],[product]],Ref[#All],2,FALSE)</f>
        <v>Rice Short Grain Dalian</v>
      </c>
      <c r="G988" t="str">
        <f>VLOOKUP(Table2[[#This Row],[product]],Ref[#All],3,FALSE)</f>
        <v>Rice Short Grain</v>
      </c>
      <c r="H988" t="str">
        <f>VLOOKUP(Table2[[#This Row],[product]],Ref[#All],4,FALSE)</f>
        <v>Import</v>
      </c>
      <c r="I988" s="1">
        <v>45897</v>
      </c>
      <c r="J988" t="s">
        <v>53</v>
      </c>
      <c r="K988" t="s">
        <v>2399</v>
      </c>
      <c r="L988" t="s">
        <v>1651</v>
      </c>
      <c r="M988" t="s">
        <v>1586</v>
      </c>
      <c r="N988" t="s">
        <v>784</v>
      </c>
      <c r="O988" t="s">
        <v>785</v>
      </c>
      <c r="P988" t="s">
        <v>788</v>
      </c>
      <c r="Q988" t="s">
        <v>55</v>
      </c>
      <c r="R988">
        <v>-7</v>
      </c>
      <c r="S988" s="15">
        <f>Table2[[#This Row],[movement_quantity]]/VLOOKUP(Table2[[#This Row],[product]],Ref[#All],5,FALSE)</f>
        <v>-0.17499999999999999</v>
      </c>
      <c r="T988">
        <v>11822.45469</v>
      </c>
      <c r="U988" t="s">
        <v>17</v>
      </c>
      <c r="V988" t="s">
        <v>1355</v>
      </c>
      <c r="W988" t="s">
        <v>2524</v>
      </c>
      <c r="X988" t="s">
        <v>17</v>
      </c>
      <c r="Y988" s="2" t="s">
        <v>136</v>
      </c>
      <c r="Z988">
        <v>0</v>
      </c>
      <c r="AA988" s="2">
        <v>-82757.182830000005</v>
      </c>
      <c r="AB988" t="str">
        <f>VLOOKUP(Table2[[#This Row],[product]],Ref[#All],6,FALSE)</f>
        <v>BAG25</v>
      </c>
    </row>
    <row r="989" spans="1:28" x14ac:dyDescent="0.25">
      <c r="A989" t="str">
        <f>TEXT(Table2[[#This Row],[dated]],"mmm")</f>
        <v>Aug</v>
      </c>
      <c r="B989" s="28" t="s">
        <v>132</v>
      </c>
      <c r="C989" s="1" t="s">
        <v>536</v>
      </c>
      <c r="D989" t="str">
        <f>VLOOKUP(Table2[[#This Row],[product]],Ref[#All],7,FALSE)</f>
        <v>Rice</v>
      </c>
      <c r="E989" s="28" t="s">
        <v>133</v>
      </c>
      <c r="F989" t="str">
        <f>VLOOKUP(Table2[[#This Row],[product]],Ref[#All],2,FALSE)</f>
        <v>Rice Short Grain Dalian</v>
      </c>
      <c r="G989" t="str">
        <f>VLOOKUP(Table2[[#This Row],[product]],Ref[#All],3,FALSE)</f>
        <v>Rice Short Grain</v>
      </c>
      <c r="H989" t="str">
        <f>VLOOKUP(Table2[[#This Row],[product]],Ref[#All],4,FALSE)</f>
        <v>Import</v>
      </c>
      <c r="I989" s="1">
        <v>45897</v>
      </c>
      <c r="J989" t="s">
        <v>53</v>
      </c>
      <c r="K989" t="s">
        <v>2400</v>
      </c>
      <c r="L989" t="s">
        <v>1651</v>
      </c>
      <c r="M989" t="s">
        <v>1586</v>
      </c>
      <c r="N989" t="s">
        <v>784</v>
      </c>
      <c r="O989" t="s">
        <v>785</v>
      </c>
      <c r="P989" t="s">
        <v>788</v>
      </c>
      <c r="Q989" t="s">
        <v>55</v>
      </c>
      <c r="R989">
        <v>-51</v>
      </c>
      <c r="S989" s="15">
        <f>Table2[[#This Row],[movement_quantity]]/VLOOKUP(Table2[[#This Row],[product]],Ref[#All],5,FALSE)</f>
        <v>-1.2749999999999999</v>
      </c>
      <c r="T989">
        <v>11822.45469</v>
      </c>
      <c r="U989" t="s">
        <v>17</v>
      </c>
      <c r="V989" t="s">
        <v>1358</v>
      </c>
      <c r="W989" t="s">
        <v>2525</v>
      </c>
      <c r="X989" t="s">
        <v>17</v>
      </c>
      <c r="Y989" s="2" t="s">
        <v>136</v>
      </c>
      <c r="Z989">
        <v>0</v>
      </c>
      <c r="AA989" s="2">
        <v>-602945.18919000006</v>
      </c>
      <c r="AB989" t="str">
        <f>VLOOKUP(Table2[[#This Row],[product]],Ref[#All],6,FALSE)</f>
        <v>BAG25</v>
      </c>
    </row>
    <row r="990" spans="1:28" x14ac:dyDescent="0.25">
      <c r="A990" t="str">
        <f>TEXT(Table2[[#This Row],[dated]],"mmm")</f>
        <v>Aug</v>
      </c>
      <c r="B990" s="28" t="s">
        <v>132</v>
      </c>
      <c r="C990" s="1" t="s">
        <v>536</v>
      </c>
      <c r="D990" t="str">
        <f>VLOOKUP(Table2[[#This Row],[product]],Ref[#All],7,FALSE)</f>
        <v>Rice</v>
      </c>
      <c r="E990" s="28" t="s">
        <v>133</v>
      </c>
      <c r="F990" t="str">
        <f>VLOOKUP(Table2[[#This Row],[product]],Ref[#All],2,FALSE)</f>
        <v>Rice Short Grain Dalian</v>
      </c>
      <c r="G990" t="str">
        <f>VLOOKUP(Table2[[#This Row],[product]],Ref[#All],3,FALSE)</f>
        <v>Rice Short Grain</v>
      </c>
      <c r="H990" t="str">
        <f>VLOOKUP(Table2[[#This Row],[product]],Ref[#All],4,FALSE)</f>
        <v>Import</v>
      </c>
      <c r="I990" s="1">
        <v>45897</v>
      </c>
      <c r="J990" t="s">
        <v>53</v>
      </c>
      <c r="K990" t="s">
        <v>2401</v>
      </c>
      <c r="L990" t="s">
        <v>1651</v>
      </c>
      <c r="M990" t="s">
        <v>1586</v>
      </c>
      <c r="N990" t="s">
        <v>784</v>
      </c>
      <c r="O990" t="s">
        <v>785</v>
      </c>
      <c r="P990" t="s">
        <v>788</v>
      </c>
      <c r="Q990" t="s">
        <v>55</v>
      </c>
      <c r="R990">
        <v>-34</v>
      </c>
      <c r="S990" s="15">
        <f>Table2[[#This Row],[movement_quantity]]/VLOOKUP(Table2[[#This Row],[product]],Ref[#All],5,FALSE)</f>
        <v>-0.85</v>
      </c>
      <c r="T990">
        <v>11822.45469</v>
      </c>
      <c r="U990" t="s">
        <v>17</v>
      </c>
      <c r="V990" t="s">
        <v>1361</v>
      </c>
      <c r="W990" t="s">
        <v>2526</v>
      </c>
      <c r="X990" t="s">
        <v>17</v>
      </c>
      <c r="Y990" s="2" t="s">
        <v>136</v>
      </c>
      <c r="Z990">
        <v>0</v>
      </c>
      <c r="AA990" s="2">
        <v>-401963.45946000004</v>
      </c>
      <c r="AB990" t="str">
        <f>VLOOKUP(Table2[[#This Row],[product]],Ref[#All],6,FALSE)</f>
        <v>BAG25</v>
      </c>
    </row>
    <row r="991" spans="1:28" x14ac:dyDescent="0.25">
      <c r="A991" t="str">
        <f>TEXT(Table2[[#This Row],[dated]],"mmm")</f>
        <v>Aug</v>
      </c>
      <c r="B991" s="28" t="s">
        <v>132</v>
      </c>
      <c r="C991" s="1" t="s">
        <v>536</v>
      </c>
      <c r="D991" t="str">
        <f>VLOOKUP(Table2[[#This Row],[product]],Ref[#All],7,FALSE)</f>
        <v>Rice</v>
      </c>
      <c r="E991" s="28" t="s">
        <v>133</v>
      </c>
      <c r="F991" t="str">
        <f>VLOOKUP(Table2[[#This Row],[product]],Ref[#All],2,FALSE)</f>
        <v>Rice Short Grain Dalian</v>
      </c>
      <c r="G991" t="str">
        <f>VLOOKUP(Table2[[#This Row],[product]],Ref[#All],3,FALSE)</f>
        <v>Rice Short Grain</v>
      </c>
      <c r="H991" t="str">
        <f>VLOOKUP(Table2[[#This Row],[product]],Ref[#All],4,FALSE)</f>
        <v>Import</v>
      </c>
      <c r="I991" s="1">
        <v>45897</v>
      </c>
      <c r="J991" t="s">
        <v>53</v>
      </c>
      <c r="K991" t="s">
        <v>2402</v>
      </c>
      <c r="L991" t="s">
        <v>1651</v>
      </c>
      <c r="M991" t="s">
        <v>1586</v>
      </c>
      <c r="N991" t="s">
        <v>784</v>
      </c>
      <c r="O991" t="s">
        <v>785</v>
      </c>
      <c r="P991" t="s">
        <v>788</v>
      </c>
      <c r="Q991" t="s">
        <v>55</v>
      </c>
      <c r="R991">
        <v>-19</v>
      </c>
      <c r="S991" s="15">
        <f>Table2[[#This Row],[movement_quantity]]/VLOOKUP(Table2[[#This Row],[product]],Ref[#All],5,FALSE)</f>
        <v>-0.47499999999999998</v>
      </c>
      <c r="T991">
        <v>11822.45469</v>
      </c>
      <c r="U991" t="s">
        <v>17</v>
      </c>
      <c r="V991" t="s">
        <v>1364</v>
      </c>
      <c r="W991" t="s">
        <v>2527</v>
      </c>
      <c r="X991" t="s">
        <v>17</v>
      </c>
      <c r="Y991" s="2" t="s">
        <v>136</v>
      </c>
      <c r="Z991">
        <v>0</v>
      </c>
      <c r="AA991" s="2">
        <v>-224626.63911000002</v>
      </c>
      <c r="AB991" t="str">
        <f>VLOOKUP(Table2[[#This Row],[product]],Ref[#All],6,FALSE)</f>
        <v>BAG25</v>
      </c>
    </row>
    <row r="992" spans="1:28" x14ac:dyDescent="0.25">
      <c r="A992" t="str">
        <f>TEXT(Table2[[#This Row],[dated]],"mmm")</f>
        <v>Sep</v>
      </c>
      <c r="B992" t="s">
        <v>52</v>
      </c>
      <c r="C992" s="1" t="s">
        <v>536</v>
      </c>
      <c r="D992" t="str">
        <f>VLOOKUP(Table2[[#This Row],[product]],Ref[#All],7,FALSE)</f>
        <v>Lentils</v>
      </c>
      <c r="E992" s="28" t="s">
        <v>39</v>
      </c>
      <c r="F992" t="str">
        <f>VLOOKUP(Table2[[#This Row],[product]],Ref[#All],2,FALSE)</f>
        <v>Lentil TAT 20KG</v>
      </c>
      <c r="G992" t="str">
        <f>VLOOKUP(Table2[[#This Row],[product]],Ref[#All],3,FALSE)</f>
        <v>Lentils</v>
      </c>
      <c r="H992" t="str">
        <f>VLOOKUP(Table2[[#This Row],[product]],Ref[#All],4,FALSE)</f>
        <v>Import</v>
      </c>
      <c r="I992" s="1">
        <v>45910</v>
      </c>
      <c r="J992" s="28" t="s">
        <v>53</v>
      </c>
      <c r="K992" t="s">
        <v>2566</v>
      </c>
      <c r="L992" t="s">
        <v>1651</v>
      </c>
      <c r="M992" t="s">
        <v>1586</v>
      </c>
      <c r="N992" t="s">
        <v>784</v>
      </c>
      <c r="O992" t="s">
        <v>785</v>
      </c>
      <c r="P992" t="s">
        <v>788</v>
      </c>
      <c r="Q992" s="38" t="s">
        <v>55</v>
      </c>
      <c r="R992">
        <v>-9</v>
      </c>
      <c r="S992" s="15">
        <f>Table2[[#This Row],[movement_quantity]]/VLOOKUP(Table2[[#This Row],[product]],Ref[#All],5,FALSE)</f>
        <v>-0.18</v>
      </c>
      <c r="T992">
        <v>45680.80154</v>
      </c>
      <c r="U992" t="s">
        <v>17</v>
      </c>
      <c r="V992" t="s">
        <v>18</v>
      </c>
      <c r="W992" t="s">
        <v>2610</v>
      </c>
      <c r="X992" t="s">
        <v>17</v>
      </c>
      <c r="Y992" s="2" t="s">
        <v>2611</v>
      </c>
      <c r="Z992">
        <v>0</v>
      </c>
      <c r="AA992" s="2">
        <v>-411127.21386000002</v>
      </c>
      <c r="AB992" t="str">
        <f>VLOOKUP(Table2[[#This Row],[product]],Ref[#All],6,FALSE)</f>
        <v>BAG20</v>
      </c>
    </row>
    <row r="993" spans="1:28" x14ac:dyDescent="0.25">
      <c r="A993" t="str">
        <f>TEXT(Table2[[#This Row],[dated]],"mmm")</f>
        <v>Sep</v>
      </c>
      <c r="B993" t="s">
        <v>52</v>
      </c>
      <c r="C993" s="1" t="s">
        <v>536</v>
      </c>
      <c r="D993" t="str">
        <f>VLOOKUP(Table2[[#This Row],[product]],Ref[#All],7,FALSE)</f>
        <v>Lentils</v>
      </c>
      <c r="E993" s="28" t="s">
        <v>39</v>
      </c>
      <c r="F993" t="str">
        <f>VLOOKUP(Table2[[#This Row],[product]],Ref[#All],2,FALSE)</f>
        <v>Lentil TAT 20KG</v>
      </c>
      <c r="G993" t="str">
        <f>VLOOKUP(Table2[[#This Row],[product]],Ref[#All],3,FALSE)</f>
        <v>Lentils</v>
      </c>
      <c r="H993" t="str">
        <f>VLOOKUP(Table2[[#This Row],[product]],Ref[#All],4,FALSE)</f>
        <v>Import</v>
      </c>
      <c r="I993" s="1">
        <v>45910</v>
      </c>
      <c r="J993" s="28" t="s">
        <v>53</v>
      </c>
      <c r="K993" t="s">
        <v>2566</v>
      </c>
      <c r="L993" t="s">
        <v>1651</v>
      </c>
      <c r="M993" t="s">
        <v>1586</v>
      </c>
      <c r="N993" t="s">
        <v>784</v>
      </c>
      <c r="O993" t="s">
        <v>785</v>
      </c>
      <c r="P993" t="s">
        <v>788</v>
      </c>
      <c r="Q993" s="38" t="s">
        <v>55</v>
      </c>
      <c r="R993">
        <v>-17</v>
      </c>
      <c r="S993" s="15">
        <f>Table2[[#This Row],[movement_quantity]]/VLOOKUP(Table2[[#This Row],[product]],Ref[#All],5,FALSE)</f>
        <v>-0.34</v>
      </c>
      <c r="T993">
        <v>45680.80154</v>
      </c>
      <c r="U993" t="s">
        <v>17</v>
      </c>
      <c r="V993" t="s">
        <v>21</v>
      </c>
      <c r="W993" t="s">
        <v>2610</v>
      </c>
      <c r="X993" t="s">
        <v>17</v>
      </c>
      <c r="Y993" s="2" t="s">
        <v>2611</v>
      </c>
      <c r="Z993">
        <v>0</v>
      </c>
      <c r="AA993" s="2">
        <v>-776573.62618000002</v>
      </c>
      <c r="AB993" t="str">
        <f>VLOOKUP(Table2[[#This Row],[product]],Ref[#All],6,FALSE)</f>
        <v>BAG20</v>
      </c>
    </row>
    <row r="994" spans="1:28" x14ac:dyDescent="0.25">
      <c r="A994" t="str">
        <f>TEXT(Table2[[#This Row],[dated]],"mmm")</f>
        <v>Sep</v>
      </c>
      <c r="B994" t="s">
        <v>52</v>
      </c>
      <c r="C994" s="1" t="s">
        <v>536</v>
      </c>
      <c r="D994" t="str">
        <f>VLOOKUP(Table2[[#This Row],[product]],Ref[#All],7,FALSE)</f>
        <v>Lentils</v>
      </c>
      <c r="E994" s="28" t="s">
        <v>39</v>
      </c>
      <c r="F994" t="str">
        <f>VLOOKUP(Table2[[#This Row],[product]],Ref[#All],2,FALSE)</f>
        <v>Lentil TAT 20KG</v>
      </c>
      <c r="G994" t="str">
        <f>VLOOKUP(Table2[[#This Row],[product]],Ref[#All],3,FALSE)</f>
        <v>Lentils</v>
      </c>
      <c r="H994" t="str">
        <f>VLOOKUP(Table2[[#This Row],[product]],Ref[#All],4,FALSE)</f>
        <v>Import</v>
      </c>
      <c r="I994" s="1">
        <v>45910</v>
      </c>
      <c r="J994" s="28" t="s">
        <v>53</v>
      </c>
      <c r="K994" s="33" t="s">
        <v>2567</v>
      </c>
      <c r="L994" t="s">
        <v>1651</v>
      </c>
      <c r="M994" t="s">
        <v>1586</v>
      </c>
      <c r="N994" t="s">
        <v>784</v>
      </c>
      <c r="O994" t="s">
        <v>785</v>
      </c>
      <c r="P994" t="s">
        <v>788</v>
      </c>
      <c r="Q994" s="38" t="s">
        <v>55</v>
      </c>
      <c r="R994">
        <v>-2</v>
      </c>
      <c r="S994" s="15">
        <f>Table2[[#This Row],[movement_quantity]]/VLOOKUP(Table2[[#This Row],[product]],Ref[#All],5,FALSE)</f>
        <v>-0.04</v>
      </c>
      <c r="T994">
        <v>45680.80154</v>
      </c>
      <c r="U994" t="s">
        <v>17</v>
      </c>
      <c r="V994" t="s">
        <v>22</v>
      </c>
      <c r="W994" t="s">
        <v>2612</v>
      </c>
      <c r="X994" t="s">
        <v>17</v>
      </c>
      <c r="Y994" s="2" t="s">
        <v>2611</v>
      </c>
      <c r="Z994">
        <v>0</v>
      </c>
      <c r="AA994" s="2">
        <v>-91361.603080000001</v>
      </c>
      <c r="AB994" t="str">
        <f>VLOOKUP(Table2[[#This Row],[product]],Ref[#All],6,FALSE)</f>
        <v>BAG20</v>
      </c>
    </row>
    <row r="995" spans="1:28" x14ac:dyDescent="0.25">
      <c r="A995" t="str">
        <f>TEXT(Table2[[#This Row],[dated]],"mmm")</f>
        <v>Sep</v>
      </c>
      <c r="B995" t="s">
        <v>52</v>
      </c>
      <c r="C995" s="1" t="s">
        <v>536</v>
      </c>
      <c r="D995" t="str">
        <f>VLOOKUP(Table2[[#This Row],[product]],Ref[#All],7,FALSE)</f>
        <v>Lentils</v>
      </c>
      <c r="E995" s="28" t="s">
        <v>39</v>
      </c>
      <c r="F995" t="str">
        <f>VLOOKUP(Table2[[#This Row],[product]],Ref[#All],2,FALSE)</f>
        <v>Lentil TAT 20KG</v>
      </c>
      <c r="G995" t="str">
        <f>VLOOKUP(Table2[[#This Row],[product]],Ref[#All],3,FALSE)</f>
        <v>Lentils</v>
      </c>
      <c r="H995" t="str">
        <f>VLOOKUP(Table2[[#This Row],[product]],Ref[#All],4,FALSE)</f>
        <v>Import</v>
      </c>
      <c r="I995" s="1">
        <v>45910</v>
      </c>
      <c r="J995" s="28" t="s">
        <v>53</v>
      </c>
      <c r="K995" s="33" t="s">
        <v>2568</v>
      </c>
      <c r="L995" t="s">
        <v>1651</v>
      </c>
      <c r="M995" t="s">
        <v>1586</v>
      </c>
      <c r="N995" t="s">
        <v>784</v>
      </c>
      <c r="O995" t="s">
        <v>785</v>
      </c>
      <c r="P995" t="s">
        <v>788</v>
      </c>
      <c r="Q995" s="38" t="s">
        <v>55</v>
      </c>
      <c r="R995">
        <v>-1</v>
      </c>
      <c r="S995" s="15">
        <f>Table2[[#This Row],[movement_quantity]]/VLOOKUP(Table2[[#This Row],[product]],Ref[#All],5,FALSE)</f>
        <v>-0.02</v>
      </c>
      <c r="T995">
        <v>45680.80154</v>
      </c>
      <c r="U995" t="s">
        <v>17</v>
      </c>
      <c r="V995" t="s">
        <v>23</v>
      </c>
      <c r="W995" t="s">
        <v>2613</v>
      </c>
      <c r="X995" t="s">
        <v>17</v>
      </c>
      <c r="Y995" s="2" t="s">
        <v>2611</v>
      </c>
      <c r="Z995">
        <v>0</v>
      </c>
      <c r="AA995" s="2">
        <v>-45680.80154</v>
      </c>
      <c r="AB995" t="str">
        <f>VLOOKUP(Table2[[#This Row],[product]],Ref[#All],6,FALSE)</f>
        <v>BAG20</v>
      </c>
    </row>
    <row r="996" spans="1:28" x14ac:dyDescent="0.25">
      <c r="A996" t="str">
        <f>TEXT(Table2[[#This Row],[dated]],"mmm")</f>
        <v>Sep</v>
      </c>
      <c r="B996" t="s">
        <v>52</v>
      </c>
      <c r="C996" s="1" t="s">
        <v>536</v>
      </c>
      <c r="D996" t="str">
        <f>VLOOKUP(Table2[[#This Row],[product]],Ref[#All],7,FALSE)</f>
        <v>Lentils</v>
      </c>
      <c r="E996" s="28" t="s">
        <v>39</v>
      </c>
      <c r="F996" t="str">
        <f>VLOOKUP(Table2[[#This Row],[product]],Ref[#All],2,FALSE)</f>
        <v>Lentil TAT 20KG</v>
      </c>
      <c r="G996" t="str">
        <f>VLOOKUP(Table2[[#This Row],[product]],Ref[#All],3,FALSE)</f>
        <v>Lentils</v>
      </c>
      <c r="H996" t="str">
        <f>VLOOKUP(Table2[[#This Row],[product]],Ref[#All],4,FALSE)</f>
        <v>Import</v>
      </c>
      <c r="I996" s="1">
        <v>45910</v>
      </c>
      <c r="J996" s="28" t="s">
        <v>53</v>
      </c>
      <c r="K996" s="33" t="s">
        <v>2569</v>
      </c>
      <c r="L996" t="s">
        <v>1651</v>
      </c>
      <c r="M996" t="s">
        <v>1586</v>
      </c>
      <c r="N996" t="s">
        <v>784</v>
      </c>
      <c r="O996" t="s">
        <v>785</v>
      </c>
      <c r="P996" t="s">
        <v>788</v>
      </c>
      <c r="Q996" s="38" t="s">
        <v>55</v>
      </c>
      <c r="R996">
        <v>-1</v>
      </c>
      <c r="S996" s="15">
        <f>Table2[[#This Row],[movement_quantity]]/VLOOKUP(Table2[[#This Row],[product]],Ref[#All],5,FALSE)</f>
        <v>-0.02</v>
      </c>
      <c r="T996">
        <v>45680.80154</v>
      </c>
      <c r="U996" t="s">
        <v>17</v>
      </c>
      <c r="V996" t="s">
        <v>24</v>
      </c>
      <c r="W996" t="s">
        <v>2614</v>
      </c>
      <c r="X996" t="s">
        <v>17</v>
      </c>
      <c r="Y996" s="2" t="s">
        <v>2611</v>
      </c>
      <c r="Z996">
        <v>0</v>
      </c>
      <c r="AA996" s="2">
        <v>-45680.80154</v>
      </c>
      <c r="AB996" t="str">
        <f>VLOOKUP(Table2[[#This Row],[product]],Ref[#All],6,FALSE)</f>
        <v>BAG20</v>
      </c>
    </row>
    <row r="997" spans="1:28" x14ac:dyDescent="0.25">
      <c r="A997" t="str">
        <f>TEXT(Table2[[#This Row],[dated]],"mmm")</f>
        <v>Sep</v>
      </c>
      <c r="B997" t="s">
        <v>52</v>
      </c>
      <c r="C997" s="1" t="s">
        <v>536</v>
      </c>
      <c r="D997" t="str">
        <f>VLOOKUP(Table2[[#This Row],[product]],Ref[#All],7,FALSE)</f>
        <v>Lentils</v>
      </c>
      <c r="E997" s="28" t="s">
        <v>39</v>
      </c>
      <c r="F997" t="str">
        <f>VLOOKUP(Table2[[#This Row],[product]],Ref[#All],2,FALSE)</f>
        <v>Lentil TAT 20KG</v>
      </c>
      <c r="G997" t="str">
        <f>VLOOKUP(Table2[[#This Row],[product]],Ref[#All],3,FALSE)</f>
        <v>Lentils</v>
      </c>
      <c r="H997" t="str">
        <f>VLOOKUP(Table2[[#This Row],[product]],Ref[#All],4,FALSE)</f>
        <v>Import</v>
      </c>
      <c r="I997" s="1">
        <v>45910</v>
      </c>
      <c r="J997" s="28" t="s">
        <v>53</v>
      </c>
      <c r="K997" s="33" t="s">
        <v>2570</v>
      </c>
      <c r="L997" t="s">
        <v>1651</v>
      </c>
      <c r="M997" t="s">
        <v>1586</v>
      </c>
      <c r="N997" t="s">
        <v>784</v>
      </c>
      <c r="O997" t="s">
        <v>785</v>
      </c>
      <c r="P997" t="s">
        <v>788</v>
      </c>
      <c r="Q997" s="38" t="s">
        <v>55</v>
      </c>
      <c r="R997">
        <v>-2</v>
      </c>
      <c r="S997" s="15">
        <f>Table2[[#This Row],[movement_quantity]]/VLOOKUP(Table2[[#This Row],[product]],Ref[#All],5,FALSE)</f>
        <v>-0.04</v>
      </c>
      <c r="T997">
        <v>45680.80154</v>
      </c>
      <c r="U997" t="s">
        <v>17</v>
      </c>
      <c r="V997" t="s">
        <v>25</v>
      </c>
      <c r="W997" t="s">
        <v>2615</v>
      </c>
      <c r="X997" t="s">
        <v>17</v>
      </c>
      <c r="Y997" s="2" t="s">
        <v>2611</v>
      </c>
      <c r="Z997">
        <v>0</v>
      </c>
      <c r="AA997" s="2">
        <v>-91361.603080000001</v>
      </c>
      <c r="AB997" t="str">
        <f>VLOOKUP(Table2[[#This Row],[product]],Ref[#All],6,FALSE)</f>
        <v>BAG20</v>
      </c>
    </row>
    <row r="998" spans="1:28" x14ac:dyDescent="0.25">
      <c r="A998" t="str">
        <f>TEXT(Table2[[#This Row],[dated]],"mmm")</f>
        <v>Sep</v>
      </c>
      <c r="B998" t="s">
        <v>52</v>
      </c>
      <c r="C998" s="1" t="s">
        <v>536</v>
      </c>
      <c r="D998" t="str">
        <f>VLOOKUP(Table2[[#This Row],[product]],Ref[#All],7,FALSE)</f>
        <v>Flour</v>
      </c>
      <c r="E998" s="28" t="s">
        <v>42</v>
      </c>
      <c r="F998" t="str">
        <f>VLOOKUP(Table2[[#This Row],[product]],Ref[#All],2,FALSE)</f>
        <v>Alnajm Flour from Mill 25KG</v>
      </c>
      <c r="G998" t="str">
        <f>VLOOKUP(Table2[[#This Row],[product]],Ref[#All],3,FALSE)</f>
        <v>Flour Al-Nagm (Mill)</v>
      </c>
      <c r="H998" t="str">
        <f>VLOOKUP(Table2[[#This Row],[product]],Ref[#All],4,FALSE)</f>
        <v>Import</v>
      </c>
      <c r="I998" s="1">
        <v>45910</v>
      </c>
      <c r="J998" s="28" t="s">
        <v>53</v>
      </c>
      <c r="K998" s="33" t="s">
        <v>2571</v>
      </c>
      <c r="L998" t="s">
        <v>1651</v>
      </c>
      <c r="M998" t="s">
        <v>1586</v>
      </c>
      <c r="N998" t="s">
        <v>784</v>
      </c>
      <c r="O998" t="s">
        <v>785</v>
      </c>
      <c r="P998" t="s">
        <v>788</v>
      </c>
      <c r="Q998" s="38" t="s">
        <v>55</v>
      </c>
      <c r="R998">
        <v>-24</v>
      </c>
      <c r="S998" s="15">
        <f>Table2[[#This Row],[movement_quantity]]/VLOOKUP(Table2[[#This Row],[product]],Ref[#All],5,FALSE)</f>
        <v>-0.6</v>
      </c>
      <c r="T998">
        <v>32432.643329999999</v>
      </c>
      <c r="U998" t="s">
        <v>17</v>
      </c>
      <c r="V998" t="s">
        <v>18</v>
      </c>
      <c r="W998" t="s">
        <v>2616</v>
      </c>
      <c r="X998" t="s">
        <v>17</v>
      </c>
      <c r="Y998" s="2" t="s">
        <v>2617</v>
      </c>
      <c r="Z998">
        <v>0</v>
      </c>
      <c r="AA998" s="2">
        <v>-778383.43992000003</v>
      </c>
      <c r="AB998" t="str">
        <f>VLOOKUP(Table2[[#This Row],[product]],Ref[#All],6,FALSE)</f>
        <v>BAG25</v>
      </c>
    </row>
    <row r="999" spans="1:28" x14ac:dyDescent="0.25">
      <c r="A999" t="str">
        <f>TEXT(Table2[[#This Row],[dated]],"mmm")</f>
        <v>Sep</v>
      </c>
      <c r="B999" t="s">
        <v>52</v>
      </c>
      <c r="C999" s="1" t="s">
        <v>536</v>
      </c>
      <c r="D999" t="str">
        <f>VLOOKUP(Table2[[#This Row],[product]],Ref[#All],7,FALSE)</f>
        <v>Flour</v>
      </c>
      <c r="E999" s="28" t="s">
        <v>42</v>
      </c>
      <c r="F999" t="str">
        <f>VLOOKUP(Table2[[#This Row],[product]],Ref[#All],2,FALSE)</f>
        <v>Alnajm Flour from Mill 25KG</v>
      </c>
      <c r="G999" t="str">
        <f>VLOOKUP(Table2[[#This Row],[product]],Ref[#All],3,FALSE)</f>
        <v>Flour Al-Nagm (Mill)</v>
      </c>
      <c r="H999" t="str">
        <f>VLOOKUP(Table2[[#This Row],[product]],Ref[#All],4,FALSE)</f>
        <v>Import</v>
      </c>
      <c r="I999" s="1">
        <v>45910</v>
      </c>
      <c r="J999" s="28" t="s">
        <v>53</v>
      </c>
      <c r="K999" s="33" t="s">
        <v>2572</v>
      </c>
      <c r="L999" t="s">
        <v>1651</v>
      </c>
      <c r="M999" t="s">
        <v>1586</v>
      </c>
      <c r="N999" t="s">
        <v>784</v>
      </c>
      <c r="O999" t="s">
        <v>785</v>
      </c>
      <c r="P999" t="s">
        <v>788</v>
      </c>
      <c r="Q999" s="38" t="s">
        <v>55</v>
      </c>
      <c r="R999">
        <v>-2</v>
      </c>
      <c r="S999" s="15">
        <f>Table2[[#This Row],[movement_quantity]]/VLOOKUP(Table2[[#This Row],[product]],Ref[#All],5,FALSE)</f>
        <v>-0.05</v>
      </c>
      <c r="T999">
        <v>32432.643329999999</v>
      </c>
      <c r="U999" t="s">
        <v>17</v>
      </c>
      <c r="V999" t="s">
        <v>21</v>
      </c>
      <c r="W999" t="s">
        <v>2618</v>
      </c>
      <c r="X999" t="s">
        <v>17</v>
      </c>
      <c r="Y999" s="2" t="s">
        <v>2617</v>
      </c>
      <c r="Z999">
        <v>0</v>
      </c>
      <c r="AA999" s="2">
        <v>-64865.286659999998</v>
      </c>
      <c r="AB999" t="str">
        <f>VLOOKUP(Table2[[#This Row],[product]],Ref[#All],6,FALSE)</f>
        <v>BAG25</v>
      </c>
    </row>
    <row r="1000" spans="1:28" x14ac:dyDescent="0.25">
      <c r="A1000" t="str">
        <f>TEXT(Table2[[#This Row],[dated]],"mmm")</f>
        <v>Sep</v>
      </c>
      <c r="B1000" t="s">
        <v>52</v>
      </c>
      <c r="C1000" s="1" t="s">
        <v>536</v>
      </c>
      <c r="D1000" t="str">
        <f>VLOOKUP(Table2[[#This Row],[product]],Ref[#All],7,FALSE)</f>
        <v>Flour</v>
      </c>
      <c r="E1000" s="28" t="s">
        <v>42</v>
      </c>
      <c r="F1000" t="str">
        <f>VLOOKUP(Table2[[#This Row],[product]],Ref[#All],2,FALSE)</f>
        <v>Alnajm Flour from Mill 25KG</v>
      </c>
      <c r="G1000" t="str">
        <f>VLOOKUP(Table2[[#This Row],[product]],Ref[#All],3,FALSE)</f>
        <v>Flour Al-Nagm (Mill)</v>
      </c>
      <c r="H1000" t="str">
        <f>VLOOKUP(Table2[[#This Row],[product]],Ref[#All],4,FALSE)</f>
        <v>Import</v>
      </c>
      <c r="I1000" s="1">
        <v>45910</v>
      </c>
      <c r="J1000" s="28" t="s">
        <v>53</v>
      </c>
      <c r="K1000" s="33" t="s">
        <v>2573</v>
      </c>
      <c r="L1000" t="s">
        <v>1651</v>
      </c>
      <c r="M1000" t="s">
        <v>1586</v>
      </c>
      <c r="N1000" t="s">
        <v>784</v>
      </c>
      <c r="O1000" t="s">
        <v>785</v>
      </c>
      <c r="P1000" t="s">
        <v>788</v>
      </c>
      <c r="Q1000" s="38" t="s">
        <v>55</v>
      </c>
      <c r="R1000">
        <v>-2</v>
      </c>
      <c r="S1000" s="15">
        <f>Table2[[#This Row],[movement_quantity]]/VLOOKUP(Table2[[#This Row],[product]],Ref[#All],5,FALSE)</f>
        <v>-0.05</v>
      </c>
      <c r="T1000">
        <v>32432.643329999999</v>
      </c>
      <c r="U1000" t="s">
        <v>17</v>
      </c>
      <c r="V1000" t="s">
        <v>22</v>
      </c>
      <c r="W1000" t="s">
        <v>2619</v>
      </c>
      <c r="X1000" t="s">
        <v>17</v>
      </c>
      <c r="Y1000" s="2" t="s">
        <v>2617</v>
      </c>
      <c r="Z1000">
        <v>0</v>
      </c>
      <c r="AA1000" s="2">
        <v>-64865.286659999998</v>
      </c>
      <c r="AB1000" t="str">
        <f>VLOOKUP(Table2[[#This Row],[product]],Ref[#All],6,FALSE)</f>
        <v>BAG25</v>
      </c>
    </row>
    <row r="1001" spans="1:28" x14ac:dyDescent="0.25">
      <c r="A1001" t="str">
        <f>TEXT(Table2[[#This Row],[dated]],"mmm")</f>
        <v>Sep</v>
      </c>
      <c r="B1001" t="s">
        <v>52</v>
      </c>
      <c r="C1001" s="1" t="s">
        <v>536</v>
      </c>
      <c r="D1001" t="str">
        <f>VLOOKUP(Table2[[#This Row],[product]],Ref[#All],7,FALSE)</f>
        <v>Flour</v>
      </c>
      <c r="E1001" s="28" t="s">
        <v>42</v>
      </c>
      <c r="F1001" t="str">
        <f>VLOOKUP(Table2[[#This Row],[product]],Ref[#All],2,FALSE)</f>
        <v>Alnajm Flour from Mill 25KG</v>
      </c>
      <c r="G1001" t="str">
        <f>VLOOKUP(Table2[[#This Row],[product]],Ref[#All],3,FALSE)</f>
        <v>Flour Al-Nagm (Mill)</v>
      </c>
      <c r="H1001" t="str">
        <f>VLOOKUP(Table2[[#This Row],[product]],Ref[#All],4,FALSE)</f>
        <v>Import</v>
      </c>
      <c r="I1001" s="1">
        <v>45910</v>
      </c>
      <c r="J1001" s="28" t="s">
        <v>53</v>
      </c>
      <c r="K1001" s="33" t="s">
        <v>2574</v>
      </c>
      <c r="L1001" t="s">
        <v>1651</v>
      </c>
      <c r="M1001" t="s">
        <v>1586</v>
      </c>
      <c r="N1001" t="s">
        <v>784</v>
      </c>
      <c r="O1001" t="s">
        <v>785</v>
      </c>
      <c r="P1001" t="s">
        <v>788</v>
      </c>
      <c r="Q1001" s="38" t="s">
        <v>55</v>
      </c>
      <c r="R1001">
        <v>-1</v>
      </c>
      <c r="S1001" s="15">
        <f>Table2[[#This Row],[movement_quantity]]/VLOOKUP(Table2[[#This Row],[product]],Ref[#All],5,FALSE)</f>
        <v>-2.5000000000000001E-2</v>
      </c>
      <c r="T1001">
        <v>32432.643329999999</v>
      </c>
      <c r="U1001" t="s">
        <v>17</v>
      </c>
      <c r="V1001" t="s">
        <v>23</v>
      </c>
      <c r="W1001" t="s">
        <v>2620</v>
      </c>
      <c r="X1001" t="s">
        <v>17</v>
      </c>
      <c r="Y1001" s="2" t="s">
        <v>2617</v>
      </c>
      <c r="Z1001">
        <v>0</v>
      </c>
      <c r="AA1001" s="2">
        <v>-32432.643329999999</v>
      </c>
      <c r="AB1001" t="str">
        <f>VLOOKUP(Table2[[#This Row],[product]],Ref[#All],6,FALSE)</f>
        <v>BAG25</v>
      </c>
    </row>
    <row r="1002" spans="1:28" x14ac:dyDescent="0.25">
      <c r="A1002" t="str">
        <f>TEXT(Table2[[#This Row],[dated]],"mmm")</f>
        <v>Sep</v>
      </c>
      <c r="B1002" t="s">
        <v>52</v>
      </c>
      <c r="C1002" s="1" t="s">
        <v>536</v>
      </c>
      <c r="D1002" t="str">
        <f>VLOOKUP(Table2[[#This Row],[product]],Ref[#All],7,FALSE)</f>
        <v>Flour</v>
      </c>
      <c r="E1002" s="28" t="s">
        <v>42</v>
      </c>
      <c r="F1002" t="str">
        <f>VLOOKUP(Table2[[#This Row],[product]],Ref[#All],2,FALSE)</f>
        <v>Alnajm Flour from Mill 25KG</v>
      </c>
      <c r="G1002" t="str">
        <f>VLOOKUP(Table2[[#This Row],[product]],Ref[#All],3,FALSE)</f>
        <v>Flour Al-Nagm (Mill)</v>
      </c>
      <c r="H1002" t="str">
        <f>VLOOKUP(Table2[[#This Row],[product]],Ref[#All],4,FALSE)</f>
        <v>Import</v>
      </c>
      <c r="I1002" s="1">
        <v>45910</v>
      </c>
      <c r="J1002" s="28" t="s">
        <v>53</v>
      </c>
      <c r="K1002" s="33" t="s">
        <v>2575</v>
      </c>
      <c r="L1002" t="s">
        <v>1651</v>
      </c>
      <c r="M1002" t="s">
        <v>1586</v>
      </c>
      <c r="N1002" t="s">
        <v>784</v>
      </c>
      <c r="O1002" t="s">
        <v>785</v>
      </c>
      <c r="P1002" t="s">
        <v>788</v>
      </c>
      <c r="Q1002" s="38" t="s">
        <v>55</v>
      </c>
      <c r="R1002">
        <v>-2</v>
      </c>
      <c r="S1002" s="15">
        <f>Table2[[#This Row],[movement_quantity]]/VLOOKUP(Table2[[#This Row],[product]],Ref[#All],5,FALSE)</f>
        <v>-0.05</v>
      </c>
      <c r="T1002">
        <v>32432.643329999999</v>
      </c>
      <c r="U1002" t="s">
        <v>17</v>
      </c>
      <c r="V1002" t="s">
        <v>24</v>
      </c>
      <c r="W1002" t="s">
        <v>2621</v>
      </c>
      <c r="X1002" t="s">
        <v>17</v>
      </c>
      <c r="Y1002" s="2" t="s">
        <v>2617</v>
      </c>
      <c r="Z1002">
        <v>0</v>
      </c>
      <c r="AA1002" s="2">
        <v>-64865.286659999998</v>
      </c>
      <c r="AB1002" t="str">
        <f>VLOOKUP(Table2[[#This Row],[product]],Ref[#All],6,FALSE)</f>
        <v>BAG25</v>
      </c>
    </row>
    <row r="1003" spans="1:28" x14ac:dyDescent="0.25">
      <c r="A1003" t="str">
        <f>TEXT(Table2[[#This Row],[dated]],"mmm")</f>
        <v>Sep</v>
      </c>
      <c r="B1003" t="s">
        <v>52</v>
      </c>
      <c r="C1003" s="1" t="s">
        <v>536</v>
      </c>
      <c r="D1003" t="str">
        <f>VLOOKUP(Table2[[#This Row],[product]],Ref[#All],7,FALSE)</f>
        <v>Flour</v>
      </c>
      <c r="E1003" s="28" t="s">
        <v>42</v>
      </c>
      <c r="F1003" t="str">
        <f>VLOOKUP(Table2[[#This Row],[product]],Ref[#All],2,FALSE)</f>
        <v>Alnajm Flour from Mill 25KG</v>
      </c>
      <c r="G1003" t="str">
        <f>VLOOKUP(Table2[[#This Row],[product]],Ref[#All],3,FALSE)</f>
        <v>Flour Al-Nagm (Mill)</v>
      </c>
      <c r="H1003" t="str">
        <f>VLOOKUP(Table2[[#This Row],[product]],Ref[#All],4,FALSE)</f>
        <v>Import</v>
      </c>
      <c r="I1003" s="1">
        <v>45910</v>
      </c>
      <c r="J1003" s="28" t="s">
        <v>53</v>
      </c>
      <c r="K1003" s="33" t="s">
        <v>2576</v>
      </c>
      <c r="L1003" t="s">
        <v>1651</v>
      </c>
      <c r="M1003" t="s">
        <v>1586</v>
      </c>
      <c r="N1003" t="s">
        <v>784</v>
      </c>
      <c r="O1003" t="s">
        <v>785</v>
      </c>
      <c r="P1003" t="s">
        <v>788</v>
      </c>
      <c r="Q1003" s="38" t="s">
        <v>55</v>
      </c>
      <c r="R1003">
        <v>-2</v>
      </c>
      <c r="S1003" s="15">
        <f>Table2[[#This Row],[movement_quantity]]/VLOOKUP(Table2[[#This Row],[product]],Ref[#All],5,FALSE)</f>
        <v>-0.05</v>
      </c>
      <c r="T1003">
        <v>32432.643329999999</v>
      </c>
      <c r="U1003" t="s">
        <v>17</v>
      </c>
      <c r="V1003" t="s">
        <v>25</v>
      </c>
      <c r="W1003" t="s">
        <v>2622</v>
      </c>
      <c r="X1003" t="s">
        <v>17</v>
      </c>
      <c r="Y1003" s="2" t="s">
        <v>2617</v>
      </c>
      <c r="Z1003">
        <v>0</v>
      </c>
      <c r="AA1003" s="2">
        <v>-64865.286659999998</v>
      </c>
      <c r="AB1003" t="str">
        <f>VLOOKUP(Table2[[#This Row],[product]],Ref[#All],6,FALSE)</f>
        <v>BAG25</v>
      </c>
    </row>
    <row r="1004" spans="1:28" x14ac:dyDescent="0.25">
      <c r="A1004" t="str">
        <f>TEXT(Table2[[#This Row],[dated]],"mmm")</f>
        <v>Sep</v>
      </c>
      <c r="B1004" t="s">
        <v>52</v>
      </c>
      <c r="C1004" s="1" t="s">
        <v>536</v>
      </c>
      <c r="D1004" t="str">
        <f>VLOOKUP(Table2[[#This Row],[product]],Ref[#All],7,FALSE)</f>
        <v>Flour</v>
      </c>
      <c r="E1004" s="28" t="s">
        <v>42</v>
      </c>
      <c r="F1004" t="str">
        <f>VLOOKUP(Table2[[#This Row],[product]],Ref[#All],2,FALSE)</f>
        <v>Alnajm Flour from Mill 25KG</v>
      </c>
      <c r="G1004" t="str">
        <f>VLOOKUP(Table2[[#This Row],[product]],Ref[#All],3,FALSE)</f>
        <v>Flour Al-Nagm (Mill)</v>
      </c>
      <c r="H1004" t="str">
        <f>VLOOKUP(Table2[[#This Row],[product]],Ref[#All],4,FALSE)</f>
        <v>Import</v>
      </c>
      <c r="I1004" s="1">
        <v>45910</v>
      </c>
      <c r="J1004" s="28" t="s">
        <v>53</v>
      </c>
      <c r="K1004" s="33" t="s">
        <v>2577</v>
      </c>
      <c r="L1004" t="s">
        <v>1651</v>
      </c>
      <c r="M1004" t="s">
        <v>1586</v>
      </c>
      <c r="N1004" t="s">
        <v>784</v>
      </c>
      <c r="O1004" t="s">
        <v>785</v>
      </c>
      <c r="P1004" t="s">
        <v>788</v>
      </c>
      <c r="Q1004" s="38" t="s">
        <v>55</v>
      </c>
      <c r="R1004">
        <v>-1</v>
      </c>
      <c r="S1004" s="15">
        <f>Table2[[#This Row],[movement_quantity]]/VLOOKUP(Table2[[#This Row],[product]],Ref[#All],5,FALSE)</f>
        <v>-2.5000000000000001E-2</v>
      </c>
      <c r="T1004">
        <v>32432.643329999999</v>
      </c>
      <c r="U1004" t="s">
        <v>17</v>
      </c>
      <c r="V1004" t="s">
        <v>26</v>
      </c>
      <c r="W1004" t="s">
        <v>2623</v>
      </c>
      <c r="X1004" t="s">
        <v>17</v>
      </c>
      <c r="Y1004" s="2" t="s">
        <v>2617</v>
      </c>
      <c r="Z1004">
        <v>0</v>
      </c>
      <c r="AA1004" s="2">
        <v>-32432.643329999999</v>
      </c>
      <c r="AB1004" t="str">
        <f>VLOOKUP(Table2[[#This Row],[product]],Ref[#All],6,FALSE)</f>
        <v>BAG25</v>
      </c>
    </row>
    <row r="1005" spans="1:28" x14ac:dyDescent="0.25">
      <c r="A1005" t="str">
        <f>TEXT(Table2[[#This Row],[dated]],"mmm")</f>
        <v>Sep</v>
      </c>
      <c r="B1005" t="s">
        <v>52</v>
      </c>
      <c r="C1005" s="1" t="s">
        <v>536</v>
      </c>
      <c r="D1005" t="str">
        <f>VLOOKUP(Table2[[#This Row],[product]],Ref[#All],7,FALSE)</f>
        <v>Flour</v>
      </c>
      <c r="E1005" s="28" t="s">
        <v>42</v>
      </c>
      <c r="F1005" t="str">
        <f>VLOOKUP(Table2[[#This Row],[product]],Ref[#All],2,FALSE)</f>
        <v>Alnajm Flour from Mill 25KG</v>
      </c>
      <c r="G1005" t="str">
        <f>VLOOKUP(Table2[[#This Row],[product]],Ref[#All],3,FALSE)</f>
        <v>Flour Al-Nagm (Mill)</v>
      </c>
      <c r="H1005" t="str">
        <f>VLOOKUP(Table2[[#This Row],[product]],Ref[#All],4,FALSE)</f>
        <v>Import</v>
      </c>
      <c r="I1005" s="1">
        <v>45910</v>
      </c>
      <c r="J1005" s="28" t="s">
        <v>53</v>
      </c>
      <c r="K1005" s="33" t="s">
        <v>2578</v>
      </c>
      <c r="L1005" t="s">
        <v>1651</v>
      </c>
      <c r="M1005" t="s">
        <v>1586</v>
      </c>
      <c r="N1005" t="s">
        <v>784</v>
      </c>
      <c r="O1005" t="s">
        <v>785</v>
      </c>
      <c r="P1005" t="s">
        <v>788</v>
      </c>
      <c r="Q1005" s="38" t="s">
        <v>55</v>
      </c>
      <c r="R1005">
        <v>-2</v>
      </c>
      <c r="S1005" s="15">
        <f>Table2[[#This Row],[movement_quantity]]/VLOOKUP(Table2[[#This Row],[product]],Ref[#All],5,FALSE)</f>
        <v>-0.05</v>
      </c>
      <c r="T1005">
        <v>32432.643329999999</v>
      </c>
      <c r="U1005" t="s">
        <v>17</v>
      </c>
      <c r="V1005" t="s">
        <v>27</v>
      </c>
      <c r="W1005" t="s">
        <v>2624</v>
      </c>
      <c r="X1005" t="s">
        <v>17</v>
      </c>
      <c r="Y1005" s="2" t="s">
        <v>2617</v>
      </c>
      <c r="Z1005">
        <v>0</v>
      </c>
      <c r="AA1005" s="2">
        <v>-64865.286659999998</v>
      </c>
      <c r="AB1005" t="str">
        <f>VLOOKUP(Table2[[#This Row],[product]],Ref[#All],6,FALSE)</f>
        <v>BAG25</v>
      </c>
    </row>
    <row r="1006" spans="1:28" x14ac:dyDescent="0.25">
      <c r="A1006" t="str">
        <f>TEXT(Table2[[#This Row],[dated]],"mmm")</f>
        <v>Sep</v>
      </c>
      <c r="B1006" t="s">
        <v>30</v>
      </c>
      <c r="C1006" s="1" t="s">
        <v>536</v>
      </c>
      <c r="D1006" t="str">
        <f>VLOOKUP(Table2[[#This Row],[product]],Ref[#All],7,FALSE)</f>
        <v>Flour</v>
      </c>
      <c r="E1006" s="28" t="s">
        <v>42</v>
      </c>
      <c r="F1006" t="str">
        <f>VLOOKUP(Table2[[#This Row],[product]],Ref[#All],2,FALSE)</f>
        <v>Alnajm Flour from Mill 25KG</v>
      </c>
      <c r="G1006" t="str">
        <f>VLOOKUP(Table2[[#This Row],[product]],Ref[#All],3,FALSE)</f>
        <v>Flour Al-Nagm (Mill)</v>
      </c>
      <c r="H1006" t="str">
        <f>VLOOKUP(Table2[[#This Row],[product]],Ref[#All],4,FALSE)</f>
        <v>Import</v>
      </c>
      <c r="I1006" s="1">
        <v>45910</v>
      </c>
      <c r="J1006" s="28" t="s">
        <v>53</v>
      </c>
      <c r="K1006" t="s">
        <v>2579</v>
      </c>
      <c r="L1006" t="s">
        <v>1651</v>
      </c>
      <c r="M1006" t="s">
        <v>1586</v>
      </c>
      <c r="N1006" t="s">
        <v>784</v>
      </c>
      <c r="O1006" t="s">
        <v>785</v>
      </c>
      <c r="P1006" t="s">
        <v>788</v>
      </c>
      <c r="Q1006" s="38" t="s">
        <v>55</v>
      </c>
      <c r="R1006">
        <v>-28</v>
      </c>
      <c r="S1006" s="15">
        <f>Table2[[#This Row],[movement_quantity]]/VLOOKUP(Table2[[#This Row],[product]],Ref[#All],5,FALSE)</f>
        <v>-0.7</v>
      </c>
      <c r="T1006">
        <v>32432.643329999999</v>
      </c>
      <c r="U1006" t="s">
        <v>17</v>
      </c>
      <c r="V1006" t="s">
        <v>18</v>
      </c>
      <c r="W1006" t="s">
        <v>2625</v>
      </c>
      <c r="X1006" t="s">
        <v>17</v>
      </c>
      <c r="Y1006" s="2" t="s">
        <v>2626</v>
      </c>
      <c r="Z1006">
        <v>0</v>
      </c>
      <c r="AA1006" s="2">
        <v>-908114.01324</v>
      </c>
      <c r="AB1006" t="str">
        <f>VLOOKUP(Table2[[#This Row],[product]],Ref[#All],6,FALSE)</f>
        <v>BAG25</v>
      </c>
    </row>
    <row r="1007" spans="1:28" x14ac:dyDescent="0.25">
      <c r="A1007" t="str">
        <f>TEXT(Table2[[#This Row],[dated]],"mmm")</f>
        <v>Sep</v>
      </c>
      <c r="B1007" t="s">
        <v>30</v>
      </c>
      <c r="C1007" s="1" t="s">
        <v>536</v>
      </c>
      <c r="D1007" t="str">
        <f>VLOOKUP(Table2[[#This Row],[product]],Ref[#All],7,FALSE)</f>
        <v>Flour</v>
      </c>
      <c r="E1007" s="28" t="s">
        <v>42</v>
      </c>
      <c r="F1007" t="str">
        <f>VLOOKUP(Table2[[#This Row],[product]],Ref[#All],2,FALSE)</f>
        <v>Alnajm Flour from Mill 25KG</v>
      </c>
      <c r="G1007" t="str">
        <f>VLOOKUP(Table2[[#This Row],[product]],Ref[#All],3,FALSE)</f>
        <v>Flour Al-Nagm (Mill)</v>
      </c>
      <c r="H1007" t="str">
        <f>VLOOKUP(Table2[[#This Row],[product]],Ref[#All],4,FALSE)</f>
        <v>Import</v>
      </c>
      <c r="I1007" s="1">
        <v>45910</v>
      </c>
      <c r="J1007" s="28" t="s">
        <v>53</v>
      </c>
      <c r="K1007" t="s">
        <v>2580</v>
      </c>
      <c r="L1007" t="s">
        <v>1651</v>
      </c>
      <c r="M1007" t="s">
        <v>1586</v>
      </c>
      <c r="N1007" t="s">
        <v>784</v>
      </c>
      <c r="O1007" t="s">
        <v>785</v>
      </c>
      <c r="P1007" t="s">
        <v>788</v>
      </c>
      <c r="Q1007" s="38" t="s">
        <v>55</v>
      </c>
      <c r="R1007">
        <v>-4</v>
      </c>
      <c r="S1007" s="15">
        <f>Table2[[#This Row],[movement_quantity]]/VLOOKUP(Table2[[#This Row],[product]],Ref[#All],5,FALSE)</f>
        <v>-0.1</v>
      </c>
      <c r="T1007">
        <v>32432.643329999999</v>
      </c>
      <c r="U1007" t="s">
        <v>17</v>
      </c>
      <c r="V1007" t="s">
        <v>21</v>
      </c>
      <c r="W1007" t="s">
        <v>2627</v>
      </c>
      <c r="X1007" t="s">
        <v>17</v>
      </c>
      <c r="Y1007" s="2" t="s">
        <v>2626</v>
      </c>
      <c r="Z1007">
        <v>0</v>
      </c>
      <c r="AA1007" s="2">
        <v>-129730.57332</v>
      </c>
      <c r="AB1007" t="str">
        <f>VLOOKUP(Table2[[#This Row],[product]],Ref[#All],6,FALSE)</f>
        <v>BAG25</v>
      </c>
    </row>
    <row r="1008" spans="1:28" x14ac:dyDescent="0.25">
      <c r="A1008" t="str">
        <f>TEXT(Table2[[#This Row],[dated]],"mmm")</f>
        <v>Sep</v>
      </c>
      <c r="B1008" t="s">
        <v>96</v>
      </c>
      <c r="C1008" s="1" t="s">
        <v>536</v>
      </c>
      <c r="D1008" t="str">
        <f>VLOOKUP(Table2[[#This Row],[product]],Ref[#All],7,FALSE)</f>
        <v>Flour</v>
      </c>
      <c r="E1008" s="28" t="s">
        <v>42</v>
      </c>
      <c r="F1008" t="str">
        <f>VLOOKUP(Table2[[#This Row],[product]],Ref[#All],2,FALSE)</f>
        <v>Alnajm Flour from Mill 25KG</v>
      </c>
      <c r="G1008" t="str">
        <f>VLOOKUP(Table2[[#This Row],[product]],Ref[#All],3,FALSE)</f>
        <v>Flour Al-Nagm (Mill)</v>
      </c>
      <c r="H1008" t="str">
        <f>VLOOKUP(Table2[[#This Row],[product]],Ref[#All],4,FALSE)</f>
        <v>Import</v>
      </c>
      <c r="I1008" s="1">
        <v>45910</v>
      </c>
      <c r="J1008" s="28" t="s">
        <v>53</v>
      </c>
      <c r="K1008" t="s">
        <v>2581</v>
      </c>
      <c r="L1008" t="s">
        <v>1651</v>
      </c>
      <c r="M1008" t="s">
        <v>1586</v>
      </c>
      <c r="N1008" t="s">
        <v>784</v>
      </c>
      <c r="O1008" t="s">
        <v>785</v>
      </c>
      <c r="P1008" t="s">
        <v>788</v>
      </c>
      <c r="Q1008" s="38" t="s">
        <v>55</v>
      </c>
      <c r="R1008">
        <v>-120</v>
      </c>
      <c r="S1008" s="15">
        <f>Table2[[#This Row],[movement_quantity]]/VLOOKUP(Table2[[#This Row],[product]],Ref[#All],5,FALSE)</f>
        <v>-3</v>
      </c>
      <c r="T1008">
        <v>32432.643329999999</v>
      </c>
      <c r="U1008" t="s">
        <v>17</v>
      </c>
      <c r="V1008" t="s">
        <v>18</v>
      </c>
      <c r="W1008" t="s">
        <v>2628</v>
      </c>
      <c r="X1008" t="s">
        <v>17</v>
      </c>
      <c r="Y1008" s="2" t="s">
        <v>2617</v>
      </c>
      <c r="Z1008">
        <v>0</v>
      </c>
      <c r="AA1008" s="2">
        <v>-3891917.1995999999</v>
      </c>
      <c r="AB1008" t="str">
        <f>VLOOKUP(Table2[[#This Row],[product]],Ref[#All],6,FALSE)</f>
        <v>BAG25</v>
      </c>
    </row>
    <row r="1009" spans="1:28" x14ac:dyDescent="0.25">
      <c r="A1009" t="str">
        <f>TEXT(Table2[[#This Row],[dated]],"mmm")</f>
        <v>Sep</v>
      </c>
      <c r="B1009" t="s">
        <v>76</v>
      </c>
      <c r="C1009" s="1" t="s">
        <v>536</v>
      </c>
      <c r="D1009" t="str">
        <f>VLOOKUP(Table2[[#This Row],[product]],Ref[#All],7,FALSE)</f>
        <v>Pigeon Peas</v>
      </c>
      <c r="E1009" s="28" t="s">
        <v>754</v>
      </c>
      <c r="F1009" t="str">
        <f>VLOOKUP(Table2[[#This Row],[product]],Ref[#All],2,FALSE)</f>
        <v>Pigeon Peas New Halfa FG</v>
      </c>
      <c r="G1009" t="str">
        <f>VLOOKUP(Table2[[#This Row],[product]],Ref[#All],3,FALSE)</f>
        <v>Pigeon Peas FG</v>
      </c>
      <c r="H1009" t="str">
        <f>VLOOKUP(Table2[[#This Row],[product]],Ref[#All],4,FALSE)</f>
        <v>Export</v>
      </c>
      <c r="I1009" s="1">
        <v>45918</v>
      </c>
      <c r="J1009" s="28" t="s">
        <v>53</v>
      </c>
      <c r="K1009" s="33" t="s">
        <v>2599</v>
      </c>
      <c r="L1009" t="s">
        <v>1651</v>
      </c>
      <c r="M1009" t="s">
        <v>1586</v>
      </c>
      <c r="N1009" t="s">
        <v>784</v>
      </c>
      <c r="O1009" t="s">
        <v>785</v>
      </c>
      <c r="P1009" t="s">
        <v>788</v>
      </c>
      <c r="Q1009" s="38" t="s">
        <v>55</v>
      </c>
      <c r="R1009">
        <v>-43</v>
      </c>
      <c r="S1009" s="15">
        <f>Table2[[#This Row],[movement_quantity]]/VLOOKUP(Table2[[#This Row],[product]],Ref[#All],5,FALSE)</f>
        <v>-2.15</v>
      </c>
      <c r="T1009">
        <v>121249.92909000001</v>
      </c>
      <c r="U1009" t="s">
        <v>17</v>
      </c>
      <c r="V1009" t="s">
        <v>18</v>
      </c>
      <c r="W1009" t="s">
        <v>2661</v>
      </c>
      <c r="X1009" t="s">
        <v>17</v>
      </c>
      <c r="Y1009" s="2" t="s">
        <v>2662</v>
      </c>
      <c r="Z1009">
        <v>0</v>
      </c>
      <c r="AA1009" s="2">
        <v>-5213746.9508699998</v>
      </c>
      <c r="AB1009" t="str">
        <f>VLOOKUP(Table2[[#This Row],[product]],Ref[#All],6,FALSE)</f>
        <v>BAG50</v>
      </c>
    </row>
    <row r="1010" spans="1:28" x14ac:dyDescent="0.25">
      <c r="A1010" t="str">
        <f>TEXT(Table2[[#This Row],[dated]],"mmm")</f>
        <v>Sep</v>
      </c>
      <c r="B1010" t="s">
        <v>138</v>
      </c>
      <c r="C1010" s="1" t="s">
        <v>536</v>
      </c>
      <c r="D1010" t="str">
        <f>VLOOKUP(Table2[[#This Row],[product]],Ref[#All],7,FALSE)</f>
        <v>Pigeon Peas</v>
      </c>
      <c r="E1010" s="28" t="s">
        <v>754</v>
      </c>
      <c r="F1010" t="str">
        <f>VLOOKUP(Table2[[#This Row],[product]],Ref[#All],2,FALSE)</f>
        <v>Pigeon Peas New Halfa FG</v>
      </c>
      <c r="G1010" t="str">
        <f>VLOOKUP(Table2[[#This Row],[product]],Ref[#All],3,FALSE)</f>
        <v>Pigeon Peas FG</v>
      </c>
      <c r="H1010" t="str">
        <f>VLOOKUP(Table2[[#This Row],[product]],Ref[#All],4,FALSE)</f>
        <v>Export</v>
      </c>
      <c r="I1010" s="1">
        <v>45923</v>
      </c>
      <c r="J1010" t="s">
        <v>53</v>
      </c>
      <c r="K1010" t="s">
        <v>2666</v>
      </c>
      <c r="L1010" t="s">
        <v>1651</v>
      </c>
      <c r="M1010" t="s">
        <v>1586</v>
      </c>
      <c r="N1010" t="s">
        <v>784</v>
      </c>
      <c r="O1010" t="s">
        <v>785</v>
      </c>
      <c r="P1010" t="s">
        <v>788</v>
      </c>
      <c r="Q1010" s="38" t="s">
        <v>55</v>
      </c>
      <c r="R1010">
        <v>-4</v>
      </c>
      <c r="S1010" s="15">
        <f>Table2[[#This Row],[movement_quantity]]/VLOOKUP(Table2[[#This Row],[product]],Ref[#All],5,FALSE)</f>
        <v>-0.2</v>
      </c>
      <c r="T1010">
        <v>121249.92909000001</v>
      </c>
      <c r="U1010" t="s">
        <v>17</v>
      </c>
      <c r="V1010" t="s">
        <v>21</v>
      </c>
      <c r="W1010" t="s">
        <v>2684</v>
      </c>
      <c r="X1010" t="s">
        <v>17</v>
      </c>
      <c r="Y1010" s="2" t="s">
        <v>2685</v>
      </c>
      <c r="Z1010">
        <v>0</v>
      </c>
      <c r="AA1010" s="2">
        <v>-484999.71636000002</v>
      </c>
      <c r="AB1010" t="str">
        <f>VLOOKUP(Table2[[#This Row],[product]],Ref[#All],6,FALSE)</f>
        <v>BAG50</v>
      </c>
    </row>
    <row r="1011" spans="1:28" x14ac:dyDescent="0.25">
      <c r="A1011" t="str">
        <f>TEXT(Table2[[#This Row],[dated]],"mmm")</f>
        <v>Jan</v>
      </c>
      <c r="B1011" t="s">
        <v>89</v>
      </c>
      <c r="C1011" s="1" t="s">
        <v>1595</v>
      </c>
      <c r="D1011" t="str">
        <f>VLOOKUP(Table2[[#This Row],[product]],Ref[#All],7,FALSE)</f>
        <v>Sesame Gadarif</v>
      </c>
      <c r="E1011" t="s">
        <v>90</v>
      </c>
      <c r="F1011" t="str">
        <f>VLOOKUP(Table2[[#This Row],[product]],Ref[#All],2,FALSE)</f>
        <v>Gadarif Sesame Raw</v>
      </c>
      <c r="G1011" t="str">
        <f>VLOOKUP(Table2[[#This Row],[product]],Ref[#All],3,FALSE)</f>
        <v>Gadarif Sesame Raw</v>
      </c>
      <c r="H1011" t="str">
        <f>VLOOKUP(Table2[[#This Row],[product]],Ref[#All],4,FALSE)</f>
        <v>Export</v>
      </c>
      <c r="I1011" s="1">
        <v>45686</v>
      </c>
      <c r="J1011" t="s">
        <v>53</v>
      </c>
      <c r="K1011" t="s">
        <v>389</v>
      </c>
      <c r="L1011" s="13" t="s">
        <v>1918</v>
      </c>
      <c r="M1011" t="s">
        <v>1586</v>
      </c>
      <c r="N1011" t="s">
        <v>783</v>
      </c>
      <c r="O1011" t="s">
        <v>1687</v>
      </c>
      <c r="P1011" t="s">
        <v>788</v>
      </c>
      <c r="Q1011" t="s">
        <v>55</v>
      </c>
      <c r="R1011">
        <v>-0.18</v>
      </c>
      <c r="S1011" s="15">
        <f>Table2[[#This Row],[movement_quantity]]/VLOOKUP(Table2[[#This Row],[product]],Ref[#All],5,FALSE)</f>
        <v>-0.18</v>
      </c>
      <c r="T1011">
        <v>3559457.5</v>
      </c>
      <c r="U1011" t="s">
        <v>17</v>
      </c>
      <c r="V1011" t="s">
        <v>18</v>
      </c>
      <c r="W1011" t="s">
        <v>390</v>
      </c>
      <c r="X1011" t="s">
        <v>17</v>
      </c>
      <c r="Y1011" t="s">
        <v>140</v>
      </c>
      <c r="Z1011">
        <v>0</v>
      </c>
      <c r="AA1011" s="2">
        <v>-640702.35</v>
      </c>
      <c r="AB1011" t="str">
        <f>VLOOKUP(Table2[[#This Row],[product]],Ref[#All],6,FALSE)</f>
        <v>TON</v>
      </c>
    </row>
    <row r="1012" spans="1:28" x14ac:dyDescent="0.25">
      <c r="A1012" t="str">
        <f>TEXT(Table2[[#This Row],[dated]],"mmm")</f>
        <v>Feb</v>
      </c>
      <c r="B1012" t="s">
        <v>89</v>
      </c>
      <c r="C1012" s="1" t="s">
        <v>1595</v>
      </c>
      <c r="D1012" t="str">
        <f>VLOOKUP(Table2[[#This Row],[product]],Ref[#All],7,FALSE)</f>
        <v>Sesame Gadarif</v>
      </c>
      <c r="E1012" t="s">
        <v>90</v>
      </c>
      <c r="F1012" t="str">
        <f>VLOOKUP(Table2[[#This Row],[product]],Ref[#All],2,FALSE)</f>
        <v>Gadarif Sesame Raw</v>
      </c>
      <c r="G1012" t="str">
        <f>VLOOKUP(Table2[[#This Row],[product]],Ref[#All],3,FALSE)</f>
        <v>Gadarif Sesame Raw</v>
      </c>
      <c r="H1012" t="str">
        <f>VLOOKUP(Table2[[#This Row],[product]],Ref[#All],4,FALSE)</f>
        <v>Export</v>
      </c>
      <c r="I1012" s="1">
        <v>45690</v>
      </c>
      <c r="J1012" t="s">
        <v>127</v>
      </c>
      <c r="K1012" t="s">
        <v>417</v>
      </c>
      <c r="L1012" s="13" t="s">
        <v>1918</v>
      </c>
      <c r="M1012" t="s">
        <v>1586</v>
      </c>
      <c r="N1012" t="s">
        <v>783</v>
      </c>
      <c r="O1012" t="s">
        <v>1687</v>
      </c>
      <c r="P1012" t="s">
        <v>788</v>
      </c>
      <c r="Q1012" t="s">
        <v>55</v>
      </c>
      <c r="R1012">
        <v>0.18</v>
      </c>
      <c r="S1012" s="15">
        <f>Table2[[#This Row],[movement_quantity]]/VLOOKUP(Table2[[#This Row],[product]],Ref[#All],5,FALSE)</f>
        <v>0.18</v>
      </c>
      <c r="T1012">
        <v>3854317.5</v>
      </c>
      <c r="U1012" t="s">
        <v>17</v>
      </c>
      <c r="V1012" t="s">
        <v>35</v>
      </c>
      <c r="W1012" t="s">
        <v>274</v>
      </c>
      <c r="X1012" t="s">
        <v>418</v>
      </c>
      <c r="Y1012" t="s">
        <v>17</v>
      </c>
      <c r="Z1012">
        <v>0</v>
      </c>
      <c r="AA1012" s="2">
        <v>693777.15</v>
      </c>
      <c r="AB1012" t="str">
        <f>VLOOKUP(Table2[[#This Row],[product]],Ref[#All],6,FALSE)</f>
        <v>TON</v>
      </c>
    </row>
    <row r="1013" spans="1:28" x14ac:dyDescent="0.25">
      <c r="A1013" t="str">
        <f>TEXT(Table2[[#This Row],[dated]],"mmm")</f>
        <v>Apr</v>
      </c>
      <c r="B1013" t="s">
        <v>89</v>
      </c>
      <c r="C1013" s="1" t="s">
        <v>1595</v>
      </c>
      <c r="D1013" t="str">
        <f>VLOOKUP(Table2[[#This Row],[product]],Ref[#All],7,FALSE)</f>
        <v>Sesame Gadarif</v>
      </c>
      <c r="E1013" s="1" t="s">
        <v>90</v>
      </c>
      <c r="F1013" t="str">
        <f>VLOOKUP(Table2[[#This Row],[product]],Ref[#All],2,FALSE)</f>
        <v>Gadarif Sesame Raw</v>
      </c>
      <c r="G1013" t="str">
        <f>VLOOKUP(Table2[[#This Row],[product]],Ref[#All],3,FALSE)</f>
        <v>Gadarif Sesame Raw</v>
      </c>
      <c r="H1013" t="str">
        <f>VLOOKUP(Table2[[#This Row],[product]],Ref[#All],4,FALSE)</f>
        <v>Export</v>
      </c>
      <c r="I1013" s="1">
        <v>45775</v>
      </c>
      <c r="J1013" t="s">
        <v>53</v>
      </c>
      <c r="K1013" t="s">
        <v>790</v>
      </c>
      <c r="L1013" t="s">
        <v>1621</v>
      </c>
      <c r="M1013" t="s">
        <v>1586</v>
      </c>
      <c r="N1013" t="s">
        <v>783</v>
      </c>
      <c r="O1013" t="s">
        <v>1687</v>
      </c>
      <c r="P1013" t="s">
        <v>788</v>
      </c>
      <c r="Q1013" t="s">
        <v>55</v>
      </c>
      <c r="R1013">
        <v>-3.22</v>
      </c>
      <c r="S1013" s="15">
        <f>Table2[[#This Row],[movement_quantity]]/VLOOKUP(Table2[[#This Row],[product]],Ref[#All],5,FALSE)</f>
        <v>-3.22</v>
      </c>
      <c r="T1013">
        <v>3788405.5</v>
      </c>
      <c r="U1013" t="s">
        <v>17</v>
      </c>
      <c r="V1013" t="s">
        <v>18</v>
      </c>
      <c r="W1013" t="s">
        <v>791</v>
      </c>
      <c r="X1013" t="s">
        <v>17</v>
      </c>
      <c r="Y1013" t="s">
        <v>792</v>
      </c>
      <c r="Z1013">
        <v>0</v>
      </c>
      <c r="AA1013" s="2">
        <v>-12198665.710000001</v>
      </c>
      <c r="AB1013" t="str">
        <f>VLOOKUP(Table2[[#This Row],[product]],Ref[#All],6,FALSE)</f>
        <v>TON</v>
      </c>
    </row>
    <row r="1014" spans="1:28" x14ac:dyDescent="0.25">
      <c r="A1014" t="str">
        <f>TEXT(Table2[[#This Row],[dated]],"mmm")</f>
        <v>Apr</v>
      </c>
      <c r="B1014" t="s">
        <v>89</v>
      </c>
      <c r="C1014" s="1" t="s">
        <v>1595</v>
      </c>
      <c r="D1014" t="str">
        <f>VLOOKUP(Table2[[#This Row],[product]],Ref[#All],7,FALSE)</f>
        <v>Sesame Gadarif</v>
      </c>
      <c r="E1014" s="1" t="s">
        <v>90</v>
      </c>
      <c r="F1014" t="str">
        <f>VLOOKUP(Table2[[#This Row],[product]],Ref[#All],2,FALSE)</f>
        <v>Gadarif Sesame Raw</v>
      </c>
      <c r="G1014" t="str">
        <f>VLOOKUP(Table2[[#This Row],[product]],Ref[#All],3,FALSE)</f>
        <v>Gadarif Sesame Raw</v>
      </c>
      <c r="H1014" t="str">
        <f>VLOOKUP(Table2[[#This Row],[product]],Ref[#All],4,FALSE)</f>
        <v>Export</v>
      </c>
      <c r="I1014" s="1">
        <v>45767</v>
      </c>
      <c r="J1014" t="s">
        <v>53</v>
      </c>
      <c r="K1014" t="s">
        <v>982</v>
      </c>
      <c r="L1014" s="13" t="s">
        <v>1691</v>
      </c>
      <c r="M1014" t="s">
        <v>1586</v>
      </c>
      <c r="N1014" t="s">
        <v>783</v>
      </c>
      <c r="O1014" t="s">
        <v>1687</v>
      </c>
      <c r="P1014" t="s">
        <v>788</v>
      </c>
      <c r="Q1014" t="s">
        <v>55</v>
      </c>
      <c r="R1014">
        <v>-2.06</v>
      </c>
      <c r="S1014" s="15">
        <f>Table2[[#This Row],[movement_quantity]]/VLOOKUP(Table2[[#This Row],[product]],Ref[#All],5,FALSE)</f>
        <v>-2.06</v>
      </c>
      <c r="T1014">
        <v>3788405.5</v>
      </c>
      <c r="U1014" t="s">
        <v>17</v>
      </c>
      <c r="V1014" t="s">
        <v>18</v>
      </c>
      <c r="W1014" t="s">
        <v>983</v>
      </c>
      <c r="X1014" t="s">
        <v>17</v>
      </c>
      <c r="Y1014" t="s">
        <v>979</v>
      </c>
      <c r="Z1014">
        <v>0</v>
      </c>
      <c r="AA1014" s="2">
        <v>-7804115.3300000001</v>
      </c>
      <c r="AB1014" t="str">
        <f>VLOOKUP(Table2[[#This Row],[product]],Ref[#All],6,FALSE)</f>
        <v>TON</v>
      </c>
    </row>
    <row r="1015" spans="1:28" x14ac:dyDescent="0.25">
      <c r="A1015" t="str">
        <f>TEXT(Table2[[#This Row],[dated]],"mmm")</f>
        <v>Feb</v>
      </c>
      <c r="B1015" t="s">
        <v>89</v>
      </c>
      <c r="C1015" s="1" t="s">
        <v>1595</v>
      </c>
      <c r="D1015" t="str">
        <f>VLOOKUP(Table2[[#This Row],[product]],Ref[#All],7,FALSE)</f>
        <v>Sesame Gadarif</v>
      </c>
      <c r="E1015" t="s">
        <v>90</v>
      </c>
      <c r="F1015" t="str">
        <f>VLOOKUP(Table2[[#This Row],[product]],Ref[#All],2,FALSE)</f>
        <v>Gadarif Sesame Raw</v>
      </c>
      <c r="G1015" t="str">
        <f>VLOOKUP(Table2[[#This Row],[product]],Ref[#All],3,FALSE)</f>
        <v>Gadarif Sesame Raw</v>
      </c>
      <c r="H1015" t="str">
        <f>VLOOKUP(Table2[[#This Row],[product]],Ref[#All],4,FALSE)</f>
        <v>Export</v>
      </c>
      <c r="I1015" s="1">
        <v>45704</v>
      </c>
      <c r="J1015" t="s">
        <v>53</v>
      </c>
      <c r="K1015" t="s">
        <v>146</v>
      </c>
      <c r="L1015" t="s">
        <v>1645</v>
      </c>
      <c r="M1015" t="s">
        <v>1586</v>
      </c>
      <c r="N1015" t="s">
        <v>783</v>
      </c>
      <c r="O1015" t="s">
        <v>1687</v>
      </c>
      <c r="P1015" t="s">
        <v>788</v>
      </c>
      <c r="Q1015" t="s">
        <v>55</v>
      </c>
      <c r="R1015">
        <v>-1.06</v>
      </c>
      <c r="S1015" s="15">
        <f>Table2[[#This Row],[movement_quantity]]/VLOOKUP(Table2[[#This Row],[product]],Ref[#All],5,FALSE)</f>
        <v>-1.06</v>
      </c>
      <c r="T1015">
        <v>3854317.5</v>
      </c>
      <c r="U1015" t="s">
        <v>17</v>
      </c>
      <c r="V1015" t="s">
        <v>18</v>
      </c>
      <c r="W1015" t="s">
        <v>147</v>
      </c>
      <c r="X1015" t="s">
        <v>17</v>
      </c>
      <c r="Y1015" t="s">
        <v>139</v>
      </c>
      <c r="Z1015">
        <v>0</v>
      </c>
      <c r="AA1015" s="2">
        <v>-4085576.5500000003</v>
      </c>
      <c r="AB1015" t="str">
        <f>VLOOKUP(Table2[[#This Row],[product]],Ref[#All],6,FALSE)</f>
        <v>TON</v>
      </c>
    </row>
    <row r="1016" spans="1:28" x14ac:dyDescent="0.25">
      <c r="A1016" t="str">
        <f>TEXT(Table2[[#This Row],[dated]],"mmm")</f>
        <v>Mar</v>
      </c>
      <c r="B1016" t="s">
        <v>89</v>
      </c>
      <c r="C1016" s="1" t="s">
        <v>1595</v>
      </c>
      <c r="D1016" t="str">
        <f>VLOOKUP(Table2[[#This Row],[product]],Ref[#All],7,FALSE)</f>
        <v>Sesame Gadarif</v>
      </c>
      <c r="E1016" t="s">
        <v>90</v>
      </c>
      <c r="F1016" t="str">
        <f>VLOOKUP(Table2[[#This Row],[product]],Ref[#All],2,FALSE)</f>
        <v>Gadarif Sesame Raw</v>
      </c>
      <c r="G1016" t="str">
        <f>VLOOKUP(Table2[[#This Row],[product]],Ref[#All],3,FALSE)</f>
        <v>Gadarif Sesame Raw</v>
      </c>
      <c r="H1016" t="str">
        <f>VLOOKUP(Table2[[#This Row],[product]],Ref[#All],4,FALSE)</f>
        <v>Export</v>
      </c>
      <c r="I1016" s="1">
        <v>45725</v>
      </c>
      <c r="J1016" t="s">
        <v>127</v>
      </c>
      <c r="K1016" t="s">
        <v>528</v>
      </c>
      <c r="L1016" t="s">
        <v>1645</v>
      </c>
      <c r="M1016" t="s">
        <v>1593</v>
      </c>
      <c r="N1016" t="s">
        <v>783</v>
      </c>
      <c r="O1016" t="s">
        <v>1687</v>
      </c>
      <c r="P1016" t="s">
        <v>788</v>
      </c>
      <c r="Q1016" t="s">
        <v>55</v>
      </c>
      <c r="R1016">
        <v>0.6</v>
      </c>
      <c r="S1016" s="15">
        <f>Table2[[#This Row],[movement_quantity]]/VLOOKUP(Table2[[#This Row],[product]],Ref[#All],5,FALSE)</f>
        <v>0.6</v>
      </c>
      <c r="T1016">
        <v>3870463.5</v>
      </c>
      <c r="U1016" t="s">
        <v>141</v>
      </c>
      <c r="V1016" t="s">
        <v>22</v>
      </c>
      <c r="W1016" t="s">
        <v>529</v>
      </c>
      <c r="X1016" t="s">
        <v>530</v>
      </c>
      <c r="Y1016" t="s">
        <v>17</v>
      </c>
      <c r="Z1016">
        <v>0</v>
      </c>
      <c r="AA1016" s="2">
        <v>2322278.1</v>
      </c>
      <c r="AB1016" t="str">
        <f>VLOOKUP(Table2[[#This Row],[product]],Ref[#All],6,FALSE)</f>
        <v>TON</v>
      </c>
    </row>
    <row r="1017" spans="1:28" x14ac:dyDescent="0.25">
      <c r="A1017" t="str">
        <f>TEXT(Table2[[#This Row],[dated]],"mmm")</f>
        <v>Jan</v>
      </c>
      <c r="B1017" t="s">
        <v>89</v>
      </c>
      <c r="C1017" s="1" t="s">
        <v>1595</v>
      </c>
      <c r="D1017" t="str">
        <f>VLOOKUP(Table2[[#This Row],[product]],Ref[#All],7,FALSE)</f>
        <v>Sesame Gadarif</v>
      </c>
      <c r="E1017" t="s">
        <v>90</v>
      </c>
      <c r="F1017" t="str">
        <f>VLOOKUP(Table2[[#This Row],[product]],Ref[#All],2,FALSE)</f>
        <v>Gadarif Sesame Raw</v>
      </c>
      <c r="G1017" t="str">
        <f>VLOOKUP(Table2[[#This Row],[product]],Ref[#All],3,FALSE)</f>
        <v>Gadarif Sesame Raw</v>
      </c>
      <c r="H1017" t="str">
        <f>VLOOKUP(Table2[[#This Row],[product]],Ref[#All],4,FALSE)</f>
        <v>Export</v>
      </c>
      <c r="I1017" s="1">
        <v>45662</v>
      </c>
      <c r="J1017" t="s">
        <v>127</v>
      </c>
      <c r="K1017" t="s">
        <v>150</v>
      </c>
      <c r="L1017" t="s">
        <v>1644</v>
      </c>
      <c r="M1017" t="s">
        <v>1593</v>
      </c>
      <c r="N1017" t="s">
        <v>783</v>
      </c>
      <c r="O1017" t="s">
        <v>1687</v>
      </c>
      <c r="P1017" t="s">
        <v>788</v>
      </c>
      <c r="Q1017" t="s">
        <v>55</v>
      </c>
      <c r="R1017">
        <v>3.22</v>
      </c>
      <c r="S1017" s="15">
        <f>Table2[[#This Row],[movement_quantity]]/VLOOKUP(Table2[[#This Row],[product]],Ref[#All],5,FALSE)</f>
        <v>3.22</v>
      </c>
      <c r="T1017">
        <v>3559457.5</v>
      </c>
      <c r="U1017" t="s">
        <v>17</v>
      </c>
      <c r="V1017" t="s">
        <v>21</v>
      </c>
      <c r="W1017" t="s">
        <v>151</v>
      </c>
      <c r="X1017" t="s">
        <v>152</v>
      </c>
      <c r="Y1017" t="s">
        <v>17</v>
      </c>
      <c r="Z1017">
        <v>0</v>
      </c>
      <c r="AA1017" s="2">
        <v>11461453.15</v>
      </c>
      <c r="AB1017" t="str">
        <f>VLOOKUP(Table2[[#This Row],[product]],Ref[#All],6,FALSE)</f>
        <v>TON</v>
      </c>
    </row>
    <row r="1018" spans="1:28" x14ac:dyDescent="0.25">
      <c r="A1018" t="str">
        <f>TEXT(Table2[[#This Row],[dated]],"mmm")</f>
        <v>Feb</v>
      </c>
      <c r="B1018" t="s">
        <v>89</v>
      </c>
      <c r="C1018" s="1" t="s">
        <v>1595</v>
      </c>
      <c r="D1018" t="str">
        <f>VLOOKUP(Table2[[#This Row],[product]],Ref[#All],7,FALSE)</f>
        <v>Sesame Gadarif</v>
      </c>
      <c r="E1018" t="s">
        <v>90</v>
      </c>
      <c r="F1018" t="str">
        <f>VLOOKUP(Table2[[#This Row],[product]],Ref[#All],2,FALSE)</f>
        <v>Gadarif Sesame Raw</v>
      </c>
      <c r="G1018" t="str">
        <f>VLOOKUP(Table2[[#This Row],[product]],Ref[#All],3,FALSE)</f>
        <v>Gadarif Sesame Raw</v>
      </c>
      <c r="H1018" t="str">
        <f>VLOOKUP(Table2[[#This Row],[product]],Ref[#All],4,FALSE)</f>
        <v>Export</v>
      </c>
      <c r="I1018" s="1">
        <v>45691</v>
      </c>
      <c r="J1018" t="s">
        <v>127</v>
      </c>
      <c r="K1018" t="s">
        <v>150</v>
      </c>
      <c r="L1018" s="13" t="s">
        <v>1918</v>
      </c>
      <c r="M1018" t="s">
        <v>1593</v>
      </c>
      <c r="N1018" t="s">
        <v>783</v>
      </c>
      <c r="O1018" t="s">
        <v>1687</v>
      </c>
      <c r="P1018" t="s">
        <v>788</v>
      </c>
      <c r="Q1018" t="s">
        <v>55</v>
      </c>
      <c r="R1018">
        <v>1.18</v>
      </c>
      <c r="S1018" s="15">
        <f>Table2[[#This Row],[movement_quantity]]/VLOOKUP(Table2[[#This Row],[product]],Ref[#All],5,FALSE)</f>
        <v>1.18</v>
      </c>
      <c r="T1018">
        <v>3854317.5</v>
      </c>
      <c r="U1018" t="s">
        <v>141</v>
      </c>
      <c r="V1018" t="s">
        <v>18</v>
      </c>
      <c r="W1018" t="s">
        <v>423</v>
      </c>
      <c r="X1018" t="s">
        <v>424</v>
      </c>
      <c r="Y1018" t="s">
        <v>17</v>
      </c>
      <c r="Z1018">
        <v>0</v>
      </c>
      <c r="AA1018" s="2">
        <v>4548094.6499999994</v>
      </c>
      <c r="AB1018" t="str">
        <f>VLOOKUP(Table2[[#This Row],[product]],Ref[#All],6,FALSE)</f>
        <v>TON</v>
      </c>
    </row>
    <row r="1019" spans="1:28" x14ac:dyDescent="0.25">
      <c r="A1019" t="str">
        <f>TEXT(Table2[[#This Row],[dated]],"mmm")</f>
        <v>Feb</v>
      </c>
      <c r="B1019" t="s">
        <v>89</v>
      </c>
      <c r="C1019" s="1" t="s">
        <v>1595</v>
      </c>
      <c r="D1019" t="str">
        <f>VLOOKUP(Table2[[#This Row],[product]],Ref[#All],7,FALSE)</f>
        <v>Watermelon</v>
      </c>
      <c r="E1019" t="s">
        <v>51</v>
      </c>
      <c r="F1019" t="str">
        <f>VLOOKUP(Table2[[#This Row],[product]],Ref[#All],2,FALSE)</f>
        <v>Watermelon Seeds Raw</v>
      </c>
      <c r="G1019" t="str">
        <f>VLOOKUP(Table2[[#This Row],[product]],Ref[#All],3,FALSE)</f>
        <v>Watermelon Seeds Raw</v>
      </c>
      <c r="H1019" t="str">
        <f>VLOOKUP(Table2[[#This Row],[product]],Ref[#All],4,FALSE)</f>
        <v>Export</v>
      </c>
      <c r="I1019" s="1">
        <v>45690</v>
      </c>
      <c r="J1019" t="s">
        <v>53</v>
      </c>
      <c r="K1019" t="s">
        <v>419</v>
      </c>
      <c r="L1019" t="s">
        <v>1648</v>
      </c>
      <c r="M1019" t="s">
        <v>1586</v>
      </c>
      <c r="N1019" t="s">
        <v>783</v>
      </c>
      <c r="O1019" t="s">
        <v>1687</v>
      </c>
      <c r="P1019" t="s">
        <v>788</v>
      </c>
      <c r="Q1019" t="s">
        <v>55</v>
      </c>
      <c r="R1019">
        <v>-0.14000000000000001</v>
      </c>
      <c r="S1019" s="15">
        <f>Table2[[#This Row],[movement_quantity]]/VLOOKUP(Table2[[#This Row],[product]],Ref[#All],5,FALSE)</f>
        <v>-0.14000000000000001</v>
      </c>
      <c r="T1019">
        <v>3447392</v>
      </c>
      <c r="U1019" t="s">
        <v>17</v>
      </c>
      <c r="V1019" t="s">
        <v>18</v>
      </c>
      <c r="W1019" t="s">
        <v>420</v>
      </c>
      <c r="X1019" t="s">
        <v>17</v>
      </c>
      <c r="Y1019" t="s">
        <v>142</v>
      </c>
      <c r="Z1019">
        <v>0</v>
      </c>
      <c r="AA1019" s="2">
        <v>-482634.88000000006</v>
      </c>
      <c r="AB1019" t="str">
        <f>VLOOKUP(Table2[[#This Row],[product]],Ref[#All],6,FALSE)</f>
        <v>TON</v>
      </c>
    </row>
    <row r="1020" spans="1:28" x14ac:dyDescent="0.25">
      <c r="A1020" t="str">
        <f>TEXT(Table2[[#This Row],[dated]],"mmm")</f>
        <v>Feb</v>
      </c>
      <c r="B1020" t="s">
        <v>89</v>
      </c>
      <c r="C1020" s="1" t="s">
        <v>1595</v>
      </c>
      <c r="D1020" t="str">
        <f>VLOOKUP(Table2[[#This Row],[product]],Ref[#All],7,FALSE)</f>
        <v>Watermelon</v>
      </c>
      <c r="E1020" t="s">
        <v>51</v>
      </c>
      <c r="F1020" t="str">
        <f>VLOOKUP(Table2[[#This Row],[product]],Ref[#All],2,FALSE)</f>
        <v>Watermelon Seeds Raw</v>
      </c>
      <c r="G1020" t="str">
        <f>VLOOKUP(Table2[[#This Row],[product]],Ref[#All],3,FALSE)</f>
        <v>Watermelon Seeds Raw</v>
      </c>
      <c r="H1020" t="str">
        <f>VLOOKUP(Table2[[#This Row],[product]],Ref[#All],4,FALSE)</f>
        <v>Export</v>
      </c>
      <c r="I1020" s="1">
        <v>45714</v>
      </c>
      <c r="J1020" t="s">
        <v>127</v>
      </c>
      <c r="K1020" t="s">
        <v>146</v>
      </c>
      <c r="L1020" t="s">
        <v>1647</v>
      </c>
      <c r="M1020" t="s">
        <v>1593</v>
      </c>
      <c r="N1020" t="s">
        <v>783</v>
      </c>
      <c r="O1020" t="s">
        <v>1687</v>
      </c>
      <c r="P1020" t="s">
        <v>788</v>
      </c>
      <c r="Q1020" t="s">
        <v>55</v>
      </c>
      <c r="R1020">
        <v>0.104</v>
      </c>
      <c r="S1020" s="15">
        <f>Table2[[#This Row],[movement_quantity]]/VLOOKUP(Table2[[#This Row],[product]],Ref[#All],5,FALSE)</f>
        <v>0.104</v>
      </c>
      <c r="T1020">
        <v>3447392</v>
      </c>
      <c r="U1020" t="s">
        <v>141</v>
      </c>
      <c r="V1020" t="s">
        <v>18</v>
      </c>
      <c r="W1020" t="s">
        <v>405</v>
      </c>
      <c r="X1020" t="s">
        <v>406</v>
      </c>
      <c r="Y1020" t="s">
        <v>17</v>
      </c>
      <c r="Z1020">
        <v>0</v>
      </c>
      <c r="AA1020" s="2">
        <v>358528.76799999998</v>
      </c>
      <c r="AB1020" t="str">
        <f>VLOOKUP(Table2[[#This Row],[product]],Ref[#All],6,FALSE)</f>
        <v>TON</v>
      </c>
    </row>
    <row r="1021" spans="1:28" x14ac:dyDescent="0.25">
      <c r="A1021" t="str">
        <f>TEXT(Table2[[#This Row],[dated]],"mmm")</f>
        <v>Mar</v>
      </c>
      <c r="B1021" t="s">
        <v>89</v>
      </c>
      <c r="C1021" s="1" t="s">
        <v>1595</v>
      </c>
      <c r="D1021" t="str">
        <f>VLOOKUP(Table2[[#This Row],[product]],Ref[#All],7,FALSE)</f>
        <v>Cotton</v>
      </c>
      <c r="E1021" t="s">
        <v>412</v>
      </c>
      <c r="F1021" t="str">
        <f>VLOOKUP(Table2[[#This Row],[product]],Ref[#All],2,FALSE)</f>
        <v xml:space="preserve">Cotton - FG </v>
      </c>
      <c r="G1021" t="str">
        <f>VLOOKUP(Table2[[#This Row],[product]],Ref[#All],3,FALSE)</f>
        <v xml:space="preserve">Cotton - FG </v>
      </c>
      <c r="H1021" t="str">
        <f>VLOOKUP(Table2[[#This Row],[product]],Ref[#All],4,FALSE)</f>
        <v>Export</v>
      </c>
      <c r="I1021" s="1">
        <v>45719</v>
      </c>
      <c r="J1021" t="s">
        <v>127</v>
      </c>
      <c r="K1021" t="s">
        <v>146</v>
      </c>
      <c r="L1021" t="s">
        <v>1624</v>
      </c>
      <c r="M1021" t="s">
        <v>1593</v>
      </c>
      <c r="N1021" t="s">
        <v>783</v>
      </c>
      <c r="O1021" t="s">
        <v>1687</v>
      </c>
      <c r="P1021" t="s">
        <v>788</v>
      </c>
      <c r="Q1021" t="s">
        <v>55</v>
      </c>
      <c r="R1021">
        <v>0.1</v>
      </c>
      <c r="S1021" s="15">
        <f>Table2[[#This Row],[movement_quantity]]/VLOOKUP(Table2[[#This Row],[product]],Ref[#All],5,FALSE)</f>
        <v>0.1</v>
      </c>
      <c r="T1021">
        <v>4325522.7759699998</v>
      </c>
      <c r="U1021" t="s">
        <v>17</v>
      </c>
      <c r="V1021" t="s">
        <v>18</v>
      </c>
      <c r="W1021" t="s">
        <v>454</v>
      </c>
      <c r="X1021" t="s">
        <v>455</v>
      </c>
      <c r="Y1021" t="s">
        <v>17</v>
      </c>
      <c r="Z1021">
        <v>0</v>
      </c>
      <c r="AA1021" s="2">
        <v>432552.27759700001</v>
      </c>
      <c r="AB1021" t="str">
        <f>VLOOKUP(Table2[[#This Row],[product]],Ref[#All],6,FALSE)</f>
        <v>TON</v>
      </c>
    </row>
    <row r="1022" spans="1:28" x14ac:dyDescent="0.25">
      <c r="A1022" t="str">
        <f>TEXT(Table2[[#This Row],[dated]],"mmm")</f>
        <v>Jan</v>
      </c>
      <c r="B1022" t="s">
        <v>89</v>
      </c>
      <c r="C1022" s="1" t="s">
        <v>1595</v>
      </c>
      <c r="D1022" t="str">
        <f>VLOOKUP(Table2[[#This Row],[product]],Ref[#All],7,FALSE)</f>
        <v>Sorghum</v>
      </c>
      <c r="E1022" t="s">
        <v>137</v>
      </c>
      <c r="F1022" t="str">
        <f>VLOOKUP(Table2[[#This Row],[product]],Ref[#All],2,FALSE)</f>
        <v>Sorghum Raw</v>
      </c>
      <c r="G1022" t="str">
        <f>VLOOKUP(Table2[[#This Row],[product]],Ref[#All],3,FALSE)</f>
        <v>Sorghum Raw</v>
      </c>
      <c r="H1022" t="str">
        <f>VLOOKUP(Table2[[#This Row],[product]],Ref[#All],4,FALSE)</f>
        <v>Export</v>
      </c>
      <c r="I1022" s="1">
        <v>45678</v>
      </c>
      <c r="J1022" t="s">
        <v>127</v>
      </c>
      <c r="K1022" t="s">
        <v>146</v>
      </c>
      <c r="L1022" t="s">
        <v>1646</v>
      </c>
      <c r="M1022" t="s">
        <v>1593</v>
      </c>
      <c r="N1022" t="s">
        <v>783</v>
      </c>
      <c r="O1022" t="s">
        <v>1687</v>
      </c>
      <c r="P1022" t="s">
        <v>788</v>
      </c>
      <c r="Q1022" t="s">
        <v>55</v>
      </c>
      <c r="R1022">
        <v>1.01</v>
      </c>
      <c r="S1022" s="15">
        <f>Table2[[#This Row],[movement_quantity]]/VLOOKUP(Table2[[#This Row],[product]],Ref[#All],5,FALSE)</f>
        <v>1.01</v>
      </c>
      <c r="T1022">
        <v>725000</v>
      </c>
      <c r="U1022" t="s">
        <v>17</v>
      </c>
      <c r="V1022" t="s">
        <v>18</v>
      </c>
      <c r="W1022" t="s">
        <v>266</v>
      </c>
      <c r="X1022" t="s">
        <v>267</v>
      </c>
      <c r="Y1022" t="s">
        <v>17</v>
      </c>
      <c r="Z1022">
        <v>0</v>
      </c>
      <c r="AA1022" s="2">
        <v>732250</v>
      </c>
      <c r="AB1022" t="str">
        <f>VLOOKUP(Table2[[#This Row],[product]],Ref[#All],6,FALSE)</f>
        <v>TON</v>
      </c>
    </row>
    <row r="1023" spans="1:28" x14ac:dyDescent="0.25">
      <c r="A1023" t="str">
        <f>TEXT(Table2[[#This Row],[dated]],"mmm")</f>
        <v>Feb</v>
      </c>
      <c r="B1023" t="s">
        <v>89</v>
      </c>
      <c r="C1023" s="1" t="s">
        <v>1595</v>
      </c>
      <c r="D1023" t="str">
        <f>VLOOKUP(Table2[[#This Row],[product]],Ref[#All],7,FALSE)</f>
        <v>Sesame Gadarif</v>
      </c>
      <c r="E1023" t="s">
        <v>90</v>
      </c>
      <c r="F1023" t="str">
        <f>VLOOKUP(Table2[[#This Row],[product]],Ref[#All],2,FALSE)</f>
        <v>Gadarif Sesame Raw</v>
      </c>
      <c r="G1023" t="str">
        <f>VLOOKUP(Table2[[#This Row],[product]],Ref[#All],3,FALSE)</f>
        <v>Gadarif Sesame Raw</v>
      </c>
      <c r="H1023" t="str">
        <f>VLOOKUP(Table2[[#This Row],[product]],Ref[#All],4,FALSE)</f>
        <v>Export</v>
      </c>
      <c r="I1023" s="1">
        <v>45714</v>
      </c>
      <c r="J1023" t="s">
        <v>53</v>
      </c>
      <c r="K1023" t="s">
        <v>409</v>
      </c>
      <c r="L1023" t="s">
        <v>1625</v>
      </c>
      <c r="M1023" t="s">
        <v>1586</v>
      </c>
      <c r="N1023" t="s">
        <v>783</v>
      </c>
      <c r="O1023" t="s">
        <v>1687</v>
      </c>
      <c r="P1023" t="s">
        <v>788</v>
      </c>
      <c r="Q1023" t="s">
        <v>55</v>
      </c>
      <c r="R1023">
        <v>-0.35</v>
      </c>
      <c r="S1023" s="15">
        <f>Table2[[#This Row],[movement_quantity]]/VLOOKUP(Table2[[#This Row],[product]],Ref[#All],5,FALSE)</f>
        <v>-0.35</v>
      </c>
      <c r="T1023">
        <v>3854317.5</v>
      </c>
      <c r="U1023" t="s">
        <v>17</v>
      </c>
      <c r="V1023" t="s">
        <v>21</v>
      </c>
      <c r="W1023" t="s">
        <v>410</v>
      </c>
      <c r="X1023" t="s">
        <v>17</v>
      </c>
      <c r="Y1023" t="s">
        <v>121</v>
      </c>
      <c r="Z1023">
        <v>0</v>
      </c>
      <c r="AA1023" s="2">
        <v>-1349011.125</v>
      </c>
      <c r="AB1023" t="str">
        <f>VLOOKUP(Table2[[#This Row],[product]],Ref[#All],6,FALSE)</f>
        <v>TON</v>
      </c>
    </row>
    <row r="1024" spans="1:28" x14ac:dyDescent="0.25">
      <c r="A1024" t="str">
        <f>TEXT(Table2[[#This Row],[dated]],"mmm")</f>
        <v>Feb</v>
      </c>
      <c r="B1024" t="s">
        <v>89</v>
      </c>
      <c r="C1024" s="1" t="s">
        <v>1595</v>
      </c>
      <c r="D1024" t="str">
        <f>VLOOKUP(Table2[[#This Row],[product]],Ref[#All],7,FALSE)</f>
        <v>Sesame Gadarif</v>
      </c>
      <c r="E1024" t="s">
        <v>90</v>
      </c>
      <c r="F1024" t="str">
        <f>VLOOKUP(Table2[[#This Row],[product]],Ref[#All],2,FALSE)</f>
        <v>Gadarif Sesame Raw</v>
      </c>
      <c r="G1024" t="str">
        <f>VLOOKUP(Table2[[#This Row],[product]],Ref[#All],3,FALSE)</f>
        <v>Gadarif Sesame Raw</v>
      </c>
      <c r="H1024" t="str">
        <f>VLOOKUP(Table2[[#This Row],[product]],Ref[#All],4,FALSE)</f>
        <v>Export</v>
      </c>
      <c r="I1024" s="1">
        <v>45697</v>
      </c>
      <c r="J1024" t="s">
        <v>53</v>
      </c>
      <c r="K1024" t="s">
        <v>91</v>
      </c>
      <c r="L1024" t="s">
        <v>1628</v>
      </c>
      <c r="M1024" t="s">
        <v>1586</v>
      </c>
      <c r="N1024" t="s">
        <v>783</v>
      </c>
      <c r="O1024" t="s">
        <v>1687</v>
      </c>
      <c r="P1024" t="s">
        <v>788</v>
      </c>
      <c r="Q1024" t="s">
        <v>55</v>
      </c>
      <c r="R1024">
        <v>-0.35</v>
      </c>
      <c r="S1024" s="15">
        <f>Table2[[#This Row],[movement_quantity]]/VLOOKUP(Table2[[#This Row],[product]],Ref[#All],5,FALSE)</f>
        <v>-0.35</v>
      </c>
      <c r="T1024">
        <v>3854317.5</v>
      </c>
      <c r="U1024" t="s">
        <v>17</v>
      </c>
      <c r="V1024" t="s">
        <v>18</v>
      </c>
      <c r="W1024" t="s">
        <v>92</v>
      </c>
      <c r="X1024" t="s">
        <v>17</v>
      </c>
      <c r="Y1024" t="s">
        <v>93</v>
      </c>
      <c r="Z1024">
        <v>0</v>
      </c>
      <c r="AA1024" s="2">
        <v>-1349011.125</v>
      </c>
      <c r="AB1024" t="str">
        <f>VLOOKUP(Table2[[#This Row],[product]],Ref[#All],6,FALSE)</f>
        <v>TON</v>
      </c>
    </row>
    <row r="1025" spans="1:28" x14ac:dyDescent="0.25">
      <c r="A1025" t="str">
        <f>TEXT(Table2[[#This Row],[dated]],"mmm")</f>
        <v>Apr</v>
      </c>
      <c r="B1025" t="s">
        <v>89</v>
      </c>
      <c r="C1025" s="1" t="s">
        <v>1595</v>
      </c>
      <c r="D1025" t="str">
        <f>VLOOKUP(Table2[[#This Row],[product]],Ref[#All],7,FALSE)</f>
        <v>Sesame Gadarif</v>
      </c>
      <c r="E1025" s="1" t="s">
        <v>90</v>
      </c>
      <c r="F1025" t="str">
        <f>VLOOKUP(Table2[[#This Row],[product]],Ref[#All],2,FALSE)</f>
        <v>Gadarif Sesame Raw</v>
      </c>
      <c r="G1025" t="str">
        <f>VLOOKUP(Table2[[#This Row],[product]],Ref[#All],3,FALSE)</f>
        <v>Gadarif Sesame Raw</v>
      </c>
      <c r="H1025" t="str">
        <f>VLOOKUP(Table2[[#This Row],[product]],Ref[#All],4,FALSE)</f>
        <v>Export</v>
      </c>
      <c r="I1025" s="1">
        <v>45768</v>
      </c>
      <c r="J1025" t="s">
        <v>53</v>
      </c>
      <c r="K1025" t="s">
        <v>977</v>
      </c>
      <c r="L1025" t="s">
        <v>1618</v>
      </c>
      <c r="M1025" t="s">
        <v>1586</v>
      </c>
      <c r="N1025" t="s">
        <v>783</v>
      </c>
      <c r="O1025" t="s">
        <v>1687</v>
      </c>
      <c r="P1025" t="s">
        <v>788</v>
      </c>
      <c r="Q1025" t="s">
        <v>55</v>
      </c>
      <c r="R1025">
        <v>-0.14599999999999999</v>
      </c>
      <c r="S1025" s="15">
        <f>Table2[[#This Row],[movement_quantity]]/VLOOKUP(Table2[[#This Row],[product]],Ref[#All],5,FALSE)</f>
        <v>-0.14599999999999999</v>
      </c>
      <c r="T1025">
        <v>3788405.5</v>
      </c>
      <c r="U1025" t="s">
        <v>17</v>
      </c>
      <c r="V1025" t="s">
        <v>18</v>
      </c>
      <c r="W1025" t="s">
        <v>978</v>
      </c>
      <c r="X1025" t="s">
        <v>17</v>
      </c>
      <c r="Y1025" t="s">
        <v>979</v>
      </c>
      <c r="Z1025">
        <v>0</v>
      </c>
      <c r="AA1025" s="2">
        <v>-553107.20299999998</v>
      </c>
      <c r="AB1025" t="str">
        <f>VLOOKUP(Table2[[#This Row],[product]],Ref[#All],6,FALSE)</f>
        <v>TON</v>
      </c>
    </row>
    <row r="1026" spans="1:28" x14ac:dyDescent="0.25">
      <c r="A1026" t="str">
        <f>TEXT(Table2[[#This Row],[dated]],"mmm")</f>
        <v>Jun</v>
      </c>
      <c r="B1026" t="s">
        <v>89</v>
      </c>
      <c r="C1026" s="1" t="s">
        <v>1595</v>
      </c>
      <c r="D1026" t="str">
        <f>VLOOKUP(Table2[[#This Row],[product]],Ref[#All],7,FALSE)</f>
        <v>Watermelon</v>
      </c>
      <c r="E1026" s="1" t="s">
        <v>51</v>
      </c>
      <c r="F1026" t="str">
        <f>VLOOKUP(Table2[[#This Row],[product]],Ref[#All],2,FALSE)</f>
        <v>Watermelon Seeds Raw</v>
      </c>
      <c r="G1026" t="str">
        <f>VLOOKUP(Table2[[#This Row],[product]],Ref[#All],3,FALSE)</f>
        <v>Watermelon Seeds Raw</v>
      </c>
      <c r="H1026" t="str">
        <f>VLOOKUP(Table2[[#This Row],[product]],Ref[#All],4,FALSE)</f>
        <v>Export</v>
      </c>
      <c r="I1026" s="1">
        <v>45832</v>
      </c>
      <c r="J1026" t="s">
        <v>127</v>
      </c>
      <c r="K1026" t="s">
        <v>790</v>
      </c>
      <c r="L1026" t="s">
        <v>1919</v>
      </c>
      <c r="M1026" t="s">
        <v>1593</v>
      </c>
      <c r="N1026" t="s">
        <v>783</v>
      </c>
      <c r="O1026" t="s">
        <v>1687</v>
      </c>
      <c r="P1026" t="s">
        <v>788</v>
      </c>
      <c r="Q1026" t="s">
        <v>55</v>
      </c>
      <c r="R1026">
        <v>3.83</v>
      </c>
      <c r="S1026" s="15">
        <f>Table2[[#This Row],[movement_quantity]]/VLOOKUP(Table2[[#This Row],[product]],Ref[#All],5,FALSE)</f>
        <v>3.83</v>
      </c>
      <c r="T1026">
        <v>2067732.7515</v>
      </c>
      <c r="U1026" t="s">
        <v>141</v>
      </c>
      <c r="V1026" t="s">
        <v>18</v>
      </c>
      <c r="W1026" t="s">
        <v>1770</v>
      </c>
      <c r="X1026" t="s">
        <v>1771</v>
      </c>
      <c r="Y1026" s="2" t="s">
        <v>17</v>
      </c>
      <c r="Z1026">
        <v>0</v>
      </c>
      <c r="AA1026" s="2">
        <v>7919416.4382450003</v>
      </c>
      <c r="AB1026" t="str">
        <f>VLOOKUP(Table2[[#This Row],[product]],Ref[#All],6,FALSE)</f>
        <v>TON</v>
      </c>
    </row>
    <row r="1027" spans="1:28" x14ac:dyDescent="0.25">
      <c r="A1027" t="str">
        <f>TEXT(Table2[[#This Row],[dated]],"mmm")</f>
        <v>Jan</v>
      </c>
      <c r="C1027" s="1" t="s">
        <v>1692</v>
      </c>
      <c r="D1027" t="str">
        <f>VLOOKUP(Table2[[#This Row],[product]],Ref[#All],7,FALSE)</f>
        <v>Value</v>
      </c>
      <c r="E1027" s="1" t="s">
        <v>2884</v>
      </c>
      <c r="F1027">
        <f>VLOOKUP(Table2[[#This Row],[product]],Ref[#All],2,FALSE)</f>
        <v>0</v>
      </c>
      <c r="G1027" t="str">
        <f>VLOOKUP(Table2[[#This Row],[product]],Ref[#All],3,FALSE)</f>
        <v>Transport Loss Compensation Value</v>
      </c>
      <c r="H1027" t="str">
        <f>VLOOKUP(Table2[[#This Row],[product]],Ref[#All],4,FALSE)</f>
        <v>Import</v>
      </c>
      <c r="I1027" s="1"/>
      <c r="L1027" s="20" t="s">
        <v>1922</v>
      </c>
      <c r="M1027" t="s">
        <v>1593</v>
      </c>
      <c r="N1027" t="s">
        <v>784</v>
      </c>
      <c r="O1027" t="s">
        <v>788</v>
      </c>
      <c r="P1027" t="s">
        <v>788</v>
      </c>
      <c r="Q1027" t="s">
        <v>1584</v>
      </c>
      <c r="R1027">
        <v>0</v>
      </c>
      <c r="S1027" s="15">
        <f>Table2[[#This Row],[movement_quantity]]/VLOOKUP(Table2[[#This Row],[product]],Ref[#All],5,FALSE)</f>
        <v>0</v>
      </c>
      <c r="Y1027" s="23"/>
      <c r="AA1027" s="25">
        <v>286671712</v>
      </c>
      <c r="AB1027">
        <f>VLOOKUP(Table2[[#This Row],[product]],Ref[#All],6,FALSE)</f>
        <v>0</v>
      </c>
    </row>
    <row r="1028" spans="1:28" x14ac:dyDescent="0.25">
      <c r="A1028" t="str">
        <f>TEXT(Table2[[#This Row],[dated]],"mmm")</f>
        <v>Jan</v>
      </c>
      <c r="C1028" s="1" t="s">
        <v>1692</v>
      </c>
      <c r="D1028" t="str">
        <f>VLOOKUP(Table2[[#This Row],[product]],Ref[#All],7,FALSE)</f>
        <v>Value</v>
      </c>
      <c r="E1028" s="1" t="s">
        <v>2885</v>
      </c>
      <c r="F1028">
        <f>VLOOKUP(Table2[[#This Row],[product]],Ref[#All],2,FALSE)</f>
        <v>0</v>
      </c>
      <c r="G1028" t="str">
        <f>VLOOKUP(Table2[[#This Row],[product]],Ref[#All],3,FALSE)</f>
        <v>Transport Loss Compensation Value</v>
      </c>
      <c r="H1028" t="str">
        <f>VLOOKUP(Table2[[#This Row],[product]],Ref[#All],4,FALSE)</f>
        <v>Export</v>
      </c>
      <c r="I1028" s="1"/>
      <c r="L1028" s="20" t="s">
        <v>1923</v>
      </c>
      <c r="M1028" t="s">
        <v>1593</v>
      </c>
      <c r="N1028" t="s">
        <v>784</v>
      </c>
      <c r="O1028" t="s">
        <v>788</v>
      </c>
      <c r="P1028" t="s">
        <v>788</v>
      </c>
      <c r="Q1028" t="s">
        <v>1584</v>
      </c>
      <c r="R1028">
        <v>0</v>
      </c>
      <c r="S1028" s="15">
        <f>Table2[[#This Row],[movement_quantity]]/VLOOKUP(Table2[[#This Row],[product]],Ref[#All],5,FALSE)</f>
        <v>0</v>
      </c>
      <c r="Y1028" s="23"/>
      <c r="AA1028" s="25">
        <v>19763783.623</v>
      </c>
      <c r="AB1028">
        <f>VLOOKUP(Table2[[#This Row],[product]],Ref[#All],6,FALSE)</f>
        <v>0</v>
      </c>
    </row>
    <row r="1029" spans="1:28" x14ac:dyDescent="0.25">
      <c r="A1029" t="str">
        <f>TEXT(Table2[[#This Row],[dated]],"mmm")</f>
        <v>Jan</v>
      </c>
      <c r="C1029" s="1" t="s">
        <v>2881</v>
      </c>
      <c r="D1029" t="str">
        <f>VLOOKUP(Table2[[#This Row],[product]],Ref[#All],7,FALSE)</f>
        <v>Value</v>
      </c>
      <c r="E1029" s="1" t="s">
        <v>2886</v>
      </c>
      <c r="F1029">
        <f>VLOOKUP(Table2[[#This Row],[product]],Ref[#All],2,FALSE)</f>
        <v>0</v>
      </c>
      <c r="G1029" t="str">
        <f>VLOOKUP(Table2[[#This Row],[product]],Ref[#All],3,FALSE)</f>
        <v>Insurance Cases Compensation Value</v>
      </c>
      <c r="H1029" t="str">
        <f>VLOOKUP(Table2[[#This Row],[product]],Ref[#All],4,FALSE)</f>
        <v>Export</v>
      </c>
      <c r="I1029" s="1"/>
      <c r="L1029" s="20" t="s">
        <v>2898</v>
      </c>
      <c r="M1029" t="s">
        <v>1593</v>
      </c>
      <c r="N1029" t="s">
        <v>784</v>
      </c>
      <c r="O1029" t="s">
        <v>788</v>
      </c>
      <c r="P1029" t="s">
        <v>788</v>
      </c>
      <c r="Q1029" t="s">
        <v>1584</v>
      </c>
      <c r="R1029">
        <v>0</v>
      </c>
      <c r="S1029" s="15">
        <f>Table2[[#This Row],[movement_quantity]]/VLOOKUP(Table2[[#This Row],[product]],Ref[#All],5,FALSE)</f>
        <v>0</v>
      </c>
      <c r="Y1029" s="23"/>
      <c r="AA1029" s="25">
        <v>712779541.29991436</v>
      </c>
      <c r="AB1029">
        <f>VLOOKUP(Table2[[#This Row],[product]],Ref[#All],6,FALSE)</f>
        <v>0</v>
      </c>
    </row>
    <row r="1030" spans="1:28" x14ac:dyDescent="0.25">
      <c r="A1030" t="str">
        <f>TEXT(Table2[[#This Row],[dated]],"mmm")</f>
        <v>Jan</v>
      </c>
      <c r="C1030" s="1" t="s">
        <v>2881</v>
      </c>
      <c r="D1030" t="str">
        <f>VLOOKUP(Table2[[#This Row],[product]],Ref[#All],7,FALSE)</f>
        <v>Value</v>
      </c>
      <c r="E1030" s="1" t="s">
        <v>2887</v>
      </c>
      <c r="F1030">
        <f>VLOOKUP(Table2[[#This Row],[product]],Ref[#All],2,FALSE)</f>
        <v>0</v>
      </c>
      <c r="G1030" t="str">
        <f>VLOOKUP(Table2[[#This Row],[product]],Ref[#All],3,FALSE)</f>
        <v>Insurance Cases Compensation Value</v>
      </c>
      <c r="H1030" t="str">
        <f>VLOOKUP(Table2[[#This Row],[product]],Ref[#All],4,FALSE)</f>
        <v>Import</v>
      </c>
      <c r="I1030" s="1"/>
      <c r="L1030" s="20" t="s">
        <v>2899</v>
      </c>
      <c r="M1030" t="s">
        <v>1593</v>
      </c>
      <c r="N1030" t="s">
        <v>784</v>
      </c>
      <c r="O1030" t="s">
        <v>788</v>
      </c>
      <c r="P1030" t="s">
        <v>788</v>
      </c>
      <c r="Q1030" t="s">
        <v>1584</v>
      </c>
      <c r="R1030">
        <v>0</v>
      </c>
      <c r="S1030" s="15">
        <f>Table2[[#This Row],[movement_quantity]]/VLOOKUP(Table2[[#This Row],[product]],Ref[#All],5,FALSE)</f>
        <v>0</v>
      </c>
      <c r="Y1030" s="23"/>
      <c r="AA1030" s="25">
        <v>154867886.78080368</v>
      </c>
      <c r="AB1030">
        <f>VLOOKUP(Table2[[#This Row],[product]],Ref[#All],6,FALSE)</f>
        <v>0</v>
      </c>
    </row>
    <row r="1031" spans="1:28" x14ac:dyDescent="0.25">
      <c r="A1031" t="str">
        <f>TEXT(Table2[[#This Row],[dated]],"mmm")</f>
        <v>Jan</v>
      </c>
      <c r="C1031" s="1" t="s">
        <v>2891</v>
      </c>
      <c r="D1031" t="str">
        <f>VLOOKUP(Table2[[#This Row],[product]],Ref[#All],7,FALSE)</f>
        <v>Value</v>
      </c>
      <c r="E1031" s="1" t="s">
        <v>2888</v>
      </c>
      <c r="F1031">
        <f>VLOOKUP(Table2[[#This Row],[product]],Ref[#All],2,FALSE)</f>
        <v>0</v>
      </c>
      <c r="G1031" t="str">
        <f>VLOOKUP(Table2[[#This Row],[product]],Ref[#All],3,FALSE)</f>
        <v>Imported Shipments Compensation Value</v>
      </c>
      <c r="H1031" t="str">
        <f>VLOOKUP(Table2[[#This Row],[product]],Ref[#All],4,FALSE)</f>
        <v>Import</v>
      </c>
      <c r="I1031" s="1"/>
      <c r="L1031" s="20" t="s">
        <v>2882</v>
      </c>
      <c r="M1031" t="s">
        <v>1593</v>
      </c>
      <c r="N1031" t="s">
        <v>784</v>
      </c>
      <c r="O1031" t="s">
        <v>788</v>
      </c>
      <c r="P1031" t="s">
        <v>788</v>
      </c>
      <c r="Q1031" t="s">
        <v>1584</v>
      </c>
      <c r="R1031">
        <v>0</v>
      </c>
      <c r="S1031" s="15">
        <f>Table2[[#This Row],[movement_quantity]]/VLOOKUP(Table2[[#This Row],[product]],Ref[#All],5,FALSE)</f>
        <v>0</v>
      </c>
      <c r="Y1031" s="23"/>
      <c r="AA1031" s="25">
        <v>22672357.07</v>
      </c>
      <c r="AB1031">
        <f>VLOOKUP(Table2[[#This Row],[product]],Ref[#All],6,FALSE)</f>
        <v>0</v>
      </c>
    </row>
    <row r="1032" spans="1:28" x14ac:dyDescent="0.25">
      <c r="A1032" t="str">
        <f>TEXT(Table2[[#This Row],[dated]],"mmm")</f>
        <v>Oct</v>
      </c>
      <c r="B1032" s="28" t="s">
        <v>40</v>
      </c>
      <c r="C1032" s="1" t="s">
        <v>539</v>
      </c>
      <c r="D1032" t="str">
        <f>VLOOKUP(Table2[[#This Row],[product]],Ref[#All],7,FALSE)</f>
        <v>Rice</v>
      </c>
      <c r="E1032" s="28" t="s">
        <v>45</v>
      </c>
      <c r="F1032" t="str">
        <f>VLOOKUP(Table2[[#This Row],[product]],Ref[#All],2,FALSE)</f>
        <v>Rice Short Grain Elngm 25Kg</v>
      </c>
      <c r="G1032" t="str">
        <f>VLOOKUP(Table2[[#This Row],[product]],Ref[#All],3,FALSE)</f>
        <v>Rice Short Grain</v>
      </c>
      <c r="H1032" t="str">
        <f>VLOOKUP(Table2[[#This Row],[product]],Ref[#All],4,FALSE)</f>
        <v>Import</v>
      </c>
      <c r="I1032" s="1">
        <v>45931</v>
      </c>
      <c r="J1032" s="28" t="s">
        <v>53</v>
      </c>
      <c r="K1032" s="33" t="s">
        <v>2900</v>
      </c>
      <c r="L1032" t="s">
        <v>2901</v>
      </c>
      <c r="M1032" t="s">
        <v>1586</v>
      </c>
      <c r="N1032" t="s">
        <v>784</v>
      </c>
      <c r="O1032" t="s">
        <v>786</v>
      </c>
      <c r="P1032" t="s">
        <v>1596</v>
      </c>
      <c r="Q1032" t="s">
        <v>55</v>
      </c>
      <c r="R1032">
        <v>-4</v>
      </c>
      <c r="S1032" s="15">
        <f>Table2[[#This Row],[movement_quantity]]/VLOOKUP(Table2[[#This Row],[product]],Ref[#All],5,FALSE)</f>
        <v>-0.1</v>
      </c>
      <c r="T1032" s="33">
        <v>48872</v>
      </c>
      <c r="U1032" s="33" t="s">
        <v>17</v>
      </c>
      <c r="V1032" s="33" t="s">
        <v>18</v>
      </c>
      <c r="W1032" s="33" t="s">
        <v>3014</v>
      </c>
      <c r="X1032" s="33" t="s">
        <v>17</v>
      </c>
      <c r="Y1032" s="33" t="s">
        <v>2650</v>
      </c>
      <c r="Z1032" s="33">
        <v>0</v>
      </c>
      <c r="AA1032" s="2">
        <v>-195488</v>
      </c>
      <c r="AB1032" t="str">
        <f>VLOOKUP(Table2[[#This Row],[product]],Ref[#All],6,FALSE)</f>
        <v>BAG25</v>
      </c>
    </row>
    <row r="1033" spans="1:28" ht="15.75" x14ac:dyDescent="0.25">
      <c r="A1033" t="str">
        <f>TEXT(Table2[[#This Row],[dated]],"mmm")</f>
        <v>Oct</v>
      </c>
      <c r="B1033" s="28" t="s">
        <v>40</v>
      </c>
      <c r="C1033" s="1" t="s">
        <v>539</v>
      </c>
      <c r="D1033" t="str">
        <f>VLOOKUP(Table2[[#This Row],[product]],Ref[#All],7,FALSE)</f>
        <v>Rice</v>
      </c>
      <c r="E1033" s="28" t="s">
        <v>176</v>
      </c>
      <c r="F1033" t="str">
        <f>VLOOKUP(Table2[[#This Row],[product]],Ref[#All],2,FALSE)</f>
        <v>Rice Long Grade 1 Elngm 20Kg</v>
      </c>
      <c r="G1033" t="str">
        <f>VLOOKUP(Table2[[#This Row],[product]],Ref[#All],3,FALSE)</f>
        <v>Rice Long Grain</v>
      </c>
      <c r="H1033" t="str">
        <f>VLOOKUP(Table2[[#This Row],[product]],Ref[#All],4,FALSE)</f>
        <v>Import</v>
      </c>
      <c r="I1033" s="1">
        <v>45931</v>
      </c>
      <c r="J1033" s="28" t="s">
        <v>53</v>
      </c>
      <c r="K1033" t="s">
        <v>2902</v>
      </c>
      <c r="L1033" s="75" t="s">
        <v>2903</v>
      </c>
      <c r="M1033" t="s">
        <v>1586</v>
      </c>
      <c r="N1033" t="s">
        <v>784</v>
      </c>
      <c r="O1033" t="s">
        <v>1680</v>
      </c>
      <c r="P1033" t="s">
        <v>788</v>
      </c>
      <c r="Q1033" t="s">
        <v>55</v>
      </c>
      <c r="R1033">
        <v>-39</v>
      </c>
      <c r="S1033" s="15">
        <f>Table2[[#This Row],[movement_quantity]]/VLOOKUP(Table2[[#This Row],[product]],Ref[#All],5,FALSE)</f>
        <v>-0.78</v>
      </c>
      <c r="T1033">
        <v>31023</v>
      </c>
      <c r="U1033" t="s">
        <v>17</v>
      </c>
      <c r="V1033" t="s">
        <v>18</v>
      </c>
      <c r="W1033" t="s">
        <v>3015</v>
      </c>
      <c r="X1033" t="s">
        <v>17</v>
      </c>
      <c r="Y1033" t="s">
        <v>2245</v>
      </c>
      <c r="Z1033">
        <v>0</v>
      </c>
      <c r="AA1033" s="2">
        <v>-1209897</v>
      </c>
      <c r="AB1033" t="str">
        <f>VLOOKUP(Table2[[#This Row],[product]],Ref[#All],6,FALSE)</f>
        <v>BAG20</v>
      </c>
    </row>
    <row r="1034" spans="1:28" ht="15.75" x14ac:dyDescent="0.25">
      <c r="A1034" t="str">
        <f>TEXT(Table2[[#This Row],[dated]],"mmm")</f>
        <v>Oct</v>
      </c>
      <c r="B1034" s="28" t="s">
        <v>40</v>
      </c>
      <c r="C1034" s="1" t="s">
        <v>539</v>
      </c>
      <c r="D1034" t="str">
        <f>VLOOKUP(Table2[[#This Row],[product]],Ref[#All],7,FALSE)</f>
        <v>Rice</v>
      </c>
      <c r="E1034" s="28" t="s">
        <v>176</v>
      </c>
      <c r="F1034" t="str">
        <f>VLOOKUP(Table2[[#This Row],[product]],Ref[#All],2,FALSE)</f>
        <v>Rice Long Grade 1 Elngm 20Kg</v>
      </c>
      <c r="G1034" t="str">
        <f>VLOOKUP(Table2[[#This Row],[product]],Ref[#All],3,FALSE)</f>
        <v>Rice Long Grain</v>
      </c>
      <c r="H1034" t="str">
        <f>VLOOKUP(Table2[[#This Row],[product]],Ref[#All],4,FALSE)</f>
        <v>Import</v>
      </c>
      <c r="I1034" s="1">
        <v>45931</v>
      </c>
      <c r="J1034" s="28" t="s">
        <v>53</v>
      </c>
      <c r="K1034" t="s">
        <v>2902</v>
      </c>
      <c r="L1034" s="75" t="s">
        <v>2903</v>
      </c>
      <c r="M1034" t="s">
        <v>1586</v>
      </c>
      <c r="N1034" t="s">
        <v>784</v>
      </c>
      <c r="O1034" t="s">
        <v>1680</v>
      </c>
      <c r="P1034" t="s">
        <v>788</v>
      </c>
      <c r="Q1034" t="s">
        <v>55</v>
      </c>
      <c r="R1034">
        <v>-571</v>
      </c>
      <c r="S1034" s="15">
        <f>Table2[[#This Row],[movement_quantity]]/VLOOKUP(Table2[[#This Row],[product]],Ref[#All],5,FALSE)</f>
        <v>-11.42</v>
      </c>
      <c r="T1034">
        <v>31023</v>
      </c>
      <c r="U1034" t="s">
        <v>17</v>
      </c>
      <c r="V1034" t="s">
        <v>21</v>
      </c>
      <c r="W1034" t="s">
        <v>3015</v>
      </c>
      <c r="X1034" t="s">
        <v>17</v>
      </c>
      <c r="Y1034" t="s">
        <v>445</v>
      </c>
      <c r="Z1034">
        <v>0</v>
      </c>
      <c r="AA1034" s="2">
        <v>-17714133</v>
      </c>
      <c r="AB1034" t="str">
        <f>VLOOKUP(Table2[[#This Row],[product]],Ref[#All],6,FALSE)</f>
        <v>BAG20</v>
      </c>
    </row>
    <row r="1035" spans="1:28" ht="15.75" x14ac:dyDescent="0.25">
      <c r="A1035" t="str">
        <f>TEXT(Table2[[#This Row],[dated]],"mmm")</f>
        <v>Oct</v>
      </c>
      <c r="B1035" s="28" t="s">
        <v>40</v>
      </c>
      <c r="C1035" s="1" t="s">
        <v>539</v>
      </c>
      <c r="D1035" t="str">
        <f>VLOOKUP(Table2[[#This Row],[product]],Ref[#All],7,FALSE)</f>
        <v>Sugar</v>
      </c>
      <c r="E1035" s="28" t="s">
        <v>763</v>
      </c>
      <c r="F1035" t="str">
        <f>VLOOKUP(Table2[[#This Row],[product]],Ref[#All],2,FALSE)</f>
        <v>Caked Sugar</v>
      </c>
      <c r="G1035" t="str">
        <f>VLOOKUP(Table2[[#This Row],[product]],Ref[#All],3,FALSE)</f>
        <v>Caked Sugar</v>
      </c>
      <c r="H1035" t="str">
        <f>VLOOKUP(Table2[[#This Row],[product]],Ref[#All],4,FALSE)</f>
        <v>Import</v>
      </c>
      <c r="I1035" s="1">
        <v>45931</v>
      </c>
      <c r="J1035" s="28" t="s">
        <v>53</v>
      </c>
      <c r="K1035" t="s">
        <v>2904</v>
      </c>
      <c r="L1035" s="76" t="s">
        <v>2905</v>
      </c>
      <c r="M1035" t="s">
        <v>1586</v>
      </c>
      <c r="N1035" t="s">
        <v>784</v>
      </c>
      <c r="O1035" t="s">
        <v>1680</v>
      </c>
      <c r="P1035" t="s">
        <v>788</v>
      </c>
      <c r="Q1035" t="s">
        <v>55</v>
      </c>
      <c r="R1035">
        <v>-432</v>
      </c>
      <c r="S1035" s="15">
        <f>Table2[[#This Row],[movement_quantity]]/VLOOKUP(Table2[[#This Row],[product]],Ref[#All],5,FALSE)</f>
        <v>-21.6</v>
      </c>
      <c r="T1035">
        <v>43903</v>
      </c>
      <c r="U1035" t="s">
        <v>17</v>
      </c>
      <c r="V1035" t="s">
        <v>18</v>
      </c>
      <c r="W1035" t="s">
        <v>3016</v>
      </c>
      <c r="X1035" t="s">
        <v>17</v>
      </c>
      <c r="Y1035" t="s">
        <v>1946</v>
      </c>
      <c r="Z1035">
        <v>0</v>
      </c>
      <c r="AA1035" s="2">
        <v>-18966096</v>
      </c>
      <c r="AB1035" t="str">
        <f>VLOOKUP(Table2[[#This Row],[product]],Ref[#All],6,FALSE)</f>
        <v>BAG50</v>
      </c>
    </row>
    <row r="1036" spans="1:28" x14ac:dyDescent="0.25">
      <c r="A1036" t="str">
        <f>TEXT(Table2[[#This Row],[dated]],"mmm")</f>
        <v>Oct</v>
      </c>
      <c r="B1036" s="28" t="s">
        <v>123</v>
      </c>
      <c r="C1036" s="1" t="s">
        <v>538</v>
      </c>
      <c r="D1036" t="str">
        <f>VLOOKUP(Table2[[#This Row],[product]],Ref[#All],7,FALSE)</f>
        <v>Lentils</v>
      </c>
      <c r="E1036" s="28" t="s">
        <v>39</v>
      </c>
      <c r="F1036" t="str">
        <f>VLOOKUP(Table2[[#This Row],[product]],Ref[#All],2,FALSE)</f>
        <v>Lentil TAT 20KG</v>
      </c>
      <c r="G1036" t="str">
        <f>VLOOKUP(Table2[[#This Row],[product]],Ref[#All],3,FALSE)</f>
        <v>Lentils</v>
      </c>
      <c r="H1036" t="str">
        <f>VLOOKUP(Table2[[#This Row],[product]],Ref[#All],4,FALSE)</f>
        <v>Import</v>
      </c>
      <c r="I1036" s="1">
        <v>45931</v>
      </c>
      <c r="J1036" s="28" t="s">
        <v>53</v>
      </c>
      <c r="K1036" t="s">
        <v>2906</v>
      </c>
      <c r="L1036" t="s">
        <v>2907</v>
      </c>
      <c r="M1036" t="s">
        <v>1586</v>
      </c>
      <c r="N1036" t="s">
        <v>784</v>
      </c>
      <c r="O1036" t="s">
        <v>1680</v>
      </c>
      <c r="P1036" t="s">
        <v>788</v>
      </c>
      <c r="Q1036" t="s">
        <v>55</v>
      </c>
      <c r="R1036">
        <v>-46</v>
      </c>
      <c r="S1036" s="15">
        <f>Table2[[#This Row],[movement_quantity]]/VLOOKUP(Table2[[#This Row],[product]],Ref[#All],5,FALSE)</f>
        <v>-0.92</v>
      </c>
      <c r="T1036">
        <v>45681</v>
      </c>
      <c r="U1036" t="s">
        <v>17</v>
      </c>
      <c r="V1036" t="s">
        <v>18</v>
      </c>
      <c r="W1036" t="s">
        <v>3017</v>
      </c>
      <c r="X1036" t="s">
        <v>17</v>
      </c>
      <c r="Y1036" t="s">
        <v>682</v>
      </c>
      <c r="Z1036">
        <v>0</v>
      </c>
      <c r="AA1036" s="2">
        <v>-2101326</v>
      </c>
      <c r="AB1036" t="str">
        <f>VLOOKUP(Table2[[#This Row],[product]],Ref[#All],6,FALSE)</f>
        <v>BAG20</v>
      </c>
    </row>
    <row r="1037" spans="1:28" x14ac:dyDescent="0.25">
      <c r="A1037" t="str">
        <f>TEXT(Table2[[#This Row],[dated]],"mmm")</f>
        <v>Oct</v>
      </c>
      <c r="B1037" s="28" t="s">
        <v>40</v>
      </c>
      <c r="C1037" s="1" t="s">
        <v>538</v>
      </c>
      <c r="D1037" t="str">
        <f>VLOOKUP(Table2[[#This Row],[product]],Ref[#All],7,FALSE)</f>
        <v>Lentils</v>
      </c>
      <c r="E1037" s="28" t="s">
        <v>39</v>
      </c>
      <c r="F1037" t="str">
        <f>VLOOKUP(Table2[[#This Row],[product]],Ref[#All],2,FALSE)</f>
        <v>Lentil TAT 20KG</v>
      </c>
      <c r="G1037" t="str">
        <f>VLOOKUP(Table2[[#This Row],[product]],Ref[#All],3,FALSE)</f>
        <v>Lentils</v>
      </c>
      <c r="H1037" t="str">
        <f>VLOOKUP(Table2[[#This Row],[product]],Ref[#All],4,FALSE)</f>
        <v>Import</v>
      </c>
      <c r="I1037" s="1">
        <v>45931</v>
      </c>
      <c r="J1037" s="28" t="s">
        <v>53</v>
      </c>
      <c r="K1037" t="s">
        <v>2908</v>
      </c>
      <c r="L1037" t="s">
        <v>2907</v>
      </c>
      <c r="M1037" t="s">
        <v>1586</v>
      </c>
      <c r="N1037" t="s">
        <v>784</v>
      </c>
      <c r="O1037" t="s">
        <v>1680</v>
      </c>
      <c r="P1037" t="s">
        <v>788</v>
      </c>
      <c r="Q1037" t="s">
        <v>55</v>
      </c>
      <c r="R1037">
        <v>-10</v>
      </c>
      <c r="S1037" s="15">
        <f>Table2[[#This Row],[movement_quantity]]/VLOOKUP(Table2[[#This Row],[product]],Ref[#All],5,FALSE)</f>
        <v>-0.2</v>
      </c>
      <c r="T1037">
        <v>45681</v>
      </c>
      <c r="U1037" t="s">
        <v>17</v>
      </c>
      <c r="V1037" t="s">
        <v>18</v>
      </c>
      <c r="W1037" t="s">
        <v>3018</v>
      </c>
      <c r="X1037" t="s">
        <v>17</v>
      </c>
      <c r="Y1037" t="s">
        <v>2630</v>
      </c>
      <c r="Z1037">
        <v>0</v>
      </c>
      <c r="AA1037" s="2">
        <v>-456810</v>
      </c>
      <c r="AB1037" t="str">
        <f>VLOOKUP(Table2[[#This Row],[product]],Ref[#All],6,FALSE)</f>
        <v>BAG20</v>
      </c>
    </row>
    <row r="1038" spans="1:28" x14ac:dyDescent="0.25">
      <c r="A1038" t="str">
        <f>TEXT(Table2[[#This Row],[dated]],"mmm")</f>
        <v>Oct</v>
      </c>
      <c r="B1038" s="28" t="s">
        <v>40</v>
      </c>
      <c r="C1038" s="1" t="s">
        <v>538</v>
      </c>
      <c r="D1038" t="str">
        <f>VLOOKUP(Table2[[#This Row],[product]],Ref[#All],7,FALSE)</f>
        <v>Lentils</v>
      </c>
      <c r="E1038" s="28" t="s">
        <v>39</v>
      </c>
      <c r="F1038" t="str">
        <f>VLOOKUP(Table2[[#This Row],[product]],Ref[#All],2,FALSE)</f>
        <v>Lentil TAT 20KG</v>
      </c>
      <c r="G1038" t="str">
        <f>VLOOKUP(Table2[[#This Row],[product]],Ref[#All],3,FALSE)</f>
        <v>Lentils</v>
      </c>
      <c r="H1038" t="str">
        <f>VLOOKUP(Table2[[#This Row],[product]],Ref[#All],4,FALSE)</f>
        <v>Import</v>
      </c>
      <c r="I1038" s="1">
        <v>45931</v>
      </c>
      <c r="J1038" s="28" t="s">
        <v>53</v>
      </c>
      <c r="K1038" t="s">
        <v>2909</v>
      </c>
      <c r="L1038" t="s">
        <v>2907</v>
      </c>
      <c r="M1038" t="s">
        <v>1586</v>
      </c>
      <c r="N1038" t="s">
        <v>784</v>
      </c>
      <c r="O1038" t="s">
        <v>1680</v>
      </c>
      <c r="P1038" t="s">
        <v>788</v>
      </c>
      <c r="Q1038" t="s">
        <v>55</v>
      </c>
      <c r="R1038">
        <v>-4</v>
      </c>
      <c r="S1038" s="15">
        <f>Table2[[#This Row],[movement_quantity]]/VLOOKUP(Table2[[#This Row],[product]],Ref[#All],5,FALSE)</f>
        <v>-0.08</v>
      </c>
      <c r="T1038">
        <v>45681</v>
      </c>
      <c r="U1038" t="s">
        <v>17</v>
      </c>
      <c r="V1038" t="s">
        <v>21</v>
      </c>
      <c r="W1038" t="s">
        <v>3019</v>
      </c>
      <c r="X1038" t="s">
        <v>17</v>
      </c>
      <c r="Y1038" t="s">
        <v>2630</v>
      </c>
      <c r="Z1038">
        <v>0</v>
      </c>
      <c r="AA1038" s="2">
        <v>-182724</v>
      </c>
      <c r="AB1038" t="str">
        <f>VLOOKUP(Table2[[#This Row],[product]],Ref[#All],6,FALSE)</f>
        <v>BAG20</v>
      </c>
    </row>
    <row r="1039" spans="1:28" x14ac:dyDescent="0.25">
      <c r="A1039" t="str">
        <f>TEXT(Table2[[#This Row],[dated]],"mmm")</f>
        <v>Oct</v>
      </c>
      <c r="B1039" s="28" t="s">
        <v>123</v>
      </c>
      <c r="C1039" s="1" t="s">
        <v>538</v>
      </c>
      <c r="D1039" t="str">
        <f>VLOOKUP(Table2[[#This Row],[product]],Ref[#All],7,FALSE)</f>
        <v>Lentils</v>
      </c>
      <c r="E1039" s="28" t="s">
        <v>39</v>
      </c>
      <c r="F1039" t="str">
        <f>VLOOKUP(Table2[[#This Row],[product]],Ref[#All],2,FALSE)</f>
        <v>Lentil TAT 20KG</v>
      </c>
      <c r="G1039" t="str">
        <f>VLOOKUP(Table2[[#This Row],[product]],Ref[#All],3,FALSE)</f>
        <v>Lentils</v>
      </c>
      <c r="H1039" t="str">
        <f>VLOOKUP(Table2[[#This Row],[product]],Ref[#All],4,FALSE)</f>
        <v>Import</v>
      </c>
      <c r="I1039" s="1">
        <v>45931</v>
      </c>
      <c r="J1039" s="28" t="s">
        <v>53</v>
      </c>
      <c r="K1039" t="s">
        <v>2910</v>
      </c>
      <c r="L1039" t="s">
        <v>2907</v>
      </c>
      <c r="M1039" t="s">
        <v>1586</v>
      </c>
      <c r="N1039" t="s">
        <v>784</v>
      </c>
      <c r="O1039" t="s">
        <v>1680</v>
      </c>
      <c r="P1039" t="s">
        <v>788</v>
      </c>
      <c r="Q1039" t="s">
        <v>55</v>
      </c>
      <c r="R1039">
        <v>-17</v>
      </c>
      <c r="S1039" s="15">
        <f>Table2[[#This Row],[movement_quantity]]/VLOOKUP(Table2[[#This Row],[product]],Ref[#All],5,FALSE)</f>
        <v>-0.34</v>
      </c>
      <c r="T1039">
        <v>45681</v>
      </c>
      <c r="U1039" t="s">
        <v>17</v>
      </c>
      <c r="V1039" t="s">
        <v>21</v>
      </c>
      <c r="W1039" t="s">
        <v>3020</v>
      </c>
      <c r="X1039" t="s">
        <v>17</v>
      </c>
      <c r="Y1039" t="s">
        <v>682</v>
      </c>
      <c r="Z1039">
        <v>0</v>
      </c>
      <c r="AA1039" s="2">
        <v>-776577</v>
      </c>
      <c r="AB1039" t="str">
        <f>VLOOKUP(Table2[[#This Row],[product]],Ref[#All],6,FALSE)</f>
        <v>BAG20</v>
      </c>
    </row>
    <row r="1040" spans="1:28" x14ac:dyDescent="0.25">
      <c r="A1040" t="str">
        <f>TEXT(Table2[[#This Row],[dated]],"mmm")</f>
        <v>Oct</v>
      </c>
      <c r="B1040" s="28" t="s">
        <v>40</v>
      </c>
      <c r="C1040" s="1" t="s">
        <v>538</v>
      </c>
      <c r="D1040" t="str">
        <f>VLOOKUP(Table2[[#This Row],[product]],Ref[#All],7,FALSE)</f>
        <v>Lentils</v>
      </c>
      <c r="E1040" s="28" t="s">
        <v>39</v>
      </c>
      <c r="F1040" t="str">
        <f>VLOOKUP(Table2[[#This Row],[product]],Ref[#All],2,FALSE)</f>
        <v>Lentil TAT 20KG</v>
      </c>
      <c r="G1040" t="str">
        <f>VLOOKUP(Table2[[#This Row],[product]],Ref[#All],3,FALSE)</f>
        <v>Lentils</v>
      </c>
      <c r="H1040" t="str">
        <f>VLOOKUP(Table2[[#This Row],[product]],Ref[#All],4,FALSE)</f>
        <v>Import</v>
      </c>
      <c r="I1040" s="77">
        <v>45931</v>
      </c>
      <c r="J1040" s="28" t="s">
        <v>53</v>
      </c>
      <c r="K1040" t="s">
        <v>2911</v>
      </c>
      <c r="L1040" t="s">
        <v>2907</v>
      </c>
      <c r="M1040" t="s">
        <v>1586</v>
      </c>
      <c r="N1040" t="s">
        <v>784</v>
      </c>
      <c r="O1040" t="s">
        <v>1680</v>
      </c>
      <c r="P1040" t="s">
        <v>788</v>
      </c>
      <c r="Q1040" t="s">
        <v>55</v>
      </c>
      <c r="R1040">
        <v>-6</v>
      </c>
      <c r="S1040" s="15">
        <f>Table2[[#This Row],[movement_quantity]]/VLOOKUP(Table2[[#This Row],[product]],Ref[#All],5,FALSE)</f>
        <v>-0.12</v>
      </c>
      <c r="T1040">
        <v>45681</v>
      </c>
      <c r="U1040" t="s">
        <v>17</v>
      </c>
      <c r="V1040" t="s">
        <v>22</v>
      </c>
      <c r="W1040" t="s">
        <v>3021</v>
      </c>
      <c r="X1040" t="s">
        <v>17</v>
      </c>
      <c r="Y1040" t="s">
        <v>2630</v>
      </c>
      <c r="Z1040">
        <v>0</v>
      </c>
      <c r="AA1040" s="2">
        <v>-274086</v>
      </c>
      <c r="AB1040" t="str">
        <f>VLOOKUP(Table2[[#This Row],[product]],Ref[#All],6,FALSE)</f>
        <v>BAG20</v>
      </c>
    </row>
    <row r="1041" spans="1:28" x14ac:dyDescent="0.25">
      <c r="A1041" t="str">
        <f>TEXT(Table2[[#This Row],[dated]],"mmm")</f>
        <v>Oct</v>
      </c>
      <c r="B1041" s="28" t="s">
        <v>123</v>
      </c>
      <c r="C1041" s="1" t="s">
        <v>538</v>
      </c>
      <c r="D1041" t="str">
        <f>VLOOKUP(Table2[[#This Row],[product]],Ref[#All],7,FALSE)</f>
        <v>Lentils</v>
      </c>
      <c r="E1041" s="28" t="s">
        <v>39</v>
      </c>
      <c r="F1041" t="str">
        <f>VLOOKUP(Table2[[#This Row],[product]],Ref[#All],2,FALSE)</f>
        <v>Lentil TAT 20KG</v>
      </c>
      <c r="G1041" t="str">
        <f>VLOOKUP(Table2[[#This Row],[product]],Ref[#All],3,FALSE)</f>
        <v>Lentils</v>
      </c>
      <c r="H1041" t="str">
        <f>VLOOKUP(Table2[[#This Row],[product]],Ref[#All],4,FALSE)</f>
        <v>Import</v>
      </c>
      <c r="I1041" s="77">
        <v>45931</v>
      </c>
      <c r="J1041" s="28" t="s">
        <v>53</v>
      </c>
      <c r="K1041" t="s">
        <v>2912</v>
      </c>
      <c r="L1041" t="s">
        <v>2907</v>
      </c>
      <c r="M1041" t="s">
        <v>1586</v>
      </c>
      <c r="N1041" t="s">
        <v>784</v>
      </c>
      <c r="O1041" t="s">
        <v>1680</v>
      </c>
      <c r="P1041" t="s">
        <v>788</v>
      </c>
      <c r="Q1041" t="s">
        <v>55</v>
      </c>
      <c r="R1041">
        <v>-42</v>
      </c>
      <c r="S1041" s="15">
        <f>Table2[[#This Row],[movement_quantity]]/VLOOKUP(Table2[[#This Row],[product]],Ref[#All],5,FALSE)</f>
        <v>-0.84</v>
      </c>
      <c r="T1041">
        <v>45681</v>
      </c>
      <c r="U1041" t="s">
        <v>17</v>
      </c>
      <c r="V1041" t="s">
        <v>22</v>
      </c>
      <c r="W1041" t="s">
        <v>3022</v>
      </c>
      <c r="X1041" t="s">
        <v>17</v>
      </c>
      <c r="Y1041" t="s">
        <v>682</v>
      </c>
      <c r="Z1041">
        <v>0</v>
      </c>
      <c r="AA1041" s="2">
        <v>-1918602</v>
      </c>
      <c r="AB1041" t="str">
        <f>VLOOKUP(Table2[[#This Row],[product]],Ref[#All],6,FALSE)</f>
        <v>BAG20</v>
      </c>
    </row>
    <row r="1042" spans="1:28" x14ac:dyDescent="0.25">
      <c r="A1042" t="str">
        <f>TEXT(Table2[[#This Row],[dated]],"mmm")</f>
        <v>Oct</v>
      </c>
      <c r="B1042" s="28" t="s">
        <v>40</v>
      </c>
      <c r="C1042" s="1" t="s">
        <v>538</v>
      </c>
      <c r="D1042" t="str">
        <f>VLOOKUP(Table2[[#This Row],[product]],Ref[#All],7,FALSE)</f>
        <v>Lentils</v>
      </c>
      <c r="E1042" s="28" t="s">
        <v>39</v>
      </c>
      <c r="F1042" t="str">
        <f>VLOOKUP(Table2[[#This Row],[product]],Ref[#All],2,FALSE)</f>
        <v>Lentil TAT 20KG</v>
      </c>
      <c r="G1042" t="str">
        <f>VLOOKUP(Table2[[#This Row],[product]],Ref[#All],3,FALSE)</f>
        <v>Lentils</v>
      </c>
      <c r="H1042" t="str">
        <f>VLOOKUP(Table2[[#This Row],[product]],Ref[#All],4,FALSE)</f>
        <v>Import</v>
      </c>
      <c r="I1042" s="1">
        <v>45931</v>
      </c>
      <c r="J1042" s="28" t="s">
        <v>53</v>
      </c>
      <c r="K1042" s="33" t="s">
        <v>2913</v>
      </c>
      <c r="L1042" t="s">
        <v>2907</v>
      </c>
      <c r="M1042" t="s">
        <v>1586</v>
      </c>
      <c r="N1042" t="s">
        <v>784</v>
      </c>
      <c r="O1042" t="s">
        <v>1680</v>
      </c>
      <c r="P1042" t="s">
        <v>788</v>
      </c>
      <c r="Q1042" t="s">
        <v>55</v>
      </c>
      <c r="R1042">
        <v>-1</v>
      </c>
      <c r="S1042" s="15">
        <f>Table2[[#This Row],[movement_quantity]]/VLOOKUP(Table2[[#This Row],[product]],Ref[#All],5,FALSE)</f>
        <v>-0.02</v>
      </c>
      <c r="T1042" s="33">
        <v>45681</v>
      </c>
      <c r="U1042" s="33" t="s">
        <v>17</v>
      </c>
      <c r="V1042" s="33" t="s">
        <v>23</v>
      </c>
      <c r="W1042" s="33" t="s">
        <v>3023</v>
      </c>
      <c r="X1042" s="33" t="s">
        <v>17</v>
      </c>
      <c r="Y1042" s="33" t="s">
        <v>2630</v>
      </c>
      <c r="Z1042" s="33">
        <v>0</v>
      </c>
      <c r="AA1042" s="2">
        <v>-45681</v>
      </c>
      <c r="AB1042" t="str">
        <f>VLOOKUP(Table2[[#This Row],[product]],Ref[#All],6,FALSE)</f>
        <v>BAG20</v>
      </c>
    </row>
    <row r="1043" spans="1:28" x14ac:dyDescent="0.25">
      <c r="A1043" t="str">
        <f>TEXT(Table2[[#This Row],[dated]],"mmm")</f>
        <v>Oct</v>
      </c>
      <c r="B1043" s="28" t="s">
        <v>123</v>
      </c>
      <c r="C1043" s="1" t="s">
        <v>539</v>
      </c>
      <c r="D1043" t="str">
        <f>VLOOKUP(Table2[[#This Row],[product]],Ref[#All],7,FALSE)</f>
        <v>Lentils</v>
      </c>
      <c r="E1043" s="28" t="s">
        <v>39</v>
      </c>
      <c r="F1043" t="str">
        <f>VLOOKUP(Table2[[#This Row],[product]],Ref[#All],2,FALSE)</f>
        <v>Lentil TAT 20KG</v>
      </c>
      <c r="G1043" t="str">
        <f>VLOOKUP(Table2[[#This Row],[product]],Ref[#All],3,FALSE)</f>
        <v>Lentils</v>
      </c>
      <c r="H1043" t="str">
        <f>VLOOKUP(Table2[[#This Row],[product]],Ref[#All],4,FALSE)</f>
        <v>Import</v>
      </c>
      <c r="I1043" s="1">
        <v>45931</v>
      </c>
      <c r="J1043" s="28" t="s">
        <v>53</v>
      </c>
      <c r="K1043" s="33" t="s">
        <v>2914</v>
      </c>
      <c r="L1043" t="s">
        <v>2907</v>
      </c>
      <c r="M1043" t="s">
        <v>1586</v>
      </c>
      <c r="N1043" t="s">
        <v>784</v>
      </c>
      <c r="O1043" t="s">
        <v>1680</v>
      </c>
      <c r="P1043" t="s">
        <v>788</v>
      </c>
      <c r="Q1043" t="s">
        <v>55</v>
      </c>
      <c r="R1043">
        <v>-5</v>
      </c>
      <c r="S1043" s="15">
        <f>Table2[[#This Row],[movement_quantity]]/VLOOKUP(Table2[[#This Row],[product]],Ref[#All],5,FALSE)</f>
        <v>-0.1</v>
      </c>
      <c r="T1043" s="33">
        <v>45681</v>
      </c>
      <c r="U1043" s="33" t="s">
        <v>17</v>
      </c>
      <c r="V1043" s="33" t="s">
        <v>23</v>
      </c>
      <c r="W1043" s="33" t="s">
        <v>3024</v>
      </c>
      <c r="X1043" s="33" t="s">
        <v>17</v>
      </c>
      <c r="Y1043" s="33" t="s">
        <v>682</v>
      </c>
      <c r="Z1043" s="33">
        <v>0</v>
      </c>
      <c r="AA1043" s="2">
        <v>-228405</v>
      </c>
      <c r="AB1043" t="str">
        <f>VLOOKUP(Table2[[#This Row],[product]],Ref[#All],6,FALSE)</f>
        <v>BAG20</v>
      </c>
    </row>
    <row r="1044" spans="1:28" x14ac:dyDescent="0.25">
      <c r="A1044" t="str">
        <f>TEXT(Table2[[#This Row],[dated]],"mmm")</f>
        <v>Oct</v>
      </c>
      <c r="B1044" s="28" t="s">
        <v>123</v>
      </c>
      <c r="C1044" s="1" t="s">
        <v>538</v>
      </c>
      <c r="D1044" t="str">
        <f>VLOOKUP(Table2[[#This Row],[product]],Ref[#All],7,FALSE)</f>
        <v>Lentils</v>
      </c>
      <c r="E1044" s="28" t="s">
        <v>39</v>
      </c>
      <c r="F1044" t="str">
        <f>VLOOKUP(Table2[[#This Row],[product]],Ref[#All],2,FALSE)</f>
        <v>Lentil TAT 20KG</v>
      </c>
      <c r="G1044" t="str">
        <f>VLOOKUP(Table2[[#This Row],[product]],Ref[#All],3,FALSE)</f>
        <v>Lentils</v>
      </c>
      <c r="H1044" t="str">
        <f>VLOOKUP(Table2[[#This Row],[product]],Ref[#All],4,FALSE)</f>
        <v>Import</v>
      </c>
      <c r="I1044" s="1">
        <v>45931</v>
      </c>
      <c r="J1044" s="28" t="s">
        <v>53</v>
      </c>
      <c r="K1044" t="s">
        <v>2915</v>
      </c>
      <c r="L1044" t="s">
        <v>2907</v>
      </c>
      <c r="M1044" t="s">
        <v>1586</v>
      </c>
      <c r="N1044" t="s">
        <v>784</v>
      </c>
      <c r="O1044" t="s">
        <v>1680</v>
      </c>
      <c r="P1044" t="s">
        <v>788</v>
      </c>
      <c r="Q1044" t="s">
        <v>55</v>
      </c>
      <c r="R1044">
        <v>-15</v>
      </c>
      <c r="S1044" s="15">
        <f>Table2[[#This Row],[movement_quantity]]/VLOOKUP(Table2[[#This Row],[product]],Ref[#All],5,FALSE)</f>
        <v>-0.3</v>
      </c>
      <c r="T1044">
        <v>45681</v>
      </c>
      <c r="U1044" t="s">
        <v>17</v>
      </c>
      <c r="V1044" t="s">
        <v>24</v>
      </c>
      <c r="W1044" t="s">
        <v>3025</v>
      </c>
      <c r="X1044" t="s">
        <v>17</v>
      </c>
      <c r="Y1044" t="s">
        <v>682</v>
      </c>
      <c r="Z1044">
        <v>0</v>
      </c>
      <c r="AA1044" s="2">
        <v>-685215</v>
      </c>
      <c r="AB1044" t="str">
        <f>VLOOKUP(Table2[[#This Row],[product]],Ref[#All],6,FALSE)</f>
        <v>BAG20</v>
      </c>
    </row>
    <row r="1045" spans="1:28" x14ac:dyDescent="0.25">
      <c r="A1045" t="str">
        <f>TEXT(Table2[[#This Row],[dated]],"mmm")</f>
        <v>Oct</v>
      </c>
      <c r="B1045" s="28" t="s">
        <v>123</v>
      </c>
      <c r="C1045" s="1" t="s">
        <v>538</v>
      </c>
      <c r="D1045" t="str">
        <f>VLOOKUP(Table2[[#This Row],[product]],Ref[#All],7,FALSE)</f>
        <v>Lentils</v>
      </c>
      <c r="E1045" s="28" t="s">
        <v>39</v>
      </c>
      <c r="F1045" t="str">
        <f>VLOOKUP(Table2[[#This Row],[product]],Ref[#All],2,FALSE)</f>
        <v>Lentil TAT 20KG</v>
      </c>
      <c r="G1045" t="str">
        <f>VLOOKUP(Table2[[#This Row],[product]],Ref[#All],3,FALSE)</f>
        <v>Lentils</v>
      </c>
      <c r="H1045" t="str">
        <f>VLOOKUP(Table2[[#This Row],[product]],Ref[#All],4,FALSE)</f>
        <v>Import</v>
      </c>
      <c r="I1045" s="1">
        <v>45931</v>
      </c>
      <c r="J1045" s="28" t="s">
        <v>53</v>
      </c>
      <c r="K1045" t="s">
        <v>2916</v>
      </c>
      <c r="L1045" t="s">
        <v>2907</v>
      </c>
      <c r="M1045" t="s">
        <v>1586</v>
      </c>
      <c r="N1045" t="s">
        <v>784</v>
      </c>
      <c r="O1045" t="s">
        <v>1680</v>
      </c>
      <c r="P1045" t="s">
        <v>788</v>
      </c>
      <c r="Q1045" t="s">
        <v>55</v>
      </c>
      <c r="R1045">
        <v>-39</v>
      </c>
      <c r="S1045" s="15">
        <f>Table2[[#This Row],[movement_quantity]]/VLOOKUP(Table2[[#This Row],[product]],Ref[#All],5,FALSE)</f>
        <v>-0.78</v>
      </c>
      <c r="T1045">
        <v>45681</v>
      </c>
      <c r="U1045" t="s">
        <v>17</v>
      </c>
      <c r="V1045" t="s">
        <v>25</v>
      </c>
      <c r="W1045" t="s">
        <v>3026</v>
      </c>
      <c r="X1045" t="s">
        <v>17</v>
      </c>
      <c r="Y1045" t="s">
        <v>682</v>
      </c>
      <c r="Z1045">
        <v>0</v>
      </c>
      <c r="AA1045" s="2">
        <v>-1781559</v>
      </c>
      <c r="AB1045" t="str">
        <f>VLOOKUP(Table2[[#This Row],[product]],Ref[#All],6,FALSE)</f>
        <v>BAG20</v>
      </c>
    </row>
    <row r="1046" spans="1:28" x14ac:dyDescent="0.25">
      <c r="A1046" t="str">
        <f>TEXT(Table2[[#This Row],[dated]],"mmm")</f>
        <v>Oct</v>
      </c>
      <c r="B1046" s="28" t="s">
        <v>40</v>
      </c>
      <c r="C1046" s="1" t="s">
        <v>538</v>
      </c>
      <c r="D1046" t="str">
        <f>VLOOKUP(Table2[[#This Row],[product]],Ref[#All],7,FALSE)</f>
        <v>Lentils</v>
      </c>
      <c r="E1046" s="28" t="s">
        <v>39</v>
      </c>
      <c r="F1046" t="str">
        <f>VLOOKUP(Table2[[#This Row],[product]],Ref[#All],2,FALSE)</f>
        <v>Lentil TAT 20KG</v>
      </c>
      <c r="G1046" t="str">
        <f>VLOOKUP(Table2[[#This Row],[product]],Ref[#All],3,FALSE)</f>
        <v>Lentils</v>
      </c>
      <c r="H1046" t="str">
        <f>VLOOKUP(Table2[[#This Row],[product]],Ref[#All],4,FALSE)</f>
        <v>Import</v>
      </c>
      <c r="I1046" s="1">
        <v>45931</v>
      </c>
      <c r="J1046" s="28" t="s">
        <v>53</v>
      </c>
      <c r="K1046" t="s">
        <v>2917</v>
      </c>
      <c r="L1046" t="s">
        <v>2907</v>
      </c>
      <c r="M1046" t="s">
        <v>1586</v>
      </c>
      <c r="N1046" t="s">
        <v>784</v>
      </c>
      <c r="O1046" t="s">
        <v>1680</v>
      </c>
      <c r="P1046" t="s">
        <v>788</v>
      </c>
      <c r="Q1046" t="s">
        <v>55</v>
      </c>
      <c r="R1046">
        <v>-59</v>
      </c>
      <c r="S1046" s="15">
        <f>Table2[[#This Row],[movement_quantity]]/VLOOKUP(Table2[[#This Row],[product]],Ref[#All],5,FALSE)</f>
        <v>-1.18</v>
      </c>
      <c r="T1046">
        <v>45681</v>
      </c>
      <c r="U1046" t="s">
        <v>17</v>
      </c>
      <c r="V1046" t="s">
        <v>24</v>
      </c>
      <c r="W1046" t="s">
        <v>3027</v>
      </c>
      <c r="X1046" t="s">
        <v>17</v>
      </c>
      <c r="Y1046" t="s">
        <v>2630</v>
      </c>
      <c r="Z1046">
        <v>0</v>
      </c>
      <c r="AA1046" s="2">
        <v>-2695179</v>
      </c>
      <c r="AB1046" t="str">
        <f>VLOOKUP(Table2[[#This Row],[product]],Ref[#All],6,FALSE)</f>
        <v>BAG20</v>
      </c>
    </row>
    <row r="1047" spans="1:28" x14ac:dyDescent="0.25">
      <c r="A1047" t="str">
        <f>TEXT(Table2[[#This Row],[dated]],"mmm")</f>
        <v>Oct</v>
      </c>
      <c r="B1047" s="28" t="s">
        <v>40</v>
      </c>
      <c r="C1047" s="1" t="s">
        <v>538</v>
      </c>
      <c r="D1047" t="str">
        <f>VLOOKUP(Table2[[#This Row],[product]],Ref[#All],7,FALSE)</f>
        <v>Lentils</v>
      </c>
      <c r="E1047" s="28" t="s">
        <v>39</v>
      </c>
      <c r="F1047" t="str">
        <f>VLOOKUP(Table2[[#This Row],[product]],Ref[#All],2,FALSE)</f>
        <v>Lentil TAT 20KG</v>
      </c>
      <c r="G1047" t="str">
        <f>VLOOKUP(Table2[[#This Row],[product]],Ref[#All],3,FALSE)</f>
        <v>Lentils</v>
      </c>
      <c r="H1047" t="str">
        <f>VLOOKUP(Table2[[#This Row],[product]],Ref[#All],4,FALSE)</f>
        <v>Import</v>
      </c>
      <c r="I1047" s="1">
        <v>45931</v>
      </c>
      <c r="J1047" s="28" t="s">
        <v>53</v>
      </c>
      <c r="K1047" t="s">
        <v>2917</v>
      </c>
      <c r="L1047" t="s">
        <v>2907</v>
      </c>
      <c r="M1047" t="s">
        <v>1586</v>
      </c>
      <c r="N1047" t="s">
        <v>784</v>
      </c>
      <c r="O1047" t="s">
        <v>1680</v>
      </c>
      <c r="P1047" t="s">
        <v>788</v>
      </c>
      <c r="Q1047" t="s">
        <v>55</v>
      </c>
      <c r="R1047">
        <v>-11</v>
      </c>
      <c r="S1047" s="15">
        <f>Table2[[#This Row],[movement_quantity]]/VLOOKUP(Table2[[#This Row],[product]],Ref[#All],5,FALSE)</f>
        <v>-0.22</v>
      </c>
      <c r="T1047">
        <v>45681</v>
      </c>
      <c r="U1047" t="s">
        <v>17</v>
      </c>
      <c r="V1047" t="s">
        <v>25</v>
      </c>
      <c r="W1047" t="s">
        <v>3027</v>
      </c>
      <c r="X1047" t="s">
        <v>17</v>
      </c>
      <c r="Y1047" t="s">
        <v>1965</v>
      </c>
      <c r="Z1047">
        <v>0</v>
      </c>
      <c r="AA1047" s="2">
        <v>-502491</v>
      </c>
      <c r="AB1047" t="str">
        <f>VLOOKUP(Table2[[#This Row],[product]],Ref[#All],6,FALSE)</f>
        <v>BAG20</v>
      </c>
    </row>
    <row r="1048" spans="1:28" ht="15.75" x14ac:dyDescent="0.25">
      <c r="A1048" t="str">
        <f>TEXT(Table2[[#This Row],[dated]],"mmm")</f>
        <v>Oct</v>
      </c>
      <c r="B1048" s="28" t="s">
        <v>40</v>
      </c>
      <c r="C1048" s="1" t="s">
        <v>539</v>
      </c>
      <c r="D1048" t="str">
        <f>VLOOKUP(Table2[[#This Row],[product]],Ref[#All],7,FALSE)</f>
        <v>Rice</v>
      </c>
      <c r="E1048" s="28" t="s">
        <v>2680</v>
      </c>
      <c r="F1048" t="str">
        <f>VLOOKUP(Table2[[#This Row],[product]],Ref[#All],2,FALSE)</f>
        <v>Rice Long Damaged20</v>
      </c>
      <c r="G1048" t="str">
        <f>VLOOKUP(Table2[[#This Row],[product]],Ref[#All],3,FALSE)</f>
        <v>Rice Long Grain</v>
      </c>
      <c r="H1048" t="str">
        <f>VLOOKUP(Table2[[#This Row],[product]],Ref[#All],4,FALSE)</f>
        <v>Import</v>
      </c>
      <c r="I1048" s="1">
        <v>45931</v>
      </c>
      <c r="J1048" s="28" t="s">
        <v>127</v>
      </c>
      <c r="K1048" t="s">
        <v>2918</v>
      </c>
      <c r="L1048" s="75" t="s">
        <v>2903</v>
      </c>
      <c r="M1048" t="s">
        <v>1593</v>
      </c>
      <c r="N1048" t="s">
        <v>784</v>
      </c>
      <c r="O1048" t="s">
        <v>1680</v>
      </c>
      <c r="P1048" t="s">
        <v>788</v>
      </c>
      <c r="Q1048" t="s">
        <v>55</v>
      </c>
      <c r="R1048">
        <v>610</v>
      </c>
      <c r="S1048" s="15">
        <f>Table2[[#This Row],[movement_quantity]]/VLOOKUP(Table2[[#This Row],[product]],Ref[#All],5,FALSE)</f>
        <v>12.2</v>
      </c>
      <c r="T1048">
        <v>0</v>
      </c>
      <c r="U1048" t="s">
        <v>122</v>
      </c>
      <c r="V1048" t="s">
        <v>18</v>
      </c>
      <c r="W1048" t="s">
        <v>3028</v>
      </c>
      <c r="X1048" t="s">
        <v>3029</v>
      </c>
      <c r="Y1048" t="s">
        <v>17</v>
      </c>
      <c r="Z1048">
        <v>0</v>
      </c>
      <c r="AA1048" s="4">
        <v>10980000</v>
      </c>
      <c r="AB1048" t="str">
        <f>VLOOKUP(Table2[[#This Row],[product]],Ref[#All],6,FALSE)</f>
        <v>BAG20</v>
      </c>
    </row>
    <row r="1049" spans="1:28" ht="15.75" x14ac:dyDescent="0.25">
      <c r="A1049" t="str">
        <f>TEXT(Table2[[#This Row],[dated]],"mmm")</f>
        <v>Oct</v>
      </c>
      <c r="B1049" s="28" t="s">
        <v>40</v>
      </c>
      <c r="C1049" s="1" t="s">
        <v>539</v>
      </c>
      <c r="D1049" t="str">
        <f>VLOOKUP(Table2[[#This Row],[product]],Ref[#All],7,FALSE)</f>
        <v>Sugar</v>
      </c>
      <c r="E1049" s="28" t="s">
        <v>2194</v>
      </c>
      <c r="F1049" t="str">
        <f>VLOOKUP(Table2[[#This Row],[product]],Ref[#All],2,FALSE)</f>
        <v>White Sugar - Coke Specs</v>
      </c>
      <c r="G1049" t="str">
        <f>VLOOKUP(Table2[[#This Row],[product]],Ref[#All],3,FALSE)</f>
        <v>White Sugar - Coke Specs</v>
      </c>
      <c r="H1049" t="str">
        <f>VLOOKUP(Table2[[#This Row],[product]],Ref[#All],4,FALSE)</f>
        <v>Import</v>
      </c>
      <c r="I1049" s="1">
        <v>45931</v>
      </c>
      <c r="J1049" s="28" t="s">
        <v>127</v>
      </c>
      <c r="K1049" t="s">
        <v>2904</v>
      </c>
      <c r="L1049" s="76" t="s">
        <v>2905</v>
      </c>
      <c r="M1049" t="s">
        <v>1593</v>
      </c>
      <c r="N1049" t="s">
        <v>784</v>
      </c>
      <c r="O1049" t="s">
        <v>1680</v>
      </c>
      <c r="P1049" t="s">
        <v>788</v>
      </c>
      <c r="Q1049" t="s">
        <v>55</v>
      </c>
      <c r="R1049">
        <v>432</v>
      </c>
      <c r="S1049" s="15">
        <f>Table2[[#This Row],[movement_quantity]]/VLOOKUP(Table2[[#This Row],[product]],Ref[#All],5,FALSE)</f>
        <v>21.6</v>
      </c>
      <c r="T1049">
        <v>87806</v>
      </c>
      <c r="U1049" t="s">
        <v>122</v>
      </c>
      <c r="V1049" t="s">
        <v>18</v>
      </c>
      <c r="W1049" t="s">
        <v>3030</v>
      </c>
      <c r="X1049" t="s">
        <v>3031</v>
      </c>
      <c r="Y1049" t="s">
        <v>17</v>
      </c>
      <c r="Z1049">
        <v>0</v>
      </c>
      <c r="AA1049" s="2">
        <v>37932192</v>
      </c>
      <c r="AB1049" t="str">
        <f>VLOOKUP(Table2[[#This Row],[product]],Ref[#All],6,FALSE)</f>
        <v>BAG50</v>
      </c>
    </row>
    <row r="1050" spans="1:28" x14ac:dyDescent="0.25">
      <c r="A1050" t="str">
        <f>TEXT(Table2[[#This Row],[dated]],"mmm")</f>
        <v>Oct</v>
      </c>
      <c r="B1050" s="28" t="s">
        <v>40</v>
      </c>
      <c r="C1050" s="1" t="s">
        <v>539</v>
      </c>
      <c r="D1050" t="str">
        <f>VLOOKUP(Table2[[#This Row],[product]],Ref[#All],7,FALSE)</f>
        <v>Lentils</v>
      </c>
      <c r="E1050" s="28" t="s">
        <v>895</v>
      </c>
      <c r="F1050" t="str">
        <f>VLOOKUP(Table2[[#This Row],[product]],Ref[#All],2,FALSE)</f>
        <v>Lentil Damaged 20KG</v>
      </c>
      <c r="G1050" t="str">
        <f>VLOOKUP(Table2[[#This Row],[product]],Ref[#All],3,FALSE)</f>
        <v>Lentil - Damaged</v>
      </c>
      <c r="H1050" t="str">
        <f>VLOOKUP(Table2[[#This Row],[product]],Ref[#All],4,FALSE)</f>
        <v>Import</v>
      </c>
      <c r="I1050" s="1">
        <v>45931</v>
      </c>
      <c r="J1050" s="28" t="s">
        <v>127</v>
      </c>
      <c r="K1050" t="s">
        <v>2914</v>
      </c>
      <c r="L1050" t="s">
        <v>2907</v>
      </c>
      <c r="M1050" t="s">
        <v>1593</v>
      </c>
      <c r="N1050" t="s">
        <v>784</v>
      </c>
      <c r="O1050" t="s">
        <v>1680</v>
      </c>
      <c r="P1050" t="s">
        <v>788</v>
      </c>
      <c r="Q1050" t="s">
        <v>55</v>
      </c>
      <c r="R1050">
        <v>5</v>
      </c>
      <c r="S1050" s="15">
        <f>Table2[[#This Row],[movement_quantity]]/VLOOKUP(Table2[[#This Row],[product]],Ref[#All],5,FALSE)</f>
        <v>0.1</v>
      </c>
      <c r="T1050">
        <v>0</v>
      </c>
      <c r="U1050" t="s">
        <v>122</v>
      </c>
      <c r="V1050" t="s">
        <v>18</v>
      </c>
      <c r="W1050" t="s">
        <v>3032</v>
      </c>
      <c r="X1050" t="s">
        <v>3033</v>
      </c>
      <c r="Y1050" t="s">
        <v>17</v>
      </c>
      <c r="Z1050">
        <v>0</v>
      </c>
      <c r="AA1050" s="4">
        <v>50000</v>
      </c>
      <c r="AB1050" t="str">
        <f>VLOOKUP(Table2[[#This Row],[product]],Ref[#All],6,FALSE)</f>
        <v>BAG20</v>
      </c>
    </row>
    <row r="1051" spans="1:28" x14ac:dyDescent="0.25">
      <c r="A1051" t="str">
        <f>TEXT(Table2[[#This Row],[dated]],"mmm")</f>
        <v>Oct</v>
      </c>
      <c r="B1051" s="28" t="s">
        <v>40</v>
      </c>
      <c r="C1051" s="1" t="s">
        <v>538</v>
      </c>
      <c r="D1051" t="str">
        <f>VLOOKUP(Table2[[#This Row],[product]],Ref[#All],7,FALSE)</f>
        <v>Lentils</v>
      </c>
      <c r="E1051" s="28" t="s">
        <v>895</v>
      </c>
      <c r="F1051" t="str">
        <f>VLOOKUP(Table2[[#This Row],[product]],Ref[#All],2,FALSE)</f>
        <v>Lentil Damaged 20KG</v>
      </c>
      <c r="G1051" t="str">
        <f>VLOOKUP(Table2[[#This Row],[product]],Ref[#All],3,FALSE)</f>
        <v>Lentil - Damaged</v>
      </c>
      <c r="H1051" t="str">
        <f>VLOOKUP(Table2[[#This Row],[product]],Ref[#All],4,FALSE)</f>
        <v>Import</v>
      </c>
      <c r="I1051" s="1">
        <v>45931</v>
      </c>
      <c r="J1051" s="28" t="s">
        <v>127</v>
      </c>
      <c r="K1051" t="s">
        <v>2916</v>
      </c>
      <c r="L1051" t="s">
        <v>2907</v>
      </c>
      <c r="M1051" t="s">
        <v>1586</v>
      </c>
      <c r="N1051" t="s">
        <v>784</v>
      </c>
      <c r="O1051" t="s">
        <v>1680</v>
      </c>
      <c r="P1051" t="s">
        <v>788</v>
      </c>
      <c r="Q1051" t="s">
        <v>55</v>
      </c>
      <c r="R1051">
        <v>24</v>
      </c>
      <c r="S1051" s="15">
        <f>Table2[[#This Row],[movement_quantity]]/VLOOKUP(Table2[[#This Row],[product]],Ref[#All],5,FALSE)</f>
        <v>0.48</v>
      </c>
      <c r="T1051">
        <v>0</v>
      </c>
      <c r="U1051" t="s">
        <v>122</v>
      </c>
      <c r="V1051" t="s">
        <v>21</v>
      </c>
      <c r="W1051" t="s">
        <v>3034</v>
      </c>
      <c r="X1051" t="s">
        <v>3035</v>
      </c>
      <c r="Y1051" t="s">
        <v>17</v>
      </c>
      <c r="Z1051">
        <v>0</v>
      </c>
      <c r="AA1051" s="4">
        <v>240000</v>
      </c>
      <c r="AB1051" t="str">
        <f>VLOOKUP(Table2[[#This Row],[product]],Ref[#All],6,FALSE)</f>
        <v>BAG20</v>
      </c>
    </row>
    <row r="1052" spans="1:28" x14ac:dyDescent="0.25">
      <c r="A1052" t="str">
        <f>TEXT(Table2[[#This Row],[dated]],"mmm")</f>
        <v>Oct</v>
      </c>
      <c r="B1052" s="28" t="s">
        <v>40</v>
      </c>
      <c r="C1052" s="1" t="s">
        <v>538</v>
      </c>
      <c r="D1052" t="str">
        <f>VLOOKUP(Table2[[#This Row],[product]],Ref[#All],7,FALSE)</f>
        <v>Lentils</v>
      </c>
      <c r="E1052" s="28" t="s">
        <v>2600</v>
      </c>
      <c r="F1052" t="str">
        <f>VLOOKUP(Table2[[#This Row],[product]],Ref[#All],2,FALSE)</f>
        <v>Lentil Damage/waste 50KG</v>
      </c>
      <c r="G1052" t="str">
        <f>VLOOKUP(Table2[[#This Row],[product]],Ref[#All],3,FALSE)</f>
        <v>Lentil - Damaged</v>
      </c>
      <c r="H1052" t="str">
        <f>VLOOKUP(Table2[[#This Row],[product]],Ref[#All],4,FALSE)</f>
        <v>Import</v>
      </c>
      <c r="I1052" s="1">
        <v>45931</v>
      </c>
      <c r="J1052" s="28" t="s">
        <v>127</v>
      </c>
      <c r="K1052" t="s">
        <v>2915</v>
      </c>
      <c r="L1052" t="s">
        <v>2907</v>
      </c>
      <c r="M1052" t="s">
        <v>1586</v>
      </c>
      <c r="N1052" t="s">
        <v>784</v>
      </c>
      <c r="O1052" t="s">
        <v>1680</v>
      </c>
      <c r="P1052" t="s">
        <v>788</v>
      </c>
      <c r="Q1052" t="s">
        <v>55</v>
      </c>
      <c r="R1052">
        <v>2</v>
      </c>
      <c r="S1052" s="15">
        <f>Table2[[#This Row],[movement_quantity]]/VLOOKUP(Table2[[#This Row],[product]],Ref[#All],5,FALSE)</f>
        <v>0.04</v>
      </c>
      <c r="T1052">
        <v>0</v>
      </c>
      <c r="U1052" t="s">
        <v>122</v>
      </c>
      <c r="V1052" t="s">
        <v>18</v>
      </c>
      <c r="W1052" t="s">
        <v>3036</v>
      </c>
      <c r="X1052" t="s">
        <v>3037</v>
      </c>
      <c r="Y1052" t="s">
        <v>17</v>
      </c>
      <c r="Z1052">
        <v>0</v>
      </c>
      <c r="AA1052" s="4">
        <v>30000</v>
      </c>
      <c r="AB1052" t="str">
        <f>VLOOKUP(Table2[[#This Row],[product]],Ref[#All],6,FALSE)</f>
        <v>BAG50</v>
      </c>
    </row>
    <row r="1053" spans="1:28" x14ac:dyDescent="0.25">
      <c r="A1053" t="str">
        <f>TEXT(Table2[[#This Row],[dated]],"mmm")</f>
        <v>Oct</v>
      </c>
      <c r="B1053" s="28" t="s">
        <v>40</v>
      </c>
      <c r="C1053" s="1" t="s">
        <v>538</v>
      </c>
      <c r="D1053" t="str">
        <f>VLOOKUP(Table2[[#This Row],[product]],Ref[#All],7,FALSE)</f>
        <v>Lentils</v>
      </c>
      <c r="E1053" s="28" t="s">
        <v>2600</v>
      </c>
      <c r="F1053" t="str">
        <f>VLOOKUP(Table2[[#This Row],[product]],Ref[#All],2,FALSE)</f>
        <v>Lentil Damage/waste 50KG</v>
      </c>
      <c r="G1053" t="str">
        <f>VLOOKUP(Table2[[#This Row],[product]],Ref[#All],3,FALSE)</f>
        <v>Lentil - Damaged</v>
      </c>
      <c r="H1053" t="str">
        <f>VLOOKUP(Table2[[#This Row],[product]],Ref[#All],4,FALSE)</f>
        <v>Import</v>
      </c>
      <c r="I1053" s="1">
        <v>45931</v>
      </c>
      <c r="J1053" s="28" t="s">
        <v>127</v>
      </c>
      <c r="K1053" t="s">
        <v>2917</v>
      </c>
      <c r="L1053" t="s">
        <v>2907</v>
      </c>
      <c r="M1053" t="s">
        <v>1586</v>
      </c>
      <c r="N1053" t="s">
        <v>784</v>
      </c>
      <c r="O1053" t="s">
        <v>1680</v>
      </c>
      <c r="P1053" t="s">
        <v>788</v>
      </c>
      <c r="Q1053" t="s">
        <v>55</v>
      </c>
      <c r="R1053">
        <v>10</v>
      </c>
      <c r="S1053" s="15">
        <f>Table2[[#This Row],[movement_quantity]]/VLOOKUP(Table2[[#This Row],[product]],Ref[#All],5,FALSE)</f>
        <v>0.2</v>
      </c>
      <c r="T1053">
        <v>0</v>
      </c>
      <c r="U1053" t="s">
        <v>122</v>
      </c>
      <c r="V1053" t="s">
        <v>21</v>
      </c>
      <c r="W1053" t="s">
        <v>3038</v>
      </c>
      <c r="X1053" t="s">
        <v>3039</v>
      </c>
      <c r="Y1053" t="s">
        <v>17</v>
      </c>
      <c r="Z1053">
        <v>0</v>
      </c>
      <c r="AA1053" s="4">
        <v>250000</v>
      </c>
      <c r="AB1053" t="str">
        <f>VLOOKUP(Table2[[#This Row],[product]],Ref[#All],6,FALSE)</f>
        <v>BAG50</v>
      </c>
    </row>
    <row r="1054" spans="1:28" x14ac:dyDescent="0.25">
      <c r="A1054" t="str">
        <f>TEXT(Table2[[#This Row],[dated]],"mmm")</f>
        <v>Oct</v>
      </c>
      <c r="B1054" s="28" t="s">
        <v>40</v>
      </c>
      <c r="C1054" s="1" t="s">
        <v>539</v>
      </c>
      <c r="D1054" t="str">
        <f>VLOOKUP(Table2[[#This Row],[product]],Ref[#All],7,FALSE)</f>
        <v>Rice</v>
      </c>
      <c r="E1054" s="28" t="s">
        <v>341</v>
      </c>
      <c r="F1054" t="str">
        <f>VLOOKUP(Table2[[#This Row],[product]],Ref[#All],2,FALSE)</f>
        <v>Rice Damaged 25KG</v>
      </c>
      <c r="G1054" t="str">
        <f>VLOOKUP(Table2[[#This Row],[product]],Ref[#All],3,FALSE)</f>
        <v>Rice - Damaged</v>
      </c>
      <c r="H1054" t="str">
        <f>VLOOKUP(Table2[[#This Row],[product]],Ref[#All],4,FALSE)</f>
        <v>Import</v>
      </c>
      <c r="I1054" s="1">
        <v>45931</v>
      </c>
      <c r="J1054" s="28" t="s">
        <v>127</v>
      </c>
      <c r="K1054" t="s">
        <v>2900</v>
      </c>
      <c r="L1054" t="s">
        <v>2901</v>
      </c>
      <c r="M1054" t="s">
        <v>1593</v>
      </c>
      <c r="N1054" t="s">
        <v>784</v>
      </c>
      <c r="O1054" t="s">
        <v>786</v>
      </c>
      <c r="P1054" t="s">
        <v>1596</v>
      </c>
      <c r="Q1054" t="s">
        <v>55</v>
      </c>
      <c r="R1054">
        <v>4</v>
      </c>
      <c r="S1054" s="15">
        <f>Table2[[#This Row],[movement_quantity]]/VLOOKUP(Table2[[#This Row],[product]],Ref[#All],5,FALSE)</f>
        <v>0.1</v>
      </c>
      <c r="T1054">
        <v>0</v>
      </c>
      <c r="U1054" t="s">
        <v>122</v>
      </c>
      <c r="V1054" t="s">
        <v>18</v>
      </c>
      <c r="W1054" t="s">
        <v>3040</v>
      </c>
      <c r="X1054" t="s">
        <v>3041</v>
      </c>
      <c r="Y1054" t="s">
        <v>17</v>
      </c>
      <c r="Z1054">
        <v>0</v>
      </c>
      <c r="AA1054" s="4">
        <v>72000</v>
      </c>
      <c r="AB1054" t="str">
        <f>VLOOKUP(Table2[[#This Row],[product]],Ref[#All],6,FALSE)</f>
        <v>BAG25</v>
      </c>
    </row>
    <row r="1055" spans="1:28" x14ac:dyDescent="0.25">
      <c r="A1055" t="str">
        <f>TEXT(Table2[[#This Row],[dated]],"mmm")</f>
        <v>Oct</v>
      </c>
      <c r="B1055" s="28" t="s">
        <v>138</v>
      </c>
      <c r="C1055" s="1" t="s">
        <v>3012</v>
      </c>
      <c r="D1055" t="str">
        <f>VLOOKUP(Table2[[#This Row],[product]],Ref[#All],7,FALSE)</f>
        <v>Sorghum</v>
      </c>
      <c r="E1055" s="28" t="s">
        <v>1539</v>
      </c>
      <c r="F1055" t="str">
        <f>VLOOKUP(Table2[[#This Row],[product]],Ref[#All],2,FALSE)</f>
        <v>Sorghum FG 50 KG</v>
      </c>
      <c r="G1055" t="str">
        <f>VLOOKUP(Table2[[#This Row],[product]],Ref[#All],3,FALSE)</f>
        <v>Sorghum FG</v>
      </c>
      <c r="H1055" t="str">
        <f>VLOOKUP(Table2[[#This Row],[product]],Ref[#All],4,FALSE)</f>
        <v>Export</v>
      </c>
      <c r="I1055" s="1">
        <v>45935</v>
      </c>
      <c r="J1055" s="28" t="s">
        <v>53</v>
      </c>
      <c r="K1055" t="s">
        <v>2919</v>
      </c>
      <c r="L1055" t="s">
        <v>2920</v>
      </c>
      <c r="M1055" t="s">
        <v>1586</v>
      </c>
      <c r="N1055" t="s">
        <v>784</v>
      </c>
      <c r="O1055" t="s">
        <v>1586</v>
      </c>
      <c r="P1055" t="s">
        <v>788</v>
      </c>
      <c r="Q1055" t="s">
        <v>55</v>
      </c>
      <c r="R1055">
        <v>-1212</v>
      </c>
      <c r="S1055" s="15">
        <f>Table2[[#This Row],[movement_quantity]]/VLOOKUP(Table2[[#This Row],[product]],Ref[#All],5,FALSE)</f>
        <v>-60.6</v>
      </c>
      <c r="T1055">
        <v>49643</v>
      </c>
      <c r="U1055" t="s">
        <v>17</v>
      </c>
      <c r="V1055" t="s">
        <v>18</v>
      </c>
      <c r="W1055" t="s">
        <v>3042</v>
      </c>
      <c r="X1055" t="s">
        <v>17</v>
      </c>
      <c r="Y1055" t="s">
        <v>3043</v>
      </c>
      <c r="Z1055">
        <v>0</v>
      </c>
      <c r="AA1055" s="2">
        <v>-60167316</v>
      </c>
      <c r="AB1055" t="str">
        <f>VLOOKUP(Table2[[#This Row],[product]],Ref[#All],6,FALSE)</f>
        <v>BAG50</v>
      </c>
    </row>
    <row r="1056" spans="1:28" x14ac:dyDescent="0.25">
      <c r="A1056" t="str">
        <f>TEXT(Table2[[#This Row],[dated]],"mmm")</f>
        <v>Oct</v>
      </c>
      <c r="B1056" s="28" t="s">
        <v>138</v>
      </c>
      <c r="C1056" s="1" t="s">
        <v>3012</v>
      </c>
      <c r="D1056" t="str">
        <f>VLOOKUP(Table2[[#This Row],[product]],Ref[#All],7,FALSE)</f>
        <v>Sorghum</v>
      </c>
      <c r="E1056" s="28" t="s">
        <v>1539</v>
      </c>
      <c r="F1056" t="str">
        <f>VLOOKUP(Table2[[#This Row],[product]],Ref[#All],2,FALSE)</f>
        <v>Sorghum FG 50 KG</v>
      </c>
      <c r="G1056" t="str">
        <f>VLOOKUP(Table2[[#This Row],[product]],Ref[#All],3,FALSE)</f>
        <v>Sorghum FG</v>
      </c>
      <c r="H1056" t="str">
        <f>VLOOKUP(Table2[[#This Row],[product]],Ref[#All],4,FALSE)</f>
        <v>Export</v>
      </c>
      <c r="I1056" s="1">
        <v>45935</v>
      </c>
      <c r="J1056" s="28" t="s">
        <v>53</v>
      </c>
      <c r="K1056" t="s">
        <v>2919</v>
      </c>
      <c r="L1056" t="s">
        <v>2920</v>
      </c>
      <c r="M1056" t="s">
        <v>1586</v>
      </c>
      <c r="N1056" t="s">
        <v>784</v>
      </c>
      <c r="O1056" t="s">
        <v>1586</v>
      </c>
      <c r="P1056" t="s">
        <v>788</v>
      </c>
      <c r="Q1056" t="s">
        <v>55</v>
      </c>
      <c r="R1056">
        <v>-22</v>
      </c>
      <c r="S1056" s="15">
        <f>Table2[[#This Row],[movement_quantity]]/VLOOKUP(Table2[[#This Row],[product]],Ref[#All],5,FALSE)</f>
        <v>-1.1000000000000001</v>
      </c>
      <c r="T1056">
        <v>49643</v>
      </c>
      <c r="U1056" t="s">
        <v>17</v>
      </c>
      <c r="V1056" t="s">
        <v>21</v>
      </c>
      <c r="W1056" t="s">
        <v>3042</v>
      </c>
      <c r="X1056" t="s">
        <v>17</v>
      </c>
      <c r="Y1056" t="s">
        <v>3044</v>
      </c>
      <c r="Z1056">
        <v>0</v>
      </c>
      <c r="AA1056" s="2">
        <v>-1092146</v>
      </c>
      <c r="AB1056" t="str">
        <f>VLOOKUP(Table2[[#This Row],[product]],Ref[#All],6,FALSE)</f>
        <v>BAG50</v>
      </c>
    </row>
    <row r="1057" spans="1:28" x14ac:dyDescent="0.25">
      <c r="A1057" t="str">
        <f>TEXT(Table2[[#This Row],[dated]],"mmm")</f>
        <v>Oct</v>
      </c>
      <c r="B1057" s="28" t="s">
        <v>138</v>
      </c>
      <c r="C1057" s="1" t="s">
        <v>3012</v>
      </c>
      <c r="D1057" t="str">
        <f>VLOOKUP(Table2[[#This Row],[product]],Ref[#All],7,FALSE)</f>
        <v>Sorghum</v>
      </c>
      <c r="E1057" s="28" t="s">
        <v>2196</v>
      </c>
      <c r="F1057" t="str">
        <f>VLOOKUP(Table2[[#This Row],[product]],Ref[#All],2,FALSE)</f>
        <v>Sorghum FG</v>
      </c>
      <c r="G1057" t="str">
        <f>VLOOKUP(Table2[[#This Row],[product]],Ref[#All],3,FALSE)</f>
        <v>Sorghum FG</v>
      </c>
      <c r="H1057" t="str">
        <f>VLOOKUP(Table2[[#This Row],[product]],Ref[#All],4,FALSE)</f>
        <v>Export</v>
      </c>
      <c r="I1057" s="1">
        <v>45935</v>
      </c>
      <c r="J1057" s="28" t="s">
        <v>127</v>
      </c>
      <c r="K1057" s="33" t="s">
        <v>2919</v>
      </c>
      <c r="L1057" t="s">
        <v>2920</v>
      </c>
      <c r="M1057" t="s">
        <v>1593</v>
      </c>
      <c r="N1057" t="s">
        <v>784</v>
      </c>
      <c r="O1057" t="s">
        <v>1593</v>
      </c>
      <c r="P1057" t="s">
        <v>788</v>
      </c>
      <c r="Q1057" t="s">
        <v>55</v>
      </c>
      <c r="R1057">
        <v>61.7</v>
      </c>
      <c r="S1057" s="15">
        <f>Table2[[#This Row],[movement_quantity]]/VLOOKUP(Table2[[#This Row],[product]],Ref[#All],5,FALSE)</f>
        <v>61.7</v>
      </c>
      <c r="T1057" s="33">
        <v>992851</v>
      </c>
      <c r="U1057" s="33" t="s">
        <v>163</v>
      </c>
      <c r="V1057" s="33" t="s">
        <v>18</v>
      </c>
      <c r="W1057" s="33" t="s">
        <v>3045</v>
      </c>
      <c r="X1057" s="33" t="s">
        <v>3046</v>
      </c>
      <c r="Y1057" s="33" t="s">
        <v>17</v>
      </c>
      <c r="Z1057" s="33">
        <v>0</v>
      </c>
      <c r="AA1057" s="2">
        <v>61258906.700000003</v>
      </c>
      <c r="AB1057" t="str">
        <f>VLOOKUP(Table2[[#This Row],[product]],Ref[#All],6,FALSE)</f>
        <v>TON</v>
      </c>
    </row>
    <row r="1058" spans="1:28" x14ac:dyDescent="0.25">
      <c r="A1058" t="str">
        <f>TEXT(Table2[[#This Row],[dated]],"mmm")</f>
        <v>Oct</v>
      </c>
      <c r="B1058" s="28" t="s">
        <v>52</v>
      </c>
      <c r="C1058" s="1" t="s">
        <v>536</v>
      </c>
      <c r="D1058" t="str">
        <f>VLOOKUP(Table2[[#This Row],[product]],Ref[#All],7,FALSE)</f>
        <v>Lentils</v>
      </c>
      <c r="E1058" s="28" t="s">
        <v>39</v>
      </c>
      <c r="F1058" t="str">
        <f>VLOOKUP(Table2[[#This Row],[product]],Ref[#All],2,FALSE)</f>
        <v>Lentil TAT 20KG</v>
      </c>
      <c r="G1058" t="str">
        <f>VLOOKUP(Table2[[#This Row],[product]],Ref[#All],3,FALSE)</f>
        <v>Lentils</v>
      </c>
      <c r="H1058" t="str">
        <f>VLOOKUP(Table2[[#This Row],[product]],Ref[#All],4,FALSE)</f>
        <v>Import</v>
      </c>
      <c r="I1058" s="1">
        <v>45936</v>
      </c>
      <c r="J1058" s="28" t="s">
        <v>53</v>
      </c>
      <c r="K1058" t="s">
        <v>2921</v>
      </c>
      <c r="L1058" t="s">
        <v>1651</v>
      </c>
      <c r="M1058" t="s">
        <v>1586</v>
      </c>
      <c r="N1058" t="s">
        <v>784</v>
      </c>
      <c r="O1058" t="s">
        <v>785</v>
      </c>
      <c r="P1058" t="s">
        <v>788</v>
      </c>
      <c r="Q1058" t="s">
        <v>55</v>
      </c>
      <c r="R1058">
        <v>-2</v>
      </c>
      <c r="S1058" s="15">
        <f>Table2[[#This Row],[movement_quantity]]/VLOOKUP(Table2[[#This Row],[product]],Ref[#All],5,FALSE)</f>
        <v>-0.04</v>
      </c>
      <c r="T1058">
        <v>45681</v>
      </c>
      <c r="U1058" t="s">
        <v>17</v>
      </c>
      <c r="V1058" t="s">
        <v>18</v>
      </c>
      <c r="W1058" t="s">
        <v>3047</v>
      </c>
      <c r="X1058" t="s">
        <v>17</v>
      </c>
      <c r="Y1058" t="s">
        <v>3048</v>
      </c>
      <c r="Z1058">
        <v>0</v>
      </c>
      <c r="AA1058" s="2">
        <v>-91362</v>
      </c>
      <c r="AB1058" t="str">
        <f>VLOOKUP(Table2[[#This Row],[product]],Ref[#All],6,FALSE)</f>
        <v>BAG20</v>
      </c>
    </row>
    <row r="1059" spans="1:28" x14ac:dyDescent="0.25">
      <c r="A1059" t="str">
        <f>TEXT(Table2[[#This Row],[dated]],"mmm")</f>
        <v>Oct</v>
      </c>
      <c r="B1059" s="28" t="s">
        <v>52</v>
      </c>
      <c r="C1059" s="1" t="s">
        <v>536</v>
      </c>
      <c r="D1059" t="str">
        <f>VLOOKUP(Table2[[#This Row],[product]],Ref[#All],7,FALSE)</f>
        <v>Lentils</v>
      </c>
      <c r="E1059" s="28" t="s">
        <v>39</v>
      </c>
      <c r="F1059" t="str">
        <f>VLOOKUP(Table2[[#This Row],[product]],Ref[#All],2,FALSE)</f>
        <v>Lentil TAT 20KG</v>
      </c>
      <c r="G1059" t="str">
        <f>VLOOKUP(Table2[[#This Row],[product]],Ref[#All],3,FALSE)</f>
        <v>Lentils</v>
      </c>
      <c r="H1059" t="str">
        <f>VLOOKUP(Table2[[#This Row],[product]],Ref[#All],4,FALSE)</f>
        <v>Import</v>
      </c>
      <c r="I1059" s="1">
        <v>45936</v>
      </c>
      <c r="J1059" s="28" t="s">
        <v>53</v>
      </c>
      <c r="K1059" t="s">
        <v>2922</v>
      </c>
      <c r="L1059" t="s">
        <v>1651</v>
      </c>
      <c r="M1059" t="s">
        <v>1586</v>
      </c>
      <c r="N1059" t="s">
        <v>784</v>
      </c>
      <c r="O1059" t="s">
        <v>785</v>
      </c>
      <c r="P1059" t="s">
        <v>788</v>
      </c>
      <c r="Q1059" t="s">
        <v>55</v>
      </c>
      <c r="R1059">
        <v>-1</v>
      </c>
      <c r="S1059" s="15">
        <f>Table2[[#This Row],[movement_quantity]]/VLOOKUP(Table2[[#This Row],[product]],Ref[#All],5,FALSE)</f>
        <v>-0.02</v>
      </c>
      <c r="T1059">
        <v>45681</v>
      </c>
      <c r="U1059" t="s">
        <v>17</v>
      </c>
      <c r="V1059" t="s">
        <v>21</v>
      </c>
      <c r="W1059" t="s">
        <v>3049</v>
      </c>
      <c r="X1059" t="s">
        <v>17</v>
      </c>
      <c r="Y1059" t="s">
        <v>3048</v>
      </c>
      <c r="Z1059">
        <v>0</v>
      </c>
      <c r="AA1059" s="2">
        <v>-45681</v>
      </c>
      <c r="AB1059" t="str">
        <f>VLOOKUP(Table2[[#This Row],[product]],Ref[#All],6,FALSE)</f>
        <v>BAG20</v>
      </c>
    </row>
    <row r="1060" spans="1:28" x14ac:dyDescent="0.25">
      <c r="A1060" t="str">
        <f>TEXT(Table2[[#This Row],[dated]],"mmm")</f>
        <v>Oct</v>
      </c>
      <c r="B1060" s="28" t="s">
        <v>52</v>
      </c>
      <c r="C1060" s="1" t="s">
        <v>536</v>
      </c>
      <c r="D1060" t="str">
        <f>VLOOKUP(Table2[[#This Row],[product]],Ref[#All],7,FALSE)</f>
        <v>Flour</v>
      </c>
      <c r="E1060" s="28" t="s">
        <v>42</v>
      </c>
      <c r="F1060" t="str">
        <f>VLOOKUP(Table2[[#This Row],[product]],Ref[#All],2,FALSE)</f>
        <v>Alnajm Flour from Mill 25KG</v>
      </c>
      <c r="G1060" t="str">
        <f>VLOOKUP(Table2[[#This Row],[product]],Ref[#All],3,FALSE)</f>
        <v>Flour Al-Nagm (Mill)</v>
      </c>
      <c r="H1060" t="str">
        <f>VLOOKUP(Table2[[#This Row],[product]],Ref[#All],4,FALSE)</f>
        <v>Import</v>
      </c>
      <c r="I1060" s="1">
        <v>45936</v>
      </c>
      <c r="J1060" s="28" t="s">
        <v>53</v>
      </c>
      <c r="K1060" t="s">
        <v>2923</v>
      </c>
      <c r="L1060" t="s">
        <v>1651</v>
      </c>
      <c r="M1060" t="s">
        <v>1586</v>
      </c>
      <c r="N1060" t="s">
        <v>784</v>
      </c>
      <c r="O1060" t="s">
        <v>785</v>
      </c>
      <c r="P1060" t="s">
        <v>788</v>
      </c>
      <c r="Q1060" t="s">
        <v>55</v>
      </c>
      <c r="R1060">
        <v>-1</v>
      </c>
      <c r="S1060" s="15">
        <f>Table2[[#This Row],[movement_quantity]]/VLOOKUP(Table2[[#This Row],[product]],Ref[#All],5,FALSE)</f>
        <v>-2.5000000000000001E-2</v>
      </c>
      <c r="T1060">
        <v>32433</v>
      </c>
      <c r="U1060" t="s">
        <v>17</v>
      </c>
      <c r="V1060" t="s">
        <v>18</v>
      </c>
      <c r="W1060" t="s">
        <v>3050</v>
      </c>
      <c r="X1060" t="s">
        <v>17</v>
      </c>
      <c r="Y1060" t="s">
        <v>3051</v>
      </c>
      <c r="Z1060">
        <v>0</v>
      </c>
      <c r="AA1060" s="2">
        <v>-32433</v>
      </c>
      <c r="AB1060" t="str">
        <f>VLOOKUP(Table2[[#This Row],[product]],Ref[#All],6,FALSE)</f>
        <v>BAG25</v>
      </c>
    </row>
    <row r="1061" spans="1:28" x14ac:dyDescent="0.25">
      <c r="A1061" t="str">
        <f>TEXT(Table2[[#This Row],[dated]],"mmm")</f>
        <v>Oct</v>
      </c>
      <c r="B1061" s="28" t="s">
        <v>52</v>
      </c>
      <c r="C1061" s="1" t="s">
        <v>536</v>
      </c>
      <c r="D1061" t="str">
        <f>VLOOKUP(Table2[[#This Row],[product]],Ref[#All],7,FALSE)</f>
        <v>Flour</v>
      </c>
      <c r="E1061" s="28" t="s">
        <v>42</v>
      </c>
      <c r="F1061" t="str">
        <f>VLOOKUP(Table2[[#This Row],[product]],Ref[#All],2,FALSE)</f>
        <v>Alnajm Flour from Mill 25KG</v>
      </c>
      <c r="G1061" t="str">
        <f>VLOOKUP(Table2[[#This Row],[product]],Ref[#All],3,FALSE)</f>
        <v>Flour Al-Nagm (Mill)</v>
      </c>
      <c r="H1061" t="str">
        <f>VLOOKUP(Table2[[#This Row],[product]],Ref[#All],4,FALSE)</f>
        <v>Import</v>
      </c>
      <c r="I1061" s="1">
        <v>45936</v>
      </c>
      <c r="J1061" s="28" t="s">
        <v>53</v>
      </c>
      <c r="K1061" t="s">
        <v>2924</v>
      </c>
      <c r="L1061" t="s">
        <v>1651</v>
      </c>
      <c r="M1061" t="s">
        <v>1586</v>
      </c>
      <c r="N1061" t="s">
        <v>784</v>
      </c>
      <c r="O1061" t="s">
        <v>785</v>
      </c>
      <c r="P1061" t="s">
        <v>788</v>
      </c>
      <c r="Q1061" t="s">
        <v>55</v>
      </c>
      <c r="R1061">
        <v>-2</v>
      </c>
      <c r="S1061" s="15">
        <f>Table2[[#This Row],[movement_quantity]]/VLOOKUP(Table2[[#This Row],[product]],Ref[#All],5,FALSE)</f>
        <v>-0.05</v>
      </c>
      <c r="T1061">
        <v>32433</v>
      </c>
      <c r="U1061" t="s">
        <v>17</v>
      </c>
      <c r="V1061" t="s">
        <v>21</v>
      </c>
      <c r="W1061" t="s">
        <v>3052</v>
      </c>
      <c r="X1061" t="s">
        <v>17</v>
      </c>
      <c r="Y1061" t="s">
        <v>3051</v>
      </c>
      <c r="Z1061">
        <v>0</v>
      </c>
      <c r="AA1061" s="2">
        <v>-64866</v>
      </c>
      <c r="AB1061" t="str">
        <f>VLOOKUP(Table2[[#This Row],[product]],Ref[#All],6,FALSE)</f>
        <v>BAG25</v>
      </c>
    </row>
    <row r="1062" spans="1:28" x14ac:dyDescent="0.25">
      <c r="A1062" t="str">
        <f>TEXT(Table2[[#This Row],[dated]],"mmm")</f>
        <v>Oct</v>
      </c>
      <c r="B1062" s="28" t="s">
        <v>52</v>
      </c>
      <c r="C1062" s="1" t="s">
        <v>536</v>
      </c>
      <c r="D1062" t="str">
        <f>VLOOKUP(Table2[[#This Row],[product]],Ref[#All],7,FALSE)</f>
        <v>Flour</v>
      </c>
      <c r="E1062" s="28" t="s">
        <v>42</v>
      </c>
      <c r="F1062" t="str">
        <f>VLOOKUP(Table2[[#This Row],[product]],Ref[#All],2,FALSE)</f>
        <v>Alnajm Flour from Mill 25KG</v>
      </c>
      <c r="G1062" t="str">
        <f>VLOOKUP(Table2[[#This Row],[product]],Ref[#All],3,FALSE)</f>
        <v>Flour Al-Nagm (Mill)</v>
      </c>
      <c r="H1062" t="str">
        <f>VLOOKUP(Table2[[#This Row],[product]],Ref[#All],4,FALSE)</f>
        <v>Import</v>
      </c>
      <c r="I1062" s="1">
        <v>45936</v>
      </c>
      <c r="J1062" s="28" t="s">
        <v>53</v>
      </c>
      <c r="K1062" t="s">
        <v>2925</v>
      </c>
      <c r="L1062" t="s">
        <v>1651</v>
      </c>
      <c r="M1062" t="s">
        <v>1586</v>
      </c>
      <c r="N1062" t="s">
        <v>784</v>
      </c>
      <c r="O1062" t="s">
        <v>785</v>
      </c>
      <c r="P1062" t="s">
        <v>788</v>
      </c>
      <c r="Q1062" t="s">
        <v>55</v>
      </c>
      <c r="R1062">
        <v>-1</v>
      </c>
      <c r="S1062" s="15">
        <f>Table2[[#This Row],[movement_quantity]]/VLOOKUP(Table2[[#This Row],[product]],Ref[#All],5,FALSE)</f>
        <v>-2.5000000000000001E-2</v>
      </c>
      <c r="T1062">
        <v>32433</v>
      </c>
      <c r="U1062" t="s">
        <v>17</v>
      </c>
      <c r="V1062" t="s">
        <v>22</v>
      </c>
      <c r="W1062" t="s">
        <v>3053</v>
      </c>
      <c r="X1062" t="s">
        <v>17</v>
      </c>
      <c r="Y1062" t="s">
        <v>3051</v>
      </c>
      <c r="Z1062">
        <v>0</v>
      </c>
      <c r="AA1062" s="2">
        <v>-32433</v>
      </c>
      <c r="AB1062" t="str">
        <f>VLOOKUP(Table2[[#This Row],[product]],Ref[#All],6,FALSE)</f>
        <v>BAG25</v>
      </c>
    </row>
    <row r="1063" spans="1:28" x14ac:dyDescent="0.25">
      <c r="A1063" t="str">
        <f>TEXT(Table2[[#This Row],[dated]],"mmm")</f>
        <v>Oct</v>
      </c>
      <c r="B1063" s="28" t="s">
        <v>52</v>
      </c>
      <c r="C1063" s="1" t="s">
        <v>536</v>
      </c>
      <c r="D1063" t="str">
        <f>VLOOKUP(Table2[[#This Row],[product]],Ref[#All],7,FALSE)</f>
        <v>Flour</v>
      </c>
      <c r="E1063" s="28" t="s">
        <v>42</v>
      </c>
      <c r="F1063" t="str">
        <f>VLOOKUP(Table2[[#This Row],[product]],Ref[#All],2,FALSE)</f>
        <v>Alnajm Flour from Mill 25KG</v>
      </c>
      <c r="G1063" t="str">
        <f>VLOOKUP(Table2[[#This Row],[product]],Ref[#All],3,FALSE)</f>
        <v>Flour Al-Nagm (Mill)</v>
      </c>
      <c r="H1063" t="str">
        <f>VLOOKUP(Table2[[#This Row],[product]],Ref[#All],4,FALSE)</f>
        <v>Import</v>
      </c>
      <c r="I1063" s="1">
        <v>45936</v>
      </c>
      <c r="J1063" s="28" t="s">
        <v>53</v>
      </c>
      <c r="K1063" t="s">
        <v>2926</v>
      </c>
      <c r="L1063" t="s">
        <v>1651</v>
      </c>
      <c r="M1063" t="s">
        <v>1586</v>
      </c>
      <c r="N1063" t="s">
        <v>784</v>
      </c>
      <c r="O1063" t="s">
        <v>785</v>
      </c>
      <c r="P1063" t="s">
        <v>788</v>
      </c>
      <c r="Q1063" t="s">
        <v>55</v>
      </c>
      <c r="R1063">
        <v>-1</v>
      </c>
      <c r="S1063" s="15">
        <f>Table2[[#This Row],[movement_quantity]]/VLOOKUP(Table2[[#This Row],[product]],Ref[#All],5,FALSE)</f>
        <v>-2.5000000000000001E-2</v>
      </c>
      <c r="T1063">
        <v>32433</v>
      </c>
      <c r="U1063" t="s">
        <v>17</v>
      </c>
      <c r="V1063" t="s">
        <v>23</v>
      </c>
      <c r="W1063" t="s">
        <v>3054</v>
      </c>
      <c r="X1063" t="s">
        <v>17</v>
      </c>
      <c r="Y1063" t="s">
        <v>3051</v>
      </c>
      <c r="Z1063">
        <v>0</v>
      </c>
      <c r="AA1063" s="2">
        <v>-32433</v>
      </c>
      <c r="AB1063" t="str">
        <f>VLOOKUP(Table2[[#This Row],[product]],Ref[#All],6,FALSE)</f>
        <v>BAG25</v>
      </c>
    </row>
    <row r="1064" spans="1:28" x14ac:dyDescent="0.25">
      <c r="A1064" t="str">
        <f>TEXT(Table2[[#This Row],[dated]],"mmm")</f>
        <v>Oct</v>
      </c>
      <c r="B1064" s="28" t="s">
        <v>52</v>
      </c>
      <c r="C1064" s="1" t="s">
        <v>536</v>
      </c>
      <c r="D1064" t="str">
        <f>VLOOKUP(Table2[[#This Row],[product]],Ref[#All],7,FALSE)</f>
        <v>Flour</v>
      </c>
      <c r="E1064" s="28" t="s">
        <v>42</v>
      </c>
      <c r="F1064" t="str">
        <f>VLOOKUP(Table2[[#This Row],[product]],Ref[#All],2,FALSE)</f>
        <v>Alnajm Flour from Mill 25KG</v>
      </c>
      <c r="G1064" t="str">
        <f>VLOOKUP(Table2[[#This Row],[product]],Ref[#All],3,FALSE)</f>
        <v>Flour Al-Nagm (Mill)</v>
      </c>
      <c r="H1064" t="str">
        <f>VLOOKUP(Table2[[#This Row],[product]],Ref[#All],4,FALSE)</f>
        <v>Import</v>
      </c>
      <c r="I1064" s="1">
        <v>45936</v>
      </c>
      <c r="J1064" s="28" t="s">
        <v>53</v>
      </c>
      <c r="K1064" t="s">
        <v>2927</v>
      </c>
      <c r="L1064" t="s">
        <v>1651</v>
      </c>
      <c r="M1064" t="s">
        <v>1586</v>
      </c>
      <c r="N1064" t="s">
        <v>784</v>
      </c>
      <c r="O1064" t="s">
        <v>785</v>
      </c>
      <c r="P1064" t="s">
        <v>788</v>
      </c>
      <c r="Q1064" t="s">
        <v>55</v>
      </c>
      <c r="R1064">
        <v>-3</v>
      </c>
      <c r="S1064" s="15">
        <f>Table2[[#This Row],[movement_quantity]]/VLOOKUP(Table2[[#This Row],[product]],Ref[#All],5,FALSE)</f>
        <v>-7.4999999999999997E-2</v>
      </c>
      <c r="T1064">
        <v>32433</v>
      </c>
      <c r="U1064" t="s">
        <v>17</v>
      </c>
      <c r="V1064" t="s">
        <v>24</v>
      </c>
      <c r="W1064" t="s">
        <v>3055</v>
      </c>
      <c r="X1064" t="s">
        <v>17</v>
      </c>
      <c r="Y1064" t="s">
        <v>3051</v>
      </c>
      <c r="Z1064">
        <v>0</v>
      </c>
      <c r="AA1064" s="2">
        <v>-97299</v>
      </c>
      <c r="AB1064" t="str">
        <f>VLOOKUP(Table2[[#This Row],[product]],Ref[#All],6,FALSE)</f>
        <v>BAG25</v>
      </c>
    </row>
    <row r="1065" spans="1:28" x14ac:dyDescent="0.25">
      <c r="A1065" t="str">
        <f>TEXT(Table2[[#This Row],[dated]],"mmm")</f>
        <v>Oct</v>
      </c>
      <c r="B1065" s="28" t="s">
        <v>52</v>
      </c>
      <c r="C1065" s="1" t="s">
        <v>536</v>
      </c>
      <c r="D1065" t="str">
        <f>VLOOKUP(Table2[[#This Row],[product]],Ref[#All],7,FALSE)</f>
        <v>Flour</v>
      </c>
      <c r="E1065" s="28" t="s">
        <v>42</v>
      </c>
      <c r="F1065" t="str">
        <f>VLOOKUP(Table2[[#This Row],[product]],Ref[#All],2,FALSE)</f>
        <v>Alnajm Flour from Mill 25KG</v>
      </c>
      <c r="G1065" t="str">
        <f>VLOOKUP(Table2[[#This Row],[product]],Ref[#All],3,FALSE)</f>
        <v>Flour Al-Nagm (Mill)</v>
      </c>
      <c r="H1065" t="str">
        <f>VLOOKUP(Table2[[#This Row],[product]],Ref[#All],4,FALSE)</f>
        <v>Import</v>
      </c>
      <c r="I1065" s="1">
        <v>45936</v>
      </c>
      <c r="J1065" s="28" t="s">
        <v>53</v>
      </c>
      <c r="K1065" t="s">
        <v>2928</v>
      </c>
      <c r="L1065" t="s">
        <v>1651</v>
      </c>
      <c r="M1065" t="s">
        <v>1586</v>
      </c>
      <c r="N1065" t="s">
        <v>784</v>
      </c>
      <c r="O1065" t="s">
        <v>785</v>
      </c>
      <c r="P1065" t="s">
        <v>788</v>
      </c>
      <c r="Q1065" t="s">
        <v>55</v>
      </c>
      <c r="R1065">
        <v>-1</v>
      </c>
      <c r="S1065" s="15">
        <f>Table2[[#This Row],[movement_quantity]]/VLOOKUP(Table2[[#This Row],[product]],Ref[#All],5,FALSE)</f>
        <v>-2.5000000000000001E-2</v>
      </c>
      <c r="T1065">
        <v>32433</v>
      </c>
      <c r="U1065" t="s">
        <v>17</v>
      </c>
      <c r="V1065" t="s">
        <v>25</v>
      </c>
      <c r="W1065" t="s">
        <v>3056</v>
      </c>
      <c r="X1065" t="s">
        <v>17</v>
      </c>
      <c r="Y1065" t="s">
        <v>3051</v>
      </c>
      <c r="Z1065">
        <v>0</v>
      </c>
      <c r="AA1065" s="2">
        <v>-32433</v>
      </c>
      <c r="AB1065" t="str">
        <f>VLOOKUP(Table2[[#This Row],[product]],Ref[#All],6,FALSE)</f>
        <v>BAG25</v>
      </c>
    </row>
    <row r="1066" spans="1:28" x14ac:dyDescent="0.25">
      <c r="A1066" t="str">
        <f>TEXT(Table2[[#This Row],[dated]],"mmm")</f>
        <v>Oct</v>
      </c>
      <c r="B1066" s="28" t="s">
        <v>52</v>
      </c>
      <c r="C1066" s="1" t="s">
        <v>536</v>
      </c>
      <c r="D1066" t="str">
        <f>VLOOKUP(Table2[[#This Row],[product]],Ref[#All],7,FALSE)</f>
        <v>Flour</v>
      </c>
      <c r="E1066" s="28" t="s">
        <v>42</v>
      </c>
      <c r="F1066" t="str">
        <f>VLOOKUP(Table2[[#This Row],[product]],Ref[#All],2,FALSE)</f>
        <v>Alnajm Flour from Mill 25KG</v>
      </c>
      <c r="G1066" t="str">
        <f>VLOOKUP(Table2[[#This Row],[product]],Ref[#All],3,FALSE)</f>
        <v>Flour Al-Nagm (Mill)</v>
      </c>
      <c r="H1066" t="str">
        <f>VLOOKUP(Table2[[#This Row],[product]],Ref[#All],4,FALSE)</f>
        <v>Import</v>
      </c>
      <c r="I1066" s="1">
        <v>45936</v>
      </c>
      <c r="J1066" s="28" t="s">
        <v>53</v>
      </c>
      <c r="K1066" t="s">
        <v>2929</v>
      </c>
      <c r="L1066" t="s">
        <v>1651</v>
      </c>
      <c r="M1066" t="s">
        <v>1586</v>
      </c>
      <c r="N1066" t="s">
        <v>784</v>
      </c>
      <c r="O1066" t="s">
        <v>785</v>
      </c>
      <c r="P1066" t="s">
        <v>788</v>
      </c>
      <c r="Q1066" t="s">
        <v>55</v>
      </c>
      <c r="R1066">
        <v>-4</v>
      </c>
      <c r="S1066" s="15">
        <f>Table2[[#This Row],[movement_quantity]]/VLOOKUP(Table2[[#This Row],[product]],Ref[#All],5,FALSE)</f>
        <v>-0.1</v>
      </c>
      <c r="T1066">
        <v>32433</v>
      </c>
      <c r="U1066" t="s">
        <v>17</v>
      </c>
      <c r="V1066" t="s">
        <v>26</v>
      </c>
      <c r="W1066" t="s">
        <v>3057</v>
      </c>
      <c r="X1066" t="s">
        <v>17</v>
      </c>
      <c r="Y1066" t="s">
        <v>3051</v>
      </c>
      <c r="Z1066">
        <v>0</v>
      </c>
      <c r="AA1066" s="2">
        <v>-129732</v>
      </c>
      <c r="AB1066" t="str">
        <f>VLOOKUP(Table2[[#This Row],[product]],Ref[#All],6,FALSE)</f>
        <v>BAG25</v>
      </c>
    </row>
    <row r="1067" spans="1:28" x14ac:dyDescent="0.25">
      <c r="A1067" t="str">
        <f>TEXT(Table2[[#This Row],[dated]],"mmm")</f>
        <v>Oct</v>
      </c>
      <c r="B1067" s="28" t="s">
        <v>52</v>
      </c>
      <c r="C1067" s="1" t="s">
        <v>536</v>
      </c>
      <c r="D1067" t="str">
        <f>VLOOKUP(Table2[[#This Row],[product]],Ref[#All],7,FALSE)</f>
        <v>Flour</v>
      </c>
      <c r="E1067" s="28" t="s">
        <v>42</v>
      </c>
      <c r="F1067" t="str">
        <f>VLOOKUP(Table2[[#This Row],[product]],Ref[#All],2,FALSE)</f>
        <v>Alnajm Flour from Mill 25KG</v>
      </c>
      <c r="G1067" t="str">
        <f>VLOOKUP(Table2[[#This Row],[product]],Ref[#All],3,FALSE)</f>
        <v>Flour Al-Nagm (Mill)</v>
      </c>
      <c r="H1067" t="str">
        <f>VLOOKUP(Table2[[#This Row],[product]],Ref[#All],4,FALSE)</f>
        <v>Import</v>
      </c>
      <c r="I1067" s="1">
        <v>45936</v>
      </c>
      <c r="J1067" s="28" t="s">
        <v>53</v>
      </c>
      <c r="K1067" t="s">
        <v>2930</v>
      </c>
      <c r="L1067" t="s">
        <v>1651</v>
      </c>
      <c r="M1067" t="s">
        <v>1586</v>
      </c>
      <c r="N1067" t="s">
        <v>784</v>
      </c>
      <c r="O1067" t="s">
        <v>785</v>
      </c>
      <c r="P1067" t="s">
        <v>788</v>
      </c>
      <c r="Q1067" t="s">
        <v>55</v>
      </c>
      <c r="R1067">
        <v>-1</v>
      </c>
      <c r="S1067" s="15">
        <f>Table2[[#This Row],[movement_quantity]]/VLOOKUP(Table2[[#This Row],[product]],Ref[#All],5,FALSE)</f>
        <v>-2.5000000000000001E-2</v>
      </c>
      <c r="T1067">
        <v>32433</v>
      </c>
      <c r="U1067" t="s">
        <v>17</v>
      </c>
      <c r="V1067" t="s">
        <v>27</v>
      </c>
      <c r="W1067" t="s">
        <v>3058</v>
      </c>
      <c r="X1067" t="s">
        <v>17</v>
      </c>
      <c r="Y1067" t="s">
        <v>3051</v>
      </c>
      <c r="Z1067">
        <v>0</v>
      </c>
      <c r="AA1067" s="2">
        <v>-32433</v>
      </c>
      <c r="AB1067" t="str">
        <f>VLOOKUP(Table2[[#This Row],[product]],Ref[#All],6,FALSE)</f>
        <v>BAG25</v>
      </c>
    </row>
    <row r="1068" spans="1:28" x14ac:dyDescent="0.25">
      <c r="A1068" t="str">
        <f>TEXT(Table2[[#This Row],[dated]],"mmm")</f>
        <v>Oct</v>
      </c>
      <c r="B1068" s="28" t="s">
        <v>52</v>
      </c>
      <c r="C1068" s="1" t="s">
        <v>536</v>
      </c>
      <c r="D1068" t="str">
        <f>VLOOKUP(Table2[[#This Row],[product]],Ref[#All],7,FALSE)</f>
        <v>Flour</v>
      </c>
      <c r="E1068" s="28" t="s">
        <v>42</v>
      </c>
      <c r="F1068" t="str">
        <f>VLOOKUP(Table2[[#This Row],[product]],Ref[#All],2,FALSE)</f>
        <v>Alnajm Flour from Mill 25KG</v>
      </c>
      <c r="G1068" t="str">
        <f>VLOOKUP(Table2[[#This Row],[product]],Ref[#All],3,FALSE)</f>
        <v>Flour Al-Nagm (Mill)</v>
      </c>
      <c r="H1068" t="str">
        <f>VLOOKUP(Table2[[#This Row],[product]],Ref[#All],4,FALSE)</f>
        <v>Import</v>
      </c>
      <c r="I1068" s="1">
        <v>45936</v>
      </c>
      <c r="J1068" s="28" t="s">
        <v>53</v>
      </c>
      <c r="K1068" t="s">
        <v>2931</v>
      </c>
      <c r="L1068" t="s">
        <v>1651</v>
      </c>
      <c r="M1068" t="s">
        <v>1586</v>
      </c>
      <c r="N1068" t="s">
        <v>784</v>
      </c>
      <c r="O1068" t="s">
        <v>785</v>
      </c>
      <c r="P1068" t="s">
        <v>788</v>
      </c>
      <c r="Q1068" t="s">
        <v>55</v>
      </c>
      <c r="R1068">
        <v>-2</v>
      </c>
      <c r="S1068" s="15">
        <f>Table2[[#This Row],[movement_quantity]]/VLOOKUP(Table2[[#This Row],[product]],Ref[#All],5,FALSE)</f>
        <v>-0.05</v>
      </c>
      <c r="T1068">
        <v>32433</v>
      </c>
      <c r="U1068" t="s">
        <v>17</v>
      </c>
      <c r="V1068" t="s">
        <v>28</v>
      </c>
      <c r="W1068" t="s">
        <v>3059</v>
      </c>
      <c r="X1068" t="s">
        <v>17</v>
      </c>
      <c r="Y1068" t="s">
        <v>3051</v>
      </c>
      <c r="Z1068">
        <v>0</v>
      </c>
      <c r="AA1068" s="2">
        <v>-64866</v>
      </c>
      <c r="AB1068" t="str">
        <f>VLOOKUP(Table2[[#This Row],[product]],Ref[#All],6,FALSE)</f>
        <v>BAG25</v>
      </c>
    </row>
    <row r="1069" spans="1:28" x14ac:dyDescent="0.25">
      <c r="A1069" t="str">
        <f>TEXT(Table2[[#This Row],[dated]],"mmm")</f>
        <v>Oct</v>
      </c>
      <c r="B1069" s="28" t="s">
        <v>52</v>
      </c>
      <c r="C1069" s="1" t="s">
        <v>2726</v>
      </c>
      <c r="D1069" t="str">
        <f>VLOOKUP(Table2[[#This Row],[product]],Ref[#All],7,FALSE)</f>
        <v>Flour</v>
      </c>
      <c r="E1069" s="28" t="s">
        <v>42</v>
      </c>
      <c r="F1069" t="str">
        <f>VLOOKUP(Table2[[#This Row],[product]],Ref[#All],2,FALSE)</f>
        <v>Alnajm Flour from Mill 25KG</v>
      </c>
      <c r="G1069" t="str">
        <f>VLOOKUP(Table2[[#This Row],[product]],Ref[#All],3,FALSE)</f>
        <v>Flour Al-Nagm (Mill)</v>
      </c>
      <c r="H1069" t="str">
        <f>VLOOKUP(Table2[[#This Row],[product]],Ref[#All],4,FALSE)</f>
        <v>Import</v>
      </c>
      <c r="I1069" s="1">
        <v>45936</v>
      </c>
      <c r="J1069" s="28" t="s">
        <v>127</v>
      </c>
      <c r="K1069" t="s">
        <v>2932</v>
      </c>
      <c r="L1069" t="s">
        <v>1652</v>
      </c>
      <c r="M1069" t="s">
        <v>1593</v>
      </c>
      <c r="N1069" t="s">
        <v>784</v>
      </c>
      <c r="O1069" t="s">
        <v>1593</v>
      </c>
      <c r="P1069" t="s">
        <v>788</v>
      </c>
      <c r="Q1069" t="s">
        <v>55</v>
      </c>
      <c r="R1069">
        <v>1</v>
      </c>
      <c r="S1069" s="15">
        <f>Table2[[#This Row],[movement_quantity]]/VLOOKUP(Table2[[#This Row],[product]],Ref[#All],5,FALSE)</f>
        <v>2.5000000000000001E-2</v>
      </c>
      <c r="T1069">
        <v>32433</v>
      </c>
      <c r="U1069" t="s">
        <v>153</v>
      </c>
      <c r="V1069" t="s">
        <v>29</v>
      </c>
      <c r="W1069" t="s">
        <v>3060</v>
      </c>
      <c r="X1069" t="s">
        <v>3061</v>
      </c>
      <c r="Y1069" t="s">
        <v>17</v>
      </c>
      <c r="Z1069">
        <v>0</v>
      </c>
      <c r="AA1069" s="2">
        <v>32433</v>
      </c>
      <c r="AB1069" t="str">
        <f>VLOOKUP(Table2[[#This Row],[product]],Ref[#All],6,FALSE)</f>
        <v>BAG25</v>
      </c>
    </row>
    <row r="1070" spans="1:28" x14ac:dyDescent="0.25">
      <c r="A1070" t="str">
        <f>TEXT(Table2[[#This Row],[dated]],"mmm")</f>
        <v>Oct</v>
      </c>
      <c r="B1070" s="28" t="s">
        <v>52</v>
      </c>
      <c r="C1070" s="1" t="s">
        <v>536</v>
      </c>
      <c r="D1070" t="str">
        <f>VLOOKUP(Table2[[#This Row],[product]],Ref[#All],7,FALSE)</f>
        <v>Lentils</v>
      </c>
      <c r="E1070" s="28" t="s">
        <v>2168</v>
      </c>
      <c r="F1070" t="str">
        <f>VLOOKUP(Table2[[#This Row],[product]],Ref[#All],2,FALSE)</f>
        <v>Lentil Armada 20KG</v>
      </c>
      <c r="G1070" t="str">
        <f>VLOOKUP(Table2[[#This Row],[product]],Ref[#All],3,FALSE)</f>
        <v>Lentils</v>
      </c>
      <c r="H1070" t="str">
        <f>VLOOKUP(Table2[[#This Row],[product]],Ref[#All],4,FALSE)</f>
        <v>Import</v>
      </c>
      <c r="I1070" s="1">
        <v>45936</v>
      </c>
      <c r="J1070" s="28" t="s">
        <v>53</v>
      </c>
      <c r="K1070" t="s">
        <v>2933</v>
      </c>
      <c r="L1070" t="s">
        <v>1651</v>
      </c>
      <c r="M1070" t="s">
        <v>1586</v>
      </c>
      <c r="N1070" t="s">
        <v>784</v>
      </c>
      <c r="O1070" t="s">
        <v>785</v>
      </c>
      <c r="P1070" t="s">
        <v>788</v>
      </c>
      <c r="Q1070" t="s">
        <v>55</v>
      </c>
      <c r="R1070">
        <v>-20</v>
      </c>
      <c r="S1070" s="15">
        <f>Table2[[#This Row],[movement_quantity]]/VLOOKUP(Table2[[#This Row],[product]],Ref[#All],5,FALSE)</f>
        <v>-0.4</v>
      </c>
      <c r="T1070">
        <v>45681</v>
      </c>
      <c r="U1070" t="s">
        <v>17</v>
      </c>
      <c r="V1070" t="s">
        <v>18</v>
      </c>
      <c r="W1070" t="s">
        <v>3062</v>
      </c>
      <c r="X1070" t="s">
        <v>17</v>
      </c>
      <c r="Y1070" t="s">
        <v>3063</v>
      </c>
      <c r="Z1070">
        <v>0</v>
      </c>
      <c r="AA1070" s="2">
        <v>-913620</v>
      </c>
      <c r="AB1070" t="str">
        <f>VLOOKUP(Table2[[#This Row],[product]],Ref[#All],6,FALSE)</f>
        <v>BAG20</v>
      </c>
    </row>
    <row r="1071" spans="1:28" x14ac:dyDescent="0.25">
      <c r="A1071" t="str">
        <f>TEXT(Table2[[#This Row],[dated]],"mmm")</f>
        <v>Oct</v>
      </c>
      <c r="B1071" s="28" t="s">
        <v>52</v>
      </c>
      <c r="C1071" s="1" t="s">
        <v>536</v>
      </c>
      <c r="D1071" t="str">
        <f>VLOOKUP(Table2[[#This Row],[product]],Ref[#All],7,FALSE)</f>
        <v>Flour</v>
      </c>
      <c r="E1071" s="28" t="s">
        <v>42</v>
      </c>
      <c r="F1071" t="str">
        <f>VLOOKUP(Table2[[#This Row],[product]],Ref[#All],2,FALSE)</f>
        <v>Alnajm Flour from Mill 25KG</v>
      </c>
      <c r="G1071" t="str">
        <f>VLOOKUP(Table2[[#This Row],[product]],Ref[#All],3,FALSE)</f>
        <v>Flour Al-Nagm (Mill)</v>
      </c>
      <c r="H1071" t="str">
        <f>VLOOKUP(Table2[[#This Row],[product]],Ref[#All],4,FALSE)</f>
        <v>Import</v>
      </c>
      <c r="I1071" s="1">
        <v>45936</v>
      </c>
      <c r="J1071" s="28" t="s">
        <v>53</v>
      </c>
      <c r="K1071" t="s">
        <v>2934</v>
      </c>
      <c r="L1071" t="s">
        <v>1651</v>
      </c>
      <c r="M1071" t="s">
        <v>1586</v>
      </c>
      <c r="N1071" t="s">
        <v>784</v>
      </c>
      <c r="O1071" t="s">
        <v>785</v>
      </c>
      <c r="P1071" t="s">
        <v>788</v>
      </c>
      <c r="Q1071" t="s">
        <v>55</v>
      </c>
      <c r="R1071">
        <v>-1</v>
      </c>
      <c r="S1071" s="15">
        <f>Table2[[#This Row],[movement_quantity]]/VLOOKUP(Table2[[#This Row],[product]],Ref[#All],5,FALSE)</f>
        <v>-2.5000000000000001E-2</v>
      </c>
      <c r="T1071">
        <v>32433</v>
      </c>
      <c r="U1071" t="s">
        <v>17</v>
      </c>
      <c r="V1071" t="s">
        <v>31</v>
      </c>
      <c r="W1071" t="s">
        <v>3064</v>
      </c>
      <c r="X1071" t="s">
        <v>17</v>
      </c>
      <c r="Y1071" t="s">
        <v>3051</v>
      </c>
      <c r="Z1071">
        <v>0</v>
      </c>
      <c r="AA1071" s="2">
        <v>-32433</v>
      </c>
      <c r="AB1071" t="str">
        <f>VLOOKUP(Table2[[#This Row],[product]],Ref[#All],6,FALSE)</f>
        <v>BAG25</v>
      </c>
    </row>
    <row r="1072" spans="1:28" x14ac:dyDescent="0.25">
      <c r="A1072" t="str">
        <f>TEXT(Table2[[#This Row],[dated]],"mmm")</f>
        <v>Oct</v>
      </c>
      <c r="B1072" s="28" t="s">
        <v>52</v>
      </c>
      <c r="C1072" s="1" t="s">
        <v>536</v>
      </c>
      <c r="D1072" t="str">
        <f>VLOOKUP(Table2[[#This Row],[product]],Ref[#All],7,FALSE)</f>
        <v>Flour</v>
      </c>
      <c r="E1072" s="28" t="s">
        <v>42</v>
      </c>
      <c r="F1072" t="str">
        <f>VLOOKUP(Table2[[#This Row],[product]],Ref[#All],2,FALSE)</f>
        <v>Alnajm Flour from Mill 25KG</v>
      </c>
      <c r="G1072" t="str">
        <f>VLOOKUP(Table2[[#This Row],[product]],Ref[#All],3,FALSE)</f>
        <v>Flour Al-Nagm (Mill)</v>
      </c>
      <c r="H1072" t="str">
        <f>VLOOKUP(Table2[[#This Row],[product]],Ref[#All],4,FALSE)</f>
        <v>Import</v>
      </c>
      <c r="I1072" s="1">
        <v>45936</v>
      </c>
      <c r="J1072" s="28" t="s">
        <v>53</v>
      </c>
      <c r="K1072" s="33" t="s">
        <v>2935</v>
      </c>
      <c r="L1072" t="s">
        <v>1651</v>
      </c>
      <c r="M1072" t="s">
        <v>1586</v>
      </c>
      <c r="N1072" t="s">
        <v>784</v>
      </c>
      <c r="O1072" t="s">
        <v>785</v>
      </c>
      <c r="P1072" t="s">
        <v>788</v>
      </c>
      <c r="Q1072" t="s">
        <v>55</v>
      </c>
      <c r="R1072">
        <v>-1</v>
      </c>
      <c r="S1072" s="15">
        <f>Table2[[#This Row],[movement_quantity]]/VLOOKUP(Table2[[#This Row],[product]],Ref[#All],5,FALSE)</f>
        <v>-2.5000000000000001E-2</v>
      </c>
      <c r="T1072" s="33">
        <v>32433</v>
      </c>
      <c r="U1072" s="33" t="s">
        <v>17</v>
      </c>
      <c r="V1072" s="33" t="s">
        <v>32</v>
      </c>
      <c r="W1072" s="33" t="s">
        <v>3065</v>
      </c>
      <c r="X1072" s="33" t="s">
        <v>17</v>
      </c>
      <c r="Y1072" s="33" t="s">
        <v>3051</v>
      </c>
      <c r="Z1072" s="33">
        <v>0</v>
      </c>
      <c r="AA1072" s="2">
        <v>-32433</v>
      </c>
      <c r="AB1072" t="str">
        <f>VLOOKUP(Table2[[#This Row],[product]],Ref[#All],6,FALSE)</f>
        <v>BAG25</v>
      </c>
    </row>
    <row r="1073" spans="1:28" x14ac:dyDescent="0.25">
      <c r="A1073" t="str">
        <f>TEXT(Table2[[#This Row],[dated]],"mmm")</f>
        <v>Oct</v>
      </c>
      <c r="B1073" s="28" t="s">
        <v>52</v>
      </c>
      <c r="C1073" s="1" t="s">
        <v>536</v>
      </c>
      <c r="D1073" t="str">
        <f>VLOOKUP(Table2[[#This Row],[product]],Ref[#All],7,FALSE)</f>
        <v>Flour</v>
      </c>
      <c r="E1073" s="28" t="s">
        <v>42</v>
      </c>
      <c r="F1073" t="str">
        <f>VLOOKUP(Table2[[#This Row],[product]],Ref[#All],2,FALSE)</f>
        <v>Alnajm Flour from Mill 25KG</v>
      </c>
      <c r="G1073" t="str">
        <f>VLOOKUP(Table2[[#This Row],[product]],Ref[#All],3,FALSE)</f>
        <v>Flour Al-Nagm (Mill)</v>
      </c>
      <c r="H1073" t="str">
        <f>VLOOKUP(Table2[[#This Row],[product]],Ref[#All],4,FALSE)</f>
        <v>Import</v>
      </c>
      <c r="I1073" s="1">
        <v>45936</v>
      </c>
      <c r="J1073" s="28" t="s">
        <v>53</v>
      </c>
      <c r="K1073" t="s">
        <v>2936</v>
      </c>
      <c r="L1073" t="s">
        <v>1651</v>
      </c>
      <c r="M1073" t="s">
        <v>1586</v>
      </c>
      <c r="N1073" t="s">
        <v>784</v>
      </c>
      <c r="O1073" t="s">
        <v>785</v>
      </c>
      <c r="P1073" t="s">
        <v>788</v>
      </c>
      <c r="Q1073" t="s">
        <v>55</v>
      </c>
      <c r="R1073">
        <v>-2</v>
      </c>
      <c r="S1073" s="15">
        <f>Table2[[#This Row],[movement_quantity]]/VLOOKUP(Table2[[#This Row],[product]],Ref[#All],5,FALSE)</f>
        <v>-0.05</v>
      </c>
      <c r="T1073">
        <v>32433</v>
      </c>
      <c r="U1073" t="s">
        <v>17</v>
      </c>
      <c r="V1073" t="s">
        <v>44</v>
      </c>
      <c r="W1073" t="s">
        <v>3066</v>
      </c>
      <c r="X1073" t="s">
        <v>17</v>
      </c>
      <c r="Y1073" t="s">
        <v>3051</v>
      </c>
      <c r="Z1073">
        <v>0</v>
      </c>
      <c r="AA1073" s="2">
        <v>-64866</v>
      </c>
      <c r="AB1073" t="str">
        <f>VLOOKUP(Table2[[#This Row],[product]],Ref[#All],6,FALSE)</f>
        <v>BAG25</v>
      </c>
    </row>
    <row r="1074" spans="1:28" x14ac:dyDescent="0.25">
      <c r="A1074" t="str">
        <f>TEXT(Table2[[#This Row],[dated]],"mmm")</f>
        <v>Oct</v>
      </c>
      <c r="B1074" s="28" t="s">
        <v>52</v>
      </c>
      <c r="C1074" s="1" t="s">
        <v>536</v>
      </c>
      <c r="D1074" t="str">
        <f>VLOOKUP(Table2[[#This Row],[product]],Ref[#All],7,FALSE)</f>
        <v>Flour</v>
      </c>
      <c r="E1074" s="28" t="s">
        <v>42</v>
      </c>
      <c r="F1074" t="str">
        <f>VLOOKUP(Table2[[#This Row],[product]],Ref[#All],2,FALSE)</f>
        <v>Alnajm Flour from Mill 25KG</v>
      </c>
      <c r="G1074" t="str">
        <f>VLOOKUP(Table2[[#This Row],[product]],Ref[#All],3,FALSE)</f>
        <v>Flour Al-Nagm (Mill)</v>
      </c>
      <c r="H1074" t="str">
        <f>VLOOKUP(Table2[[#This Row],[product]],Ref[#All],4,FALSE)</f>
        <v>Import</v>
      </c>
      <c r="I1074" s="1">
        <v>45936</v>
      </c>
      <c r="J1074" s="28" t="s">
        <v>53</v>
      </c>
      <c r="K1074" t="s">
        <v>2937</v>
      </c>
      <c r="L1074" t="s">
        <v>1651</v>
      </c>
      <c r="M1074" t="s">
        <v>1586</v>
      </c>
      <c r="N1074" t="s">
        <v>784</v>
      </c>
      <c r="O1074" t="s">
        <v>785</v>
      </c>
      <c r="P1074" t="s">
        <v>788</v>
      </c>
      <c r="Q1074" t="s">
        <v>55</v>
      </c>
      <c r="R1074">
        <v>-15</v>
      </c>
      <c r="S1074" s="15">
        <f>Table2[[#This Row],[movement_quantity]]/VLOOKUP(Table2[[#This Row],[product]],Ref[#All],5,FALSE)</f>
        <v>-0.375</v>
      </c>
      <c r="T1074">
        <v>32433</v>
      </c>
      <c r="U1074" t="s">
        <v>17</v>
      </c>
      <c r="V1074" t="s">
        <v>33</v>
      </c>
      <c r="W1074" t="s">
        <v>3067</v>
      </c>
      <c r="X1074" t="s">
        <v>17</v>
      </c>
      <c r="Y1074" t="s">
        <v>3051</v>
      </c>
      <c r="Z1074">
        <v>0</v>
      </c>
      <c r="AA1074" s="2">
        <v>-486495</v>
      </c>
      <c r="AB1074" t="str">
        <f>VLOOKUP(Table2[[#This Row],[product]],Ref[#All],6,FALSE)</f>
        <v>BAG25</v>
      </c>
    </row>
    <row r="1075" spans="1:28" x14ac:dyDescent="0.25">
      <c r="A1075" t="str">
        <f>TEXT(Table2[[#This Row],[dated]],"mmm")</f>
        <v>Oct</v>
      </c>
      <c r="B1075" s="28" t="s">
        <v>52</v>
      </c>
      <c r="C1075" s="1" t="s">
        <v>536</v>
      </c>
      <c r="D1075" t="str">
        <f>VLOOKUP(Table2[[#This Row],[product]],Ref[#All],7,FALSE)</f>
        <v>Flour</v>
      </c>
      <c r="E1075" s="28" t="s">
        <v>42</v>
      </c>
      <c r="F1075" t="str">
        <f>VLOOKUP(Table2[[#This Row],[product]],Ref[#All],2,FALSE)</f>
        <v>Alnajm Flour from Mill 25KG</v>
      </c>
      <c r="G1075" t="str">
        <f>VLOOKUP(Table2[[#This Row],[product]],Ref[#All],3,FALSE)</f>
        <v>Flour Al-Nagm (Mill)</v>
      </c>
      <c r="H1075" t="str">
        <f>VLOOKUP(Table2[[#This Row],[product]],Ref[#All],4,FALSE)</f>
        <v>Import</v>
      </c>
      <c r="I1075" s="1">
        <v>45936</v>
      </c>
      <c r="J1075" s="28" t="s">
        <v>53</v>
      </c>
      <c r="K1075" s="33" t="s">
        <v>2938</v>
      </c>
      <c r="L1075" t="s">
        <v>1651</v>
      </c>
      <c r="M1075" t="s">
        <v>1586</v>
      </c>
      <c r="N1075" t="s">
        <v>784</v>
      </c>
      <c r="O1075" t="s">
        <v>785</v>
      </c>
      <c r="P1075" t="s">
        <v>788</v>
      </c>
      <c r="Q1075" t="s">
        <v>55</v>
      </c>
      <c r="R1075">
        <v>-3</v>
      </c>
      <c r="S1075" s="15">
        <f>Table2[[#This Row],[movement_quantity]]/VLOOKUP(Table2[[#This Row],[product]],Ref[#All],5,FALSE)</f>
        <v>-7.4999999999999997E-2</v>
      </c>
      <c r="T1075" s="33">
        <v>32433</v>
      </c>
      <c r="U1075" s="33" t="s">
        <v>17</v>
      </c>
      <c r="V1075" s="33" t="s">
        <v>34</v>
      </c>
      <c r="W1075" s="33" t="s">
        <v>3068</v>
      </c>
      <c r="X1075" s="33" t="s">
        <v>17</v>
      </c>
      <c r="Y1075" s="33" t="s">
        <v>3051</v>
      </c>
      <c r="Z1075" s="33">
        <v>0</v>
      </c>
      <c r="AA1075" s="2">
        <v>-97299</v>
      </c>
      <c r="AB1075" t="str">
        <f>VLOOKUP(Table2[[#This Row],[product]],Ref[#All],6,FALSE)</f>
        <v>BAG25</v>
      </c>
    </row>
    <row r="1076" spans="1:28" x14ac:dyDescent="0.25">
      <c r="A1076" t="str">
        <f>TEXT(Table2[[#This Row],[dated]],"mmm")</f>
        <v>Oct</v>
      </c>
      <c r="B1076" s="28" t="s">
        <v>52</v>
      </c>
      <c r="C1076" s="1" t="s">
        <v>536</v>
      </c>
      <c r="D1076" t="str">
        <f>VLOOKUP(Table2[[#This Row],[product]],Ref[#All],7,FALSE)</f>
        <v>Flour</v>
      </c>
      <c r="E1076" s="28" t="s">
        <v>42</v>
      </c>
      <c r="F1076" t="str">
        <f>VLOOKUP(Table2[[#This Row],[product]],Ref[#All],2,FALSE)</f>
        <v>Alnajm Flour from Mill 25KG</v>
      </c>
      <c r="G1076" t="str">
        <f>VLOOKUP(Table2[[#This Row],[product]],Ref[#All],3,FALSE)</f>
        <v>Flour Al-Nagm (Mill)</v>
      </c>
      <c r="H1076" t="str">
        <f>VLOOKUP(Table2[[#This Row],[product]],Ref[#All],4,FALSE)</f>
        <v>Import</v>
      </c>
      <c r="I1076" s="1">
        <v>45936</v>
      </c>
      <c r="J1076" s="28" t="s">
        <v>53</v>
      </c>
      <c r="K1076" t="s">
        <v>2939</v>
      </c>
      <c r="L1076" t="s">
        <v>1651</v>
      </c>
      <c r="M1076" t="s">
        <v>1586</v>
      </c>
      <c r="N1076" t="s">
        <v>784</v>
      </c>
      <c r="O1076" t="s">
        <v>785</v>
      </c>
      <c r="P1076" t="s">
        <v>788</v>
      </c>
      <c r="Q1076" t="s">
        <v>55</v>
      </c>
      <c r="R1076">
        <v>-1</v>
      </c>
      <c r="S1076" s="15">
        <f>Table2[[#This Row],[movement_quantity]]/VLOOKUP(Table2[[#This Row],[product]],Ref[#All],5,FALSE)</f>
        <v>-2.5000000000000001E-2</v>
      </c>
      <c r="T1076">
        <v>32433</v>
      </c>
      <c r="U1076" t="s">
        <v>17</v>
      </c>
      <c r="V1076" t="s">
        <v>1282</v>
      </c>
      <c r="W1076" t="s">
        <v>3069</v>
      </c>
      <c r="X1076" t="s">
        <v>17</v>
      </c>
      <c r="Y1076" t="s">
        <v>3051</v>
      </c>
      <c r="Z1076">
        <v>0</v>
      </c>
      <c r="AA1076" s="2">
        <v>-32433</v>
      </c>
      <c r="AB1076" t="str">
        <f>VLOOKUP(Table2[[#This Row],[product]],Ref[#All],6,FALSE)</f>
        <v>BAG25</v>
      </c>
    </row>
    <row r="1077" spans="1:28" x14ac:dyDescent="0.25">
      <c r="A1077" t="str">
        <f>TEXT(Table2[[#This Row],[dated]],"mmm")</f>
        <v>Oct</v>
      </c>
      <c r="B1077" s="28" t="s">
        <v>52</v>
      </c>
      <c r="C1077" s="1" t="s">
        <v>536</v>
      </c>
      <c r="D1077" t="str">
        <f>VLOOKUP(Table2[[#This Row],[product]],Ref[#All],7,FALSE)</f>
        <v>Flour</v>
      </c>
      <c r="E1077" s="28" t="s">
        <v>42</v>
      </c>
      <c r="F1077" t="str">
        <f>VLOOKUP(Table2[[#This Row],[product]],Ref[#All],2,FALSE)</f>
        <v>Alnajm Flour from Mill 25KG</v>
      </c>
      <c r="G1077" t="str">
        <f>VLOOKUP(Table2[[#This Row],[product]],Ref[#All],3,FALSE)</f>
        <v>Flour Al-Nagm (Mill)</v>
      </c>
      <c r="H1077" t="str">
        <f>VLOOKUP(Table2[[#This Row],[product]],Ref[#All],4,FALSE)</f>
        <v>Import</v>
      </c>
      <c r="I1077" s="1">
        <v>45936</v>
      </c>
      <c r="J1077" s="28" t="s">
        <v>53</v>
      </c>
      <c r="K1077" t="s">
        <v>2940</v>
      </c>
      <c r="L1077" t="s">
        <v>1651</v>
      </c>
      <c r="M1077" t="s">
        <v>1586</v>
      </c>
      <c r="N1077" t="s">
        <v>784</v>
      </c>
      <c r="O1077" t="s">
        <v>785</v>
      </c>
      <c r="P1077" t="s">
        <v>788</v>
      </c>
      <c r="Q1077" t="s">
        <v>55</v>
      </c>
      <c r="R1077">
        <v>-6</v>
      </c>
      <c r="S1077" s="15">
        <f>Table2[[#This Row],[movement_quantity]]/VLOOKUP(Table2[[#This Row],[product]],Ref[#All],5,FALSE)</f>
        <v>-0.15</v>
      </c>
      <c r="T1077">
        <v>32433</v>
      </c>
      <c r="U1077" t="s">
        <v>17</v>
      </c>
      <c r="V1077" t="s">
        <v>1352</v>
      </c>
      <c r="W1077" t="s">
        <v>3070</v>
      </c>
      <c r="X1077" t="s">
        <v>17</v>
      </c>
      <c r="Y1077" t="s">
        <v>3051</v>
      </c>
      <c r="Z1077">
        <v>0</v>
      </c>
      <c r="AA1077" s="2">
        <v>-194598</v>
      </c>
      <c r="AB1077" t="str">
        <f>VLOOKUP(Table2[[#This Row],[product]],Ref[#All],6,FALSE)</f>
        <v>BAG25</v>
      </c>
    </row>
    <row r="1078" spans="1:28" x14ac:dyDescent="0.25">
      <c r="A1078" t="str">
        <f>TEXT(Table2[[#This Row],[dated]],"mmm")</f>
        <v>Oct</v>
      </c>
      <c r="B1078" s="28" t="s">
        <v>52</v>
      </c>
      <c r="C1078" s="1" t="s">
        <v>2726</v>
      </c>
      <c r="D1078" t="str">
        <f>VLOOKUP(Table2[[#This Row],[product]],Ref[#All],7,FALSE)</f>
        <v>Lentils</v>
      </c>
      <c r="E1078" s="28" t="s">
        <v>39</v>
      </c>
      <c r="F1078" t="str">
        <f>VLOOKUP(Table2[[#This Row],[product]],Ref[#All],2,FALSE)</f>
        <v>Lentil TAT 20KG</v>
      </c>
      <c r="G1078" t="str">
        <f>VLOOKUP(Table2[[#This Row],[product]],Ref[#All],3,FALSE)</f>
        <v>Lentils</v>
      </c>
      <c r="H1078" t="str">
        <f>VLOOKUP(Table2[[#This Row],[product]],Ref[#All],4,FALSE)</f>
        <v>Import</v>
      </c>
      <c r="I1078" s="1">
        <v>45937</v>
      </c>
      <c r="J1078" s="28" t="s">
        <v>127</v>
      </c>
      <c r="K1078" s="33" t="s">
        <v>2941</v>
      </c>
      <c r="L1078" t="s">
        <v>1652</v>
      </c>
      <c r="M1078" t="s">
        <v>1593</v>
      </c>
      <c r="N1078" t="s">
        <v>784</v>
      </c>
      <c r="O1078" t="s">
        <v>1593</v>
      </c>
      <c r="P1078" t="s">
        <v>788</v>
      </c>
      <c r="Q1078" t="s">
        <v>55</v>
      </c>
      <c r="R1078">
        <v>1</v>
      </c>
      <c r="S1078" s="15">
        <f>Table2[[#This Row],[movement_quantity]]/VLOOKUP(Table2[[#This Row],[product]],Ref[#All],5,FALSE)</f>
        <v>0.02</v>
      </c>
      <c r="T1078" s="33">
        <v>45681</v>
      </c>
      <c r="U1078" s="33" t="s">
        <v>153</v>
      </c>
      <c r="V1078" s="33" t="s">
        <v>18</v>
      </c>
      <c r="W1078" s="33" t="s">
        <v>3071</v>
      </c>
      <c r="X1078" s="33" t="s">
        <v>3072</v>
      </c>
      <c r="Y1078" s="33" t="s">
        <v>17</v>
      </c>
      <c r="Z1078" s="33">
        <v>0</v>
      </c>
      <c r="AA1078" s="2">
        <v>45681</v>
      </c>
      <c r="AB1078" t="str">
        <f>VLOOKUP(Table2[[#This Row],[product]],Ref[#All],6,FALSE)</f>
        <v>BAG20</v>
      </c>
    </row>
    <row r="1079" spans="1:28" x14ac:dyDescent="0.25">
      <c r="A1079" t="str">
        <f>TEXT(Table2[[#This Row],[dated]],"mmm")</f>
        <v>Oct</v>
      </c>
      <c r="B1079" s="28" t="s">
        <v>52</v>
      </c>
      <c r="C1079" s="1" t="s">
        <v>2726</v>
      </c>
      <c r="D1079" t="str">
        <f>VLOOKUP(Table2[[#This Row],[product]],Ref[#All],7,FALSE)</f>
        <v>Lentils</v>
      </c>
      <c r="E1079" s="28" t="s">
        <v>39</v>
      </c>
      <c r="F1079" t="str">
        <f>VLOOKUP(Table2[[#This Row],[product]],Ref[#All],2,FALSE)</f>
        <v>Lentil TAT 20KG</v>
      </c>
      <c r="G1079" t="str">
        <f>VLOOKUP(Table2[[#This Row],[product]],Ref[#All],3,FALSE)</f>
        <v>Lentils</v>
      </c>
      <c r="H1079" t="str">
        <f>VLOOKUP(Table2[[#This Row],[product]],Ref[#All],4,FALSE)</f>
        <v>Import</v>
      </c>
      <c r="I1079" s="1">
        <v>45937</v>
      </c>
      <c r="J1079" s="28" t="s">
        <v>127</v>
      </c>
      <c r="K1079" t="s">
        <v>2942</v>
      </c>
      <c r="L1079" t="s">
        <v>1652</v>
      </c>
      <c r="M1079" t="s">
        <v>1593</v>
      </c>
      <c r="N1079" t="s">
        <v>784</v>
      </c>
      <c r="O1079" t="s">
        <v>1593</v>
      </c>
      <c r="P1079" t="s">
        <v>788</v>
      </c>
      <c r="Q1079" t="s">
        <v>55</v>
      </c>
      <c r="R1079">
        <v>1</v>
      </c>
      <c r="S1079" s="15">
        <f>Table2[[#This Row],[movement_quantity]]/VLOOKUP(Table2[[#This Row],[product]],Ref[#All],5,FALSE)</f>
        <v>0.02</v>
      </c>
      <c r="T1079">
        <v>45681</v>
      </c>
      <c r="U1079" t="s">
        <v>153</v>
      </c>
      <c r="V1079" t="s">
        <v>21</v>
      </c>
      <c r="W1079" t="s">
        <v>3073</v>
      </c>
      <c r="X1079" t="s">
        <v>3074</v>
      </c>
      <c r="Y1079" t="s">
        <v>17</v>
      </c>
      <c r="Z1079">
        <v>0</v>
      </c>
      <c r="AA1079" s="2">
        <v>45681</v>
      </c>
      <c r="AB1079" t="str">
        <f>VLOOKUP(Table2[[#This Row],[product]],Ref[#All],6,FALSE)</f>
        <v>BAG20</v>
      </c>
    </row>
    <row r="1080" spans="1:28" x14ac:dyDescent="0.25">
      <c r="A1080" t="str">
        <f>TEXT(Table2[[#This Row],[dated]],"mmm")</f>
        <v>Oct</v>
      </c>
      <c r="B1080" s="28" t="s">
        <v>20</v>
      </c>
      <c r="C1080" s="1" t="s">
        <v>2728</v>
      </c>
      <c r="D1080" t="str">
        <f>VLOOKUP(Table2[[#This Row],[product]],Ref[#All],7,FALSE)</f>
        <v>Lentils</v>
      </c>
      <c r="E1080" s="28" t="s">
        <v>39</v>
      </c>
      <c r="F1080" t="str">
        <f>VLOOKUP(Table2[[#This Row],[product]],Ref[#All],2,FALSE)</f>
        <v>Lentil TAT 20KG</v>
      </c>
      <c r="G1080" t="str">
        <f>VLOOKUP(Table2[[#This Row],[product]],Ref[#All],3,FALSE)</f>
        <v>Lentils</v>
      </c>
      <c r="H1080" t="str">
        <f>VLOOKUP(Table2[[#This Row],[product]],Ref[#All],4,FALSE)</f>
        <v>Import</v>
      </c>
      <c r="I1080" s="1">
        <v>45939</v>
      </c>
      <c r="J1080" s="28" t="s">
        <v>53</v>
      </c>
      <c r="K1080" t="s">
        <v>2943</v>
      </c>
      <c r="L1080" s="46" t="s">
        <v>2944</v>
      </c>
      <c r="M1080" t="s">
        <v>1586</v>
      </c>
      <c r="N1080" t="s">
        <v>784</v>
      </c>
      <c r="O1080" t="s">
        <v>1586</v>
      </c>
      <c r="P1080" t="s">
        <v>788</v>
      </c>
      <c r="Q1080" t="s">
        <v>55</v>
      </c>
      <c r="R1080">
        <v>-41</v>
      </c>
      <c r="S1080" s="15">
        <f>Table2[[#This Row],[movement_quantity]]/VLOOKUP(Table2[[#This Row],[product]],Ref[#All],5,FALSE)</f>
        <v>-0.82</v>
      </c>
      <c r="T1080">
        <v>45681</v>
      </c>
      <c r="U1080" t="s">
        <v>17</v>
      </c>
      <c r="V1080" t="s">
        <v>18</v>
      </c>
      <c r="W1080" t="s">
        <v>3075</v>
      </c>
      <c r="X1080" t="s">
        <v>17</v>
      </c>
      <c r="Y1080" t="s">
        <v>3076</v>
      </c>
      <c r="Z1080">
        <v>0</v>
      </c>
      <c r="AA1080" s="2">
        <v>-1872921</v>
      </c>
      <c r="AB1080" t="str">
        <f>VLOOKUP(Table2[[#This Row],[product]],Ref[#All],6,FALSE)</f>
        <v>BAG20</v>
      </c>
    </row>
    <row r="1081" spans="1:28" x14ac:dyDescent="0.25">
      <c r="A1081" t="str">
        <f>TEXT(Table2[[#This Row],[dated]],"mmm")</f>
        <v>Oct</v>
      </c>
      <c r="B1081" s="28" t="s">
        <v>20</v>
      </c>
      <c r="C1081" s="1" t="s">
        <v>2728</v>
      </c>
      <c r="D1081" t="str">
        <f>VLOOKUP(Table2[[#This Row],[product]],Ref[#All],7,FALSE)</f>
        <v>Lentils</v>
      </c>
      <c r="E1081" s="28" t="s">
        <v>39</v>
      </c>
      <c r="F1081" t="str">
        <f>VLOOKUP(Table2[[#This Row],[product]],Ref[#All],2,FALSE)</f>
        <v>Lentil TAT 20KG</v>
      </c>
      <c r="G1081" t="str">
        <f>VLOOKUP(Table2[[#This Row],[product]],Ref[#All],3,FALSE)</f>
        <v>Lentils</v>
      </c>
      <c r="H1081" t="str">
        <f>VLOOKUP(Table2[[#This Row],[product]],Ref[#All],4,FALSE)</f>
        <v>Import</v>
      </c>
      <c r="I1081" s="1">
        <v>45939</v>
      </c>
      <c r="J1081" s="28" t="s">
        <v>53</v>
      </c>
      <c r="K1081" t="s">
        <v>2945</v>
      </c>
      <c r="L1081" t="s">
        <v>2946</v>
      </c>
      <c r="M1081" t="s">
        <v>1586</v>
      </c>
      <c r="N1081" t="s">
        <v>784</v>
      </c>
      <c r="O1081" t="s">
        <v>1586</v>
      </c>
      <c r="P1081" t="s">
        <v>788</v>
      </c>
      <c r="Q1081" t="s">
        <v>55</v>
      </c>
      <c r="R1081">
        <v>-9</v>
      </c>
      <c r="S1081" s="15">
        <f>Table2[[#This Row],[movement_quantity]]/VLOOKUP(Table2[[#This Row],[product]],Ref[#All],5,FALSE)</f>
        <v>-0.18</v>
      </c>
      <c r="T1081">
        <v>45681</v>
      </c>
      <c r="U1081" t="s">
        <v>17</v>
      </c>
      <c r="V1081" t="s">
        <v>21</v>
      </c>
      <c r="W1081" t="s">
        <v>3077</v>
      </c>
      <c r="X1081" t="s">
        <v>17</v>
      </c>
      <c r="Y1081" t="s">
        <v>3076</v>
      </c>
      <c r="Z1081">
        <v>0</v>
      </c>
      <c r="AA1081" s="2">
        <v>-411129</v>
      </c>
      <c r="AB1081" t="str">
        <f>VLOOKUP(Table2[[#This Row],[product]],Ref[#All],6,FALSE)</f>
        <v>BAG20</v>
      </c>
    </row>
    <row r="1082" spans="1:28" x14ac:dyDescent="0.25">
      <c r="A1082" t="str">
        <f>TEXT(Table2[[#This Row],[dated]],"mmm")</f>
        <v>Oct</v>
      </c>
      <c r="B1082" s="28" t="s">
        <v>52</v>
      </c>
      <c r="C1082" s="1" t="s">
        <v>536</v>
      </c>
      <c r="D1082" t="str">
        <f>VLOOKUP(Table2[[#This Row],[product]],Ref[#All],7,FALSE)</f>
        <v>Lentils</v>
      </c>
      <c r="E1082" s="28" t="s">
        <v>39</v>
      </c>
      <c r="F1082" t="str">
        <f>VLOOKUP(Table2[[#This Row],[product]],Ref[#All],2,FALSE)</f>
        <v>Lentil TAT 20KG</v>
      </c>
      <c r="G1082" t="str">
        <f>VLOOKUP(Table2[[#This Row],[product]],Ref[#All],3,FALSE)</f>
        <v>Lentils</v>
      </c>
      <c r="H1082" t="str">
        <f>VLOOKUP(Table2[[#This Row],[product]],Ref[#All],4,FALSE)</f>
        <v>Import</v>
      </c>
      <c r="I1082" s="1">
        <v>45939</v>
      </c>
      <c r="J1082" s="28" t="s">
        <v>53</v>
      </c>
      <c r="K1082" t="s">
        <v>2947</v>
      </c>
      <c r="L1082" t="s">
        <v>1651</v>
      </c>
      <c r="M1082" t="s">
        <v>1586</v>
      </c>
      <c r="N1082" t="s">
        <v>784</v>
      </c>
      <c r="O1082" t="s">
        <v>785</v>
      </c>
      <c r="P1082" t="s">
        <v>788</v>
      </c>
      <c r="Q1082" t="s">
        <v>55</v>
      </c>
      <c r="R1082">
        <v>-2</v>
      </c>
      <c r="S1082" s="15">
        <f>Table2[[#This Row],[movement_quantity]]/VLOOKUP(Table2[[#This Row],[product]],Ref[#All],5,FALSE)</f>
        <v>-0.04</v>
      </c>
      <c r="T1082">
        <v>45681</v>
      </c>
      <c r="U1082" t="s">
        <v>17</v>
      </c>
      <c r="V1082" t="s">
        <v>18</v>
      </c>
      <c r="W1082" t="s">
        <v>3078</v>
      </c>
      <c r="X1082" t="s">
        <v>17</v>
      </c>
      <c r="Y1082" t="s">
        <v>3048</v>
      </c>
      <c r="Z1082">
        <v>0</v>
      </c>
      <c r="AA1082" s="2">
        <v>-91362</v>
      </c>
      <c r="AB1082" t="str">
        <f>VLOOKUP(Table2[[#This Row],[product]],Ref[#All],6,FALSE)</f>
        <v>BAG20</v>
      </c>
    </row>
    <row r="1083" spans="1:28" x14ac:dyDescent="0.25">
      <c r="A1083" t="str">
        <f>TEXT(Table2[[#This Row],[dated]],"mmm")</f>
        <v>Oct</v>
      </c>
      <c r="B1083" s="28" t="s">
        <v>850</v>
      </c>
      <c r="C1083" s="1" t="s">
        <v>3012</v>
      </c>
      <c r="D1083" t="str">
        <f>VLOOKUP(Table2[[#This Row],[product]],Ref[#All],7,FALSE)</f>
        <v>Flour</v>
      </c>
      <c r="E1083" s="28" t="s">
        <v>36</v>
      </c>
      <c r="F1083" t="str">
        <f>VLOOKUP(Table2[[#This Row],[product]],Ref[#All],2,FALSE)</f>
        <v>Flour Import Elngm 25Kg</v>
      </c>
      <c r="G1083" t="str">
        <f>VLOOKUP(Table2[[#This Row],[product]],Ref[#All],3,FALSE)</f>
        <v>Flour Al-Nagm (Imported)</v>
      </c>
      <c r="H1083" t="str">
        <f>VLOOKUP(Table2[[#This Row],[product]],Ref[#All],4,FALSE)</f>
        <v>Import</v>
      </c>
      <c r="I1083" s="1">
        <v>45939</v>
      </c>
      <c r="J1083" s="28" t="s">
        <v>53</v>
      </c>
      <c r="K1083" t="s">
        <v>2948</v>
      </c>
      <c r="L1083" t="s">
        <v>2949</v>
      </c>
      <c r="M1083" t="s">
        <v>1586</v>
      </c>
      <c r="N1083" t="s">
        <v>784</v>
      </c>
      <c r="O1083" t="s">
        <v>1586</v>
      </c>
      <c r="P1083" t="s">
        <v>788</v>
      </c>
      <c r="Q1083" t="s">
        <v>55</v>
      </c>
      <c r="R1083">
        <v>-3</v>
      </c>
      <c r="S1083" s="15">
        <f>Table2[[#This Row],[movement_quantity]]/VLOOKUP(Table2[[#This Row],[product]],Ref[#All],5,FALSE)</f>
        <v>-7.4999999999999997E-2</v>
      </c>
      <c r="T1083">
        <v>32433</v>
      </c>
      <c r="U1083" t="s">
        <v>17</v>
      </c>
      <c r="V1083" t="s">
        <v>18</v>
      </c>
      <c r="W1083" t="s">
        <v>3079</v>
      </c>
      <c r="X1083" t="s">
        <v>17</v>
      </c>
      <c r="Y1083" t="s">
        <v>1289</v>
      </c>
      <c r="Z1083">
        <v>0</v>
      </c>
      <c r="AA1083" s="2">
        <v>-97299</v>
      </c>
      <c r="AB1083" t="str">
        <f>VLOOKUP(Table2[[#This Row],[product]],Ref[#All],6,FALSE)</f>
        <v>BAG25</v>
      </c>
    </row>
    <row r="1084" spans="1:28" x14ac:dyDescent="0.25">
      <c r="A1084" t="str">
        <f>TEXT(Table2[[#This Row],[dated]],"mmm")</f>
        <v>Oct</v>
      </c>
      <c r="B1084" s="28" t="s">
        <v>850</v>
      </c>
      <c r="C1084" s="1" t="s">
        <v>3012</v>
      </c>
      <c r="D1084" t="str">
        <f>VLOOKUP(Table2[[#This Row],[product]],Ref[#All],7,FALSE)</f>
        <v>Flour</v>
      </c>
      <c r="E1084" s="28" t="s">
        <v>42</v>
      </c>
      <c r="F1084" t="str">
        <f>VLOOKUP(Table2[[#This Row],[product]],Ref[#All],2,FALSE)</f>
        <v>Alnajm Flour from Mill 25KG</v>
      </c>
      <c r="G1084" t="str">
        <f>VLOOKUP(Table2[[#This Row],[product]],Ref[#All],3,FALSE)</f>
        <v>Flour Al-Nagm (Mill)</v>
      </c>
      <c r="H1084" t="str">
        <f>VLOOKUP(Table2[[#This Row],[product]],Ref[#All],4,FALSE)</f>
        <v>Import</v>
      </c>
      <c r="I1084" s="1">
        <v>45939</v>
      </c>
      <c r="J1084" s="28" t="s">
        <v>127</v>
      </c>
      <c r="K1084" t="s">
        <v>2948</v>
      </c>
      <c r="L1084" t="s">
        <v>2949</v>
      </c>
      <c r="M1084" t="s">
        <v>1593</v>
      </c>
      <c r="N1084" t="s">
        <v>784</v>
      </c>
      <c r="O1084" t="s">
        <v>1593</v>
      </c>
      <c r="P1084" t="s">
        <v>788</v>
      </c>
      <c r="Q1084" t="s">
        <v>55</v>
      </c>
      <c r="R1084">
        <v>3</v>
      </c>
      <c r="S1084" s="15">
        <f>Table2[[#This Row],[movement_quantity]]/VLOOKUP(Table2[[#This Row],[product]],Ref[#All],5,FALSE)</f>
        <v>7.4999999999999997E-2</v>
      </c>
      <c r="T1084">
        <v>32433</v>
      </c>
      <c r="U1084" t="s">
        <v>892</v>
      </c>
      <c r="V1084" t="s">
        <v>18</v>
      </c>
      <c r="W1084" t="s">
        <v>3080</v>
      </c>
      <c r="X1084" t="s">
        <v>3081</v>
      </c>
      <c r="Y1084" t="s">
        <v>17</v>
      </c>
      <c r="Z1084">
        <v>0</v>
      </c>
      <c r="AA1084" s="2">
        <v>97299</v>
      </c>
      <c r="AB1084" t="str">
        <f>VLOOKUP(Table2[[#This Row],[product]],Ref[#All],6,FALSE)</f>
        <v>BAG25</v>
      </c>
    </row>
    <row r="1085" spans="1:28" x14ac:dyDescent="0.25">
      <c r="A1085" t="str">
        <f>TEXT(Table2[[#This Row],[dated]],"mmm")</f>
        <v>Oct</v>
      </c>
      <c r="B1085" s="28" t="s">
        <v>20</v>
      </c>
      <c r="C1085" s="1" t="s">
        <v>2728</v>
      </c>
      <c r="D1085" t="str">
        <f>VLOOKUP(Table2[[#This Row],[product]],Ref[#All],7,FALSE)</f>
        <v>Lentils</v>
      </c>
      <c r="E1085" s="28" t="s">
        <v>39</v>
      </c>
      <c r="F1085" t="str">
        <f>VLOOKUP(Table2[[#This Row],[product]],Ref[#All],2,FALSE)</f>
        <v>Lentil TAT 20KG</v>
      </c>
      <c r="G1085" t="str">
        <f>VLOOKUP(Table2[[#This Row],[product]],Ref[#All],3,FALSE)</f>
        <v>Lentils</v>
      </c>
      <c r="H1085" t="str">
        <f>VLOOKUP(Table2[[#This Row],[product]],Ref[#All],4,FALSE)</f>
        <v>Import</v>
      </c>
      <c r="I1085" s="1">
        <v>45939</v>
      </c>
      <c r="J1085" s="28" t="s">
        <v>53</v>
      </c>
      <c r="K1085" t="s">
        <v>2950</v>
      </c>
      <c r="L1085" t="s">
        <v>2951</v>
      </c>
      <c r="M1085" t="s">
        <v>1586</v>
      </c>
      <c r="N1085" t="s">
        <v>784</v>
      </c>
      <c r="O1085" t="s">
        <v>1586</v>
      </c>
      <c r="P1085" t="s">
        <v>788</v>
      </c>
      <c r="Q1085" t="s">
        <v>55</v>
      </c>
      <c r="R1085">
        <v>-34</v>
      </c>
      <c r="S1085" s="15">
        <f>Table2[[#This Row],[movement_quantity]]/VLOOKUP(Table2[[#This Row],[product]],Ref[#All],5,FALSE)</f>
        <v>-0.68</v>
      </c>
      <c r="T1085">
        <v>45681</v>
      </c>
      <c r="U1085" t="s">
        <v>17</v>
      </c>
      <c r="V1085" t="s">
        <v>22</v>
      </c>
      <c r="W1085" t="s">
        <v>3082</v>
      </c>
      <c r="X1085" t="s">
        <v>17</v>
      </c>
      <c r="Y1085" t="s">
        <v>3076</v>
      </c>
      <c r="Z1085">
        <v>0</v>
      </c>
      <c r="AA1085" s="2">
        <v>-1553154</v>
      </c>
      <c r="AB1085" t="str">
        <f>VLOOKUP(Table2[[#This Row],[product]],Ref[#All],6,FALSE)</f>
        <v>BAG20</v>
      </c>
    </row>
    <row r="1086" spans="1:28" x14ac:dyDescent="0.25">
      <c r="A1086" t="str">
        <f>TEXT(Table2[[#This Row],[dated]],"mmm")</f>
        <v>Oct</v>
      </c>
      <c r="B1086" s="28" t="s">
        <v>20</v>
      </c>
      <c r="C1086" s="1" t="s">
        <v>2728</v>
      </c>
      <c r="D1086" t="str">
        <f>VLOOKUP(Table2[[#This Row],[product]],Ref[#All],7,FALSE)</f>
        <v>Lentils</v>
      </c>
      <c r="E1086" s="28" t="s">
        <v>39</v>
      </c>
      <c r="F1086" t="str">
        <f>VLOOKUP(Table2[[#This Row],[product]],Ref[#All],2,FALSE)</f>
        <v>Lentil TAT 20KG</v>
      </c>
      <c r="G1086" t="str">
        <f>VLOOKUP(Table2[[#This Row],[product]],Ref[#All],3,FALSE)</f>
        <v>Lentils</v>
      </c>
      <c r="H1086" t="str">
        <f>VLOOKUP(Table2[[#This Row],[product]],Ref[#All],4,FALSE)</f>
        <v>Import</v>
      </c>
      <c r="I1086" s="1">
        <v>45939</v>
      </c>
      <c r="J1086" s="28" t="s">
        <v>53</v>
      </c>
      <c r="K1086" t="s">
        <v>2952</v>
      </c>
      <c r="L1086" t="s">
        <v>2953</v>
      </c>
      <c r="M1086" t="s">
        <v>1586</v>
      </c>
      <c r="N1086" t="s">
        <v>784</v>
      </c>
      <c r="O1086" t="s">
        <v>1586</v>
      </c>
      <c r="P1086" t="s">
        <v>788</v>
      </c>
      <c r="Q1086" t="s">
        <v>55</v>
      </c>
      <c r="R1086">
        <v>-62</v>
      </c>
      <c r="S1086" s="15">
        <f>Table2[[#This Row],[movement_quantity]]/VLOOKUP(Table2[[#This Row],[product]],Ref[#All],5,FALSE)</f>
        <v>-1.24</v>
      </c>
      <c r="T1086">
        <v>45681</v>
      </c>
      <c r="U1086" t="s">
        <v>17</v>
      </c>
      <c r="V1086" t="s">
        <v>23</v>
      </c>
      <c r="W1086" t="s">
        <v>3083</v>
      </c>
      <c r="X1086" t="s">
        <v>17</v>
      </c>
      <c r="Y1086" t="s">
        <v>3076</v>
      </c>
      <c r="Z1086">
        <v>0</v>
      </c>
      <c r="AA1086" s="2">
        <v>-2832222</v>
      </c>
      <c r="AB1086" t="str">
        <f>VLOOKUP(Table2[[#This Row],[product]],Ref[#All],6,FALSE)</f>
        <v>BAG20</v>
      </c>
    </row>
    <row r="1087" spans="1:28" x14ac:dyDescent="0.25">
      <c r="A1087" t="str">
        <f>TEXT(Table2[[#This Row],[dated]],"mmm")</f>
        <v>Oct</v>
      </c>
      <c r="B1087" s="28" t="s">
        <v>20</v>
      </c>
      <c r="C1087" s="1" t="s">
        <v>2728</v>
      </c>
      <c r="D1087" t="str">
        <f>VLOOKUP(Table2[[#This Row],[product]],Ref[#All],7,FALSE)</f>
        <v>Lentils</v>
      </c>
      <c r="E1087" s="28" t="s">
        <v>39</v>
      </c>
      <c r="F1087" t="str">
        <f>VLOOKUP(Table2[[#This Row],[product]],Ref[#All],2,FALSE)</f>
        <v>Lentil TAT 20KG</v>
      </c>
      <c r="G1087" t="str">
        <f>VLOOKUP(Table2[[#This Row],[product]],Ref[#All],3,FALSE)</f>
        <v>Lentils</v>
      </c>
      <c r="H1087" t="str">
        <f>VLOOKUP(Table2[[#This Row],[product]],Ref[#All],4,FALSE)</f>
        <v>Import</v>
      </c>
      <c r="I1087" s="1">
        <v>45939</v>
      </c>
      <c r="J1087" s="28" t="s">
        <v>53</v>
      </c>
      <c r="K1087" t="s">
        <v>2954</v>
      </c>
      <c r="L1087" t="s">
        <v>2955</v>
      </c>
      <c r="M1087" t="s">
        <v>1586</v>
      </c>
      <c r="N1087" t="s">
        <v>784</v>
      </c>
      <c r="O1087" t="s">
        <v>786</v>
      </c>
      <c r="P1087" t="s">
        <v>788</v>
      </c>
      <c r="Q1087" t="s">
        <v>55</v>
      </c>
      <c r="R1087">
        <v>-24</v>
      </c>
      <c r="S1087" s="15">
        <f>Table2[[#This Row],[movement_quantity]]/VLOOKUP(Table2[[#This Row],[product]],Ref[#All],5,FALSE)</f>
        <v>-0.48</v>
      </c>
      <c r="T1087">
        <v>45681</v>
      </c>
      <c r="U1087" t="s">
        <v>17</v>
      </c>
      <c r="V1087" t="s">
        <v>24</v>
      </c>
      <c r="W1087" t="s">
        <v>3084</v>
      </c>
      <c r="X1087" t="s">
        <v>17</v>
      </c>
      <c r="Y1087" t="s">
        <v>3076</v>
      </c>
      <c r="Z1087">
        <v>0</v>
      </c>
      <c r="AA1087" s="2">
        <v>-1096344</v>
      </c>
      <c r="AB1087" t="str">
        <f>VLOOKUP(Table2[[#This Row],[product]],Ref[#All],6,FALSE)</f>
        <v>BAG20</v>
      </c>
    </row>
    <row r="1088" spans="1:28" x14ac:dyDescent="0.25">
      <c r="A1088" t="str">
        <f>TEXT(Table2[[#This Row],[dated]],"mmm")</f>
        <v>Oct</v>
      </c>
      <c r="B1088" s="28" t="s">
        <v>20</v>
      </c>
      <c r="C1088" s="1" t="s">
        <v>2728</v>
      </c>
      <c r="D1088" t="str">
        <f>VLOOKUP(Table2[[#This Row],[product]],Ref[#All],7,FALSE)</f>
        <v>Lentils</v>
      </c>
      <c r="E1088" s="28" t="s">
        <v>39</v>
      </c>
      <c r="F1088" t="str">
        <f>VLOOKUP(Table2[[#This Row],[product]],Ref[#All],2,FALSE)</f>
        <v>Lentil TAT 20KG</v>
      </c>
      <c r="G1088" t="str">
        <f>VLOOKUP(Table2[[#This Row],[product]],Ref[#All],3,FALSE)</f>
        <v>Lentils</v>
      </c>
      <c r="H1088" t="str">
        <f>VLOOKUP(Table2[[#This Row],[product]],Ref[#All],4,FALSE)</f>
        <v>Import</v>
      </c>
      <c r="I1088" s="1">
        <v>45939</v>
      </c>
      <c r="J1088" s="28" t="s">
        <v>53</v>
      </c>
      <c r="K1088" t="s">
        <v>2956</v>
      </c>
      <c r="L1088" t="s">
        <v>2955</v>
      </c>
      <c r="M1088" t="s">
        <v>1586</v>
      </c>
      <c r="N1088" t="s">
        <v>784</v>
      </c>
      <c r="O1088" t="s">
        <v>786</v>
      </c>
      <c r="P1088" t="s">
        <v>788</v>
      </c>
      <c r="Q1088" t="s">
        <v>55</v>
      </c>
      <c r="R1088">
        <v>-21</v>
      </c>
      <c r="S1088" s="15">
        <f>Table2[[#This Row],[movement_quantity]]/VLOOKUP(Table2[[#This Row],[product]],Ref[#All],5,FALSE)</f>
        <v>-0.42</v>
      </c>
      <c r="T1088">
        <v>45681</v>
      </c>
      <c r="U1088" t="s">
        <v>17</v>
      </c>
      <c r="V1088" t="s">
        <v>25</v>
      </c>
      <c r="W1088" t="s">
        <v>3085</v>
      </c>
      <c r="X1088" t="s">
        <v>17</v>
      </c>
      <c r="Y1088" t="s">
        <v>3076</v>
      </c>
      <c r="Z1088">
        <v>0</v>
      </c>
      <c r="AA1088" s="2">
        <v>-959301</v>
      </c>
      <c r="AB1088" t="str">
        <f>VLOOKUP(Table2[[#This Row],[product]],Ref[#All],6,FALSE)</f>
        <v>BAG20</v>
      </c>
    </row>
    <row r="1089" spans="1:28" x14ac:dyDescent="0.25">
      <c r="A1089" t="str">
        <f>TEXT(Table2[[#This Row],[dated]],"mmm")</f>
        <v>Oct</v>
      </c>
      <c r="B1089" s="28" t="s">
        <v>20</v>
      </c>
      <c r="C1089" s="1" t="s">
        <v>2728</v>
      </c>
      <c r="D1089" t="str">
        <f>VLOOKUP(Table2[[#This Row],[product]],Ref[#All],7,FALSE)</f>
        <v>Lentils</v>
      </c>
      <c r="E1089" s="28" t="s">
        <v>39</v>
      </c>
      <c r="F1089" t="str">
        <f>VLOOKUP(Table2[[#This Row],[product]],Ref[#All],2,FALSE)</f>
        <v>Lentil TAT 20KG</v>
      </c>
      <c r="G1089" t="str">
        <f>VLOOKUP(Table2[[#This Row],[product]],Ref[#All],3,FALSE)</f>
        <v>Lentils</v>
      </c>
      <c r="H1089" t="str">
        <f>VLOOKUP(Table2[[#This Row],[product]],Ref[#All],4,FALSE)</f>
        <v>Import</v>
      </c>
      <c r="I1089" s="1">
        <v>45939</v>
      </c>
      <c r="J1089" s="28" t="s">
        <v>53</v>
      </c>
      <c r="K1089" t="s">
        <v>2957</v>
      </c>
      <c r="L1089" t="s">
        <v>2958</v>
      </c>
      <c r="M1089" t="s">
        <v>1586</v>
      </c>
      <c r="N1089" t="s">
        <v>784</v>
      </c>
      <c r="O1089" t="s">
        <v>786</v>
      </c>
      <c r="P1089" t="s">
        <v>788</v>
      </c>
      <c r="Q1089" t="s">
        <v>55</v>
      </c>
      <c r="R1089">
        <v>-15</v>
      </c>
      <c r="S1089" s="15">
        <f>Table2[[#This Row],[movement_quantity]]/VLOOKUP(Table2[[#This Row],[product]],Ref[#All],5,FALSE)</f>
        <v>-0.3</v>
      </c>
      <c r="T1089">
        <v>45681</v>
      </c>
      <c r="U1089" t="s">
        <v>17</v>
      </c>
      <c r="V1089" t="s">
        <v>26</v>
      </c>
      <c r="W1089" t="s">
        <v>3086</v>
      </c>
      <c r="X1089" t="s">
        <v>17</v>
      </c>
      <c r="Y1089" t="s">
        <v>3076</v>
      </c>
      <c r="Z1089">
        <v>0</v>
      </c>
      <c r="AA1089" s="2">
        <v>-685215</v>
      </c>
      <c r="AB1089" t="str">
        <f>VLOOKUP(Table2[[#This Row],[product]],Ref[#All],6,FALSE)</f>
        <v>BAG20</v>
      </c>
    </row>
    <row r="1090" spans="1:28" x14ac:dyDescent="0.25">
      <c r="A1090" t="str">
        <f>TEXT(Table2[[#This Row],[dated]],"mmm")</f>
        <v>Oct</v>
      </c>
      <c r="B1090" s="28" t="s">
        <v>20</v>
      </c>
      <c r="C1090" s="1" t="s">
        <v>2728</v>
      </c>
      <c r="D1090" t="str">
        <f>VLOOKUP(Table2[[#This Row],[product]],Ref[#All],7,FALSE)</f>
        <v>Lentils</v>
      </c>
      <c r="E1090" s="28" t="s">
        <v>39</v>
      </c>
      <c r="F1090" t="str">
        <f>VLOOKUP(Table2[[#This Row],[product]],Ref[#All],2,FALSE)</f>
        <v>Lentil TAT 20KG</v>
      </c>
      <c r="G1090" t="str">
        <f>VLOOKUP(Table2[[#This Row],[product]],Ref[#All],3,FALSE)</f>
        <v>Lentils</v>
      </c>
      <c r="H1090" t="str">
        <f>VLOOKUP(Table2[[#This Row],[product]],Ref[#All],4,FALSE)</f>
        <v>Import</v>
      </c>
      <c r="I1090" s="1">
        <v>45939</v>
      </c>
      <c r="J1090" s="28" t="s">
        <v>53</v>
      </c>
      <c r="K1090" t="s">
        <v>2959</v>
      </c>
      <c r="L1090" t="s">
        <v>2960</v>
      </c>
      <c r="M1090" t="s">
        <v>1586</v>
      </c>
      <c r="N1090" t="s">
        <v>784</v>
      </c>
      <c r="O1090" t="s">
        <v>786</v>
      </c>
      <c r="P1090" t="s">
        <v>788</v>
      </c>
      <c r="Q1090" t="s">
        <v>55</v>
      </c>
      <c r="R1090">
        <v>-45</v>
      </c>
      <c r="S1090" s="15">
        <f>Table2[[#This Row],[movement_quantity]]/VLOOKUP(Table2[[#This Row],[product]],Ref[#All],5,FALSE)</f>
        <v>-0.9</v>
      </c>
      <c r="T1090">
        <v>45681</v>
      </c>
      <c r="U1090" t="s">
        <v>17</v>
      </c>
      <c r="V1090" t="s">
        <v>27</v>
      </c>
      <c r="W1090" t="s">
        <v>3087</v>
      </c>
      <c r="X1090" t="s">
        <v>17</v>
      </c>
      <c r="Y1090" t="s">
        <v>3076</v>
      </c>
      <c r="Z1090">
        <v>0</v>
      </c>
      <c r="AA1090" s="2">
        <v>-2055645</v>
      </c>
      <c r="AB1090" t="str">
        <f>VLOOKUP(Table2[[#This Row],[product]],Ref[#All],6,FALSE)</f>
        <v>BAG20</v>
      </c>
    </row>
    <row r="1091" spans="1:28" x14ac:dyDescent="0.25">
      <c r="A1091" t="str">
        <f>TEXT(Table2[[#This Row],[dated]],"mmm")</f>
        <v>Oct</v>
      </c>
      <c r="B1091" s="28" t="s">
        <v>20</v>
      </c>
      <c r="C1091" s="1" t="s">
        <v>2729</v>
      </c>
      <c r="D1091" t="str">
        <f>VLOOKUP(Table2[[#This Row],[product]],Ref[#All],7,FALSE)</f>
        <v>Lentils</v>
      </c>
      <c r="E1091" s="28" t="s">
        <v>39</v>
      </c>
      <c r="F1091" t="str">
        <f>VLOOKUP(Table2[[#This Row],[product]],Ref[#All],2,FALSE)</f>
        <v>Lentil TAT 20KG</v>
      </c>
      <c r="G1091" t="str">
        <f>VLOOKUP(Table2[[#This Row],[product]],Ref[#All],3,FALSE)</f>
        <v>Lentils</v>
      </c>
      <c r="H1091" t="str">
        <f>VLOOKUP(Table2[[#This Row],[product]],Ref[#All],4,FALSE)</f>
        <v>Import</v>
      </c>
      <c r="I1091" s="1">
        <v>45939</v>
      </c>
      <c r="J1091" s="28" t="s">
        <v>127</v>
      </c>
      <c r="K1091" t="s">
        <v>2961</v>
      </c>
      <c r="L1091" t="s">
        <v>2962</v>
      </c>
      <c r="M1091" t="s">
        <v>1593</v>
      </c>
      <c r="N1091" t="s">
        <v>784</v>
      </c>
      <c r="O1091" t="s">
        <v>1593</v>
      </c>
      <c r="P1091" t="s">
        <v>788</v>
      </c>
      <c r="Q1091" t="s">
        <v>55</v>
      </c>
      <c r="R1091">
        <v>2</v>
      </c>
      <c r="S1091" s="15">
        <f>Table2[[#This Row],[movement_quantity]]/VLOOKUP(Table2[[#This Row],[product]],Ref[#All],5,FALSE)</f>
        <v>0.04</v>
      </c>
      <c r="T1091">
        <v>45681</v>
      </c>
      <c r="U1091" t="s">
        <v>1439</v>
      </c>
      <c r="V1091" t="s">
        <v>28</v>
      </c>
      <c r="W1091" t="s">
        <v>3088</v>
      </c>
      <c r="X1091" t="s">
        <v>3089</v>
      </c>
      <c r="Y1091" t="s">
        <v>17</v>
      </c>
      <c r="Z1091">
        <v>0</v>
      </c>
      <c r="AA1091" s="2">
        <v>91362</v>
      </c>
      <c r="AB1091" t="str">
        <f>VLOOKUP(Table2[[#This Row],[product]],Ref[#All],6,FALSE)</f>
        <v>BAG20</v>
      </c>
    </row>
    <row r="1092" spans="1:28" x14ac:dyDescent="0.25">
      <c r="A1092" t="str">
        <f>TEXT(Table2[[#This Row],[dated]],"mmm")</f>
        <v>Oct</v>
      </c>
      <c r="B1092" s="28" t="s">
        <v>123</v>
      </c>
      <c r="C1092" s="1" t="s">
        <v>538</v>
      </c>
      <c r="D1092" t="str">
        <f>VLOOKUP(Table2[[#This Row],[product]],Ref[#All],7,FALSE)</f>
        <v>Lentils</v>
      </c>
      <c r="E1092" s="28" t="s">
        <v>39</v>
      </c>
      <c r="F1092" t="str">
        <f>VLOOKUP(Table2[[#This Row],[product]],Ref[#All],2,FALSE)</f>
        <v>Lentil TAT 20KG</v>
      </c>
      <c r="G1092" t="str">
        <f>VLOOKUP(Table2[[#This Row],[product]],Ref[#All],3,FALSE)</f>
        <v>Lentils</v>
      </c>
      <c r="H1092" t="str">
        <f>VLOOKUP(Table2[[#This Row],[product]],Ref[#All],4,FALSE)</f>
        <v>Import</v>
      </c>
      <c r="I1092" s="1">
        <v>45939</v>
      </c>
      <c r="J1092" s="28" t="s">
        <v>53</v>
      </c>
      <c r="K1092" t="s">
        <v>2963</v>
      </c>
      <c r="L1092" t="s">
        <v>2907</v>
      </c>
      <c r="M1092" t="s">
        <v>1586</v>
      </c>
      <c r="N1092" t="s">
        <v>784</v>
      </c>
      <c r="O1092" t="s">
        <v>1680</v>
      </c>
      <c r="P1092" t="s">
        <v>788</v>
      </c>
      <c r="Q1092" t="s">
        <v>55</v>
      </c>
      <c r="R1092">
        <v>-33</v>
      </c>
      <c r="S1092" s="15">
        <f>Table2[[#This Row],[movement_quantity]]/VLOOKUP(Table2[[#This Row],[product]],Ref[#All],5,FALSE)</f>
        <v>-0.66</v>
      </c>
      <c r="T1092">
        <v>45681</v>
      </c>
      <c r="U1092" t="s">
        <v>17</v>
      </c>
      <c r="V1092" t="s">
        <v>18</v>
      </c>
      <c r="W1092" t="s">
        <v>3090</v>
      </c>
      <c r="X1092" t="s">
        <v>17</v>
      </c>
      <c r="Y1092" t="s">
        <v>682</v>
      </c>
      <c r="Z1092">
        <v>0</v>
      </c>
      <c r="AA1092" s="2">
        <v>-1507473</v>
      </c>
      <c r="AB1092" t="str">
        <f>VLOOKUP(Table2[[#This Row],[product]],Ref[#All],6,FALSE)</f>
        <v>BAG20</v>
      </c>
    </row>
    <row r="1093" spans="1:28" x14ac:dyDescent="0.25">
      <c r="A1093" t="str">
        <f>TEXT(Table2[[#This Row],[dated]],"mmm")</f>
        <v>Oct</v>
      </c>
      <c r="B1093" s="28" t="s">
        <v>123</v>
      </c>
      <c r="C1093" s="1" t="s">
        <v>538</v>
      </c>
      <c r="D1093" t="str">
        <f>VLOOKUP(Table2[[#This Row],[product]],Ref[#All],7,FALSE)</f>
        <v>Lentils</v>
      </c>
      <c r="E1093" s="28" t="s">
        <v>39</v>
      </c>
      <c r="F1093" t="str">
        <f>VLOOKUP(Table2[[#This Row],[product]],Ref[#All],2,FALSE)</f>
        <v>Lentil TAT 20KG</v>
      </c>
      <c r="G1093" t="str">
        <f>VLOOKUP(Table2[[#This Row],[product]],Ref[#All],3,FALSE)</f>
        <v>Lentils</v>
      </c>
      <c r="H1093" t="str">
        <f>VLOOKUP(Table2[[#This Row],[product]],Ref[#All],4,FALSE)</f>
        <v>Import</v>
      </c>
      <c r="I1093" s="1">
        <v>45939</v>
      </c>
      <c r="J1093" s="28" t="s">
        <v>53</v>
      </c>
      <c r="K1093" t="s">
        <v>2964</v>
      </c>
      <c r="L1093" t="s">
        <v>2907</v>
      </c>
      <c r="M1093" t="s">
        <v>1586</v>
      </c>
      <c r="N1093" t="s">
        <v>784</v>
      </c>
      <c r="O1093" t="s">
        <v>1680</v>
      </c>
      <c r="P1093" t="s">
        <v>788</v>
      </c>
      <c r="Q1093" t="s">
        <v>55</v>
      </c>
      <c r="R1093">
        <v>-2</v>
      </c>
      <c r="S1093" s="15">
        <f>Table2[[#This Row],[movement_quantity]]/VLOOKUP(Table2[[#This Row],[product]],Ref[#All],5,FALSE)</f>
        <v>-0.04</v>
      </c>
      <c r="T1093">
        <v>45681</v>
      </c>
      <c r="U1093" t="s">
        <v>17</v>
      </c>
      <c r="V1093" t="s">
        <v>21</v>
      </c>
      <c r="W1093" t="s">
        <v>3091</v>
      </c>
      <c r="X1093" t="s">
        <v>17</v>
      </c>
      <c r="Y1093" t="s">
        <v>682</v>
      </c>
      <c r="Z1093">
        <v>0</v>
      </c>
      <c r="AA1093" s="2">
        <v>-91362</v>
      </c>
      <c r="AB1093" t="str">
        <f>VLOOKUP(Table2[[#This Row],[product]],Ref[#All],6,FALSE)</f>
        <v>BAG20</v>
      </c>
    </row>
    <row r="1094" spans="1:28" x14ac:dyDescent="0.25">
      <c r="A1094" t="str">
        <f>TEXT(Table2[[#This Row],[dated]],"mmm")</f>
        <v>Oct</v>
      </c>
      <c r="B1094" s="28" t="s">
        <v>40</v>
      </c>
      <c r="C1094" s="1" t="s">
        <v>538</v>
      </c>
      <c r="D1094" t="str">
        <f>VLOOKUP(Table2[[#This Row],[product]],Ref[#All],7,FALSE)</f>
        <v>Lentils</v>
      </c>
      <c r="E1094" s="28" t="s">
        <v>39</v>
      </c>
      <c r="F1094" t="str">
        <f>VLOOKUP(Table2[[#This Row],[product]],Ref[#All],2,FALSE)</f>
        <v>Lentil TAT 20KG</v>
      </c>
      <c r="G1094" t="str">
        <f>VLOOKUP(Table2[[#This Row],[product]],Ref[#All],3,FALSE)</f>
        <v>Lentils</v>
      </c>
      <c r="H1094" t="str">
        <f>VLOOKUP(Table2[[#This Row],[product]],Ref[#All],4,FALSE)</f>
        <v>Import</v>
      </c>
      <c r="I1094" s="1">
        <v>45939</v>
      </c>
      <c r="J1094" s="28" t="s">
        <v>53</v>
      </c>
      <c r="K1094" t="s">
        <v>2965</v>
      </c>
      <c r="L1094" t="s">
        <v>2907</v>
      </c>
      <c r="M1094" t="s">
        <v>1586</v>
      </c>
      <c r="N1094" t="s">
        <v>784</v>
      </c>
      <c r="O1094" t="s">
        <v>1680</v>
      </c>
      <c r="P1094" t="s">
        <v>788</v>
      </c>
      <c r="Q1094" t="s">
        <v>55</v>
      </c>
      <c r="R1094">
        <v>-30</v>
      </c>
      <c r="S1094" s="15">
        <f>Table2[[#This Row],[movement_quantity]]/VLOOKUP(Table2[[#This Row],[product]],Ref[#All],5,FALSE)</f>
        <v>-0.6</v>
      </c>
      <c r="T1094">
        <v>45681</v>
      </c>
      <c r="U1094" t="s">
        <v>17</v>
      </c>
      <c r="V1094" t="s">
        <v>18</v>
      </c>
      <c r="W1094" t="s">
        <v>3092</v>
      </c>
      <c r="X1094" t="s">
        <v>17</v>
      </c>
      <c r="Y1094" t="s">
        <v>1965</v>
      </c>
      <c r="Z1094">
        <v>0</v>
      </c>
      <c r="AA1094" s="2">
        <v>-1370430</v>
      </c>
      <c r="AB1094" t="str">
        <f>VLOOKUP(Table2[[#This Row],[product]],Ref[#All],6,FALSE)</f>
        <v>BAG20</v>
      </c>
    </row>
    <row r="1095" spans="1:28" x14ac:dyDescent="0.25">
      <c r="A1095" t="str">
        <f>TEXT(Table2[[#This Row],[dated]],"mmm")</f>
        <v>Oct</v>
      </c>
      <c r="B1095" s="28" t="s">
        <v>40</v>
      </c>
      <c r="C1095" s="1" t="s">
        <v>538</v>
      </c>
      <c r="D1095" t="str">
        <f>VLOOKUP(Table2[[#This Row],[product]],Ref[#All],7,FALSE)</f>
        <v>Lentils</v>
      </c>
      <c r="E1095" s="28" t="s">
        <v>39</v>
      </c>
      <c r="F1095" t="str">
        <f>VLOOKUP(Table2[[#This Row],[product]],Ref[#All],2,FALSE)</f>
        <v>Lentil TAT 20KG</v>
      </c>
      <c r="G1095" t="str">
        <f>VLOOKUP(Table2[[#This Row],[product]],Ref[#All],3,FALSE)</f>
        <v>Lentils</v>
      </c>
      <c r="H1095" t="str">
        <f>VLOOKUP(Table2[[#This Row],[product]],Ref[#All],4,FALSE)</f>
        <v>Import</v>
      </c>
      <c r="I1095" s="1">
        <v>45939</v>
      </c>
      <c r="J1095" s="28" t="s">
        <v>53</v>
      </c>
      <c r="K1095" t="s">
        <v>2966</v>
      </c>
      <c r="L1095" t="s">
        <v>2907</v>
      </c>
      <c r="M1095" t="s">
        <v>1586</v>
      </c>
      <c r="N1095" t="s">
        <v>784</v>
      </c>
      <c r="O1095" t="s">
        <v>1680</v>
      </c>
      <c r="P1095" t="s">
        <v>788</v>
      </c>
      <c r="Q1095" t="s">
        <v>55</v>
      </c>
      <c r="R1095">
        <v>-1</v>
      </c>
      <c r="S1095" s="15">
        <f>Table2[[#This Row],[movement_quantity]]/VLOOKUP(Table2[[#This Row],[product]],Ref[#All],5,FALSE)</f>
        <v>-0.02</v>
      </c>
      <c r="T1095">
        <v>45681</v>
      </c>
      <c r="U1095" t="s">
        <v>17</v>
      </c>
      <c r="V1095" t="s">
        <v>21</v>
      </c>
      <c r="W1095" t="s">
        <v>3093</v>
      </c>
      <c r="X1095" t="s">
        <v>17</v>
      </c>
      <c r="Y1095" t="s">
        <v>1965</v>
      </c>
      <c r="Z1095">
        <v>0</v>
      </c>
      <c r="AA1095" s="2">
        <v>-45681</v>
      </c>
      <c r="AB1095" t="str">
        <f>VLOOKUP(Table2[[#This Row],[product]],Ref[#All],6,FALSE)</f>
        <v>BAG20</v>
      </c>
    </row>
    <row r="1096" spans="1:28" x14ac:dyDescent="0.25">
      <c r="A1096" t="str">
        <f>TEXT(Table2[[#This Row],[dated]],"mmm")</f>
        <v>Oct</v>
      </c>
      <c r="B1096" s="28" t="s">
        <v>40</v>
      </c>
      <c r="C1096" s="1" t="s">
        <v>538</v>
      </c>
      <c r="D1096" t="str">
        <f>VLOOKUP(Table2[[#This Row],[product]],Ref[#All],7,FALSE)</f>
        <v>Lentils</v>
      </c>
      <c r="E1096" s="28" t="s">
        <v>895</v>
      </c>
      <c r="F1096" t="str">
        <f>VLOOKUP(Table2[[#This Row],[product]],Ref[#All],2,FALSE)</f>
        <v>Lentil Damaged 20KG</v>
      </c>
      <c r="G1096" t="str">
        <f>VLOOKUP(Table2[[#This Row],[product]],Ref[#All],3,FALSE)</f>
        <v>Lentil - Damaged</v>
      </c>
      <c r="H1096" t="str">
        <f>VLOOKUP(Table2[[#This Row],[product]],Ref[#All],4,FALSE)</f>
        <v>Import</v>
      </c>
      <c r="I1096" s="1">
        <v>45939</v>
      </c>
      <c r="J1096" s="28" t="s">
        <v>127</v>
      </c>
      <c r="K1096" t="s">
        <v>2967</v>
      </c>
      <c r="L1096" t="s">
        <v>2907</v>
      </c>
      <c r="M1096" t="s">
        <v>1593</v>
      </c>
      <c r="N1096" t="s">
        <v>784</v>
      </c>
      <c r="O1096" t="s">
        <v>1680</v>
      </c>
      <c r="P1096" t="s">
        <v>788</v>
      </c>
      <c r="Q1096" t="s">
        <v>55</v>
      </c>
      <c r="R1096">
        <v>1</v>
      </c>
      <c r="S1096" s="15">
        <f>Table2[[#This Row],[movement_quantity]]/VLOOKUP(Table2[[#This Row],[product]],Ref[#All],5,FALSE)</f>
        <v>0.02</v>
      </c>
      <c r="T1096">
        <v>0</v>
      </c>
      <c r="U1096" t="s">
        <v>122</v>
      </c>
      <c r="V1096" t="s">
        <v>18</v>
      </c>
      <c r="W1096" t="s">
        <v>3094</v>
      </c>
      <c r="X1096" t="s">
        <v>3095</v>
      </c>
      <c r="Y1096" t="s">
        <v>17</v>
      </c>
      <c r="Z1096">
        <v>0</v>
      </c>
      <c r="AA1096" s="4">
        <v>10000</v>
      </c>
      <c r="AB1096" t="str">
        <f>VLOOKUP(Table2[[#This Row],[product]],Ref[#All],6,FALSE)</f>
        <v>BAG20</v>
      </c>
    </row>
    <row r="1097" spans="1:28" x14ac:dyDescent="0.25">
      <c r="A1097" t="str">
        <f>TEXT(Table2[[#This Row],[dated]],"mmm")</f>
        <v>Oct</v>
      </c>
      <c r="B1097" s="28" t="s">
        <v>40</v>
      </c>
      <c r="C1097" s="1" t="s">
        <v>538</v>
      </c>
      <c r="D1097" t="str">
        <f>VLOOKUP(Table2[[#This Row],[product]],Ref[#All],7,FALSE)</f>
        <v>Lentils</v>
      </c>
      <c r="E1097" s="28" t="s">
        <v>2600</v>
      </c>
      <c r="F1097" t="str">
        <f>VLOOKUP(Table2[[#This Row],[product]],Ref[#All],2,FALSE)</f>
        <v>Lentil Damage/waste 50KG</v>
      </c>
      <c r="G1097" t="str">
        <f>VLOOKUP(Table2[[#This Row],[product]],Ref[#All],3,FALSE)</f>
        <v>Lentil - Damaged</v>
      </c>
      <c r="H1097" t="str">
        <f>VLOOKUP(Table2[[#This Row],[product]],Ref[#All],4,FALSE)</f>
        <v>Import</v>
      </c>
      <c r="I1097" s="77">
        <v>45939</v>
      </c>
      <c r="J1097" s="28" t="s">
        <v>127</v>
      </c>
      <c r="K1097" t="s">
        <v>2968</v>
      </c>
      <c r="L1097" t="s">
        <v>2907</v>
      </c>
      <c r="M1097" t="s">
        <v>1593</v>
      </c>
      <c r="N1097" t="s">
        <v>784</v>
      </c>
      <c r="O1097" t="s">
        <v>1680</v>
      </c>
      <c r="P1097" t="s">
        <v>788</v>
      </c>
      <c r="Q1097" t="s">
        <v>55</v>
      </c>
      <c r="R1097">
        <v>5</v>
      </c>
      <c r="S1097" s="15">
        <f>Table2[[#This Row],[movement_quantity]]/VLOOKUP(Table2[[#This Row],[product]],Ref[#All],5,FALSE)</f>
        <v>0.1</v>
      </c>
      <c r="T1097">
        <v>0</v>
      </c>
      <c r="U1097" t="s">
        <v>122</v>
      </c>
      <c r="V1097" t="s">
        <v>18</v>
      </c>
      <c r="W1097" t="s">
        <v>3096</v>
      </c>
      <c r="X1097" t="s">
        <v>3097</v>
      </c>
      <c r="Y1097" t="s">
        <v>17</v>
      </c>
      <c r="Z1097">
        <v>0</v>
      </c>
      <c r="AA1097" s="4">
        <v>120000</v>
      </c>
      <c r="AB1097" t="str">
        <f>VLOOKUP(Table2[[#This Row],[product]],Ref[#All],6,FALSE)</f>
        <v>BAG50</v>
      </c>
    </row>
    <row r="1098" spans="1:28" x14ac:dyDescent="0.25">
      <c r="A1098" t="str">
        <f>TEXT(Table2[[#This Row],[dated]],"mmm")</f>
        <v>Oct</v>
      </c>
      <c r="B1098" s="28" t="s">
        <v>40</v>
      </c>
      <c r="C1098" s="1" t="s">
        <v>538</v>
      </c>
      <c r="D1098" t="str">
        <f>VLOOKUP(Table2[[#This Row],[product]],Ref[#All],7,FALSE)</f>
        <v>Lentils</v>
      </c>
      <c r="E1098" s="28" t="s">
        <v>2600</v>
      </c>
      <c r="F1098" t="str">
        <f>VLOOKUP(Table2[[#This Row],[product]],Ref[#All],2,FALSE)</f>
        <v>Lentil Damage/waste 50KG</v>
      </c>
      <c r="G1098" t="str">
        <f>VLOOKUP(Table2[[#This Row],[product]],Ref[#All],3,FALSE)</f>
        <v>Lentil - Damaged</v>
      </c>
      <c r="H1098" t="str">
        <f>VLOOKUP(Table2[[#This Row],[product]],Ref[#All],4,FALSE)</f>
        <v>Import</v>
      </c>
      <c r="I1098" s="1">
        <v>45939</v>
      </c>
      <c r="J1098" s="28" t="s">
        <v>127</v>
      </c>
      <c r="K1098" t="s">
        <v>2969</v>
      </c>
      <c r="L1098" t="s">
        <v>2907</v>
      </c>
      <c r="M1098" t="s">
        <v>1593</v>
      </c>
      <c r="N1098" t="s">
        <v>784</v>
      </c>
      <c r="O1098" t="s">
        <v>1680</v>
      </c>
      <c r="P1098" t="s">
        <v>788</v>
      </c>
      <c r="Q1098" t="s">
        <v>55</v>
      </c>
      <c r="R1098">
        <v>6</v>
      </c>
      <c r="S1098" s="15">
        <f>Table2[[#This Row],[movement_quantity]]/VLOOKUP(Table2[[#This Row],[product]],Ref[#All],5,FALSE)</f>
        <v>0.12</v>
      </c>
      <c r="T1098">
        <v>0</v>
      </c>
      <c r="U1098" t="s">
        <v>122</v>
      </c>
      <c r="V1098" t="s">
        <v>21</v>
      </c>
      <c r="W1098" t="s">
        <v>3098</v>
      </c>
      <c r="X1098" t="s">
        <v>3099</v>
      </c>
      <c r="Y1098" t="s">
        <v>17</v>
      </c>
      <c r="Z1098">
        <v>0</v>
      </c>
      <c r="AA1098" s="4">
        <v>150000</v>
      </c>
      <c r="AB1098" t="str">
        <f>VLOOKUP(Table2[[#This Row],[product]],Ref[#All],6,FALSE)</f>
        <v>BAG50</v>
      </c>
    </row>
    <row r="1099" spans="1:28" x14ac:dyDescent="0.25">
      <c r="A1099" t="str">
        <f>TEXT(Table2[[#This Row],[dated]],"mmm")</f>
        <v>Oct</v>
      </c>
      <c r="B1099" s="28" t="s">
        <v>30</v>
      </c>
      <c r="C1099" s="1" t="s">
        <v>536</v>
      </c>
      <c r="D1099" t="str">
        <f>VLOOKUP(Table2[[#This Row],[product]],Ref[#All],7,FALSE)</f>
        <v>Lentils</v>
      </c>
      <c r="E1099" s="28" t="s">
        <v>39</v>
      </c>
      <c r="F1099" t="str">
        <f>VLOOKUP(Table2[[#This Row],[product]],Ref[#All],2,FALSE)</f>
        <v>Lentil TAT 20KG</v>
      </c>
      <c r="G1099" t="str">
        <f>VLOOKUP(Table2[[#This Row],[product]],Ref[#All],3,FALSE)</f>
        <v>Lentils</v>
      </c>
      <c r="H1099" t="str">
        <f>VLOOKUP(Table2[[#This Row],[product]],Ref[#All],4,FALSE)</f>
        <v>Import</v>
      </c>
      <c r="I1099" s="1">
        <v>45942</v>
      </c>
      <c r="J1099" s="28" t="s">
        <v>53</v>
      </c>
      <c r="K1099" t="s">
        <v>2970</v>
      </c>
      <c r="L1099" t="s">
        <v>1651</v>
      </c>
      <c r="M1099" t="s">
        <v>1586</v>
      </c>
      <c r="N1099" t="s">
        <v>784</v>
      </c>
      <c r="O1099" t="s">
        <v>785</v>
      </c>
      <c r="P1099" t="s">
        <v>788</v>
      </c>
      <c r="Q1099" t="s">
        <v>55</v>
      </c>
      <c r="R1099">
        <v>-2</v>
      </c>
      <c r="S1099" s="15">
        <f>Table2[[#This Row],[movement_quantity]]/VLOOKUP(Table2[[#This Row],[product]],Ref[#All],5,FALSE)</f>
        <v>-0.04</v>
      </c>
      <c r="T1099">
        <v>45681</v>
      </c>
      <c r="U1099" t="s">
        <v>17</v>
      </c>
      <c r="V1099" t="s">
        <v>18</v>
      </c>
      <c r="W1099" t="s">
        <v>3100</v>
      </c>
      <c r="X1099" t="s">
        <v>17</v>
      </c>
      <c r="Y1099" t="s">
        <v>3076</v>
      </c>
      <c r="Z1099">
        <v>0</v>
      </c>
      <c r="AA1099" s="2">
        <v>-91362</v>
      </c>
      <c r="AB1099" t="str">
        <f>VLOOKUP(Table2[[#This Row],[product]],Ref[#All],6,FALSE)</f>
        <v>BAG20</v>
      </c>
    </row>
    <row r="1100" spans="1:28" x14ac:dyDescent="0.25">
      <c r="A1100" t="str">
        <f>TEXT(Table2[[#This Row],[dated]],"mmm")</f>
        <v>Oct</v>
      </c>
      <c r="B1100" s="28" t="s">
        <v>52</v>
      </c>
      <c r="C1100" s="1" t="s">
        <v>2726</v>
      </c>
      <c r="D1100" t="str">
        <f>VLOOKUP(Table2[[#This Row],[product]],Ref[#All],7,FALSE)</f>
        <v>Flour</v>
      </c>
      <c r="E1100" s="28" t="s">
        <v>42</v>
      </c>
      <c r="F1100" t="str">
        <f>VLOOKUP(Table2[[#This Row],[product]],Ref[#All],2,FALSE)</f>
        <v>Alnajm Flour from Mill 25KG</v>
      </c>
      <c r="G1100" t="str">
        <f>VLOOKUP(Table2[[#This Row],[product]],Ref[#All],3,FALSE)</f>
        <v>Flour Al-Nagm (Mill)</v>
      </c>
      <c r="H1100" t="str">
        <f>VLOOKUP(Table2[[#This Row],[product]],Ref[#All],4,FALSE)</f>
        <v>Import</v>
      </c>
      <c r="I1100" s="1">
        <v>45942</v>
      </c>
      <c r="J1100" s="28" t="s">
        <v>127</v>
      </c>
      <c r="K1100" t="s">
        <v>2971</v>
      </c>
      <c r="L1100" t="s">
        <v>1652</v>
      </c>
      <c r="M1100" t="s">
        <v>1593</v>
      </c>
      <c r="N1100" t="s">
        <v>784</v>
      </c>
      <c r="O1100" t="s">
        <v>1593</v>
      </c>
      <c r="P1100" t="s">
        <v>788</v>
      </c>
      <c r="Q1100" t="s">
        <v>55</v>
      </c>
      <c r="R1100">
        <v>6</v>
      </c>
      <c r="S1100" s="15">
        <f>Table2[[#This Row],[movement_quantity]]/VLOOKUP(Table2[[#This Row],[product]],Ref[#All],5,FALSE)</f>
        <v>0.15</v>
      </c>
      <c r="T1100">
        <v>32433</v>
      </c>
      <c r="U1100" t="s">
        <v>153</v>
      </c>
      <c r="V1100" t="s">
        <v>18</v>
      </c>
      <c r="W1100" t="s">
        <v>3101</v>
      </c>
      <c r="X1100" t="s">
        <v>3102</v>
      </c>
      <c r="Y1100" t="s">
        <v>17</v>
      </c>
      <c r="Z1100">
        <v>0</v>
      </c>
      <c r="AA1100" s="2">
        <v>194598</v>
      </c>
      <c r="AB1100" t="str">
        <f>VLOOKUP(Table2[[#This Row],[product]],Ref[#All],6,FALSE)</f>
        <v>BAG25</v>
      </c>
    </row>
    <row r="1101" spans="1:28" x14ac:dyDescent="0.25">
      <c r="A1101" t="str">
        <f>TEXT(Table2[[#This Row],[dated]],"mmm")</f>
        <v>Oct</v>
      </c>
      <c r="B1101" s="28" t="s">
        <v>52</v>
      </c>
      <c r="C1101" s="1" t="s">
        <v>536</v>
      </c>
      <c r="D1101" t="str">
        <f>VLOOKUP(Table2[[#This Row],[product]],Ref[#All],7,FALSE)</f>
        <v>Flour</v>
      </c>
      <c r="E1101" s="28" t="s">
        <v>42</v>
      </c>
      <c r="F1101" t="str">
        <f>VLOOKUP(Table2[[#This Row],[product]],Ref[#All],2,FALSE)</f>
        <v>Alnajm Flour from Mill 25KG</v>
      </c>
      <c r="G1101" t="str">
        <f>VLOOKUP(Table2[[#This Row],[product]],Ref[#All],3,FALSE)</f>
        <v>Flour Al-Nagm (Mill)</v>
      </c>
      <c r="H1101" t="str">
        <f>VLOOKUP(Table2[[#This Row],[product]],Ref[#All],4,FALSE)</f>
        <v>Import</v>
      </c>
      <c r="I1101" s="1">
        <v>45945</v>
      </c>
      <c r="J1101" s="28" t="s">
        <v>53</v>
      </c>
      <c r="K1101" s="33" t="s">
        <v>2972</v>
      </c>
      <c r="L1101" t="s">
        <v>1651</v>
      </c>
      <c r="M1101" t="s">
        <v>1586</v>
      </c>
      <c r="N1101" t="s">
        <v>784</v>
      </c>
      <c r="O1101" t="s">
        <v>785</v>
      </c>
      <c r="P1101" t="s">
        <v>788</v>
      </c>
      <c r="Q1101" t="s">
        <v>55</v>
      </c>
      <c r="R1101">
        <v>-2</v>
      </c>
      <c r="S1101" s="15">
        <f>Table2[[#This Row],[movement_quantity]]/VLOOKUP(Table2[[#This Row],[product]],Ref[#All],5,FALSE)</f>
        <v>-0.05</v>
      </c>
      <c r="T1101" s="33">
        <v>32433</v>
      </c>
      <c r="U1101" s="33" t="s">
        <v>17</v>
      </c>
      <c r="V1101" s="33" t="s">
        <v>18</v>
      </c>
      <c r="W1101" s="33" t="s">
        <v>3103</v>
      </c>
      <c r="X1101" s="33" t="s">
        <v>17</v>
      </c>
      <c r="Y1101" s="33" t="s">
        <v>3104</v>
      </c>
      <c r="Z1101" s="33">
        <v>0</v>
      </c>
      <c r="AA1101" s="2">
        <v>-64866</v>
      </c>
      <c r="AB1101" t="str">
        <f>VLOOKUP(Table2[[#This Row],[product]],Ref[#All],6,FALSE)</f>
        <v>BAG25</v>
      </c>
    </row>
    <row r="1102" spans="1:28" x14ac:dyDescent="0.25">
      <c r="A1102" t="str">
        <f>TEXT(Table2[[#This Row],[dated]],"mmm")</f>
        <v>Oct</v>
      </c>
      <c r="B1102" s="28" t="s">
        <v>52</v>
      </c>
      <c r="C1102" s="1" t="s">
        <v>536</v>
      </c>
      <c r="D1102" t="str">
        <f>VLOOKUP(Table2[[#This Row],[product]],Ref[#All],7,FALSE)</f>
        <v>Flour</v>
      </c>
      <c r="E1102" s="28" t="s">
        <v>42</v>
      </c>
      <c r="F1102" t="str">
        <f>VLOOKUP(Table2[[#This Row],[product]],Ref[#All],2,FALSE)</f>
        <v>Alnajm Flour from Mill 25KG</v>
      </c>
      <c r="G1102" t="str">
        <f>VLOOKUP(Table2[[#This Row],[product]],Ref[#All],3,FALSE)</f>
        <v>Flour Al-Nagm (Mill)</v>
      </c>
      <c r="H1102" t="str">
        <f>VLOOKUP(Table2[[#This Row],[product]],Ref[#All],4,FALSE)</f>
        <v>Import</v>
      </c>
      <c r="I1102" s="1">
        <v>45945</v>
      </c>
      <c r="J1102" s="28" t="s">
        <v>53</v>
      </c>
      <c r="K1102" s="33" t="s">
        <v>2973</v>
      </c>
      <c r="L1102" t="s">
        <v>1651</v>
      </c>
      <c r="M1102" t="s">
        <v>1586</v>
      </c>
      <c r="N1102" t="s">
        <v>784</v>
      </c>
      <c r="O1102" t="s">
        <v>785</v>
      </c>
      <c r="P1102" t="s">
        <v>788</v>
      </c>
      <c r="Q1102" t="s">
        <v>55</v>
      </c>
      <c r="R1102">
        <v>-5</v>
      </c>
      <c r="S1102" s="15">
        <f>Table2[[#This Row],[movement_quantity]]/VLOOKUP(Table2[[#This Row],[product]],Ref[#All],5,FALSE)</f>
        <v>-0.125</v>
      </c>
      <c r="T1102" s="33">
        <v>32433</v>
      </c>
      <c r="U1102" s="33" t="s">
        <v>17</v>
      </c>
      <c r="V1102" s="33" t="s">
        <v>21</v>
      </c>
      <c r="W1102" s="33" t="s">
        <v>3105</v>
      </c>
      <c r="X1102" s="33" t="s">
        <v>17</v>
      </c>
      <c r="Y1102" s="33" t="s">
        <v>3104</v>
      </c>
      <c r="Z1102" s="33">
        <v>0</v>
      </c>
      <c r="AA1102" s="2">
        <v>-162165</v>
      </c>
      <c r="AB1102" t="str">
        <f>VLOOKUP(Table2[[#This Row],[product]],Ref[#All],6,FALSE)</f>
        <v>BAG25</v>
      </c>
    </row>
    <row r="1103" spans="1:28" x14ac:dyDescent="0.25">
      <c r="A1103" t="str">
        <f>TEXT(Table2[[#This Row],[dated]],"mmm")</f>
        <v>Oct</v>
      </c>
      <c r="B1103" s="28" t="s">
        <v>52</v>
      </c>
      <c r="C1103" s="1" t="s">
        <v>536</v>
      </c>
      <c r="D1103" t="str">
        <f>VLOOKUP(Table2[[#This Row],[product]],Ref[#All],7,FALSE)</f>
        <v>Flour</v>
      </c>
      <c r="E1103" s="28" t="s">
        <v>42</v>
      </c>
      <c r="F1103" t="str">
        <f>VLOOKUP(Table2[[#This Row],[product]],Ref[#All],2,FALSE)</f>
        <v>Alnajm Flour from Mill 25KG</v>
      </c>
      <c r="G1103" t="str">
        <f>VLOOKUP(Table2[[#This Row],[product]],Ref[#All],3,FALSE)</f>
        <v>Flour Al-Nagm (Mill)</v>
      </c>
      <c r="H1103" t="str">
        <f>VLOOKUP(Table2[[#This Row],[product]],Ref[#All],4,FALSE)</f>
        <v>Import</v>
      </c>
      <c r="I1103" s="1">
        <v>45945</v>
      </c>
      <c r="J1103" s="28" t="s">
        <v>53</v>
      </c>
      <c r="K1103" s="33" t="s">
        <v>2974</v>
      </c>
      <c r="L1103" t="s">
        <v>1651</v>
      </c>
      <c r="M1103" t="s">
        <v>1586</v>
      </c>
      <c r="N1103" t="s">
        <v>784</v>
      </c>
      <c r="O1103" t="s">
        <v>785</v>
      </c>
      <c r="P1103" t="s">
        <v>788</v>
      </c>
      <c r="Q1103" t="s">
        <v>55</v>
      </c>
      <c r="R1103">
        <v>-1</v>
      </c>
      <c r="S1103" s="15">
        <f>Table2[[#This Row],[movement_quantity]]/VLOOKUP(Table2[[#This Row],[product]],Ref[#All],5,FALSE)</f>
        <v>-2.5000000000000001E-2</v>
      </c>
      <c r="T1103" s="33">
        <v>32433</v>
      </c>
      <c r="U1103" s="33" t="s">
        <v>17</v>
      </c>
      <c r="V1103" s="33" t="s">
        <v>22</v>
      </c>
      <c r="W1103" s="33" t="s">
        <v>3106</v>
      </c>
      <c r="X1103" s="33" t="s">
        <v>17</v>
      </c>
      <c r="Y1103" s="33" t="s">
        <v>3104</v>
      </c>
      <c r="Z1103" s="33">
        <v>0</v>
      </c>
      <c r="AA1103" s="2">
        <v>-32433</v>
      </c>
      <c r="AB1103" t="str">
        <f>VLOOKUP(Table2[[#This Row],[product]],Ref[#All],6,FALSE)</f>
        <v>BAG25</v>
      </c>
    </row>
    <row r="1104" spans="1:28" x14ac:dyDescent="0.25">
      <c r="A1104" t="str">
        <f>TEXT(Table2[[#This Row],[dated]],"mmm")</f>
        <v>Oct</v>
      </c>
      <c r="B1104" s="28" t="s">
        <v>52</v>
      </c>
      <c r="C1104" s="1" t="s">
        <v>536</v>
      </c>
      <c r="D1104" t="str">
        <f>VLOOKUP(Table2[[#This Row],[product]],Ref[#All],7,FALSE)</f>
        <v>Flour</v>
      </c>
      <c r="E1104" s="28" t="s">
        <v>42</v>
      </c>
      <c r="F1104" t="str">
        <f>VLOOKUP(Table2[[#This Row],[product]],Ref[#All],2,FALSE)</f>
        <v>Alnajm Flour from Mill 25KG</v>
      </c>
      <c r="G1104" t="str">
        <f>VLOOKUP(Table2[[#This Row],[product]],Ref[#All],3,FALSE)</f>
        <v>Flour Al-Nagm (Mill)</v>
      </c>
      <c r="H1104" t="str">
        <f>VLOOKUP(Table2[[#This Row],[product]],Ref[#All],4,FALSE)</f>
        <v>Import</v>
      </c>
      <c r="I1104" s="1">
        <v>45945</v>
      </c>
      <c r="J1104" s="28" t="s">
        <v>53</v>
      </c>
      <c r="K1104" s="33" t="s">
        <v>2975</v>
      </c>
      <c r="L1104" t="s">
        <v>1651</v>
      </c>
      <c r="M1104" t="s">
        <v>1586</v>
      </c>
      <c r="N1104" t="s">
        <v>784</v>
      </c>
      <c r="O1104" t="s">
        <v>785</v>
      </c>
      <c r="P1104" t="s">
        <v>788</v>
      </c>
      <c r="Q1104" t="s">
        <v>55</v>
      </c>
      <c r="R1104">
        <v>-1</v>
      </c>
      <c r="S1104" s="15">
        <f>Table2[[#This Row],[movement_quantity]]/VLOOKUP(Table2[[#This Row],[product]],Ref[#All],5,FALSE)</f>
        <v>-2.5000000000000001E-2</v>
      </c>
      <c r="T1104" s="33">
        <v>32433</v>
      </c>
      <c r="U1104" s="33" t="s">
        <v>17</v>
      </c>
      <c r="V1104" s="33" t="s">
        <v>23</v>
      </c>
      <c r="W1104" s="33" t="s">
        <v>3107</v>
      </c>
      <c r="X1104" s="33" t="s">
        <v>17</v>
      </c>
      <c r="Y1104" s="33" t="s">
        <v>3104</v>
      </c>
      <c r="Z1104" s="33">
        <v>0</v>
      </c>
      <c r="AA1104" s="2">
        <v>-32433</v>
      </c>
      <c r="AB1104" t="str">
        <f>VLOOKUP(Table2[[#This Row],[product]],Ref[#All],6,FALSE)</f>
        <v>BAG25</v>
      </c>
    </row>
    <row r="1105" spans="1:28" x14ac:dyDescent="0.25">
      <c r="A1105" t="str">
        <f>TEXT(Table2[[#This Row],[dated]],"mmm")</f>
        <v>Oct</v>
      </c>
      <c r="B1105" s="28" t="s">
        <v>3009</v>
      </c>
      <c r="C1105" s="1" t="s">
        <v>1595</v>
      </c>
      <c r="D1105" t="str">
        <f>VLOOKUP(Table2[[#This Row],[product]],Ref[#All],7,FALSE)</f>
        <v>Sorghum</v>
      </c>
      <c r="E1105" s="28" t="s">
        <v>137</v>
      </c>
      <c r="F1105" t="str">
        <f>VLOOKUP(Table2[[#This Row],[product]],Ref[#All],2,FALSE)</f>
        <v>Sorghum Raw</v>
      </c>
      <c r="G1105" t="str">
        <f>VLOOKUP(Table2[[#This Row],[product]],Ref[#All],3,FALSE)</f>
        <v>Sorghum Raw</v>
      </c>
      <c r="H1105" t="str">
        <f>VLOOKUP(Table2[[#This Row],[product]],Ref[#All],4,FALSE)</f>
        <v>Export</v>
      </c>
      <c r="I1105" s="1">
        <v>45945</v>
      </c>
      <c r="J1105" s="28" t="s">
        <v>53</v>
      </c>
      <c r="K1105" s="33" t="s">
        <v>2976</v>
      </c>
      <c r="L1105" t="s">
        <v>2977</v>
      </c>
      <c r="M1105" t="s">
        <v>1586</v>
      </c>
      <c r="N1105" t="s">
        <v>783</v>
      </c>
      <c r="O1105" t="s">
        <v>1687</v>
      </c>
      <c r="P1105" t="s">
        <v>788</v>
      </c>
      <c r="Q1105" t="s">
        <v>55</v>
      </c>
      <c r="R1105">
        <v>-0.83</v>
      </c>
      <c r="S1105" s="15">
        <f>Table2[[#This Row],[movement_quantity]]/VLOOKUP(Table2[[#This Row],[product]],Ref[#All],5,FALSE)</f>
        <v>-0.83</v>
      </c>
      <c r="T1105" s="33">
        <v>947797</v>
      </c>
      <c r="U1105" s="33" t="s">
        <v>17</v>
      </c>
      <c r="V1105" s="33" t="s">
        <v>18</v>
      </c>
      <c r="W1105" s="33" t="s">
        <v>3108</v>
      </c>
      <c r="X1105" s="33" t="s">
        <v>17</v>
      </c>
      <c r="Y1105" s="33" t="s">
        <v>3109</v>
      </c>
      <c r="Z1105" s="33">
        <v>0</v>
      </c>
      <c r="AA1105" s="2">
        <v>-786671.51</v>
      </c>
      <c r="AB1105" t="str">
        <f>VLOOKUP(Table2[[#This Row],[product]],Ref[#All],6,FALSE)</f>
        <v>TON</v>
      </c>
    </row>
    <row r="1106" spans="1:28" x14ac:dyDescent="0.25">
      <c r="A1106" t="str">
        <f>TEXT(Table2[[#This Row],[dated]],"mmm")</f>
        <v>Oct</v>
      </c>
      <c r="B1106" s="28" t="s">
        <v>30</v>
      </c>
      <c r="C1106" s="1" t="s">
        <v>2726</v>
      </c>
      <c r="D1106" t="str">
        <f>VLOOKUP(Table2[[#This Row],[product]],Ref[#All],7,FALSE)</f>
        <v>Lentils</v>
      </c>
      <c r="E1106" s="28" t="s">
        <v>39</v>
      </c>
      <c r="F1106" t="str">
        <f>VLOOKUP(Table2[[#This Row],[product]],Ref[#All],2,FALSE)</f>
        <v>Lentil TAT 20KG</v>
      </c>
      <c r="G1106" t="str">
        <f>VLOOKUP(Table2[[#This Row],[product]],Ref[#All],3,FALSE)</f>
        <v>Lentils</v>
      </c>
      <c r="H1106" t="str">
        <f>VLOOKUP(Table2[[#This Row],[product]],Ref[#All],4,FALSE)</f>
        <v>Import</v>
      </c>
      <c r="I1106" s="1">
        <v>45949</v>
      </c>
      <c r="J1106" s="28" t="s">
        <v>127</v>
      </c>
      <c r="K1106" t="s">
        <v>2978</v>
      </c>
      <c r="L1106" t="s">
        <v>1652</v>
      </c>
      <c r="M1106" t="s">
        <v>1593</v>
      </c>
      <c r="N1106" t="s">
        <v>784</v>
      </c>
      <c r="O1106" t="s">
        <v>1593</v>
      </c>
      <c r="P1106" t="s">
        <v>788</v>
      </c>
      <c r="Q1106" t="s">
        <v>55</v>
      </c>
      <c r="R1106">
        <v>5</v>
      </c>
      <c r="S1106" s="15">
        <f>Table2[[#This Row],[movement_quantity]]/VLOOKUP(Table2[[#This Row],[product]],Ref[#All],5,FALSE)</f>
        <v>0.1</v>
      </c>
      <c r="T1106">
        <v>45681</v>
      </c>
      <c r="U1106" t="s">
        <v>41</v>
      </c>
      <c r="V1106" t="s">
        <v>18</v>
      </c>
      <c r="W1106" t="s">
        <v>3110</v>
      </c>
      <c r="X1106" t="s">
        <v>3111</v>
      </c>
      <c r="Y1106" t="s">
        <v>17</v>
      </c>
      <c r="Z1106">
        <v>0</v>
      </c>
      <c r="AA1106" s="2">
        <v>228405</v>
      </c>
      <c r="AB1106" t="str">
        <f>VLOOKUP(Table2[[#This Row],[product]],Ref[#All],6,FALSE)</f>
        <v>BAG20</v>
      </c>
    </row>
    <row r="1107" spans="1:28" ht="15.75" x14ac:dyDescent="0.25">
      <c r="A1107" t="str">
        <f>TEXT(Table2[[#This Row],[dated]],"mmm")</f>
        <v>Oct</v>
      </c>
      <c r="B1107" s="28" t="s">
        <v>40</v>
      </c>
      <c r="C1107" s="1" t="s">
        <v>539</v>
      </c>
      <c r="D1107" t="str">
        <f>VLOOKUP(Table2[[#This Row],[product]],Ref[#All],7,FALSE)</f>
        <v>Sugar</v>
      </c>
      <c r="E1107" s="28" t="s">
        <v>761</v>
      </c>
      <c r="F1107" t="str">
        <f>VLOOKUP(Table2[[#This Row],[product]],Ref[#All],2,FALSE)</f>
        <v>White Crystal Sugar</v>
      </c>
      <c r="G1107" t="str">
        <f>VLOOKUP(Table2[[#This Row],[product]],Ref[#All],3,FALSE)</f>
        <v>White Crystal Sugar</v>
      </c>
      <c r="H1107" t="str">
        <f>VLOOKUP(Table2[[#This Row],[product]],Ref[#All],4,FALSE)</f>
        <v>Import</v>
      </c>
      <c r="I1107" s="1">
        <v>45957</v>
      </c>
      <c r="J1107" s="28" t="s">
        <v>127</v>
      </c>
      <c r="K1107" s="33" t="s">
        <v>2979</v>
      </c>
      <c r="L1107" s="75" t="s">
        <v>2980</v>
      </c>
      <c r="M1107" t="s">
        <v>1593</v>
      </c>
      <c r="N1107" t="s">
        <v>784</v>
      </c>
      <c r="O1107" t="s">
        <v>1593</v>
      </c>
      <c r="P1107" t="s">
        <v>788</v>
      </c>
      <c r="Q1107" s="33" t="s">
        <v>55</v>
      </c>
      <c r="R1107" s="78">
        <v>41</v>
      </c>
      <c r="S1107" s="15">
        <f>Table2[[#This Row],[movement_quantity]]/VLOOKUP(Table2[[#This Row],[product]],Ref[#All],5,FALSE)</f>
        <v>2.0499999999999998</v>
      </c>
      <c r="T1107" s="33">
        <v>87806</v>
      </c>
      <c r="U1107" s="33" t="s">
        <v>122</v>
      </c>
      <c r="V1107" s="33" t="s">
        <v>18</v>
      </c>
      <c r="W1107" s="33" t="s">
        <v>3112</v>
      </c>
      <c r="X1107" s="33" t="s">
        <v>3113</v>
      </c>
      <c r="Y1107" s="33" t="s">
        <v>17</v>
      </c>
      <c r="Z1107" s="33">
        <v>0</v>
      </c>
      <c r="AA1107">
        <v>3600046</v>
      </c>
      <c r="AB1107" t="str">
        <f>VLOOKUP(Table2[[#This Row],[product]],Ref[#All],6,FALSE)</f>
        <v>BAG50</v>
      </c>
    </row>
    <row r="1108" spans="1:28" ht="15.75" x14ac:dyDescent="0.25">
      <c r="A1108" t="str">
        <f>TEXT(Table2[[#This Row],[dated]],"mmm")</f>
        <v>Oct</v>
      </c>
      <c r="B1108" s="28" t="s">
        <v>40</v>
      </c>
      <c r="C1108" s="1" t="s">
        <v>539</v>
      </c>
      <c r="D1108" t="str">
        <f>VLOOKUP(Table2[[#This Row],[product]],Ref[#All],7,FALSE)</f>
        <v>Sugar</v>
      </c>
      <c r="E1108" s="28" t="s">
        <v>763</v>
      </c>
      <c r="F1108" t="str">
        <f>VLOOKUP(Table2[[#This Row],[product]],Ref[#All],2,FALSE)</f>
        <v>Caked Sugar</v>
      </c>
      <c r="G1108" t="str">
        <f>VLOOKUP(Table2[[#This Row],[product]],Ref[#All],3,FALSE)</f>
        <v>Caked Sugar</v>
      </c>
      <c r="H1108" t="str">
        <f>VLOOKUP(Table2[[#This Row],[product]],Ref[#All],4,FALSE)</f>
        <v>Import</v>
      </c>
      <c r="I1108" s="1">
        <v>45957</v>
      </c>
      <c r="J1108" s="28" t="s">
        <v>53</v>
      </c>
      <c r="K1108" s="33" t="s">
        <v>2981</v>
      </c>
      <c r="L1108" s="75" t="s">
        <v>2980</v>
      </c>
      <c r="M1108" t="s">
        <v>1586</v>
      </c>
      <c r="N1108" t="s">
        <v>784</v>
      </c>
      <c r="O1108" t="s">
        <v>1593</v>
      </c>
      <c r="P1108" t="s">
        <v>788</v>
      </c>
      <c r="Q1108" s="33" t="s">
        <v>55</v>
      </c>
      <c r="R1108" s="78">
        <v>-41</v>
      </c>
      <c r="S1108" s="15">
        <f>Table2[[#This Row],[movement_quantity]]/VLOOKUP(Table2[[#This Row],[product]],Ref[#All],5,FALSE)</f>
        <v>-2.0499999999999998</v>
      </c>
      <c r="T1108" s="33">
        <v>43903</v>
      </c>
      <c r="U1108" s="33" t="s">
        <v>17</v>
      </c>
      <c r="V1108" s="33" t="s">
        <v>18</v>
      </c>
      <c r="W1108" s="33" t="s">
        <v>3114</v>
      </c>
      <c r="X1108" s="33" t="s">
        <v>17</v>
      </c>
      <c r="Y1108" s="33" t="s">
        <v>1946</v>
      </c>
      <c r="Z1108" s="33">
        <v>0</v>
      </c>
      <c r="AA1108">
        <v>-1800023</v>
      </c>
      <c r="AB1108" t="str">
        <f>VLOOKUP(Table2[[#This Row],[product]],Ref[#All],6,FALSE)</f>
        <v>BAG50</v>
      </c>
    </row>
    <row r="1109" spans="1:28" x14ac:dyDescent="0.25">
      <c r="A1109" t="str">
        <f>TEXT(Table2[[#This Row],[dated]],"mmm")</f>
        <v>Oct</v>
      </c>
      <c r="B1109" s="28" t="s">
        <v>20</v>
      </c>
      <c r="C1109" s="1" t="s">
        <v>2728</v>
      </c>
      <c r="D1109" t="str">
        <f>VLOOKUP(Table2[[#This Row],[product]],Ref[#All],7,FALSE)</f>
        <v>Lentils</v>
      </c>
      <c r="E1109" s="28" t="s">
        <v>39</v>
      </c>
      <c r="F1109" t="str">
        <f>VLOOKUP(Table2[[#This Row],[product]],Ref[#All],2,FALSE)</f>
        <v>Lentil TAT 20KG</v>
      </c>
      <c r="G1109" t="str">
        <f>VLOOKUP(Table2[[#This Row],[product]],Ref[#All],3,FALSE)</f>
        <v>Lentils</v>
      </c>
      <c r="H1109" t="str">
        <f>VLOOKUP(Table2[[#This Row],[product]],Ref[#All],4,FALSE)</f>
        <v>Import</v>
      </c>
      <c r="I1109" s="1">
        <v>45957</v>
      </c>
      <c r="J1109" s="28" t="s">
        <v>53</v>
      </c>
      <c r="K1109" s="33" t="s">
        <v>2982</v>
      </c>
      <c r="L1109" t="s">
        <v>2983</v>
      </c>
      <c r="M1109" t="s">
        <v>1586</v>
      </c>
      <c r="N1109" t="s">
        <v>784</v>
      </c>
      <c r="O1109" t="s">
        <v>1586</v>
      </c>
      <c r="P1109" t="s">
        <v>788</v>
      </c>
      <c r="Q1109" s="33" t="s">
        <v>55</v>
      </c>
      <c r="R1109" s="78">
        <v>-3</v>
      </c>
      <c r="S1109" s="15">
        <f>Table2[[#This Row],[movement_quantity]]/VLOOKUP(Table2[[#This Row],[product]],Ref[#All],5,FALSE)</f>
        <v>-0.06</v>
      </c>
      <c r="T1109" s="33">
        <v>45681</v>
      </c>
      <c r="U1109" s="33" t="s">
        <v>17</v>
      </c>
      <c r="V1109" s="33" t="s">
        <v>18</v>
      </c>
      <c r="W1109" s="33" t="s">
        <v>3115</v>
      </c>
      <c r="X1109" s="33" t="s">
        <v>17</v>
      </c>
      <c r="Y1109" s="33" t="s">
        <v>3076</v>
      </c>
      <c r="Z1109" s="33">
        <v>0</v>
      </c>
      <c r="AA1109">
        <v>-137043</v>
      </c>
      <c r="AB1109" t="str">
        <f>VLOOKUP(Table2[[#This Row],[product]],Ref[#All],6,FALSE)</f>
        <v>BAG20</v>
      </c>
    </row>
    <row r="1110" spans="1:28" x14ac:dyDescent="0.25">
      <c r="A1110" t="str">
        <f>TEXT(Table2[[#This Row],[dated]],"mmm")</f>
        <v>Oct</v>
      </c>
      <c r="B1110" s="28" t="s">
        <v>20</v>
      </c>
      <c r="C1110" s="1" t="s">
        <v>2728</v>
      </c>
      <c r="D1110" t="str">
        <f>VLOOKUP(Table2[[#This Row],[product]],Ref[#All],7,FALSE)</f>
        <v>Lentils</v>
      </c>
      <c r="E1110" s="28" t="s">
        <v>39</v>
      </c>
      <c r="F1110" t="str">
        <f>VLOOKUP(Table2[[#This Row],[product]],Ref[#All],2,FALSE)</f>
        <v>Lentil TAT 20KG</v>
      </c>
      <c r="G1110" t="str">
        <f>VLOOKUP(Table2[[#This Row],[product]],Ref[#All],3,FALSE)</f>
        <v>Lentils</v>
      </c>
      <c r="H1110" t="str">
        <f>VLOOKUP(Table2[[#This Row],[product]],Ref[#All],4,FALSE)</f>
        <v>Import</v>
      </c>
      <c r="I1110" s="1">
        <v>45957</v>
      </c>
      <c r="J1110" s="28" t="s">
        <v>53</v>
      </c>
      <c r="K1110" s="33" t="s">
        <v>2982</v>
      </c>
      <c r="L1110" t="s">
        <v>2983</v>
      </c>
      <c r="M1110" t="s">
        <v>1586</v>
      </c>
      <c r="N1110" t="s">
        <v>784</v>
      </c>
      <c r="O1110" t="s">
        <v>1586</v>
      </c>
      <c r="P1110" t="s">
        <v>788</v>
      </c>
      <c r="Q1110" s="33" t="s">
        <v>55</v>
      </c>
      <c r="R1110" s="78">
        <v>-2</v>
      </c>
      <c r="S1110" s="15">
        <f>Table2[[#This Row],[movement_quantity]]/VLOOKUP(Table2[[#This Row],[product]],Ref[#All],5,FALSE)</f>
        <v>-0.04</v>
      </c>
      <c r="T1110" s="33">
        <v>45681</v>
      </c>
      <c r="U1110" s="33" t="s">
        <v>17</v>
      </c>
      <c r="V1110" s="33" t="s">
        <v>21</v>
      </c>
      <c r="W1110" s="33" t="s">
        <v>3115</v>
      </c>
      <c r="X1110" s="33" t="s">
        <v>17</v>
      </c>
      <c r="Y1110" s="33" t="s">
        <v>3076</v>
      </c>
      <c r="Z1110" s="33">
        <v>0</v>
      </c>
      <c r="AA1110">
        <v>-91362</v>
      </c>
      <c r="AB1110" t="str">
        <f>VLOOKUP(Table2[[#This Row],[product]],Ref[#All],6,FALSE)</f>
        <v>BAG20</v>
      </c>
    </row>
    <row r="1111" spans="1:28" x14ac:dyDescent="0.25">
      <c r="A1111" t="str">
        <f>TEXT(Table2[[#This Row],[dated]],"mmm")</f>
        <v>Oct</v>
      </c>
      <c r="B1111" s="28" t="s">
        <v>20</v>
      </c>
      <c r="C1111" s="1" t="s">
        <v>2728</v>
      </c>
      <c r="D1111" t="str">
        <f>VLOOKUP(Table2[[#This Row],[product]],Ref[#All],7,FALSE)</f>
        <v>Lentils</v>
      </c>
      <c r="E1111" s="28" t="s">
        <v>39</v>
      </c>
      <c r="F1111" t="str">
        <f>VLOOKUP(Table2[[#This Row],[product]],Ref[#All],2,FALSE)</f>
        <v>Lentil TAT 20KG</v>
      </c>
      <c r="G1111" t="str">
        <f>VLOOKUP(Table2[[#This Row],[product]],Ref[#All],3,FALSE)</f>
        <v>Lentils</v>
      </c>
      <c r="H1111" t="str">
        <f>VLOOKUP(Table2[[#This Row],[product]],Ref[#All],4,FALSE)</f>
        <v>Import</v>
      </c>
      <c r="I1111" s="1">
        <v>45957</v>
      </c>
      <c r="J1111" s="28" t="s">
        <v>53</v>
      </c>
      <c r="K1111" s="33" t="s">
        <v>2984</v>
      </c>
      <c r="L1111" t="s">
        <v>2985</v>
      </c>
      <c r="M1111" t="s">
        <v>1586</v>
      </c>
      <c r="N1111" t="s">
        <v>784</v>
      </c>
      <c r="O1111" t="s">
        <v>785</v>
      </c>
      <c r="P1111" t="s">
        <v>788</v>
      </c>
      <c r="Q1111" s="33" t="s">
        <v>55</v>
      </c>
      <c r="R1111" s="78">
        <v>-55</v>
      </c>
      <c r="S1111" s="15">
        <f>Table2[[#This Row],[movement_quantity]]/VLOOKUP(Table2[[#This Row],[product]],Ref[#All],5,FALSE)</f>
        <v>-1.1000000000000001</v>
      </c>
      <c r="T1111" s="33">
        <v>45681</v>
      </c>
      <c r="U1111" s="33" t="s">
        <v>17</v>
      </c>
      <c r="V1111" s="33" t="s">
        <v>22</v>
      </c>
      <c r="W1111" s="33" t="s">
        <v>3116</v>
      </c>
      <c r="X1111" s="33" t="s">
        <v>17</v>
      </c>
      <c r="Y1111" s="33" t="s">
        <v>3076</v>
      </c>
      <c r="Z1111" s="33">
        <v>0</v>
      </c>
      <c r="AA1111">
        <v>-2512455</v>
      </c>
      <c r="AB1111" t="str">
        <f>VLOOKUP(Table2[[#This Row],[product]],Ref[#All],6,FALSE)</f>
        <v>BAG20</v>
      </c>
    </row>
    <row r="1112" spans="1:28" x14ac:dyDescent="0.25">
      <c r="A1112" t="str">
        <f>TEXT(Table2[[#This Row],[dated]],"mmm")</f>
        <v>Oct</v>
      </c>
      <c r="B1112" s="28" t="s">
        <v>20</v>
      </c>
      <c r="C1112" s="1" t="s">
        <v>2728</v>
      </c>
      <c r="D1112" t="str">
        <f>VLOOKUP(Table2[[#This Row],[product]],Ref[#All],7,FALSE)</f>
        <v>Lentils</v>
      </c>
      <c r="E1112" s="28" t="s">
        <v>39</v>
      </c>
      <c r="F1112" t="str">
        <f>VLOOKUP(Table2[[#This Row],[product]],Ref[#All],2,FALSE)</f>
        <v>Lentil TAT 20KG</v>
      </c>
      <c r="G1112" t="str">
        <f>VLOOKUP(Table2[[#This Row],[product]],Ref[#All],3,FALSE)</f>
        <v>Lentils</v>
      </c>
      <c r="H1112" t="str">
        <f>VLOOKUP(Table2[[#This Row],[product]],Ref[#All],4,FALSE)</f>
        <v>Import</v>
      </c>
      <c r="I1112" s="1">
        <v>45957</v>
      </c>
      <c r="J1112" s="28" t="s">
        <v>53</v>
      </c>
      <c r="K1112" s="33" t="s">
        <v>2986</v>
      </c>
      <c r="L1112" t="s">
        <v>2987</v>
      </c>
      <c r="M1112" t="s">
        <v>1586</v>
      </c>
      <c r="N1112" t="s">
        <v>784</v>
      </c>
      <c r="O1112" t="s">
        <v>786</v>
      </c>
      <c r="P1112" t="s">
        <v>1597</v>
      </c>
      <c r="Q1112" s="33" t="s">
        <v>55</v>
      </c>
      <c r="R1112" s="78">
        <v>-32</v>
      </c>
      <c r="S1112" s="15">
        <f>Table2[[#This Row],[movement_quantity]]/VLOOKUP(Table2[[#This Row],[product]],Ref[#All],5,FALSE)</f>
        <v>-0.64</v>
      </c>
      <c r="T1112" s="33">
        <v>45681</v>
      </c>
      <c r="U1112" s="33" t="s">
        <v>17</v>
      </c>
      <c r="V1112" s="33" t="s">
        <v>23</v>
      </c>
      <c r="W1112" s="33" t="s">
        <v>3117</v>
      </c>
      <c r="X1112" s="33" t="s">
        <v>17</v>
      </c>
      <c r="Y1112" s="33" t="s">
        <v>3076</v>
      </c>
      <c r="Z1112" s="33">
        <v>0</v>
      </c>
      <c r="AA1112">
        <v>-1461792</v>
      </c>
      <c r="AB1112" t="str">
        <f>VLOOKUP(Table2[[#This Row],[product]],Ref[#All],6,FALSE)</f>
        <v>BAG20</v>
      </c>
    </row>
    <row r="1113" spans="1:28" x14ac:dyDescent="0.25">
      <c r="A1113" t="str">
        <f>TEXT(Table2[[#This Row],[dated]],"mmm")</f>
        <v>Oct</v>
      </c>
      <c r="B1113" s="28" t="s">
        <v>20</v>
      </c>
      <c r="C1113" s="1" t="s">
        <v>2728</v>
      </c>
      <c r="D1113" t="str">
        <f>VLOOKUP(Table2[[#This Row],[product]],Ref[#All],7,FALSE)</f>
        <v>Lentils</v>
      </c>
      <c r="E1113" s="28" t="s">
        <v>39</v>
      </c>
      <c r="F1113" t="str">
        <f>VLOOKUP(Table2[[#This Row],[product]],Ref[#All],2,FALSE)</f>
        <v>Lentil TAT 20KG</v>
      </c>
      <c r="G1113" t="str">
        <f>VLOOKUP(Table2[[#This Row],[product]],Ref[#All],3,FALSE)</f>
        <v>Lentils</v>
      </c>
      <c r="H1113" t="str">
        <f>VLOOKUP(Table2[[#This Row],[product]],Ref[#All],4,FALSE)</f>
        <v>Import</v>
      </c>
      <c r="I1113" s="1">
        <v>45957</v>
      </c>
      <c r="J1113" s="28" t="s">
        <v>53</v>
      </c>
      <c r="K1113" s="33" t="s">
        <v>2988</v>
      </c>
      <c r="L1113" t="s">
        <v>2989</v>
      </c>
      <c r="M1113" t="s">
        <v>1586</v>
      </c>
      <c r="N1113" t="s">
        <v>784</v>
      </c>
      <c r="O1113" t="s">
        <v>1586</v>
      </c>
      <c r="P1113" t="s">
        <v>788</v>
      </c>
      <c r="Q1113" s="33" t="s">
        <v>55</v>
      </c>
      <c r="R1113" s="78">
        <v>-5</v>
      </c>
      <c r="S1113" s="15">
        <f>Table2[[#This Row],[movement_quantity]]/VLOOKUP(Table2[[#This Row],[product]],Ref[#All],5,FALSE)</f>
        <v>-0.1</v>
      </c>
      <c r="T1113" s="33">
        <v>45681</v>
      </c>
      <c r="U1113" s="33" t="s">
        <v>17</v>
      </c>
      <c r="V1113" s="33" t="s">
        <v>24</v>
      </c>
      <c r="W1113" s="33" t="s">
        <v>3118</v>
      </c>
      <c r="X1113" s="33" t="s">
        <v>17</v>
      </c>
      <c r="Y1113" s="33" t="s">
        <v>3076</v>
      </c>
      <c r="Z1113" s="33">
        <v>0</v>
      </c>
      <c r="AA1113">
        <v>-228405</v>
      </c>
      <c r="AB1113" t="str">
        <f>VLOOKUP(Table2[[#This Row],[product]],Ref[#All],6,FALSE)</f>
        <v>BAG20</v>
      </c>
    </row>
    <row r="1114" spans="1:28" x14ac:dyDescent="0.25">
      <c r="A1114" t="str">
        <f>TEXT(Table2[[#This Row],[dated]],"mmm")</f>
        <v>Oct</v>
      </c>
      <c r="B1114" s="28" t="s">
        <v>40</v>
      </c>
      <c r="C1114" s="1" t="s">
        <v>539</v>
      </c>
      <c r="D1114" t="str">
        <f>VLOOKUP(Table2[[#This Row],[product]],Ref[#All],7,FALSE)</f>
        <v>Lentils</v>
      </c>
      <c r="E1114" s="28" t="s">
        <v>39</v>
      </c>
      <c r="F1114" t="str">
        <f>VLOOKUP(Table2[[#This Row],[product]],Ref[#All],2,FALSE)</f>
        <v>Lentil TAT 20KG</v>
      </c>
      <c r="G1114" t="str">
        <f>VLOOKUP(Table2[[#This Row],[product]],Ref[#All],3,FALSE)</f>
        <v>Lentils</v>
      </c>
      <c r="H1114" t="str">
        <f>VLOOKUP(Table2[[#This Row],[product]],Ref[#All],4,FALSE)</f>
        <v>Import</v>
      </c>
      <c r="I1114" s="1">
        <v>45957</v>
      </c>
      <c r="J1114" s="28" t="s">
        <v>53</v>
      </c>
      <c r="K1114" s="33" t="s">
        <v>2990</v>
      </c>
      <c r="L1114" t="s">
        <v>2991</v>
      </c>
      <c r="M1114" t="s">
        <v>1586</v>
      </c>
      <c r="N1114" t="s">
        <v>784</v>
      </c>
      <c r="O1114" t="s">
        <v>786</v>
      </c>
      <c r="P1114" t="s">
        <v>1596</v>
      </c>
      <c r="Q1114" s="33" t="s">
        <v>55</v>
      </c>
      <c r="R1114" s="78">
        <v>-58</v>
      </c>
      <c r="S1114" s="15">
        <f>Table2[[#This Row],[movement_quantity]]/VLOOKUP(Table2[[#This Row],[product]],Ref[#All],5,FALSE)</f>
        <v>-1.1599999999999999</v>
      </c>
      <c r="T1114" s="33">
        <v>45681</v>
      </c>
      <c r="U1114" s="33" t="s">
        <v>17</v>
      </c>
      <c r="V1114" s="33" t="s">
        <v>1364</v>
      </c>
      <c r="W1114" s="33" t="s">
        <v>3119</v>
      </c>
      <c r="X1114" s="33" t="s">
        <v>17</v>
      </c>
      <c r="Y1114" s="33" t="s">
        <v>3076</v>
      </c>
      <c r="Z1114" s="33">
        <v>0</v>
      </c>
      <c r="AA1114">
        <v>-2649498</v>
      </c>
      <c r="AB1114" t="str">
        <f>VLOOKUP(Table2[[#This Row],[product]],Ref[#All],6,FALSE)</f>
        <v>BAG20</v>
      </c>
    </row>
    <row r="1115" spans="1:28" ht="15.75" x14ac:dyDescent="0.25">
      <c r="A1115" t="str">
        <f>TEXT(Table2[[#This Row],[dated]],"mmm")</f>
        <v>Oct</v>
      </c>
      <c r="B1115" s="28" t="s">
        <v>3010</v>
      </c>
      <c r="C1115" s="1" t="s">
        <v>539</v>
      </c>
      <c r="D1115" t="str">
        <f>VLOOKUP(Table2[[#This Row],[product]],Ref[#All],7,FALSE)</f>
        <v>Sugar</v>
      </c>
      <c r="E1115" s="28" t="s">
        <v>549</v>
      </c>
      <c r="F1115" t="str">
        <f>VLOOKUP(Table2[[#This Row],[product]],Ref[#All],2,FALSE)</f>
        <v>White Sugar - Damaged</v>
      </c>
      <c r="G1115" t="str">
        <f>VLOOKUP(Table2[[#This Row],[product]],Ref[#All],3,FALSE)</f>
        <v>White Sugar - Damaged</v>
      </c>
      <c r="H1115" t="str">
        <f>VLOOKUP(Table2[[#This Row],[product]],Ref[#All],4,FALSE)</f>
        <v>Import</v>
      </c>
      <c r="I1115" s="1">
        <v>45957</v>
      </c>
      <c r="J1115" s="28" t="s">
        <v>53</v>
      </c>
      <c r="K1115" s="33" t="s">
        <v>2992</v>
      </c>
      <c r="L1115" s="75" t="s">
        <v>2993</v>
      </c>
      <c r="M1115" t="s">
        <v>1586</v>
      </c>
      <c r="N1115" t="s">
        <v>784</v>
      </c>
      <c r="O1115" t="s">
        <v>1680</v>
      </c>
      <c r="P1115" t="s">
        <v>788</v>
      </c>
      <c r="Q1115" s="33" t="s">
        <v>55</v>
      </c>
      <c r="R1115" s="78">
        <v>-2</v>
      </c>
      <c r="S1115" s="15">
        <f>Table2[[#This Row],[movement_quantity]]/VLOOKUP(Table2[[#This Row],[product]],Ref[#All],5,FALSE)</f>
        <v>-0.1</v>
      </c>
      <c r="T1115" s="33">
        <v>0</v>
      </c>
      <c r="U1115" s="33" t="s">
        <v>17</v>
      </c>
      <c r="V1115" s="33" t="s">
        <v>18</v>
      </c>
      <c r="W1115" s="33" t="s">
        <v>3120</v>
      </c>
      <c r="X1115" s="33" t="s">
        <v>17</v>
      </c>
      <c r="Y1115" s="33" t="s">
        <v>3121</v>
      </c>
      <c r="Z1115" s="33">
        <v>0</v>
      </c>
      <c r="AA1115">
        <v>0</v>
      </c>
      <c r="AB1115" t="str">
        <f>VLOOKUP(Table2[[#This Row],[product]],Ref[#All],6,FALSE)</f>
        <v>BAG50</v>
      </c>
    </row>
    <row r="1116" spans="1:28" x14ac:dyDescent="0.25">
      <c r="A1116" t="str">
        <f>TEXT(Table2[[#This Row],[dated]],"mmm")</f>
        <v>Oct</v>
      </c>
      <c r="B1116" s="28" t="s">
        <v>40</v>
      </c>
      <c r="C1116" s="1" t="s">
        <v>539</v>
      </c>
      <c r="D1116" t="str">
        <f>VLOOKUP(Table2[[#This Row],[product]],Ref[#All],7,FALSE)</f>
        <v>Lentils</v>
      </c>
      <c r="E1116" s="28" t="s">
        <v>895</v>
      </c>
      <c r="F1116" t="str">
        <f>VLOOKUP(Table2[[#This Row],[product]],Ref[#All],2,FALSE)</f>
        <v>Lentil Damaged 20KG</v>
      </c>
      <c r="G1116" t="str">
        <f>VLOOKUP(Table2[[#This Row],[product]],Ref[#All],3,FALSE)</f>
        <v>Lentil - Damaged</v>
      </c>
      <c r="H1116" t="str">
        <f>VLOOKUP(Table2[[#This Row],[product]],Ref[#All],4,FALSE)</f>
        <v>Import</v>
      </c>
      <c r="I1116" s="1">
        <v>45957</v>
      </c>
      <c r="J1116" s="28" t="s">
        <v>127</v>
      </c>
      <c r="K1116" s="33" t="s">
        <v>2994</v>
      </c>
      <c r="L1116" t="s">
        <v>2991</v>
      </c>
      <c r="M1116" t="s">
        <v>1593</v>
      </c>
      <c r="N1116" t="s">
        <v>784</v>
      </c>
      <c r="O1116" t="s">
        <v>786</v>
      </c>
      <c r="P1116" t="s">
        <v>1596</v>
      </c>
      <c r="Q1116" s="33" t="s">
        <v>55</v>
      </c>
      <c r="R1116" s="78">
        <v>58</v>
      </c>
      <c r="S1116" s="15">
        <f>Table2[[#This Row],[movement_quantity]]/VLOOKUP(Table2[[#This Row],[product]],Ref[#All],5,FALSE)</f>
        <v>1.1599999999999999</v>
      </c>
      <c r="T1116" s="33">
        <v>0</v>
      </c>
      <c r="U1116" s="33" t="s">
        <v>122</v>
      </c>
      <c r="V1116" s="33" t="s">
        <v>18</v>
      </c>
      <c r="W1116" s="33" t="s">
        <v>3122</v>
      </c>
      <c r="X1116" s="33" t="s">
        <v>3123</v>
      </c>
      <c r="Y1116" s="33" t="s">
        <v>17</v>
      </c>
      <c r="Z1116" s="33">
        <v>0</v>
      </c>
      <c r="AA1116" s="4">
        <v>580000</v>
      </c>
      <c r="AB1116" t="str">
        <f>VLOOKUP(Table2[[#This Row],[product]],Ref[#All],6,FALSE)</f>
        <v>BAG20</v>
      </c>
    </row>
    <row r="1117" spans="1:28" x14ac:dyDescent="0.25">
      <c r="A1117" t="str">
        <f>TEXT(Table2[[#This Row],[dated]],"mmm")</f>
        <v>Oct</v>
      </c>
      <c r="B1117" s="28" t="s">
        <v>52</v>
      </c>
      <c r="C1117" s="1" t="s">
        <v>536</v>
      </c>
      <c r="D1117" t="str">
        <f>VLOOKUP(Table2[[#This Row],[product]],Ref[#All],7,FALSE)</f>
        <v>Flour</v>
      </c>
      <c r="E1117" s="28" t="s">
        <v>42</v>
      </c>
      <c r="F1117" t="str">
        <f>VLOOKUP(Table2[[#This Row],[product]],Ref[#All],2,FALSE)</f>
        <v>Alnajm Flour from Mill 25KG</v>
      </c>
      <c r="G1117" t="str">
        <f>VLOOKUP(Table2[[#This Row],[product]],Ref[#All],3,FALSE)</f>
        <v>Flour Al-Nagm (Mill)</v>
      </c>
      <c r="H1117" t="str">
        <f>VLOOKUP(Table2[[#This Row],[product]],Ref[#All],4,FALSE)</f>
        <v>Import</v>
      </c>
      <c r="I1117" s="1">
        <v>45958</v>
      </c>
      <c r="J1117" s="28" t="s">
        <v>53</v>
      </c>
      <c r="K1117" s="33" t="s">
        <v>2995</v>
      </c>
      <c r="L1117" t="s">
        <v>1651</v>
      </c>
      <c r="M1117" t="s">
        <v>1586</v>
      </c>
      <c r="N1117" t="s">
        <v>784</v>
      </c>
      <c r="O1117" t="s">
        <v>785</v>
      </c>
      <c r="P1117" t="s">
        <v>788</v>
      </c>
      <c r="Q1117" s="33" t="s">
        <v>55</v>
      </c>
      <c r="R1117" s="78">
        <v>-1</v>
      </c>
      <c r="S1117" s="15">
        <f>Table2[[#This Row],[movement_quantity]]/VLOOKUP(Table2[[#This Row],[product]],Ref[#All],5,FALSE)</f>
        <v>-2.5000000000000001E-2</v>
      </c>
      <c r="T1117" s="33">
        <v>32433</v>
      </c>
      <c r="U1117" s="33" t="s">
        <v>17</v>
      </c>
      <c r="V1117" s="33" t="s">
        <v>18</v>
      </c>
      <c r="W1117" s="33" t="s">
        <v>3124</v>
      </c>
      <c r="X1117" s="33" t="s">
        <v>17</v>
      </c>
      <c r="Y1117" s="33" t="s">
        <v>3125</v>
      </c>
      <c r="Z1117" s="33">
        <v>0</v>
      </c>
      <c r="AA1117">
        <v>-32433</v>
      </c>
      <c r="AB1117" t="str">
        <f>VLOOKUP(Table2[[#This Row],[product]],Ref[#All],6,FALSE)</f>
        <v>BAG25</v>
      </c>
    </row>
    <row r="1118" spans="1:28" x14ac:dyDescent="0.25">
      <c r="A1118" t="str">
        <f>TEXT(Table2[[#This Row],[dated]],"mmm")</f>
        <v>Oct</v>
      </c>
      <c r="B1118" s="28" t="s">
        <v>52</v>
      </c>
      <c r="C1118" s="1" t="s">
        <v>536</v>
      </c>
      <c r="D1118" t="str">
        <f>VLOOKUP(Table2[[#This Row],[product]],Ref[#All],7,FALSE)</f>
        <v>Flour</v>
      </c>
      <c r="E1118" s="28" t="s">
        <v>42</v>
      </c>
      <c r="F1118" t="str">
        <f>VLOOKUP(Table2[[#This Row],[product]],Ref[#All],2,FALSE)</f>
        <v>Alnajm Flour from Mill 25KG</v>
      </c>
      <c r="G1118" t="str">
        <f>VLOOKUP(Table2[[#This Row],[product]],Ref[#All],3,FALSE)</f>
        <v>Flour Al-Nagm (Mill)</v>
      </c>
      <c r="H1118" t="str">
        <f>VLOOKUP(Table2[[#This Row],[product]],Ref[#All],4,FALSE)</f>
        <v>Import</v>
      </c>
      <c r="I1118" s="1">
        <v>45958</v>
      </c>
      <c r="J1118" s="28" t="s">
        <v>53</v>
      </c>
      <c r="K1118" s="33" t="s">
        <v>2996</v>
      </c>
      <c r="L1118" t="s">
        <v>1651</v>
      </c>
      <c r="M1118" t="s">
        <v>1586</v>
      </c>
      <c r="N1118" t="s">
        <v>784</v>
      </c>
      <c r="O1118" t="s">
        <v>785</v>
      </c>
      <c r="P1118" t="s">
        <v>788</v>
      </c>
      <c r="Q1118" s="33" t="s">
        <v>55</v>
      </c>
      <c r="R1118" s="78">
        <v>-6</v>
      </c>
      <c r="S1118" s="15">
        <f>Table2[[#This Row],[movement_quantity]]/VLOOKUP(Table2[[#This Row],[product]],Ref[#All],5,FALSE)</f>
        <v>-0.15</v>
      </c>
      <c r="T1118" s="33">
        <v>32433</v>
      </c>
      <c r="U1118" s="33" t="s">
        <v>17</v>
      </c>
      <c r="V1118" s="33" t="s">
        <v>21</v>
      </c>
      <c r="W1118" s="33" t="s">
        <v>3126</v>
      </c>
      <c r="X1118" s="33" t="s">
        <v>17</v>
      </c>
      <c r="Y1118" s="33" t="s">
        <v>3125</v>
      </c>
      <c r="Z1118" s="33">
        <v>0</v>
      </c>
      <c r="AA1118">
        <v>-194598</v>
      </c>
      <c r="AB1118" t="str">
        <f>VLOOKUP(Table2[[#This Row],[product]],Ref[#All],6,FALSE)</f>
        <v>BAG25</v>
      </c>
    </row>
    <row r="1119" spans="1:28" x14ac:dyDescent="0.25">
      <c r="A1119" t="str">
        <f>TEXT(Table2[[#This Row],[dated]],"mmm")</f>
        <v>Oct</v>
      </c>
      <c r="B1119" s="28" t="s">
        <v>52</v>
      </c>
      <c r="C1119" s="1" t="s">
        <v>536</v>
      </c>
      <c r="D1119" t="str">
        <f>VLOOKUP(Table2[[#This Row],[product]],Ref[#All],7,FALSE)</f>
        <v>Flour</v>
      </c>
      <c r="E1119" s="28" t="s">
        <v>42</v>
      </c>
      <c r="F1119" t="str">
        <f>VLOOKUP(Table2[[#This Row],[product]],Ref[#All],2,FALSE)</f>
        <v>Alnajm Flour from Mill 25KG</v>
      </c>
      <c r="G1119" t="str">
        <f>VLOOKUP(Table2[[#This Row],[product]],Ref[#All],3,FALSE)</f>
        <v>Flour Al-Nagm (Mill)</v>
      </c>
      <c r="H1119" t="str">
        <f>VLOOKUP(Table2[[#This Row],[product]],Ref[#All],4,FALSE)</f>
        <v>Import</v>
      </c>
      <c r="I1119" s="1">
        <v>45958</v>
      </c>
      <c r="J1119" s="28" t="s">
        <v>53</v>
      </c>
      <c r="K1119" s="33" t="s">
        <v>2997</v>
      </c>
      <c r="L1119" t="s">
        <v>1651</v>
      </c>
      <c r="M1119" t="s">
        <v>1586</v>
      </c>
      <c r="N1119" t="s">
        <v>784</v>
      </c>
      <c r="O1119" t="s">
        <v>785</v>
      </c>
      <c r="P1119" t="s">
        <v>788</v>
      </c>
      <c r="Q1119" s="33" t="s">
        <v>55</v>
      </c>
      <c r="R1119" s="78">
        <v>-4</v>
      </c>
      <c r="S1119" s="15">
        <f>Table2[[#This Row],[movement_quantity]]/VLOOKUP(Table2[[#This Row],[product]],Ref[#All],5,FALSE)</f>
        <v>-0.1</v>
      </c>
      <c r="T1119" s="33">
        <v>32433</v>
      </c>
      <c r="U1119" s="33" t="s">
        <v>17</v>
      </c>
      <c r="V1119" s="33" t="s">
        <v>22</v>
      </c>
      <c r="W1119" s="33" t="s">
        <v>3127</v>
      </c>
      <c r="X1119" s="33" t="s">
        <v>17</v>
      </c>
      <c r="Y1119" s="33" t="s">
        <v>3125</v>
      </c>
      <c r="Z1119" s="33">
        <v>0</v>
      </c>
      <c r="AA1119">
        <v>-129732</v>
      </c>
      <c r="AB1119" t="str">
        <f>VLOOKUP(Table2[[#This Row],[product]],Ref[#All],6,FALSE)</f>
        <v>BAG25</v>
      </c>
    </row>
    <row r="1120" spans="1:28" x14ac:dyDescent="0.25">
      <c r="A1120" t="str">
        <f>TEXT(Table2[[#This Row],[dated]],"mmm")</f>
        <v>Oct</v>
      </c>
      <c r="B1120" s="28" t="s">
        <v>52</v>
      </c>
      <c r="C1120" s="1" t="s">
        <v>536</v>
      </c>
      <c r="D1120" t="str">
        <f>VLOOKUP(Table2[[#This Row],[product]],Ref[#All],7,FALSE)</f>
        <v>Flour</v>
      </c>
      <c r="E1120" s="28" t="s">
        <v>42</v>
      </c>
      <c r="F1120" t="str">
        <f>VLOOKUP(Table2[[#This Row],[product]],Ref[#All],2,FALSE)</f>
        <v>Alnajm Flour from Mill 25KG</v>
      </c>
      <c r="G1120" t="str">
        <f>VLOOKUP(Table2[[#This Row],[product]],Ref[#All],3,FALSE)</f>
        <v>Flour Al-Nagm (Mill)</v>
      </c>
      <c r="H1120" t="str">
        <f>VLOOKUP(Table2[[#This Row],[product]],Ref[#All],4,FALSE)</f>
        <v>Import</v>
      </c>
      <c r="I1120" s="1">
        <v>45958</v>
      </c>
      <c r="J1120" s="28" t="s">
        <v>53</v>
      </c>
      <c r="K1120" s="33" t="s">
        <v>2998</v>
      </c>
      <c r="L1120" t="s">
        <v>1651</v>
      </c>
      <c r="M1120" t="s">
        <v>1586</v>
      </c>
      <c r="N1120" t="s">
        <v>784</v>
      </c>
      <c r="O1120" t="s">
        <v>785</v>
      </c>
      <c r="P1120" t="s">
        <v>788</v>
      </c>
      <c r="Q1120" s="33" t="s">
        <v>55</v>
      </c>
      <c r="R1120" s="78">
        <v>-4</v>
      </c>
      <c r="S1120" s="15">
        <f>Table2[[#This Row],[movement_quantity]]/VLOOKUP(Table2[[#This Row],[product]],Ref[#All],5,FALSE)</f>
        <v>-0.1</v>
      </c>
      <c r="T1120" s="33">
        <v>32433</v>
      </c>
      <c r="U1120" s="33" t="s">
        <v>17</v>
      </c>
      <c r="V1120" s="33" t="s">
        <v>23</v>
      </c>
      <c r="W1120" s="33" t="s">
        <v>3128</v>
      </c>
      <c r="X1120" s="33" t="s">
        <v>17</v>
      </c>
      <c r="Y1120" s="33" t="s">
        <v>3125</v>
      </c>
      <c r="Z1120" s="33">
        <v>0</v>
      </c>
      <c r="AA1120">
        <v>-129732</v>
      </c>
      <c r="AB1120" t="str">
        <f>VLOOKUP(Table2[[#This Row],[product]],Ref[#All],6,FALSE)</f>
        <v>BAG25</v>
      </c>
    </row>
    <row r="1121" spans="1:28" x14ac:dyDescent="0.25">
      <c r="A1121" t="str">
        <f>TEXT(Table2[[#This Row],[dated]],"mmm")</f>
        <v>Oct</v>
      </c>
      <c r="B1121" s="28" t="s">
        <v>52</v>
      </c>
      <c r="C1121" s="1" t="s">
        <v>536</v>
      </c>
      <c r="D1121" t="str">
        <f>VLOOKUP(Table2[[#This Row],[product]],Ref[#All],7,FALSE)</f>
        <v>Flour</v>
      </c>
      <c r="E1121" s="28" t="s">
        <v>42</v>
      </c>
      <c r="F1121" t="str">
        <f>VLOOKUP(Table2[[#This Row],[product]],Ref[#All],2,FALSE)</f>
        <v>Alnajm Flour from Mill 25KG</v>
      </c>
      <c r="G1121" t="str">
        <f>VLOOKUP(Table2[[#This Row],[product]],Ref[#All],3,FALSE)</f>
        <v>Flour Al-Nagm (Mill)</v>
      </c>
      <c r="H1121" t="str">
        <f>VLOOKUP(Table2[[#This Row],[product]],Ref[#All],4,FALSE)</f>
        <v>Import</v>
      </c>
      <c r="I1121" s="1">
        <v>45958</v>
      </c>
      <c r="J1121" s="28" t="s">
        <v>53</v>
      </c>
      <c r="K1121" s="33" t="s">
        <v>2999</v>
      </c>
      <c r="L1121" t="s">
        <v>1651</v>
      </c>
      <c r="M1121" t="s">
        <v>1586</v>
      </c>
      <c r="N1121" t="s">
        <v>784</v>
      </c>
      <c r="O1121" t="s">
        <v>785</v>
      </c>
      <c r="P1121" t="s">
        <v>788</v>
      </c>
      <c r="Q1121" s="33" t="s">
        <v>55</v>
      </c>
      <c r="R1121" s="78">
        <v>-12</v>
      </c>
      <c r="S1121" s="15">
        <f>Table2[[#This Row],[movement_quantity]]/VLOOKUP(Table2[[#This Row],[product]],Ref[#All],5,FALSE)</f>
        <v>-0.3</v>
      </c>
      <c r="T1121" s="33">
        <v>32433</v>
      </c>
      <c r="U1121" s="33" t="s">
        <v>17</v>
      </c>
      <c r="V1121" s="33" t="s">
        <v>24</v>
      </c>
      <c r="W1121" s="33" t="s">
        <v>3129</v>
      </c>
      <c r="X1121" s="33" t="s">
        <v>17</v>
      </c>
      <c r="Y1121" s="33" t="s">
        <v>3125</v>
      </c>
      <c r="Z1121" s="33">
        <v>0</v>
      </c>
      <c r="AA1121">
        <v>-389196</v>
      </c>
      <c r="AB1121" t="str">
        <f>VLOOKUP(Table2[[#This Row],[product]],Ref[#All],6,FALSE)</f>
        <v>BAG25</v>
      </c>
    </row>
    <row r="1122" spans="1:28" x14ac:dyDescent="0.25">
      <c r="A1122" t="str">
        <f>TEXT(Table2[[#This Row],[dated]],"mmm")</f>
        <v>Oct</v>
      </c>
      <c r="B1122" s="28" t="s">
        <v>52</v>
      </c>
      <c r="C1122" s="1" t="s">
        <v>536</v>
      </c>
      <c r="D1122" t="str">
        <f>VLOOKUP(Table2[[#This Row],[product]],Ref[#All],7,FALSE)</f>
        <v>Flour</v>
      </c>
      <c r="E1122" s="28" t="s">
        <v>42</v>
      </c>
      <c r="F1122" t="str">
        <f>VLOOKUP(Table2[[#This Row],[product]],Ref[#All],2,FALSE)</f>
        <v>Alnajm Flour from Mill 25KG</v>
      </c>
      <c r="G1122" t="str">
        <f>VLOOKUP(Table2[[#This Row],[product]],Ref[#All],3,FALSE)</f>
        <v>Flour Al-Nagm (Mill)</v>
      </c>
      <c r="H1122" t="str">
        <f>VLOOKUP(Table2[[#This Row],[product]],Ref[#All],4,FALSE)</f>
        <v>Import</v>
      </c>
      <c r="I1122" s="1">
        <v>45958</v>
      </c>
      <c r="J1122" s="28" t="s">
        <v>53</v>
      </c>
      <c r="K1122" s="33" t="s">
        <v>3000</v>
      </c>
      <c r="L1122" t="s">
        <v>1651</v>
      </c>
      <c r="M1122" t="s">
        <v>1586</v>
      </c>
      <c r="N1122" t="s">
        <v>784</v>
      </c>
      <c r="O1122" t="s">
        <v>785</v>
      </c>
      <c r="P1122" t="s">
        <v>788</v>
      </c>
      <c r="Q1122" s="33" t="s">
        <v>55</v>
      </c>
      <c r="R1122" s="78">
        <v>-3</v>
      </c>
      <c r="S1122" s="15">
        <f>Table2[[#This Row],[movement_quantity]]/VLOOKUP(Table2[[#This Row],[product]],Ref[#All],5,FALSE)</f>
        <v>-7.4999999999999997E-2</v>
      </c>
      <c r="T1122" s="33">
        <v>32433</v>
      </c>
      <c r="U1122" s="33" t="s">
        <v>17</v>
      </c>
      <c r="V1122" s="33" t="s">
        <v>25</v>
      </c>
      <c r="W1122" s="33" t="s">
        <v>3130</v>
      </c>
      <c r="X1122" s="33" t="s">
        <v>17</v>
      </c>
      <c r="Y1122" s="33" t="s">
        <v>3125</v>
      </c>
      <c r="Z1122" s="33">
        <v>0</v>
      </c>
      <c r="AA1122">
        <v>-97299</v>
      </c>
      <c r="AB1122" t="str">
        <f>VLOOKUP(Table2[[#This Row],[product]],Ref[#All],6,FALSE)</f>
        <v>BAG25</v>
      </c>
    </row>
    <row r="1123" spans="1:28" x14ac:dyDescent="0.25">
      <c r="A1123" t="str">
        <f>TEXT(Table2[[#This Row],[dated]],"mmm")</f>
        <v>Oct</v>
      </c>
      <c r="B1123" s="28" t="s">
        <v>596</v>
      </c>
      <c r="C1123" s="1" t="s">
        <v>536</v>
      </c>
      <c r="D1123" t="str">
        <f>VLOOKUP(Table2[[#This Row],[product]],Ref[#All],7,FALSE)</f>
        <v>Lentils</v>
      </c>
      <c r="E1123" s="28" t="s">
        <v>39</v>
      </c>
      <c r="F1123" t="str">
        <f>VLOOKUP(Table2[[#This Row],[product]],Ref[#All],2,FALSE)</f>
        <v>Lentil TAT 20KG</v>
      </c>
      <c r="G1123" t="str">
        <f>VLOOKUP(Table2[[#This Row],[product]],Ref[#All],3,FALSE)</f>
        <v>Lentils</v>
      </c>
      <c r="H1123" t="str">
        <f>VLOOKUP(Table2[[#This Row],[product]],Ref[#All],4,FALSE)</f>
        <v>Import</v>
      </c>
      <c r="I1123" s="1">
        <v>45958</v>
      </c>
      <c r="J1123" s="28" t="s">
        <v>53</v>
      </c>
      <c r="K1123" s="33" t="s">
        <v>3001</v>
      </c>
      <c r="L1123" t="s">
        <v>1651</v>
      </c>
      <c r="M1123" t="s">
        <v>1586</v>
      </c>
      <c r="N1123" t="s">
        <v>784</v>
      </c>
      <c r="O1123" t="s">
        <v>785</v>
      </c>
      <c r="P1123" t="s">
        <v>788</v>
      </c>
      <c r="Q1123" s="33" t="s">
        <v>55</v>
      </c>
      <c r="R1123" s="78">
        <v>-4</v>
      </c>
      <c r="S1123" s="15">
        <f>Table2[[#This Row],[movement_quantity]]/VLOOKUP(Table2[[#This Row],[product]],Ref[#All],5,FALSE)</f>
        <v>-0.08</v>
      </c>
      <c r="T1123" s="33">
        <v>45681</v>
      </c>
      <c r="U1123" s="33" t="s">
        <v>17</v>
      </c>
      <c r="V1123" s="33" t="s">
        <v>18</v>
      </c>
      <c r="W1123" s="33" t="s">
        <v>3131</v>
      </c>
      <c r="X1123" s="33" t="s">
        <v>17</v>
      </c>
      <c r="Y1123" s="33" t="s">
        <v>3132</v>
      </c>
      <c r="Z1123" s="33">
        <v>0</v>
      </c>
      <c r="AA1123">
        <v>-182724</v>
      </c>
      <c r="AB1123" t="str">
        <f>VLOOKUP(Table2[[#This Row],[product]],Ref[#All],6,FALSE)</f>
        <v>BAG20</v>
      </c>
    </row>
    <row r="1124" spans="1:28" x14ac:dyDescent="0.25">
      <c r="A1124" t="str">
        <f>TEXT(Table2[[#This Row],[dated]],"mmm")</f>
        <v>Oct</v>
      </c>
      <c r="B1124" s="28" t="s">
        <v>46</v>
      </c>
      <c r="C1124" s="1" t="s">
        <v>536</v>
      </c>
      <c r="D1124" t="str">
        <f>VLOOKUP(Table2[[#This Row],[product]],Ref[#All],7,FALSE)</f>
        <v>Lentils</v>
      </c>
      <c r="E1124" s="28" t="s">
        <v>39</v>
      </c>
      <c r="F1124" t="str">
        <f>VLOOKUP(Table2[[#This Row],[product]],Ref[#All],2,FALSE)</f>
        <v>Lentil TAT 20KG</v>
      </c>
      <c r="G1124" t="str">
        <f>VLOOKUP(Table2[[#This Row],[product]],Ref[#All],3,FALSE)</f>
        <v>Lentils</v>
      </c>
      <c r="H1124" t="str">
        <f>VLOOKUP(Table2[[#This Row],[product]],Ref[#All],4,FALSE)</f>
        <v>Import</v>
      </c>
      <c r="I1124" s="1">
        <v>45958</v>
      </c>
      <c r="J1124" s="28" t="s">
        <v>53</v>
      </c>
      <c r="K1124" s="33" t="s">
        <v>3002</v>
      </c>
      <c r="L1124" t="s">
        <v>1651</v>
      </c>
      <c r="M1124" t="s">
        <v>1586</v>
      </c>
      <c r="N1124" t="s">
        <v>784</v>
      </c>
      <c r="O1124" t="s">
        <v>785</v>
      </c>
      <c r="P1124" t="s">
        <v>788</v>
      </c>
      <c r="Q1124" s="33" t="s">
        <v>55</v>
      </c>
      <c r="R1124" s="78">
        <v>-1</v>
      </c>
      <c r="S1124" s="15">
        <f>Table2[[#This Row],[movement_quantity]]/VLOOKUP(Table2[[#This Row],[product]],Ref[#All],5,FALSE)</f>
        <v>-0.02</v>
      </c>
      <c r="T1124" s="33">
        <v>45681</v>
      </c>
      <c r="U1124" s="33" t="s">
        <v>17</v>
      </c>
      <c r="V1124" s="33" t="s">
        <v>18</v>
      </c>
      <c r="W1124" s="33" t="s">
        <v>3133</v>
      </c>
      <c r="X1124" s="33" t="s">
        <v>17</v>
      </c>
      <c r="Y1124" s="33" t="s">
        <v>3134</v>
      </c>
      <c r="Z1124" s="33">
        <v>0</v>
      </c>
      <c r="AA1124">
        <v>-45681</v>
      </c>
      <c r="AB1124" t="str">
        <f>VLOOKUP(Table2[[#This Row],[product]],Ref[#All],6,FALSE)</f>
        <v>BAG20</v>
      </c>
    </row>
    <row r="1125" spans="1:28" x14ac:dyDescent="0.25">
      <c r="A1125" t="str">
        <f>TEXT(Table2[[#This Row],[dated]],"mmm")</f>
        <v>Oct</v>
      </c>
      <c r="B1125" s="28" t="s">
        <v>3011</v>
      </c>
      <c r="C1125" s="1" t="s">
        <v>1595</v>
      </c>
      <c r="D1125" t="str">
        <f>VLOOKUP(Table2[[#This Row],[product]],Ref[#All],7,FALSE)</f>
        <v>Gum Arabic</v>
      </c>
      <c r="E1125" s="28" t="s">
        <v>2871</v>
      </c>
      <c r="F1125" t="str">
        <f>VLOOKUP(Table2[[#This Row],[product]],Ref[#All],2,FALSE)</f>
        <v>Gum Arabic Hashab RM</v>
      </c>
      <c r="G1125" t="str">
        <f>VLOOKUP(Table2[[#This Row],[product]],Ref[#All],3,FALSE)</f>
        <v>Gum Arabic Hashab RM</v>
      </c>
      <c r="H1125" t="str">
        <f>VLOOKUP(Table2[[#This Row],[product]],Ref[#All],4,FALSE)</f>
        <v>Export</v>
      </c>
      <c r="I1125" s="1">
        <v>45959</v>
      </c>
      <c r="J1125" s="28" t="s">
        <v>127</v>
      </c>
      <c r="K1125" s="33" t="s">
        <v>3003</v>
      </c>
      <c r="L1125" t="s">
        <v>3004</v>
      </c>
      <c r="M1125" t="s">
        <v>1593</v>
      </c>
      <c r="N1125" t="s">
        <v>783</v>
      </c>
      <c r="O1125" t="s">
        <v>1687</v>
      </c>
      <c r="P1125" t="s">
        <v>788</v>
      </c>
      <c r="Q1125" s="33" t="s">
        <v>55</v>
      </c>
      <c r="R1125" s="78">
        <v>4.45</v>
      </c>
      <c r="S1125" s="15">
        <f>Table2[[#This Row],[movement_quantity]]/VLOOKUP(Table2[[#This Row],[product]],Ref[#All],5,FALSE)</f>
        <v>4.45</v>
      </c>
      <c r="T1125" s="33">
        <v>3241740</v>
      </c>
      <c r="U1125" s="33" t="s">
        <v>3135</v>
      </c>
      <c r="V1125" s="33" t="s">
        <v>18</v>
      </c>
      <c r="W1125" s="33" t="s">
        <v>3136</v>
      </c>
      <c r="X1125" s="33" t="s">
        <v>3137</v>
      </c>
      <c r="Y1125" s="33" t="s">
        <v>17</v>
      </c>
      <c r="Z1125" s="33">
        <v>0</v>
      </c>
      <c r="AA1125">
        <v>14425743</v>
      </c>
      <c r="AB1125" t="str">
        <f>VLOOKUP(Table2[[#This Row],[product]],Ref[#All],6,FALSE)</f>
        <v>TON</v>
      </c>
    </row>
    <row r="1126" spans="1:28" x14ac:dyDescent="0.25">
      <c r="A1126" t="str">
        <f>TEXT(Table2[[#This Row],[dated]],"mmm")</f>
        <v>Oct</v>
      </c>
      <c r="B1126" s="28" t="s">
        <v>2870</v>
      </c>
      <c r="C1126" s="1" t="s">
        <v>1587</v>
      </c>
      <c r="D1126" t="str">
        <f>VLOOKUP(Table2[[#This Row],[product]],Ref[#All],7,FALSE)</f>
        <v>Gum Arabic</v>
      </c>
      <c r="E1126" s="28" t="s">
        <v>2871</v>
      </c>
      <c r="F1126" t="str">
        <f>VLOOKUP(Table2[[#This Row],[product]],Ref[#All],2,FALSE)</f>
        <v>Gum Arabic Hashab RM</v>
      </c>
      <c r="G1126" t="str">
        <f>VLOOKUP(Table2[[#This Row],[product]],Ref[#All],3,FALSE)</f>
        <v>Gum Arabic Hashab RM</v>
      </c>
      <c r="H1126" t="str">
        <f>VLOOKUP(Table2[[#This Row],[product]],Ref[#All],4,FALSE)</f>
        <v>Export</v>
      </c>
      <c r="I1126" s="1">
        <v>45959</v>
      </c>
      <c r="J1126" s="28" t="s">
        <v>53</v>
      </c>
      <c r="K1126" s="33" t="s">
        <v>3005</v>
      </c>
      <c r="L1126" t="s">
        <v>3006</v>
      </c>
      <c r="M1126" t="s">
        <v>1586</v>
      </c>
      <c r="N1126" t="s">
        <v>783</v>
      </c>
      <c r="O1126" t="s">
        <v>1689</v>
      </c>
      <c r="P1126" t="s">
        <v>788</v>
      </c>
      <c r="Q1126" s="33" t="s">
        <v>55</v>
      </c>
      <c r="R1126" s="78">
        <v>-1.3260000000000001</v>
      </c>
      <c r="S1126" s="15">
        <f>Table2[[#This Row],[movement_quantity]]/VLOOKUP(Table2[[#This Row],[product]],Ref[#All],5,FALSE)</f>
        <v>-1.3260000000000001</v>
      </c>
      <c r="T1126" s="33">
        <v>3241740</v>
      </c>
      <c r="U1126" s="33" t="s">
        <v>17</v>
      </c>
      <c r="V1126" s="33" t="s">
        <v>18</v>
      </c>
      <c r="W1126" s="33" t="s">
        <v>3138</v>
      </c>
      <c r="X1126" s="33" t="s">
        <v>17</v>
      </c>
      <c r="Y1126" s="33" t="s">
        <v>3139</v>
      </c>
      <c r="Z1126" s="33">
        <v>0</v>
      </c>
      <c r="AA1126">
        <v>-4298547.24</v>
      </c>
      <c r="AB1126" t="str">
        <f>VLOOKUP(Table2[[#This Row],[product]],Ref[#All],6,FALSE)</f>
        <v>TON</v>
      </c>
    </row>
    <row r="1127" spans="1:28" x14ac:dyDescent="0.25">
      <c r="A1127" t="str">
        <f>TEXT(Table2[[#This Row],[dated]],"mmm")</f>
        <v>Oct</v>
      </c>
      <c r="B1127" s="28" t="s">
        <v>850</v>
      </c>
      <c r="C1127" s="1" t="s">
        <v>539</v>
      </c>
      <c r="D1127" t="str">
        <f>VLOOKUP(Table2[[#This Row],[product]],Ref[#All],7,FALSE)</f>
        <v>Flour</v>
      </c>
      <c r="E1127" s="28" t="s">
        <v>42</v>
      </c>
      <c r="F1127" t="str">
        <f>VLOOKUP(Table2[[#This Row],[product]],Ref[#All],2,FALSE)</f>
        <v>Alnajm Flour from Mill 25KG</v>
      </c>
      <c r="G1127" t="str">
        <f>VLOOKUP(Table2[[#This Row],[product]],Ref[#All],3,FALSE)</f>
        <v>Flour Al-Nagm (Mill)</v>
      </c>
      <c r="H1127" t="str">
        <f>VLOOKUP(Table2[[#This Row],[product]],Ref[#All],4,FALSE)</f>
        <v>Import</v>
      </c>
      <c r="I1127" s="1">
        <v>45960</v>
      </c>
      <c r="J1127" s="28" t="s">
        <v>53</v>
      </c>
      <c r="K1127" t="s">
        <v>3007</v>
      </c>
      <c r="L1127" t="s">
        <v>3008</v>
      </c>
      <c r="M1127" t="s">
        <v>1586</v>
      </c>
      <c r="N1127" t="s">
        <v>784</v>
      </c>
      <c r="O1127" t="s">
        <v>1680</v>
      </c>
      <c r="P1127" t="s">
        <v>788</v>
      </c>
      <c r="Q1127" t="s">
        <v>55</v>
      </c>
      <c r="R1127" s="15">
        <v>-24</v>
      </c>
      <c r="S1127" s="15">
        <f>Table2[[#This Row],[movement_quantity]]/VLOOKUP(Table2[[#This Row],[product]],Ref[#All],5,FALSE)</f>
        <v>-0.6</v>
      </c>
      <c r="T1127">
        <v>32433</v>
      </c>
      <c r="U1127" t="s">
        <v>17</v>
      </c>
      <c r="V1127" t="s">
        <v>18</v>
      </c>
      <c r="W1127" s="33" t="s">
        <v>3140</v>
      </c>
      <c r="X1127" t="s">
        <v>17</v>
      </c>
      <c r="Y1127" t="s">
        <v>3141</v>
      </c>
      <c r="Z1127">
        <v>0</v>
      </c>
      <c r="AA1127">
        <v>-778392</v>
      </c>
      <c r="AB1127" t="str">
        <f>VLOOKUP(Table2[[#This Row],[product]],Ref[#All],6,FALSE)</f>
        <v>BAG25</v>
      </c>
    </row>
    <row r="1128" spans="1:28" x14ac:dyDescent="0.25">
      <c r="A1128" t="str">
        <f>TEXT(Table2[[#This Row],[dated]],"mmm")</f>
        <v>Oct</v>
      </c>
      <c r="B1128" s="28" t="s">
        <v>850</v>
      </c>
      <c r="C1128" s="1" t="s">
        <v>539</v>
      </c>
      <c r="D1128" t="str">
        <f>VLOOKUP(Table2[[#This Row],[product]],Ref[#All],7,FALSE)</f>
        <v>Flour</v>
      </c>
      <c r="E1128" s="28" t="s">
        <v>42</v>
      </c>
      <c r="F1128" t="str">
        <f>VLOOKUP(Table2[[#This Row],[product]],Ref[#All],2,FALSE)</f>
        <v>Alnajm Flour from Mill 25KG</v>
      </c>
      <c r="G1128" t="str">
        <f>VLOOKUP(Table2[[#This Row],[product]],Ref[#All],3,FALSE)</f>
        <v>Flour Al-Nagm (Mill)</v>
      </c>
      <c r="H1128" t="str">
        <f>VLOOKUP(Table2[[#This Row],[product]],Ref[#All],4,FALSE)</f>
        <v>Import</v>
      </c>
      <c r="I1128" s="1">
        <v>45960</v>
      </c>
      <c r="J1128" s="28" t="s">
        <v>53</v>
      </c>
      <c r="K1128" t="s">
        <v>3007</v>
      </c>
      <c r="L1128" t="s">
        <v>3008</v>
      </c>
      <c r="M1128" t="s">
        <v>1586</v>
      </c>
      <c r="N1128" t="s">
        <v>784</v>
      </c>
      <c r="O1128" t="s">
        <v>1680</v>
      </c>
      <c r="P1128" t="s">
        <v>788</v>
      </c>
      <c r="Q1128" t="s">
        <v>55</v>
      </c>
      <c r="R1128" s="15">
        <v>-23</v>
      </c>
      <c r="S1128" s="15">
        <f>Table2[[#This Row],[movement_quantity]]/VLOOKUP(Table2[[#This Row],[product]],Ref[#All],5,FALSE)</f>
        <v>-0.57499999999999996</v>
      </c>
      <c r="T1128">
        <v>32433</v>
      </c>
      <c r="U1128" t="s">
        <v>17</v>
      </c>
      <c r="V1128" t="s">
        <v>21</v>
      </c>
      <c r="W1128" s="33" t="s">
        <v>3140</v>
      </c>
      <c r="X1128" t="s">
        <v>17</v>
      </c>
      <c r="Y1128" t="s">
        <v>3142</v>
      </c>
      <c r="Z1128">
        <v>0</v>
      </c>
      <c r="AA1128">
        <v>-745959</v>
      </c>
      <c r="AB1128" t="str">
        <f>VLOOKUP(Table2[[#This Row],[product]],Ref[#All],6,FALSE)</f>
        <v>BAG25</v>
      </c>
    </row>
    <row r="1129" spans="1:28" x14ac:dyDescent="0.25">
      <c r="A1129" t="str">
        <f>TEXT(Table2[[#This Row],[dated]],"mmm")</f>
        <v>Oct</v>
      </c>
      <c r="B1129" s="28" t="s">
        <v>850</v>
      </c>
      <c r="C1129" s="1" t="s">
        <v>539</v>
      </c>
      <c r="D1129" t="str">
        <f>VLOOKUP(Table2[[#This Row],[product]],Ref[#All],7,FALSE)</f>
        <v>Flour</v>
      </c>
      <c r="E1129" s="28" t="s">
        <v>42</v>
      </c>
      <c r="F1129" t="str">
        <f>VLOOKUP(Table2[[#This Row],[product]],Ref[#All],2,FALSE)</f>
        <v>Alnajm Flour from Mill 25KG</v>
      </c>
      <c r="G1129" t="str">
        <f>VLOOKUP(Table2[[#This Row],[product]],Ref[#All],3,FALSE)</f>
        <v>Flour Al-Nagm (Mill)</v>
      </c>
      <c r="H1129" t="str">
        <f>VLOOKUP(Table2[[#This Row],[product]],Ref[#All],4,FALSE)</f>
        <v>Import</v>
      </c>
      <c r="I1129" s="1">
        <v>45960</v>
      </c>
      <c r="J1129" s="28" t="s">
        <v>53</v>
      </c>
      <c r="K1129" t="s">
        <v>3007</v>
      </c>
      <c r="L1129" t="s">
        <v>3008</v>
      </c>
      <c r="M1129" t="s">
        <v>1586</v>
      </c>
      <c r="N1129" t="s">
        <v>784</v>
      </c>
      <c r="O1129" t="s">
        <v>1680</v>
      </c>
      <c r="P1129" t="s">
        <v>788</v>
      </c>
      <c r="Q1129" t="s">
        <v>55</v>
      </c>
      <c r="R1129" s="15">
        <v>-3</v>
      </c>
      <c r="S1129" s="15">
        <f>Table2[[#This Row],[movement_quantity]]/VLOOKUP(Table2[[#This Row],[product]],Ref[#All],5,FALSE)</f>
        <v>-7.4999999999999997E-2</v>
      </c>
      <c r="T1129">
        <v>32433</v>
      </c>
      <c r="U1129" t="s">
        <v>17</v>
      </c>
      <c r="V1129" t="s">
        <v>22</v>
      </c>
      <c r="W1129" s="33" t="s">
        <v>3140</v>
      </c>
      <c r="X1129" t="s">
        <v>17</v>
      </c>
      <c r="Y1129" t="s">
        <v>3080</v>
      </c>
      <c r="Z1129">
        <v>0</v>
      </c>
      <c r="AA1129">
        <v>-97299</v>
      </c>
      <c r="AB1129" t="str">
        <f>VLOOKUP(Table2[[#This Row],[product]],Ref[#All],6,FALSE)</f>
        <v>BAG25</v>
      </c>
    </row>
    <row r="1130" spans="1:28" x14ac:dyDescent="0.25">
      <c r="A1130" t="str">
        <f>TEXT(Table2[[#This Row],[dated]],"mmm")</f>
        <v>Nov</v>
      </c>
      <c r="B1130" t="s">
        <v>52</v>
      </c>
      <c r="C1130" s="1" t="s">
        <v>536</v>
      </c>
      <c r="D1130" t="str">
        <f>VLOOKUP(Table2[[#This Row],[product]],Ref[#All],7,FALSE)</f>
        <v>Flour</v>
      </c>
      <c r="E1130" s="1" t="s">
        <v>42</v>
      </c>
      <c r="F1130" t="str">
        <f>VLOOKUP(Table2[[#This Row],[product]],Ref[#All],2,FALSE)</f>
        <v>Alnajm Flour from Mill 25KG</v>
      </c>
      <c r="G1130" t="str">
        <f>VLOOKUP(Table2[[#This Row],[product]],Ref[#All],3,FALSE)</f>
        <v>Flour Al-Nagm (Mill)</v>
      </c>
      <c r="H1130" t="str">
        <f>VLOOKUP(Table2[[#This Row],[product]],Ref[#All],4,FALSE)</f>
        <v>Import</v>
      </c>
      <c r="I1130" s="1">
        <v>45966</v>
      </c>
      <c r="J1130" s="28" t="s">
        <v>53</v>
      </c>
      <c r="K1130" t="s">
        <v>3144</v>
      </c>
      <c r="L1130" t="s">
        <v>1651</v>
      </c>
      <c r="M1130" t="s">
        <v>1586</v>
      </c>
      <c r="N1130" t="s">
        <v>784</v>
      </c>
      <c r="O1130" t="s">
        <v>785</v>
      </c>
      <c r="P1130" t="s">
        <v>788</v>
      </c>
      <c r="Q1130" t="s">
        <v>55</v>
      </c>
      <c r="R1130" s="80">
        <v>-4</v>
      </c>
      <c r="S1130" s="15">
        <f>Table2[[#This Row],[movement_quantity]]/VLOOKUP(Table2[[#This Row],[product]],Ref[#All],5,FALSE)</f>
        <v>-0.1</v>
      </c>
      <c r="T1130">
        <v>25402.08338</v>
      </c>
      <c r="U1130" t="s">
        <v>17</v>
      </c>
      <c r="V1130" t="s">
        <v>18</v>
      </c>
      <c r="W1130" t="s">
        <v>3227</v>
      </c>
      <c r="X1130" t="s">
        <v>17</v>
      </c>
      <c r="Y1130" s="2" t="s">
        <v>3228</v>
      </c>
      <c r="Z1130">
        <v>0</v>
      </c>
      <c r="AA1130" s="2">
        <v>-101608.33352</v>
      </c>
      <c r="AB1130" t="str">
        <f>VLOOKUP(Table2[[#This Row],[product]],Ref[#All],6,FALSE)</f>
        <v>BAG25</v>
      </c>
    </row>
    <row r="1131" spans="1:28" x14ac:dyDescent="0.25">
      <c r="A1131" t="str">
        <f>TEXT(Table2[[#This Row],[dated]],"mmm")</f>
        <v>Nov</v>
      </c>
      <c r="B1131" t="s">
        <v>52</v>
      </c>
      <c r="C1131" s="1" t="s">
        <v>536</v>
      </c>
      <c r="D1131" t="str">
        <f>VLOOKUP(Table2[[#This Row],[product]],Ref[#All],7,FALSE)</f>
        <v>Flour</v>
      </c>
      <c r="E1131" s="1" t="s">
        <v>42</v>
      </c>
      <c r="F1131" t="str">
        <f>VLOOKUP(Table2[[#This Row],[product]],Ref[#All],2,FALSE)</f>
        <v>Alnajm Flour from Mill 25KG</v>
      </c>
      <c r="G1131" t="str">
        <f>VLOOKUP(Table2[[#This Row],[product]],Ref[#All],3,FALSE)</f>
        <v>Flour Al-Nagm (Mill)</v>
      </c>
      <c r="H1131" t="str">
        <f>VLOOKUP(Table2[[#This Row],[product]],Ref[#All],4,FALSE)</f>
        <v>Import</v>
      </c>
      <c r="I1131" s="1">
        <v>45966</v>
      </c>
      <c r="J1131" s="28" t="s">
        <v>53</v>
      </c>
      <c r="K1131" t="s">
        <v>3145</v>
      </c>
      <c r="L1131" t="s">
        <v>1651</v>
      </c>
      <c r="M1131" t="s">
        <v>1586</v>
      </c>
      <c r="N1131" t="s">
        <v>784</v>
      </c>
      <c r="O1131" t="s">
        <v>785</v>
      </c>
      <c r="P1131" t="s">
        <v>788</v>
      </c>
      <c r="Q1131" t="s">
        <v>55</v>
      </c>
      <c r="R1131" s="78">
        <v>-2</v>
      </c>
      <c r="S1131" s="15">
        <f>Table2[[#This Row],[movement_quantity]]/VLOOKUP(Table2[[#This Row],[product]],Ref[#All],5,FALSE)</f>
        <v>-0.05</v>
      </c>
      <c r="T1131">
        <v>25402.08338</v>
      </c>
      <c r="U1131" t="s">
        <v>17</v>
      </c>
      <c r="V1131" t="s">
        <v>21</v>
      </c>
      <c r="W1131" t="s">
        <v>3229</v>
      </c>
      <c r="X1131" t="s">
        <v>17</v>
      </c>
      <c r="Y1131" s="2" t="s">
        <v>3228</v>
      </c>
      <c r="Z1131">
        <v>0</v>
      </c>
      <c r="AA1131" s="2">
        <v>-50804.16676</v>
      </c>
      <c r="AB1131" t="str">
        <f>VLOOKUP(Table2[[#This Row],[product]],Ref[#All],6,FALSE)</f>
        <v>BAG25</v>
      </c>
    </row>
    <row r="1132" spans="1:28" x14ac:dyDescent="0.25">
      <c r="A1132" t="str">
        <f>TEXT(Table2[[#This Row],[dated]],"mmm")</f>
        <v>Nov</v>
      </c>
      <c r="B1132" t="s">
        <v>52</v>
      </c>
      <c r="C1132" s="1" t="s">
        <v>536</v>
      </c>
      <c r="D1132" t="str">
        <f>VLOOKUP(Table2[[#This Row],[product]],Ref[#All],7,FALSE)</f>
        <v>Flour</v>
      </c>
      <c r="E1132" s="1" t="s">
        <v>42</v>
      </c>
      <c r="F1132" t="str">
        <f>VLOOKUP(Table2[[#This Row],[product]],Ref[#All],2,FALSE)</f>
        <v>Alnajm Flour from Mill 25KG</v>
      </c>
      <c r="G1132" t="str">
        <f>VLOOKUP(Table2[[#This Row],[product]],Ref[#All],3,FALSE)</f>
        <v>Flour Al-Nagm (Mill)</v>
      </c>
      <c r="H1132" t="str">
        <f>VLOOKUP(Table2[[#This Row],[product]],Ref[#All],4,FALSE)</f>
        <v>Import</v>
      </c>
      <c r="I1132" s="1">
        <v>45966</v>
      </c>
      <c r="J1132" s="28" t="s">
        <v>53</v>
      </c>
      <c r="K1132" t="s">
        <v>3146</v>
      </c>
      <c r="L1132" t="s">
        <v>1651</v>
      </c>
      <c r="M1132" t="s">
        <v>1586</v>
      </c>
      <c r="N1132" t="s">
        <v>784</v>
      </c>
      <c r="O1132" t="s">
        <v>785</v>
      </c>
      <c r="P1132" t="s">
        <v>788</v>
      </c>
      <c r="Q1132" t="s">
        <v>55</v>
      </c>
      <c r="R1132" s="78">
        <v>-17</v>
      </c>
      <c r="S1132" s="15">
        <f>Table2[[#This Row],[movement_quantity]]/VLOOKUP(Table2[[#This Row],[product]],Ref[#All],5,FALSE)</f>
        <v>-0.42499999999999999</v>
      </c>
      <c r="T1132">
        <v>25402.08338</v>
      </c>
      <c r="U1132" t="s">
        <v>17</v>
      </c>
      <c r="V1132" t="s">
        <v>22</v>
      </c>
      <c r="W1132" t="s">
        <v>3230</v>
      </c>
      <c r="X1132" t="s">
        <v>17</v>
      </c>
      <c r="Y1132" s="2" t="s">
        <v>3228</v>
      </c>
      <c r="Z1132">
        <v>0</v>
      </c>
      <c r="AA1132" s="2">
        <v>-431835.41746000003</v>
      </c>
      <c r="AB1132" t="str">
        <f>VLOOKUP(Table2[[#This Row],[product]],Ref[#All],6,FALSE)</f>
        <v>BAG25</v>
      </c>
    </row>
    <row r="1133" spans="1:28" x14ac:dyDescent="0.25">
      <c r="A1133" t="str">
        <f>TEXT(Table2[[#This Row],[dated]],"mmm")</f>
        <v>Nov</v>
      </c>
      <c r="B1133" t="s">
        <v>52</v>
      </c>
      <c r="C1133" s="1" t="s">
        <v>536</v>
      </c>
      <c r="D1133" t="str">
        <f>VLOOKUP(Table2[[#This Row],[product]],Ref[#All],7,FALSE)</f>
        <v>Flour</v>
      </c>
      <c r="E1133" s="1" t="s">
        <v>42</v>
      </c>
      <c r="F1133" t="str">
        <f>VLOOKUP(Table2[[#This Row],[product]],Ref[#All],2,FALSE)</f>
        <v>Alnajm Flour from Mill 25KG</v>
      </c>
      <c r="G1133" t="str">
        <f>VLOOKUP(Table2[[#This Row],[product]],Ref[#All],3,FALSE)</f>
        <v>Flour Al-Nagm (Mill)</v>
      </c>
      <c r="H1133" t="str">
        <f>VLOOKUP(Table2[[#This Row],[product]],Ref[#All],4,FALSE)</f>
        <v>Import</v>
      </c>
      <c r="I1133" s="1">
        <v>45966</v>
      </c>
      <c r="J1133" s="28" t="s">
        <v>53</v>
      </c>
      <c r="K1133" t="s">
        <v>3147</v>
      </c>
      <c r="L1133" t="s">
        <v>1651</v>
      </c>
      <c r="M1133" t="s">
        <v>1586</v>
      </c>
      <c r="N1133" t="s">
        <v>784</v>
      </c>
      <c r="O1133" t="s">
        <v>785</v>
      </c>
      <c r="P1133" t="s">
        <v>788</v>
      </c>
      <c r="Q1133" t="s">
        <v>55</v>
      </c>
      <c r="R1133" s="81">
        <v>-5</v>
      </c>
      <c r="S1133" s="15">
        <f>Table2[[#This Row],[movement_quantity]]/VLOOKUP(Table2[[#This Row],[product]],Ref[#All],5,FALSE)</f>
        <v>-0.125</v>
      </c>
      <c r="T1133">
        <v>25402.08338</v>
      </c>
      <c r="U1133" t="s">
        <v>17</v>
      </c>
      <c r="V1133" t="s">
        <v>23</v>
      </c>
      <c r="W1133" t="s">
        <v>3231</v>
      </c>
      <c r="X1133" t="s">
        <v>17</v>
      </c>
      <c r="Y1133" s="2" t="s">
        <v>3228</v>
      </c>
      <c r="Z1133">
        <v>0</v>
      </c>
      <c r="AA1133" s="2">
        <v>-127010.4169</v>
      </c>
      <c r="AB1133" t="str">
        <f>VLOOKUP(Table2[[#This Row],[product]],Ref[#All],6,FALSE)</f>
        <v>BAG25</v>
      </c>
    </row>
    <row r="1134" spans="1:28" x14ac:dyDescent="0.25">
      <c r="A1134" t="str">
        <f>TEXT(Table2[[#This Row],[dated]],"mmm")</f>
        <v>Nov</v>
      </c>
      <c r="B1134" t="s">
        <v>52</v>
      </c>
      <c r="C1134" s="1" t="s">
        <v>536</v>
      </c>
      <c r="D1134" t="str">
        <f>VLOOKUP(Table2[[#This Row],[product]],Ref[#All],7,FALSE)</f>
        <v>Flour</v>
      </c>
      <c r="E1134" s="1" t="s">
        <v>42</v>
      </c>
      <c r="F1134" t="str">
        <f>VLOOKUP(Table2[[#This Row],[product]],Ref[#All],2,FALSE)</f>
        <v>Alnajm Flour from Mill 25KG</v>
      </c>
      <c r="G1134" t="str">
        <f>VLOOKUP(Table2[[#This Row],[product]],Ref[#All],3,FALSE)</f>
        <v>Flour Al-Nagm (Mill)</v>
      </c>
      <c r="H1134" t="str">
        <f>VLOOKUP(Table2[[#This Row],[product]],Ref[#All],4,FALSE)</f>
        <v>Import</v>
      </c>
      <c r="I1134" s="1">
        <v>45966</v>
      </c>
      <c r="J1134" s="28" t="s">
        <v>53</v>
      </c>
      <c r="K1134" t="s">
        <v>3148</v>
      </c>
      <c r="L1134" t="s">
        <v>1651</v>
      </c>
      <c r="M1134" t="s">
        <v>1586</v>
      </c>
      <c r="N1134" t="s">
        <v>784</v>
      </c>
      <c r="O1134" t="s">
        <v>785</v>
      </c>
      <c r="P1134" t="s">
        <v>788</v>
      </c>
      <c r="Q1134" t="s">
        <v>55</v>
      </c>
      <c r="R1134" s="78">
        <v>-3</v>
      </c>
      <c r="S1134" s="15">
        <f>Table2[[#This Row],[movement_quantity]]/VLOOKUP(Table2[[#This Row],[product]],Ref[#All],5,FALSE)</f>
        <v>-7.4999999999999997E-2</v>
      </c>
      <c r="T1134">
        <v>25402.08338</v>
      </c>
      <c r="U1134" t="s">
        <v>17</v>
      </c>
      <c r="V1134" t="s">
        <v>24</v>
      </c>
      <c r="W1134" t="s">
        <v>3232</v>
      </c>
      <c r="X1134" t="s">
        <v>17</v>
      </c>
      <c r="Y1134" s="2" t="s">
        <v>3228</v>
      </c>
      <c r="Z1134">
        <v>0</v>
      </c>
      <c r="AA1134" s="2">
        <v>-76206.250140000004</v>
      </c>
      <c r="AB1134" t="str">
        <f>VLOOKUP(Table2[[#This Row],[product]],Ref[#All],6,FALSE)</f>
        <v>BAG25</v>
      </c>
    </row>
    <row r="1135" spans="1:28" x14ac:dyDescent="0.25">
      <c r="A1135" t="str">
        <f>TEXT(Table2[[#This Row],[dated]],"mmm")</f>
        <v>Nov</v>
      </c>
      <c r="B1135" t="s">
        <v>52</v>
      </c>
      <c r="C1135" s="1" t="s">
        <v>536</v>
      </c>
      <c r="D1135" t="str">
        <f>VLOOKUP(Table2[[#This Row],[product]],Ref[#All],7,FALSE)</f>
        <v>Flour</v>
      </c>
      <c r="E1135" s="1" t="s">
        <v>42</v>
      </c>
      <c r="F1135" t="str">
        <f>VLOOKUP(Table2[[#This Row],[product]],Ref[#All],2,FALSE)</f>
        <v>Alnajm Flour from Mill 25KG</v>
      </c>
      <c r="G1135" t="str">
        <f>VLOOKUP(Table2[[#This Row],[product]],Ref[#All],3,FALSE)</f>
        <v>Flour Al-Nagm (Mill)</v>
      </c>
      <c r="H1135" t="str">
        <f>VLOOKUP(Table2[[#This Row],[product]],Ref[#All],4,FALSE)</f>
        <v>Import</v>
      </c>
      <c r="I1135" s="1">
        <v>45966</v>
      </c>
      <c r="J1135" s="28" t="s">
        <v>53</v>
      </c>
      <c r="K1135" t="s">
        <v>3149</v>
      </c>
      <c r="L1135" t="s">
        <v>1651</v>
      </c>
      <c r="M1135" t="s">
        <v>1586</v>
      </c>
      <c r="N1135" t="s">
        <v>784</v>
      </c>
      <c r="O1135" t="s">
        <v>785</v>
      </c>
      <c r="P1135" t="s">
        <v>788</v>
      </c>
      <c r="Q1135" t="s">
        <v>55</v>
      </c>
      <c r="R1135" s="81">
        <v>-1</v>
      </c>
      <c r="S1135" s="15">
        <f>Table2[[#This Row],[movement_quantity]]/VLOOKUP(Table2[[#This Row],[product]],Ref[#All],5,FALSE)</f>
        <v>-2.5000000000000001E-2</v>
      </c>
      <c r="T1135">
        <v>25402.08338</v>
      </c>
      <c r="U1135" t="s">
        <v>17</v>
      </c>
      <c r="V1135" t="s">
        <v>25</v>
      </c>
      <c r="W1135" t="s">
        <v>3233</v>
      </c>
      <c r="X1135" t="s">
        <v>17</v>
      </c>
      <c r="Y1135" s="2" t="s">
        <v>3228</v>
      </c>
      <c r="Z1135">
        <v>0</v>
      </c>
      <c r="AA1135" s="2">
        <v>-25402.08338</v>
      </c>
      <c r="AB1135" t="str">
        <f>VLOOKUP(Table2[[#This Row],[product]],Ref[#All],6,FALSE)</f>
        <v>BAG25</v>
      </c>
    </row>
    <row r="1136" spans="1:28" x14ac:dyDescent="0.25">
      <c r="A1136" t="str">
        <f>TEXT(Table2[[#This Row],[dated]],"mmm")</f>
        <v>Nov</v>
      </c>
      <c r="B1136" t="s">
        <v>52</v>
      </c>
      <c r="C1136" s="1" t="s">
        <v>2726</v>
      </c>
      <c r="D1136" t="str">
        <f>VLOOKUP(Table2[[#This Row],[product]],Ref[#All],7,FALSE)</f>
        <v>Flour</v>
      </c>
      <c r="E1136" s="1" t="s">
        <v>42</v>
      </c>
      <c r="F1136" t="str">
        <f>VLOOKUP(Table2[[#This Row],[product]],Ref[#All],2,FALSE)</f>
        <v>Alnajm Flour from Mill 25KG</v>
      </c>
      <c r="G1136" t="str">
        <f>VLOOKUP(Table2[[#This Row],[product]],Ref[#All],3,FALSE)</f>
        <v>Flour Al-Nagm (Mill)</v>
      </c>
      <c r="H1136" t="str">
        <f>VLOOKUP(Table2[[#This Row],[product]],Ref[#All],4,FALSE)</f>
        <v>Import</v>
      </c>
      <c r="I1136" s="1">
        <v>45966</v>
      </c>
      <c r="J1136" s="28" t="s">
        <v>127</v>
      </c>
      <c r="K1136" t="s">
        <v>3150</v>
      </c>
      <c r="L1136" t="s">
        <v>1652</v>
      </c>
      <c r="M1136" t="s">
        <v>1593</v>
      </c>
      <c r="N1136" t="s">
        <v>784</v>
      </c>
      <c r="O1136" t="s">
        <v>1593</v>
      </c>
      <c r="P1136" t="s">
        <v>788</v>
      </c>
      <c r="Q1136" t="s">
        <v>55</v>
      </c>
      <c r="R1136" s="78">
        <v>1</v>
      </c>
      <c r="S1136" s="15">
        <f>Table2[[#This Row],[movement_quantity]]/VLOOKUP(Table2[[#This Row],[product]],Ref[#All],5,FALSE)</f>
        <v>2.5000000000000001E-2</v>
      </c>
      <c r="T1136">
        <v>25402.08338</v>
      </c>
      <c r="U1136" t="s">
        <v>153</v>
      </c>
      <c r="V1136" t="s">
        <v>26</v>
      </c>
      <c r="W1136" t="s">
        <v>3234</v>
      </c>
      <c r="X1136" t="s">
        <v>3235</v>
      </c>
      <c r="Y1136" s="2" t="s">
        <v>17</v>
      </c>
      <c r="Z1136">
        <v>0</v>
      </c>
      <c r="AA1136" s="2">
        <v>25402.08338</v>
      </c>
      <c r="AB1136" t="str">
        <f>VLOOKUP(Table2[[#This Row],[product]],Ref[#All],6,FALSE)</f>
        <v>BAG25</v>
      </c>
    </row>
    <row r="1137" spans="1:28" x14ac:dyDescent="0.25">
      <c r="A1137" t="str">
        <f>TEXT(Table2[[#This Row],[dated]],"mmm")</f>
        <v>Nov</v>
      </c>
      <c r="B1137" t="s">
        <v>52</v>
      </c>
      <c r="C1137" s="1" t="s">
        <v>2726</v>
      </c>
      <c r="D1137" t="str">
        <f>VLOOKUP(Table2[[#This Row],[product]],Ref[#All],7,FALSE)</f>
        <v>Flour</v>
      </c>
      <c r="E1137" s="1" t="s">
        <v>42</v>
      </c>
      <c r="F1137" t="str">
        <f>VLOOKUP(Table2[[#This Row],[product]],Ref[#All],2,FALSE)</f>
        <v>Alnajm Flour from Mill 25KG</v>
      </c>
      <c r="G1137" t="str">
        <f>VLOOKUP(Table2[[#This Row],[product]],Ref[#All],3,FALSE)</f>
        <v>Flour Al-Nagm (Mill)</v>
      </c>
      <c r="H1137" t="str">
        <f>VLOOKUP(Table2[[#This Row],[product]],Ref[#All],4,FALSE)</f>
        <v>Import</v>
      </c>
      <c r="I1137" s="1">
        <v>45966</v>
      </c>
      <c r="J1137" s="28" t="s">
        <v>127</v>
      </c>
      <c r="K1137" t="s">
        <v>3151</v>
      </c>
      <c r="L1137" t="s">
        <v>1652</v>
      </c>
      <c r="M1137" t="s">
        <v>1593</v>
      </c>
      <c r="N1137" t="s">
        <v>784</v>
      </c>
      <c r="O1137" t="s">
        <v>1593</v>
      </c>
      <c r="P1137" t="s">
        <v>788</v>
      </c>
      <c r="Q1137" t="s">
        <v>55</v>
      </c>
      <c r="R1137" s="81">
        <v>1</v>
      </c>
      <c r="S1137" s="15">
        <f>Table2[[#This Row],[movement_quantity]]/VLOOKUP(Table2[[#This Row],[product]],Ref[#All],5,FALSE)</f>
        <v>2.5000000000000001E-2</v>
      </c>
      <c r="T1137">
        <v>25402.08338</v>
      </c>
      <c r="U1137" t="s">
        <v>153</v>
      </c>
      <c r="V1137" t="s">
        <v>27</v>
      </c>
      <c r="W1137" t="s">
        <v>3236</v>
      </c>
      <c r="X1137" t="s">
        <v>3237</v>
      </c>
      <c r="Y1137" s="2" t="s">
        <v>17</v>
      </c>
      <c r="Z1137">
        <v>0</v>
      </c>
      <c r="AA1137" s="2">
        <v>25402.08338</v>
      </c>
      <c r="AB1137" t="str">
        <f>VLOOKUP(Table2[[#This Row],[product]],Ref[#All],6,FALSE)</f>
        <v>BAG25</v>
      </c>
    </row>
    <row r="1138" spans="1:28" x14ac:dyDescent="0.25">
      <c r="A1138" t="str">
        <f>TEXT(Table2[[#This Row],[dated]],"mmm")</f>
        <v>Nov</v>
      </c>
      <c r="B1138" t="s">
        <v>52</v>
      </c>
      <c r="C1138" s="1" t="s">
        <v>2726</v>
      </c>
      <c r="D1138" t="str">
        <f>VLOOKUP(Table2[[#This Row],[product]],Ref[#All],7,FALSE)</f>
        <v>Flour</v>
      </c>
      <c r="E1138" s="1" t="s">
        <v>42</v>
      </c>
      <c r="F1138" t="str">
        <f>VLOOKUP(Table2[[#This Row],[product]],Ref[#All],2,FALSE)</f>
        <v>Alnajm Flour from Mill 25KG</v>
      </c>
      <c r="G1138" t="str">
        <f>VLOOKUP(Table2[[#This Row],[product]],Ref[#All],3,FALSE)</f>
        <v>Flour Al-Nagm (Mill)</v>
      </c>
      <c r="H1138" t="str">
        <f>VLOOKUP(Table2[[#This Row],[product]],Ref[#All],4,FALSE)</f>
        <v>Import</v>
      </c>
      <c r="I1138" s="1">
        <v>45966</v>
      </c>
      <c r="J1138" s="28" t="s">
        <v>127</v>
      </c>
      <c r="K1138" t="s">
        <v>3152</v>
      </c>
      <c r="L1138" t="s">
        <v>1652</v>
      </c>
      <c r="M1138" t="s">
        <v>1593</v>
      </c>
      <c r="N1138" t="s">
        <v>784</v>
      </c>
      <c r="O1138" t="s">
        <v>1593</v>
      </c>
      <c r="P1138" t="s">
        <v>788</v>
      </c>
      <c r="Q1138" t="s">
        <v>55</v>
      </c>
      <c r="R1138" s="78">
        <v>1</v>
      </c>
      <c r="S1138" s="15">
        <f>Table2[[#This Row],[movement_quantity]]/VLOOKUP(Table2[[#This Row],[product]],Ref[#All],5,FALSE)</f>
        <v>2.5000000000000001E-2</v>
      </c>
      <c r="T1138">
        <v>25402.08338</v>
      </c>
      <c r="U1138" t="s">
        <v>153</v>
      </c>
      <c r="V1138" t="s">
        <v>28</v>
      </c>
      <c r="W1138" t="s">
        <v>3238</v>
      </c>
      <c r="X1138" t="s">
        <v>3239</v>
      </c>
      <c r="Y1138" s="2" t="s">
        <v>17</v>
      </c>
      <c r="Z1138">
        <v>0</v>
      </c>
      <c r="AA1138" s="2">
        <v>25402.08338</v>
      </c>
      <c r="AB1138" t="str">
        <f>VLOOKUP(Table2[[#This Row],[product]],Ref[#All],6,FALSE)</f>
        <v>BAG25</v>
      </c>
    </row>
    <row r="1139" spans="1:28" x14ac:dyDescent="0.25">
      <c r="A1139" t="str">
        <f>TEXT(Table2[[#This Row],[dated]],"mmm")</f>
        <v>Nov</v>
      </c>
      <c r="B1139" t="s">
        <v>138</v>
      </c>
      <c r="C1139" s="1" t="s">
        <v>539</v>
      </c>
      <c r="D1139" t="str">
        <f>VLOOKUP(Table2[[#This Row],[product]],Ref[#All],7,FALSE)</f>
        <v>Sorghum</v>
      </c>
      <c r="E1139" s="1" t="s">
        <v>1546</v>
      </c>
      <c r="F1139" t="str">
        <f>VLOOKUP(Table2[[#This Row],[product]],Ref[#All],2,FALSE)</f>
        <v>Sorghum Waste</v>
      </c>
      <c r="G1139" t="str">
        <f>VLOOKUP(Table2[[#This Row],[product]],Ref[#All],3,FALSE)</f>
        <v>Sorghum - Waste</v>
      </c>
      <c r="H1139" t="str">
        <f>VLOOKUP(Table2[[#This Row],[product]],Ref[#All],4,FALSE)</f>
        <v>Export</v>
      </c>
      <c r="I1139" s="1">
        <v>45966</v>
      </c>
      <c r="J1139" s="28" t="s">
        <v>127</v>
      </c>
      <c r="K1139" t="s">
        <v>3153</v>
      </c>
      <c r="L1139" s="82" t="s">
        <v>3385</v>
      </c>
      <c r="M1139" t="s">
        <v>1593</v>
      </c>
      <c r="N1139" t="s">
        <v>784</v>
      </c>
      <c r="O1139" t="s">
        <v>1680</v>
      </c>
      <c r="P1139" t="s">
        <v>788</v>
      </c>
      <c r="Q1139" t="s">
        <v>55</v>
      </c>
      <c r="R1139" s="81">
        <v>0.69</v>
      </c>
      <c r="S1139" s="15">
        <f>Table2[[#This Row],[movement_quantity]]/VLOOKUP(Table2[[#This Row],[product]],Ref[#All],5,FALSE)</f>
        <v>0.69</v>
      </c>
      <c r="T1139">
        <v>0</v>
      </c>
      <c r="U1139" t="s">
        <v>163</v>
      </c>
      <c r="V1139" t="s">
        <v>18</v>
      </c>
      <c r="W1139" t="s">
        <v>3240</v>
      </c>
      <c r="X1139" t="s">
        <v>3241</v>
      </c>
      <c r="Y1139" s="2" t="s">
        <v>17</v>
      </c>
      <c r="Z1139">
        <v>0</v>
      </c>
      <c r="AA1139" s="4">
        <v>414000</v>
      </c>
      <c r="AB1139" t="str">
        <f>VLOOKUP(Table2[[#This Row],[product]],Ref[#All],6,FALSE)</f>
        <v>TON</v>
      </c>
    </row>
    <row r="1140" spans="1:28" x14ac:dyDescent="0.25">
      <c r="A1140" t="str">
        <f>TEXT(Table2[[#This Row],[dated]],"mmm")</f>
        <v>Nov</v>
      </c>
      <c r="B1140" t="s">
        <v>138</v>
      </c>
      <c r="C1140" s="1" t="s">
        <v>539</v>
      </c>
      <c r="D1140" t="str">
        <f>VLOOKUP(Table2[[#This Row],[product]],Ref[#All],7,FALSE)</f>
        <v>Sorghum</v>
      </c>
      <c r="E1140" s="1" t="s">
        <v>2196</v>
      </c>
      <c r="F1140" t="str">
        <f>VLOOKUP(Table2[[#This Row],[product]],Ref[#All],2,FALSE)</f>
        <v>Sorghum FG</v>
      </c>
      <c r="G1140" t="str">
        <f>VLOOKUP(Table2[[#This Row],[product]],Ref[#All],3,FALSE)</f>
        <v>Sorghum FG</v>
      </c>
      <c r="H1140" t="str">
        <f>VLOOKUP(Table2[[#This Row],[product]],Ref[#All],4,FALSE)</f>
        <v>Export</v>
      </c>
      <c r="I1140" s="1">
        <v>45966</v>
      </c>
      <c r="J1140" s="28" t="s">
        <v>53</v>
      </c>
      <c r="K1140" s="33" t="s">
        <v>3154</v>
      </c>
      <c r="L1140" s="82" t="s">
        <v>3385</v>
      </c>
      <c r="M1140" t="s">
        <v>1586</v>
      </c>
      <c r="N1140" t="s">
        <v>784</v>
      </c>
      <c r="O1140" t="s">
        <v>1680</v>
      </c>
      <c r="P1140" t="s">
        <v>788</v>
      </c>
      <c r="Q1140" s="33" t="s">
        <v>55</v>
      </c>
      <c r="R1140" s="78">
        <v>-0.15</v>
      </c>
      <c r="S1140" s="15">
        <f>Table2[[#This Row],[movement_quantity]]/VLOOKUP(Table2[[#This Row],[product]],Ref[#All],5,FALSE)</f>
        <v>-0.15</v>
      </c>
      <c r="T1140">
        <v>1050000</v>
      </c>
      <c r="U1140" t="s">
        <v>17</v>
      </c>
      <c r="V1140" t="s">
        <v>18</v>
      </c>
      <c r="W1140" t="s">
        <v>3242</v>
      </c>
      <c r="X1140" t="s">
        <v>17</v>
      </c>
      <c r="Y1140" s="2" t="s">
        <v>3243</v>
      </c>
      <c r="Z1140">
        <v>0</v>
      </c>
      <c r="AA1140" s="2">
        <v>-157500</v>
      </c>
      <c r="AB1140" t="str">
        <f>VLOOKUP(Table2[[#This Row],[product]],Ref[#All],6,FALSE)</f>
        <v>TON</v>
      </c>
    </row>
    <row r="1141" spans="1:28" x14ac:dyDescent="0.25">
      <c r="A1141" t="str">
        <f>TEXT(Table2[[#This Row],[dated]],"mmm")</f>
        <v>Nov</v>
      </c>
      <c r="B1141" t="s">
        <v>20</v>
      </c>
      <c r="C1141" s="1" t="s">
        <v>2728</v>
      </c>
      <c r="D1141" t="str">
        <f>VLOOKUP(Table2[[#This Row],[product]],Ref[#All],7,FALSE)</f>
        <v>Rice</v>
      </c>
      <c r="E1141" s="1" t="s">
        <v>176</v>
      </c>
      <c r="F1141" t="str">
        <f>VLOOKUP(Table2[[#This Row],[product]],Ref[#All],2,FALSE)</f>
        <v>Rice Long Grade 1 Elngm 20Kg</v>
      </c>
      <c r="G1141" t="str">
        <f>VLOOKUP(Table2[[#This Row],[product]],Ref[#All],3,FALSE)</f>
        <v>Rice Long Grain</v>
      </c>
      <c r="H1141" t="str">
        <f>VLOOKUP(Table2[[#This Row],[product]],Ref[#All],4,FALSE)</f>
        <v>Import</v>
      </c>
      <c r="I1141" s="1">
        <v>45977</v>
      </c>
      <c r="J1141" s="28" t="s">
        <v>53</v>
      </c>
      <c r="K1141" t="s">
        <v>3155</v>
      </c>
      <c r="L1141" t="s">
        <v>3357</v>
      </c>
      <c r="M1141" t="s">
        <v>1586</v>
      </c>
      <c r="N1141" t="s">
        <v>784</v>
      </c>
      <c r="O1141" t="s">
        <v>786</v>
      </c>
      <c r="P1141" t="s">
        <v>1598</v>
      </c>
      <c r="Q1141" t="s">
        <v>55</v>
      </c>
      <c r="R1141" s="78">
        <v>-83</v>
      </c>
      <c r="S1141" s="15">
        <f>Table2[[#This Row],[movement_quantity]]/VLOOKUP(Table2[[#This Row],[product]],Ref[#All],5,FALSE)</f>
        <v>-1.66</v>
      </c>
      <c r="T1141">
        <v>23264.087289999999</v>
      </c>
      <c r="U1141" t="s">
        <v>17</v>
      </c>
      <c r="V1141" t="s">
        <v>18</v>
      </c>
      <c r="W1141" t="s">
        <v>3244</v>
      </c>
      <c r="X1141" t="s">
        <v>17</v>
      </c>
      <c r="Y1141" s="2" t="s">
        <v>3245</v>
      </c>
      <c r="Z1141">
        <v>0</v>
      </c>
      <c r="AA1141" s="2">
        <v>-1930919.2450699999</v>
      </c>
      <c r="AB1141" t="str">
        <f>VLOOKUP(Table2[[#This Row],[product]],Ref[#All],6,FALSE)</f>
        <v>BAG20</v>
      </c>
    </row>
    <row r="1142" spans="1:28" x14ac:dyDescent="0.25">
      <c r="A1142" t="str">
        <f>TEXT(Table2[[#This Row],[dated]],"mmm")</f>
        <v>Nov</v>
      </c>
      <c r="B1142" t="s">
        <v>138</v>
      </c>
      <c r="C1142" s="1" t="s">
        <v>1587</v>
      </c>
      <c r="D1142" t="str">
        <f>VLOOKUP(Table2[[#This Row],[product]],Ref[#All],7,FALSE)</f>
        <v>Cotton</v>
      </c>
      <c r="E1142" s="1" t="s">
        <v>412</v>
      </c>
      <c r="F1142" t="str">
        <f>VLOOKUP(Table2[[#This Row],[product]],Ref[#All],2,FALSE)</f>
        <v xml:space="preserve">Cotton - FG </v>
      </c>
      <c r="G1142" t="str">
        <f>VLOOKUP(Table2[[#This Row],[product]],Ref[#All],3,FALSE)</f>
        <v xml:space="preserve">Cotton - FG </v>
      </c>
      <c r="H1142" t="str">
        <f>VLOOKUP(Table2[[#This Row],[product]],Ref[#All],4,FALSE)</f>
        <v>Export</v>
      </c>
      <c r="I1142" s="1">
        <v>45977</v>
      </c>
      <c r="J1142" s="28" t="s">
        <v>53</v>
      </c>
      <c r="K1142" t="s">
        <v>3156</v>
      </c>
      <c r="L1142" s="82" t="s">
        <v>3384</v>
      </c>
      <c r="M1142" t="s">
        <v>1586</v>
      </c>
      <c r="N1142" t="s">
        <v>783</v>
      </c>
      <c r="O1142" t="s">
        <v>1689</v>
      </c>
      <c r="P1142" t="s">
        <v>788</v>
      </c>
      <c r="Q1142" t="s">
        <v>55</v>
      </c>
      <c r="R1142" s="78">
        <v>-22.530999999999999</v>
      </c>
      <c r="S1142" s="15">
        <f>Table2[[#This Row],[movement_quantity]]/VLOOKUP(Table2[[#This Row],[product]],Ref[#All],5,FALSE)</f>
        <v>-22.530999999999999</v>
      </c>
      <c r="T1142">
        <v>4024676.7759699998</v>
      </c>
      <c r="U1142" t="s">
        <v>17</v>
      </c>
      <c r="V1142" t="s">
        <v>18</v>
      </c>
      <c r="W1142" t="s">
        <v>3246</v>
      </c>
      <c r="X1142" t="s">
        <v>17</v>
      </c>
      <c r="Y1142" s="2" t="s">
        <v>3247</v>
      </c>
      <c r="Z1142">
        <v>0</v>
      </c>
      <c r="AA1142" s="2">
        <v>-90679992.439380065</v>
      </c>
      <c r="AB1142" t="str">
        <f>VLOOKUP(Table2[[#This Row],[product]],Ref[#All],6,FALSE)</f>
        <v>TON</v>
      </c>
    </row>
    <row r="1143" spans="1:28" x14ac:dyDescent="0.25">
      <c r="A1143" t="str">
        <f>TEXT(Table2[[#This Row],[dated]],"mmm")</f>
        <v>Nov</v>
      </c>
      <c r="B1143" t="s">
        <v>20</v>
      </c>
      <c r="C1143" s="1" t="s">
        <v>2729</v>
      </c>
      <c r="D1143" t="str">
        <f>VLOOKUP(Table2[[#This Row],[product]],Ref[#All],7,FALSE)</f>
        <v>Lentils</v>
      </c>
      <c r="E1143" s="1" t="s">
        <v>39</v>
      </c>
      <c r="F1143" t="str">
        <f>VLOOKUP(Table2[[#This Row],[product]],Ref[#All],2,FALSE)</f>
        <v>Lentil TAT 20KG</v>
      </c>
      <c r="G1143" t="str">
        <f>VLOOKUP(Table2[[#This Row],[product]],Ref[#All],3,FALSE)</f>
        <v>Lentils</v>
      </c>
      <c r="H1143" t="str">
        <f>VLOOKUP(Table2[[#This Row],[product]],Ref[#All],4,FALSE)</f>
        <v>Import</v>
      </c>
      <c r="I1143" s="1">
        <v>45977</v>
      </c>
      <c r="J1143" s="28" t="s">
        <v>127</v>
      </c>
      <c r="K1143" t="s">
        <v>3157</v>
      </c>
      <c r="L1143" t="s">
        <v>3358</v>
      </c>
      <c r="M1143" t="s">
        <v>1593</v>
      </c>
      <c r="N1143" t="s">
        <v>784</v>
      </c>
      <c r="O1143" t="s">
        <v>1593</v>
      </c>
      <c r="P1143" t="s">
        <v>788</v>
      </c>
      <c r="Q1143" t="s">
        <v>55</v>
      </c>
      <c r="R1143" s="78">
        <v>109</v>
      </c>
      <c r="S1143" s="15">
        <f>Table2[[#This Row],[movement_quantity]]/VLOOKUP(Table2[[#This Row],[product]],Ref[#All],5,FALSE)</f>
        <v>2.1800000000000002</v>
      </c>
      <c r="T1143">
        <v>42710.4732</v>
      </c>
      <c r="U1143" t="s">
        <v>1439</v>
      </c>
      <c r="V1143" t="s">
        <v>18</v>
      </c>
      <c r="W1143" t="s">
        <v>3248</v>
      </c>
      <c r="X1143" t="s">
        <v>3249</v>
      </c>
      <c r="Y1143" s="2" t="s">
        <v>17</v>
      </c>
      <c r="Z1143">
        <v>0</v>
      </c>
      <c r="AA1143" s="2">
        <v>4655441.5788000003</v>
      </c>
      <c r="AB1143" t="str">
        <f>VLOOKUP(Table2[[#This Row],[product]],Ref[#All],6,FALSE)</f>
        <v>BAG20</v>
      </c>
    </row>
    <row r="1144" spans="1:28" x14ac:dyDescent="0.25">
      <c r="A1144" t="str">
        <f>TEXT(Table2[[#This Row],[dated]],"mmm")</f>
        <v>Nov</v>
      </c>
      <c r="B1144" t="s">
        <v>20</v>
      </c>
      <c r="C1144" s="1" t="s">
        <v>2729</v>
      </c>
      <c r="D1144" t="str">
        <f>VLOOKUP(Table2[[#This Row],[product]],Ref[#All],7,FALSE)</f>
        <v>Lentils</v>
      </c>
      <c r="E1144" s="1" t="s">
        <v>39</v>
      </c>
      <c r="F1144" t="str">
        <f>VLOOKUP(Table2[[#This Row],[product]],Ref[#All],2,FALSE)</f>
        <v>Lentil TAT 20KG</v>
      </c>
      <c r="G1144" t="str">
        <f>VLOOKUP(Table2[[#This Row],[product]],Ref[#All],3,FALSE)</f>
        <v>Lentils</v>
      </c>
      <c r="H1144" t="str">
        <f>VLOOKUP(Table2[[#This Row],[product]],Ref[#All],4,FALSE)</f>
        <v>Import</v>
      </c>
      <c r="I1144" s="1">
        <v>45977</v>
      </c>
      <c r="J1144" s="28" t="s">
        <v>127</v>
      </c>
      <c r="K1144" t="s">
        <v>3158</v>
      </c>
      <c r="L1144" t="s">
        <v>3359</v>
      </c>
      <c r="M1144" t="s">
        <v>1593</v>
      </c>
      <c r="N1144" t="s">
        <v>784</v>
      </c>
      <c r="O1144" t="s">
        <v>1593</v>
      </c>
      <c r="P1144" t="s">
        <v>788</v>
      </c>
      <c r="Q1144" t="s">
        <v>55</v>
      </c>
      <c r="R1144" s="78">
        <v>99</v>
      </c>
      <c r="S1144" s="15">
        <f>Table2[[#This Row],[movement_quantity]]/VLOOKUP(Table2[[#This Row],[product]],Ref[#All],5,FALSE)</f>
        <v>1.98</v>
      </c>
      <c r="T1144">
        <v>42710.4732</v>
      </c>
      <c r="U1144" t="s">
        <v>1439</v>
      </c>
      <c r="V1144" t="s">
        <v>21</v>
      </c>
      <c r="W1144" t="s">
        <v>3250</v>
      </c>
      <c r="X1144" t="s">
        <v>3251</v>
      </c>
      <c r="Y1144" s="2" t="s">
        <v>17</v>
      </c>
      <c r="Z1144">
        <v>0</v>
      </c>
      <c r="AA1144" s="2">
        <v>4228336.8468000004</v>
      </c>
      <c r="AB1144" t="str">
        <f>VLOOKUP(Table2[[#This Row],[product]],Ref[#All],6,FALSE)</f>
        <v>BAG20</v>
      </c>
    </row>
    <row r="1145" spans="1:28" x14ac:dyDescent="0.25">
      <c r="A1145" t="str">
        <f>TEXT(Table2[[#This Row],[dated]],"mmm")</f>
        <v>Nov</v>
      </c>
      <c r="B1145" t="s">
        <v>20</v>
      </c>
      <c r="C1145" s="1" t="s">
        <v>2729</v>
      </c>
      <c r="D1145" t="str">
        <f>VLOOKUP(Table2[[#This Row],[product]],Ref[#All],7,FALSE)</f>
        <v>Lentils</v>
      </c>
      <c r="E1145" s="1" t="s">
        <v>39</v>
      </c>
      <c r="F1145" t="str">
        <f>VLOOKUP(Table2[[#This Row],[product]],Ref[#All],2,FALSE)</f>
        <v>Lentil TAT 20KG</v>
      </c>
      <c r="G1145" t="str">
        <f>VLOOKUP(Table2[[#This Row],[product]],Ref[#All],3,FALSE)</f>
        <v>Lentils</v>
      </c>
      <c r="H1145" t="str">
        <f>VLOOKUP(Table2[[#This Row],[product]],Ref[#All],4,FALSE)</f>
        <v>Import</v>
      </c>
      <c r="I1145" s="1">
        <v>45977</v>
      </c>
      <c r="J1145" s="28" t="s">
        <v>127</v>
      </c>
      <c r="K1145" t="s">
        <v>3159</v>
      </c>
      <c r="L1145" t="s">
        <v>3360</v>
      </c>
      <c r="M1145" t="s">
        <v>1593</v>
      </c>
      <c r="N1145" t="s">
        <v>784</v>
      </c>
      <c r="O1145" t="s">
        <v>1593</v>
      </c>
      <c r="P1145" t="s">
        <v>788</v>
      </c>
      <c r="Q1145" t="s">
        <v>55</v>
      </c>
      <c r="R1145" s="78">
        <v>83</v>
      </c>
      <c r="S1145" s="15">
        <f>Table2[[#This Row],[movement_quantity]]/VLOOKUP(Table2[[#This Row],[product]],Ref[#All],5,FALSE)</f>
        <v>1.66</v>
      </c>
      <c r="T1145">
        <v>42710.4732</v>
      </c>
      <c r="U1145" t="s">
        <v>1439</v>
      </c>
      <c r="V1145" t="s">
        <v>22</v>
      </c>
      <c r="W1145" t="s">
        <v>3252</v>
      </c>
      <c r="X1145" t="s">
        <v>3253</v>
      </c>
      <c r="Y1145" s="2" t="s">
        <v>17</v>
      </c>
      <c r="Z1145">
        <v>0</v>
      </c>
      <c r="AA1145" s="2">
        <v>3544969.2755999998</v>
      </c>
      <c r="AB1145" t="str">
        <f>VLOOKUP(Table2[[#This Row],[product]],Ref[#All],6,FALSE)</f>
        <v>BAG20</v>
      </c>
    </row>
    <row r="1146" spans="1:28" x14ac:dyDescent="0.25">
      <c r="A1146" t="str">
        <f>TEXT(Table2[[#This Row],[dated]],"mmm")</f>
        <v>Nov</v>
      </c>
      <c r="B1146" t="s">
        <v>20</v>
      </c>
      <c r="C1146" s="1" t="s">
        <v>2729</v>
      </c>
      <c r="D1146" t="str">
        <f>VLOOKUP(Table2[[#This Row],[product]],Ref[#All],7,FALSE)</f>
        <v>Lentils</v>
      </c>
      <c r="E1146" s="1" t="s">
        <v>39</v>
      </c>
      <c r="F1146" t="str">
        <f>VLOOKUP(Table2[[#This Row],[product]],Ref[#All],2,FALSE)</f>
        <v>Lentil TAT 20KG</v>
      </c>
      <c r="G1146" t="str">
        <f>VLOOKUP(Table2[[#This Row],[product]],Ref[#All],3,FALSE)</f>
        <v>Lentils</v>
      </c>
      <c r="H1146" t="str">
        <f>VLOOKUP(Table2[[#This Row],[product]],Ref[#All],4,FALSE)</f>
        <v>Import</v>
      </c>
      <c r="I1146" s="1">
        <v>45977</v>
      </c>
      <c r="J1146" s="28" t="s">
        <v>127</v>
      </c>
      <c r="K1146" s="33" t="s">
        <v>3160</v>
      </c>
      <c r="L1146" t="s">
        <v>3361</v>
      </c>
      <c r="M1146" t="s">
        <v>1593</v>
      </c>
      <c r="N1146" t="s">
        <v>784</v>
      </c>
      <c r="O1146" t="s">
        <v>1593</v>
      </c>
      <c r="P1146" t="s">
        <v>788</v>
      </c>
      <c r="Q1146" s="33" t="s">
        <v>55</v>
      </c>
      <c r="R1146" s="78">
        <v>59</v>
      </c>
      <c r="S1146" s="15">
        <f>Table2[[#This Row],[movement_quantity]]/VLOOKUP(Table2[[#This Row],[product]],Ref[#All],5,FALSE)</f>
        <v>1.18</v>
      </c>
      <c r="T1146">
        <v>42710.4732</v>
      </c>
      <c r="U1146" t="s">
        <v>1439</v>
      </c>
      <c r="V1146" t="s">
        <v>23</v>
      </c>
      <c r="W1146" t="s">
        <v>3254</v>
      </c>
      <c r="X1146" t="s">
        <v>3255</v>
      </c>
      <c r="Y1146" s="2" t="s">
        <v>17</v>
      </c>
      <c r="Z1146">
        <v>0</v>
      </c>
      <c r="AA1146" s="2">
        <v>2519917.9188000001</v>
      </c>
      <c r="AB1146" t="str">
        <f>VLOOKUP(Table2[[#This Row],[product]],Ref[#All],6,FALSE)</f>
        <v>BAG20</v>
      </c>
    </row>
    <row r="1147" spans="1:28" x14ac:dyDescent="0.25">
      <c r="A1147" t="str">
        <f>TEXT(Table2[[#This Row],[dated]],"mmm")</f>
        <v>Nov</v>
      </c>
      <c r="B1147" t="s">
        <v>138</v>
      </c>
      <c r="C1147" s="1" t="s">
        <v>1587</v>
      </c>
      <c r="D1147" t="str">
        <f>VLOOKUP(Table2[[#This Row],[product]],Ref[#All],7,FALSE)</f>
        <v>Cotton</v>
      </c>
      <c r="E1147" s="1" t="s">
        <v>3221</v>
      </c>
      <c r="F1147" t="str">
        <f>VLOOKUP(Table2[[#This Row],[product]],Ref[#All],2,FALSE)</f>
        <v>Cotton Low Quality</v>
      </c>
      <c r="G1147" t="str">
        <f>VLOOKUP(Table2[[#This Row],[product]],Ref[#All],3,FALSE)</f>
        <v>Cotton FG Lower Grade</v>
      </c>
      <c r="H1147" t="str">
        <f>VLOOKUP(Table2[[#This Row],[product]],Ref[#All],4,FALSE)</f>
        <v>Export</v>
      </c>
      <c r="I1147" s="1">
        <v>45977</v>
      </c>
      <c r="J1147" s="28" t="s">
        <v>127</v>
      </c>
      <c r="K1147" t="s">
        <v>3161</v>
      </c>
      <c r="L1147" t="s">
        <v>3384</v>
      </c>
      <c r="M1147" t="s">
        <v>1593</v>
      </c>
      <c r="N1147" t="s">
        <v>783</v>
      </c>
      <c r="O1147" t="s">
        <v>1689</v>
      </c>
      <c r="P1147" t="s">
        <v>788</v>
      </c>
      <c r="Q1147" t="s">
        <v>55</v>
      </c>
      <c r="R1147" s="78">
        <v>40.619999999999997</v>
      </c>
      <c r="S1147" s="15">
        <f>Table2[[#This Row],[movement_quantity]]/VLOOKUP(Table2[[#This Row],[product]],Ref[#All],5,FALSE)</f>
        <v>40.619999999999997</v>
      </c>
      <c r="T1147">
        <v>1811105</v>
      </c>
      <c r="U1147" t="s">
        <v>163</v>
      </c>
      <c r="V1147" t="s">
        <v>18</v>
      </c>
      <c r="W1147" t="s">
        <v>3256</v>
      </c>
      <c r="X1147" t="s">
        <v>3257</v>
      </c>
      <c r="Y1147" s="2" t="s">
        <v>17</v>
      </c>
      <c r="Z1147">
        <v>0</v>
      </c>
      <c r="AA1147" s="4">
        <v>92747000</v>
      </c>
      <c r="AB1147" t="str">
        <f>VLOOKUP(Table2[[#This Row],[product]],Ref[#All],6,FALSE)</f>
        <v>TON</v>
      </c>
    </row>
    <row r="1148" spans="1:28" x14ac:dyDescent="0.25">
      <c r="A1148" t="str">
        <f>TEXT(Table2[[#This Row],[dated]],"mmm")</f>
        <v>Nov</v>
      </c>
      <c r="B1148" t="s">
        <v>52</v>
      </c>
      <c r="C1148" s="1" t="s">
        <v>2726</v>
      </c>
      <c r="D1148" t="str">
        <f>VLOOKUP(Table2[[#This Row],[product]],Ref[#All],7,FALSE)</f>
        <v>Flour</v>
      </c>
      <c r="E1148" s="1" t="s">
        <v>42</v>
      </c>
      <c r="F1148" t="str">
        <f>VLOOKUP(Table2[[#This Row],[product]],Ref[#All],2,FALSE)</f>
        <v>Alnajm Flour from Mill 25KG</v>
      </c>
      <c r="G1148" t="str">
        <f>VLOOKUP(Table2[[#This Row],[product]],Ref[#All],3,FALSE)</f>
        <v>Flour Al-Nagm (Mill)</v>
      </c>
      <c r="H1148" t="str">
        <f>VLOOKUP(Table2[[#This Row],[product]],Ref[#All],4,FALSE)</f>
        <v>Import</v>
      </c>
      <c r="I1148" s="1">
        <v>45978</v>
      </c>
      <c r="J1148" s="28" t="s">
        <v>127</v>
      </c>
      <c r="K1148" t="s">
        <v>3162</v>
      </c>
      <c r="L1148" t="s">
        <v>1652</v>
      </c>
      <c r="M1148" t="s">
        <v>1593</v>
      </c>
      <c r="N1148" t="s">
        <v>784</v>
      </c>
      <c r="O1148" t="s">
        <v>1593</v>
      </c>
      <c r="P1148" t="s">
        <v>788</v>
      </c>
      <c r="Q1148" t="s">
        <v>55</v>
      </c>
      <c r="R1148" s="15">
        <v>6</v>
      </c>
      <c r="S1148" s="15">
        <f>Table2[[#This Row],[movement_quantity]]/VLOOKUP(Table2[[#This Row],[product]],Ref[#All],5,FALSE)</f>
        <v>0.15</v>
      </c>
      <c r="T1148">
        <v>25402.08338</v>
      </c>
      <c r="U1148" t="s">
        <v>153</v>
      </c>
      <c r="V1148" t="s">
        <v>21</v>
      </c>
      <c r="W1148" t="s">
        <v>3258</v>
      </c>
      <c r="X1148" t="s">
        <v>3259</v>
      </c>
      <c r="Y1148" s="2" t="s">
        <v>17</v>
      </c>
      <c r="Z1148">
        <v>0</v>
      </c>
      <c r="AA1148" s="2">
        <v>152412.50028000001</v>
      </c>
      <c r="AB1148" t="str">
        <f>VLOOKUP(Table2[[#This Row],[product]],Ref[#All],6,FALSE)</f>
        <v>BAG25</v>
      </c>
    </row>
    <row r="1149" spans="1:28" x14ac:dyDescent="0.25">
      <c r="A1149" t="str">
        <f>TEXT(Table2[[#This Row],[dated]],"mmm")</f>
        <v>Nov</v>
      </c>
      <c r="B1149" t="s">
        <v>46</v>
      </c>
      <c r="C1149" s="1" t="s">
        <v>2726</v>
      </c>
      <c r="D1149" t="str">
        <f>VLOOKUP(Table2[[#This Row],[product]],Ref[#All],7,FALSE)</f>
        <v>Lentils</v>
      </c>
      <c r="E1149" s="1" t="s">
        <v>39</v>
      </c>
      <c r="F1149" t="str">
        <f>VLOOKUP(Table2[[#This Row],[product]],Ref[#All],2,FALSE)</f>
        <v>Lentil TAT 20KG</v>
      </c>
      <c r="G1149" t="str">
        <f>VLOOKUP(Table2[[#This Row],[product]],Ref[#All],3,FALSE)</f>
        <v>Lentils</v>
      </c>
      <c r="H1149" t="str">
        <f>VLOOKUP(Table2[[#This Row],[product]],Ref[#All],4,FALSE)</f>
        <v>Import</v>
      </c>
      <c r="I1149" s="1">
        <v>45978</v>
      </c>
      <c r="J1149" s="28" t="s">
        <v>127</v>
      </c>
      <c r="K1149" t="s">
        <v>3163</v>
      </c>
      <c r="L1149" t="s">
        <v>1652</v>
      </c>
      <c r="M1149" t="s">
        <v>1593</v>
      </c>
      <c r="N1149" t="s">
        <v>784</v>
      </c>
      <c r="O1149" t="s">
        <v>1593</v>
      </c>
      <c r="P1149" t="s">
        <v>788</v>
      </c>
      <c r="Q1149" t="s">
        <v>55</v>
      </c>
      <c r="R1149" s="80">
        <v>1</v>
      </c>
      <c r="S1149" s="15">
        <f>Table2[[#This Row],[movement_quantity]]/VLOOKUP(Table2[[#This Row],[product]],Ref[#All],5,FALSE)</f>
        <v>0.02</v>
      </c>
      <c r="T1149">
        <v>42710.4732</v>
      </c>
      <c r="U1149" t="s">
        <v>555</v>
      </c>
      <c r="V1149" t="s">
        <v>18</v>
      </c>
      <c r="W1149" t="s">
        <v>3260</v>
      </c>
      <c r="X1149" t="s">
        <v>3261</v>
      </c>
      <c r="Y1149" s="2" t="s">
        <v>17</v>
      </c>
      <c r="Z1149">
        <v>0</v>
      </c>
      <c r="AA1149" s="2">
        <v>42710.4732</v>
      </c>
      <c r="AB1149" t="str">
        <f>VLOOKUP(Table2[[#This Row],[product]],Ref[#All],6,FALSE)</f>
        <v>BAG20</v>
      </c>
    </row>
    <row r="1150" spans="1:28" x14ac:dyDescent="0.25">
      <c r="A1150" t="str">
        <f>TEXT(Table2[[#This Row],[dated]],"mmm")</f>
        <v>Nov</v>
      </c>
      <c r="B1150" t="s">
        <v>52</v>
      </c>
      <c r="C1150" s="1" t="s">
        <v>2726</v>
      </c>
      <c r="D1150" t="str">
        <f>VLOOKUP(Table2[[#This Row],[product]],Ref[#All],7,FALSE)</f>
        <v>Flour</v>
      </c>
      <c r="E1150" s="1" t="s">
        <v>42</v>
      </c>
      <c r="F1150" t="str">
        <f>VLOOKUP(Table2[[#This Row],[product]],Ref[#All],2,FALSE)</f>
        <v>Alnajm Flour from Mill 25KG</v>
      </c>
      <c r="G1150" t="str">
        <f>VLOOKUP(Table2[[#This Row],[product]],Ref[#All],3,FALSE)</f>
        <v>Flour Al-Nagm (Mill)</v>
      </c>
      <c r="H1150" t="str">
        <f>VLOOKUP(Table2[[#This Row],[product]],Ref[#All],4,FALSE)</f>
        <v>Import</v>
      </c>
      <c r="I1150" s="1">
        <v>45978</v>
      </c>
      <c r="J1150" s="28" t="s">
        <v>127</v>
      </c>
      <c r="K1150" s="33" t="s">
        <v>3164</v>
      </c>
      <c r="L1150" t="s">
        <v>1652</v>
      </c>
      <c r="M1150" t="s">
        <v>1593</v>
      </c>
      <c r="N1150" t="s">
        <v>784</v>
      </c>
      <c r="O1150" t="s">
        <v>1593</v>
      </c>
      <c r="P1150" t="s">
        <v>788</v>
      </c>
      <c r="Q1150" s="33" t="s">
        <v>55</v>
      </c>
      <c r="R1150" s="78">
        <v>1</v>
      </c>
      <c r="S1150" s="15">
        <f>Table2[[#This Row],[movement_quantity]]/VLOOKUP(Table2[[#This Row],[product]],Ref[#All],5,FALSE)</f>
        <v>2.5000000000000001E-2</v>
      </c>
      <c r="T1150">
        <v>25402.08338</v>
      </c>
      <c r="U1150" t="s">
        <v>153</v>
      </c>
      <c r="V1150" t="s">
        <v>18</v>
      </c>
      <c r="W1150" t="s">
        <v>3262</v>
      </c>
      <c r="X1150" t="s">
        <v>3263</v>
      </c>
      <c r="Y1150" s="2" t="s">
        <v>17</v>
      </c>
      <c r="Z1150">
        <v>0</v>
      </c>
      <c r="AA1150" s="2">
        <v>25402.08338</v>
      </c>
      <c r="AB1150" t="str">
        <f>VLOOKUP(Table2[[#This Row],[product]],Ref[#All],6,FALSE)</f>
        <v>BAG25</v>
      </c>
    </row>
    <row r="1151" spans="1:28" x14ac:dyDescent="0.25">
      <c r="A1151" t="str">
        <f>TEXT(Table2[[#This Row],[dated]],"mmm")</f>
        <v>Nov</v>
      </c>
      <c r="B1151" t="s">
        <v>50</v>
      </c>
      <c r="C1151" s="1" t="s">
        <v>1587</v>
      </c>
      <c r="D1151" t="str">
        <f>VLOOKUP(Table2[[#This Row],[product]],Ref[#All],7,FALSE)</f>
        <v>Sorghum</v>
      </c>
      <c r="E1151" s="1" t="s">
        <v>137</v>
      </c>
      <c r="F1151" t="str">
        <f>VLOOKUP(Table2[[#This Row],[product]],Ref[#All],2,FALSE)</f>
        <v>Sorghum Raw</v>
      </c>
      <c r="G1151" t="str">
        <f>VLOOKUP(Table2[[#This Row],[product]],Ref[#All],3,FALSE)</f>
        <v>Sorghum Raw</v>
      </c>
      <c r="H1151" t="str">
        <f>VLOOKUP(Table2[[#This Row],[product]],Ref[#All],4,FALSE)</f>
        <v>Export</v>
      </c>
      <c r="I1151" s="1">
        <v>45979</v>
      </c>
      <c r="J1151" s="28" t="s">
        <v>127</v>
      </c>
      <c r="K1151" t="s">
        <v>528</v>
      </c>
      <c r="L1151" t="s">
        <v>3352</v>
      </c>
      <c r="M1151" t="s">
        <v>1593</v>
      </c>
      <c r="N1151" t="s">
        <v>783</v>
      </c>
      <c r="O1151" t="s">
        <v>1689</v>
      </c>
      <c r="P1151" t="s">
        <v>788</v>
      </c>
      <c r="Q1151" t="s">
        <v>55</v>
      </c>
      <c r="R1151" s="81">
        <v>11.132</v>
      </c>
      <c r="S1151" s="15">
        <f>Table2[[#This Row],[movement_quantity]]/VLOOKUP(Table2[[#This Row],[product]],Ref[#All],5,FALSE)</f>
        <v>11.132</v>
      </c>
      <c r="T1151">
        <v>947797.31544000003</v>
      </c>
      <c r="U1151" t="s">
        <v>3264</v>
      </c>
      <c r="V1151" t="s">
        <v>18</v>
      </c>
      <c r="W1151" t="s">
        <v>3265</v>
      </c>
      <c r="X1151" t="s">
        <v>3266</v>
      </c>
      <c r="Y1151" s="2" t="s">
        <v>17</v>
      </c>
      <c r="Z1151">
        <v>0</v>
      </c>
      <c r="AA1151" s="2">
        <v>10550879.715478079</v>
      </c>
      <c r="AB1151" t="str">
        <f>VLOOKUP(Table2[[#This Row],[product]],Ref[#All],6,FALSE)</f>
        <v>TON</v>
      </c>
    </row>
    <row r="1152" spans="1:28" x14ac:dyDescent="0.25">
      <c r="A1152" t="str">
        <f>TEXT(Table2[[#This Row],[dated]],"mmm")</f>
        <v>Nov</v>
      </c>
      <c r="B1152" t="s">
        <v>596</v>
      </c>
      <c r="C1152" s="1" t="s">
        <v>536</v>
      </c>
      <c r="D1152" t="str">
        <f>VLOOKUP(Table2[[#This Row],[product]],Ref[#All],7,FALSE)</f>
        <v>Flour</v>
      </c>
      <c r="E1152" s="1" t="s">
        <v>42</v>
      </c>
      <c r="F1152" t="str">
        <f>VLOOKUP(Table2[[#This Row],[product]],Ref[#All],2,FALSE)</f>
        <v>Alnajm Flour from Mill 25KG</v>
      </c>
      <c r="G1152" t="str">
        <f>VLOOKUP(Table2[[#This Row],[product]],Ref[#All],3,FALSE)</f>
        <v>Flour Al-Nagm (Mill)</v>
      </c>
      <c r="H1152" t="str">
        <f>VLOOKUP(Table2[[#This Row],[product]],Ref[#All],4,FALSE)</f>
        <v>Import</v>
      </c>
      <c r="I1152" s="1">
        <v>45985</v>
      </c>
      <c r="J1152" s="28" t="s">
        <v>53</v>
      </c>
      <c r="K1152" s="33" t="s">
        <v>3165</v>
      </c>
      <c r="L1152" t="s">
        <v>1651</v>
      </c>
      <c r="M1152" t="s">
        <v>1586</v>
      </c>
      <c r="N1152" t="s">
        <v>784</v>
      </c>
      <c r="O1152" t="s">
        <v>785</v>
      </c>
      <c r="P1152" t="s">
        <v>788</v>
      </c>
      <c r="Q1152" s="33" t="s">
        <v>55</v>
      </c>
      <c r="R1152" s="78">
        <v>-20</v>
      </c>
      <c r="S1152" s="15">
        <f>Table2[[#This Row],[movement_quantity]]/VLOOKUP(Table2[[#This Row],[product]],Ref[#All],5,FALSE)</f>
        <v>-0.5</v>
      </c>
      <c r="T1152">
        <v>25402.08338</v>
      </c>
      <c r="U1152" t="s">
        <v>17</v>
      </c>
      <c r="V1152" t="s">
        <v>18</v>
      </c>
      <c r="W1152" t="s">
        <v>3267</v>
      </c>
      <c r="X1152" t="s">
        <v>17</v>
      </c>
      <c r="Y1152" s="2" t="s">
        <v>3268</v>
      </c>
      <c r="Z1152">
        <v>0</v>
      </c>
      <c r="AA1152" s="2">
        <v>-508041.66759999999</v>
      </c>
      <c r="AB1152" t="str">
        <f>VLOOKUP(Table2[[#This Row],[product]],Ref[#All],6,FALSE)</f>
        <v>BAG25</v>
      </c>
    </row>
    <row r="1153" spans="1:28" x14ac:dyDescent="0.25">
      <c r="A1153" t="str">
        <f>TEXT(Table2[[#This Row],[dated]],"mmm")</f>
        <v>Nov</v>
      </c>
      <c r="B1153" t="s">
        <v>52</v>
      </c>
      <c r="C1153" s="1" t="s">
        <v>2726</v>
      </c>
      <c r="D1153" t="str">
        <f>VLOOKUP(Table2[[#This Row],[product]],Ref[#All],7,FALSE)</f>
        <v>Lentils</v>
      </c>
      <c r="E1153" s="1" t="s">
        <v>39</v>
      </c>
      <c r="F1153" t="str">
        <f>VLOOKUP(Table2[[#This Row],[product]],Ref[#All],2,FALSE)</f>
        <v>Lentil TAT 20KG</v>
      </c>
      <c r="G1153" t="str">
        <f>VLOOKUP(Table2[[#This Row],[product]],Ref[#All],3,FALSE)</f>
        <v>Lentils</v>
      </c>
      <c r="H1153" t="str">
        <f>VLOOKUP(Table2[[#This Row],[product]],Ref[#All],4,FALSE)</f>
        <v>Import</v>
      </c>
      <c r="I1153" s="1">
        <v>45985</v>
      </c>
      <c r="J1153" s="28" t="s">
        <v>127</v>
      </c>
      <c r="K1153" s="33" t="s">
        <v>3166</v>
      </c>
      <c r="L1153" t="s">
        <v>1652</v>
      </c>
      <c r="M1153" t="s">
        <v>1593</v>
      </c>
      <c r="N1153" t="s">
        <v>784</v>
      </c>
      <c r="O1153" t="s">
        <v>1593</v>
      </c>
      <c r="P1153" t="s">
        <v>788</v>
      </c>
      <c r="Q1153" s="33" t="s">
        <v>55</v>
      </c>
      <c r="R1153" s="78">
        <v>1</v>
      </c>
      <c r="S1153" s="15">
        <f>Table2[[#This Row],[movement_quantity]]/VLOOKUP(Table2[[#This Row],[product]],Ref[#All],5,FALSE)</f>
        <v>0.02</v>
      </c>
      <c r="T1153">
        <v>42710.4732</v>
      </c>
      <c r="U1153" t="s">
        <v>153</v>
      </c>
      <c r="V1153" t="s">
        <v>18</v>
      </c>
      <c r="W1153" t="s">
        <v>3269</v>
      </c>
      <c r="X1153" t="s">
        <v>3270</v>
      </c>
      <c r="Y1153" s="2" t="s">
        <v>17</v>
      </c>
      <c r="Z1153">
        <v>0</v>
      </c>
      <c r="AA1153" s="2">
        <v>42710.4732</v>
      </c>
      <c r="AB1153" t="str">
        <f>VLOOKUP(Table2[[#This Row],[product]],Ref[#All],6,FALSE)</f>
        <v>BAG20</v>
      </c>
    </row>
    <row r="1154" spans="1:28" x14ac:dyDescent="0.25">
      <c r="A1154" t="str">
        <f>TEXT(Table2[[#This Row],[dated]],"mmm")</f>
        <v>Nov</v>
      </c>
      <c r="B1154" t="s">
        <v>52</v>
      </c>
      <c r="C1154" s="1" t="s">
        <v>2726</v>
      </c>
      <c r="D1154" t="str">
        <f>VLOOKUP(Table2[[#This Row],[product]],Ref[#All],7,FALSE)</f>
        <v>Lentils</v>
      </c>
      <c r="E1154" s="1" t="s">
        <v>39</v>
      </c>
      <c r="F1154" t="str">
        <f>VLOOKUP(Table2[[#This Row],[product]],Ref[#All],2,FALSE)</f>
        <v>Lentil TAT 20KG</v>
      </c>
      <c r="G1154" t="str">
        <f>VLOOKUP(Table2[[#This Row],[product]],Ref[#All],3,FALSE)</f>
        <v>Lentils</v>
      </c>
      <c r="H1154" t="str">
        <f>VLOOKUP(Table2[[#This Row],[product]],Ref[#All],4,FALSE)</f>
        <v>Import</v>
      </c>
      <c r="I1154" s="1">
        <v>45985</v>
      </c>
      <c r="J1154" s="28" t="s">
        <v>127</v>
      </c>
      <c r="K1154" t="s">
        <v>3167</v>
      </c>
      <c r="L1154" t="s">
        <v>1652</v>
      </c>
      <c r="M1154" t="s">
        <v>1593</v>
      </c>
      <c r="N1154" t="s">
        <v>784</v>
      </c>
      <c r="O1154" t="s">
        <v>1593</v>
      </c>
      <c r="P1154" t="s">
        <v>788</v>
      </c>
      <c r="Q1154" t="s">
        <v>55</v>
      </c>
      <c r="R1154" s="15">
        <v>2</v>
      </c>
      <c r="S1154" s="15">
        <f>Table2[[#This Row],[movement_quantity]]/VLOOKUP(Table2[[#This Row],[product]],Ref[#All],5,FALSE)</f>
        <v>0.04</v>
      </c>
      <c r="T1154">
        <v>42710.4732</v>
      </c>
      <c r="U1154" t="s">
        <v>153</v>
      </c>
      <c r="V1154" t="s">
        <v>21</v>
      </c>
      <c r="W1154" t="s">
        <v>3271</v>
      </c>
      <c r="X1154" t="s">
        <v>3272</v>
      </c>
      <c r="Y1154" s="2" t="s">
        <v>17</v>
      </c>
      <c r="Z1154">
        <v>0</v>
      </c>
      <c r="AA1154" s="2">
        <v>85420.946400000001</v>
      </c>
      <c r="AB1154" t="str">
        <f>VLOOKUP(Table2[[#This Row],[product]],Ref[#All],6,FALSE)</f>
        <v>BAG20</v>
      </c>
    </row>
    <row r="1155" spans="1:28" x14ac:dyDescent="0.25">
      <c r="A1155" t="str">
        <f>TEXT(Table2[[#This Row],[dated]],"mmm")</f>
        <v>Nov</v>
      </c>
      <c r="B1155" t="s">
        <v>52</v>
      </c>
      <c r="C1155" s="1" t="s">
        <v>536</v>
      </c>
      <c r="D1155" t="str">
        <f>VLOOKUP(Table2[[#This Row],[product]],Ref[#All],7,FALSE)</f>
        <v>Lentils</v>
      </c>
      <c r="E1155" s="1" t="s">
        <v>39</v>
      </c>
      <c r="F1155" t="str">
        <f>VLOOKUP(Table2[[#This Row],[product]],Ref[#All],2,FALSE)</f>
        <v>Lentil TAT 20KG</v>
      </c>
      <c r="G1155" t="str">
        <f>VLOOKUP(Table2[[#This Row],[product]],Ref[#All],3,FALSE)</f>
        <v>Lentils</v>
      </c>
      <c r="H1155" t="str">
        <f>VLOOKUP(Table2[[#This Row],[product]],Ref[#All],4,FALSE)</f>
        <v>Import</v>
      </c>
      <c r="I1155" s="1">
        <v>45988</v>
      </c>
      <c r="J1155" s="28" t="s">
        <v>53</v>
      </c>
      <c r="K1155" s="33" t="s">
        <v>3168</v>
      </c>
      <c r="L1155" t="s">
        <v>1651</v>
      </c>
      <c r="M1155" t="s">
        <v>1586</v>
      </c>
      <c r="N1155" t="s">
        <v>784</v>
      </c>
      <c r="O1155" t="s">
        <v>785</v>
      </c>
      <c r="P1155" t="s">
        <v>788</v>
      </c>
      <c r="Q1155" s="33" t="s">
        <v>55</v>
      </c>
      <c r="R1155" s="78">
        <v>-4</v>
      </c>
      <c r="S1155" s="15">
        <f>Table2[[#This Row],[movement_quantity]]/VLOOKUP(Table2[[#This Row],[product]],Ref[#All],5,FALSE)</f>
        <v>-0.08</v>
      </c>
      <c r="T1155">
        <v>42710.4732</v>
      </c>
      <c r="U1155" t="s">
        <v>17</v>
      </c>
      <c r="V1155" t="s">
        <v>18</v>
      </c>
      <c r="W1155" t="s">
        <v>3273</v>
      </c>
      <c r="X1155" t="s">
        <v>17</v>
      </c>
      <c r="Y1155" s="2" t="s">
        <v>3274</v>
      </c>
      <c r="Z1155">
        <v>0</v>
      </c>
      <c r="AA1155" s="2">
        <v>-170841.8928</v>
      </c>
      <c r="AB1155" t="str">
        <f>VLOOKUP(Table2[[#This Row],[product]],Ref[#All],6,FALSE)</f>
        <v>BAG20</v>
      </c>
    </row>
    <row r="1156" spans="1:28" x14ac:dyDescent="0.25">
      <c r="A1156" t="str">
        <f>TEXT(Table2[[#This Row],[dated]],"mmm")</f>
        <v>Nov</v>
      </c>
      <c r="B1156" t="s">
        <v>52</v>
      </c>
      <c r="C1156" s="1" t="s">
        <v>536</v>
      </c>
      <c r="D1156" t="str">
        <f>VLOOKUP(Table2[[#This Row],[product]],Ref[#All],7,FALSE)</f>
        <v>Lentils</v>
      </c>
      <c r="E1156" s="1" t="s">
        <v>39</v>
      </c>
      <c r="F1156" t="str">
        <f>VLOOKUP(Table2[[#This Row],[product]],Ref[#All],2,FALSE)</f>
        <v>Lentil TAT 20KG</v>
      </c>
      <c r="G1156" t="str">
        <f>VLOOKUP(Table2[[#This Row],[product]],Ref[#All],3,FALSE)</f>
        <v>Lentils</v>
      </c>
      <c r="H1156" t="str">
        <f>VLOOKUP(Table2[[#This Row],[product]],Ref[#All],4,FALSE)</f>
        <v>Import</v>
      </c>
      <c r="I1156" s="1">
        <v>45988</v>
      </c>
      <c r="J1156" s="28" t="s">
        <v>53</v>
      </c>
      <c r="K1156" t="s">
        <v>3169</v>
      </c>
      <c r="L1156" t="s">
        <v>1651</v>
      </c>
      <c r="M1156" t="s">
        <v>1586</v>
      </c>
      <c r="N1156" t="s">
        <v>784</v>
      </c>
      <c r="O1156" t="s">
        <v>785</v>
      </c>
      <c r="P1156" t="s">
        <v>788</v>
      </c>
      <c r="Q1156" t="s">
        <v>55</v>
      </c>
      <c r="R1156" s="78">
        <v>-1</v>
      </c>
      <c r="S1156" s="15">
        <f>Table2[[#This Row],[movement_quantity]]/VLOOKUP(Table2[[#This Row],[product]],Ref[#All],5,FALSE)</f>
        <v>-0.02</v>
      </c>
      <c r="T1156">
        <v>42710.4732</v>
      </c>
      <c r="U1156" t="s">
        <v>17</v>
      </c>
      <c r="V1156" t="s">
        <v>21</v>
      </c>
      <c r="W1156" t="s">
        <v>3275</v>
      </c>
      <c r="X1156" t="s">
        <v>17</v>
      </c>
      <c r="Y1156" s="2" t="s">
        <v>3274</v>
      </c>
      <c r="Z1156">
        <v>0</v>
      </c>
      <c r="AA1156" s="2">
        <v>-42710.4732</v>
      </c>
      <c r="AB1156" t="str">
        <f>VLOOKUP(Table2[[#This Row],[product]],Ref[#All],6,FALSE)</f>
        <v>BAG20</v>
      </c>
    </row>
    <row r="1157" spans="1:28" x14ac:dyDescent="0.25">
      <c r="A1157" t="str">
        <f>TEXT(Table2[[#This Row],[dated]],"mmm")</f>
        <v>Nov</v>
      </c>
      <c r="B1157" t="s">
        <v>2064</v>
      </c>
      <c r="C1157" s="1" t="s">
        <v>539</v>
      </c>
      <c r="D1157" t="str">
        <f>VLOOKUP(Table2[[#This Row],[product]],Ref[#All],7,FALSE)</f>
        <v>Sugar</v>
      </c>
      <c r="E1157" s="1" t="s">
        <v>72</v>
      </c>
      <c r="F1157" t="str">
        <f>VLOOKUP(Table2[[#This Row],[product]],Ref[#All],2,FALSE)</f>
        <v>White Sugar</v>
      </c>
      <c r="G1157" t="str">
        <f>VLOOKUP(Table2[[#This Row],[product]],Ref[#All],3,FALSE)</f>
        <v>White Sugar</v>
      </c>
      <c r="H1157" t="str">
        <f>VLOOKUP(Table2[[#This Row],[product]],Ref[#All],4,FALSE)</f>
        <v>Import</v>
      </c>
      <c r="I1157" s="1">
        <v>45988</v>
      </c>
      <c r="J1157" s="28" t="s">
        <v>53</v>
      </c>
      <c r="K1157" t="s">
        <v>3170</v>
      </c>
      <c r="L1157" t="s">
        <v>3386</v>
      </c>
      <c r="M1157" t="s">
        <v>1586</v>
      </c>
      <c r="N1157" t="s">
        <v>784</v>
      </c>
      <c r="O1157" t="s">
        <v>1680</v>
      </c>
      <c r="P1157" t="s">
        <v>788</v>
      </c>
      <c r="Q1157" t="s">
        <v>55</v>
      </c>
      <c r="R1157" s="80">
        <v>-98</v>
      </c>
      <c r="S1157" s="15">
        <f>Table2[[#This Row],[movement_quantity]]/VLOOKUP(Table2[[#This Row],[product]],Ref[#All],5,FALSE)</f>
        <v>-4.9000000000000004</v>
      </c>
      <c r="T1157">
        <v>87806.150020000001</v>
      </c>
      <c r="U1157" t="s">
        <v>17</v>
      </c>
      <c r="V1157" t="s">
        <v>18</v>
      </c>
      <c r="W1157" t="s">
        <v>3276</v>
      </c>
      <c r="X1157" t="s">
        <v>17</v>
      </c>
      <c r="Y1157" s="2" t="s">
        <v>2081</v>
      </c>
      <c r="Z1157">
        <v>0</v>
      </c>
      <c r="AA1157" s="2">
        <v>-8605002.7019599993</v>
      </c>
      <c r="AB1157" t="str">
        <f>VLOOKUP(Table2[[#This Row],[product]],Ref[#All],6,FALSE)</f>
        <v>BAG50</v>
      </c>
    </row>
    <row r="1158" spans="1:28" x14ac:dyDescent="0.25">
      <c r="A1158" t="str">
        <f>TEXT(Table2[[#This Row],[dated]],"mmm")</f>
        <v>Nov</v>
      </c>
      <c r="B1158" t="s">
        <v>2064</v>
      </c>
      <c r="C1158" s="1" t="s">
        <v>539</v>
      </c>
      <c r="D1158" t="str">
        <f>VLOOKUP(Table2[[#This Row],[product]],Ref[#All],7,FALSE)</f>
        <v>Sugar</v>
      </c>
      <c r="E1158" s="1" t="s">
        <v>761</v>
      </c>
      <c r="F1158" t="str">
        <f>VLOOKUP(Table2[[#This Row],[product]],Ref[#All],2,FALSE)</f>
        <v>White Crystal Sugar</v>
      </c>
      <c r="G1158" t="str">
        <f>VLOOKUP(Table2[[#This Row],[product]],Ref[#All],3,FALSE)</f>
        <v>White Crystal Sugar</v>
      </c>
      <c r="H1158" t="str">
        <f>VLOOKUP(Table2[[#This Row],[product]],Ref[#All],4,FALSE)</f>
        <v>Import</v>
      </c>
      <c r="I1158" s="1">
        <v>45988</v>
      </c>
      <c r="J1158" s="28" t="s">
        <v>53</v>
      </c>
      <c r="K1158" t="s">
        <v>3171</v>
      </c>
      <c r="L1158" t="s">
        <v>3387</v>
      </c>
      <c r="M1158" t="s">
        <v>1586</v>
      </c>
      <c r="N1158" t="s">
        <v>784</v>
      </c>
      <c r="O1158" t="s">
        <v>1680</v>
      </c>
      <c r="P1158" t="s">
        <v>788</v>
      </c>
      <c r="Q1158" t="s">
        <v>55</v>
      </c>
      <c r="R1158" s="78">
        <v>-127</v>
      </c>
      <c r="S1158" s="15">
        <f>Table2[[#This Row],[movement_quantity]]/VLOOKUP(Table2[[#This Row],[product]],Ref[#All],5,FALSE)</f>
        <v>-6.35</v>
      </c>
      <c r="T1158">
        <v>87806.150020000001</v>
      </c>
      <c r="U1158" t="s">
        <v>17</v>
      </c>
      <c r="V1158" t="s">
        <v>18</v>
      </c>
      <c r="W1158" t="s">
        <v>3277</v>
      </c>
      <c r="X1158" t="s">
        <v>17</v>
      </c>
      <c r="Y1158" s="2" t="s">
        <v>2001</v>
      </c>
      <c r="Z1158">
        <v>0</v>
      </c>
      <c r="AA1158" s="2">
        <v>-11151381.052540001</v>
      </c>
      <c r="AB1158" t="str">
        <f>VLOOKUP(Table2[[#This Row],[product]],Ref[#All],6,FALSE)</f>
        <v>BAG50</v>
      </c>
    </row>
    <row r="1159" spans="1:28" x14ac:dyDescent="0.25">
      <c r="A1159" t="str">
        <f>TEXT(Table2[[#This Row],[dated]],"mmm")</f>
        <v>Nov</v>
      </c>
      <c r="B1159" t="s">
        <v>138</v>
      </c>
      <c r="C1159" s="1" t="s">
        <v>536</v>
      </c>
      <c r="D1159" t="str">
        <f>VLOOKUP(Table2[[#This Row],[product]],Ref[#All],7,FALSE)</f>
        <v>Pigeon Peas</v>
      </c>
      <c r="E1159" s="1" t="s">
        <v>754</v>
      </c>
      <c r="F1159" t="str">
        <f>VLOOKUP(Table2[[#This Row],[product]],Ref[#All],2,FALSE)</f>
        <v>Pigeon Peas New Halfa FG</v>
      </c>
      <c r="G1159" t="str">
        <f>VLOOKUP(Table2[[#This Row],[product]],Ref[#All],3,FALSE)</f>
        <v>Pigeon Peas FG</v>
      </c>
      <c r="H1159" t="str">
        <f>VLOOKUP(Table2[[#This Row],[product]],Ref[#All],4,FALSE)</f>
        <v>Export</v>
      </c>
      <c r="I1159" s="1">
        <v>45988</v>
      </c>
      <c r="J1159" s="28" t="s">
        <v>53</v>
      </c>
      <c r="K1159" t="s">
        <v>3172</v>
      </c>
      <c r="L1159" t="s">
        <v>1651</v>
      </c>
      <c r="M1159" t="s">
        <v>1586</v>
      </c>
      <c r="N1159" t="s">
        <v>784</v>
      </c>
      <c r="O1159" t="s">
        <v>786</v>
      </c>
      <c r="P1159" t="s">
        <v>2299</v>
      </c>
      <c r="Q1159" t="s">
        <v>55</v>
      </c>
      <c r="R1159" s="81">
        <v>-500</v>
      </c>
      <c r="S1159" s="15">
        <f>Table2[[#This Row],[movement_quantity]]/VLOOKUP(Table2[[#This Row],[product]],Ref[#All],5,FALSE)</f>
        <v>-25</v>
      </c>
      <c r="T1159">
        <v>113984.52</v>
      </c>
      <c r="U1159" t="s">
        <v>17</v>
      </c>
      <c r="V1159" t="s">
        <v>18</v>
      </c>
      <c r="W1159" t="s">
        <v>3278</v>
      </c>
      <c r="X1159" t="s">
        <v>17</v>
      </c>
      <c r="Y1159" s="2" t="s">
        <v>3279</v>
      </c>
      <c r="Z1159">
        <v>0</v>
      </c>
      <c r="AA1159" s="2">
        <v>-56992260</v>
      </c>
      <c r="AB1159" t="str">
        <f>VLOOKUP(Table2[[#This Row],[product]],Ref[#All],6,FALSE)</f>
        <v>BAG50</v>
      </c>
    </row>
    <row r="1160" spans="1:28" x14ac:dyDescent="0.25">
      <c r="A1160" t="str">
        <f>TEXT(Table2[[#This Row],[dated]],"mmm")</f>
        <v>Nov</v>
      </c>
      <c r="B1160" t="s">
        <v>138</v>
      </c>
      <c r="C1160" s="1" t="s">
        <v>536</v>
      </c>
      <c r="D1160" t="str">
        <f>VLOOKUP(Table2[[#This Row],[product]],Ref[#All],7,FALSE)</f>
        <v>Pigeon Peas</v>
      </c>
      <c r="E1160" s="1" t="s">
        <v>754</v>
      </c>
      <c r="F1160" t="str">
        <f>VLOOKUP(Table2[[#This Row],[product]],Ref[#All],2,FALSE)</f>
        <v>Pigeon Peas New Halfa FG</v>
      </c>
      <c r="G1160" t="str">
        <f>VLOOKUP(Table2[[#This Row],[product]],Ref[#All],3,FALSE)</f>
        <v>Pigeon Peas FG</v>
      </c>
      <c r="H1160" t="str">
        <f>VLOOKUP(Table2[[#This Row],[product]],Ref[#All],4,FALSE)</f>
        <v>Export</v>
      </c>
      <c r="I1160" s="1">
        <v>45988</v>
      </c>
      <c r="J1160" s="28" t="s">
        <v>53</v>
      </c>
      <c r="K1160" s="33" t="s">
        <v>3173</v>
      </c>
      <c r="L1160" t="s">
        <v>1651</v>
      </c>
      <c r="M1160" t="s">
        <v>1586</v>
      </c>
      <c r="N1160" t="s">
        <v>784</v>
      </c>
      <c r="O1160" t="s">
        <v>786</v>
      </c>
      <c r="P1160" t="s">
        <v>2299</v>
      </c>
      <c r="Q1160" s="33" t="s">
        <v>55</v>
      </c>
      <c r="R1160" s="78">
        <v>-98</v>
      </c>
      <c r="S1160" s="15">
        <f>Table2[[#This Row],[movement_quantity]]/VLOOKUP(Table2[[#This Row],[product]],Ref[#All],5,FALSE)</f>
        <v>-4.9000000000000004</v>
      </c>
      <c r="T1160">
        <v>113984.52</v>
      </c>
      <c r="U1160" t="s">
        <v>17</v>
      </c>
      <c r="V1160" t="s">
        <v>21</v>
      </c>
      <c r="W1160" t="s">
        <v>3280</v>
      </c>
      <c r="X1160" t="s">
        <v>17</v>
      </c>
      <c r="Y1160" s="2" t="s">
        <v>3279</v>
      </c>
      <c r="Z1160">
        <v>0</v>
      </c>
      <c r="AA1160" s="2">
        <v>-11170482.960000001</v>
      </c>
      <c r="AB1160" t="str">
        <f>VLOOKUP(Table2[[#This Row],[product]],Ref[#All],6,FALSE)</f>
        <v>BAG50</v>
      </c>
    </row>
    <row r="1161" spans="1:28" x14ac:dyDescent="0.25">
      <c r="A1161" t="str">
        <f>TEXT(Table2[[#This Row],[dated]],"mmm")</f>
        <v>Nov</v>
      </c>
      <c r="B1161" t="s">
        <v>138</v>
      </c>
      <c r="C1161" s="1" t="s">
        <v>536</v>
      </c>
      <c r="D1161" t="str">
        <f>VLOOKUP(Table2[[#This Row],[product]],Ref[#All],7,FALSE)</f>
        <v>Pigeon Peas</v>
      </c>
      <c r="E1161" s="1" t="s">
        <v>754</v>
      </c>
      <c r="F1161" t="str">
        <f>VLOOKUP(Table2[[#This Row],[product]],Ref[#All],2,FALSE)</f>
        <v>Pigeon Peas New Halfa FG</v>
      </c>
      <c r="G1161" t="str">
        <f>VLOOKUP(Table2[[#This Row],[product]],Ref[#All],3,FALSE)</f>
        <v>Pigeon Peas FG</v>
      </c>
      <c r="H1161" t="str">
        <f>VLOOKUP(Table2[[#This Row],[product]],Ref[#All],4,FALSE)</f>
        <v>Export</v>
      </c>
      <c r="I1161" s="1">
        <v>45988</v>
      </c>
      <c r="J1161" s="28" t="s">
        <v>53</v>
      </c>
      <c r="K1161" t="s">
        <v>3174</v>
      </c>
      <c r="L1161" t="s">
        <v>1651</v>
      </c>
      <c r="M1161" t="s">
        <v>1586</v>
      </c>
      <c r="N1161" t="s">
        <v>784</v>
      </c>
      <c r="O1161" t="s">
        <v>786</v>
      </c>
      <c r="P1161" t="s">
        <v>2299</v>
      </c>
      <c r="Q1161" t="s">
        <v>55</v>
      </c>
      <c r="R1161" s="78">
        <v>-10</v>
      </c>
      <c r="S1161" s="15">
        <f>Table2[[#This Row],[movement_quantity]]/VLOOKUP(Table2[[#This Row],[product]],Ref[#All],5,FALSE)</f>
        <v>-0.5</v>
      </c>
      <c r="T1161">
        <v>113984.52</v>
      </c>
      <c r="U1161" t="s">
        <v>17</v>
      </c>
      <c r="V1161" t="s">
        <v>22</v>
      </c>
      <c r="W1161" t="s">
        <v>3281</v>
      </c>
      <c r="X1161" t="s">
        <v>17</v>
      </c>
      <c r="Y1161" s="2" t="s">
        <v>3279</v>
      </c>
      <c r="Z1161">
        <v>0</v>
      </c>
      <c r="AA1161" s="2">
        <v>-1139845.2</v>
      </c>
      <c r="AB1161" t="str">
        <f>VLOOKUP(Table2[[#This Row],[product]],Ref[#All],6,FALSE)</f>
        <v>BAG50</v>
      </c>
    </row>
    <row r="1162" spans="1:28" x14ac:dyDescent="0.25">
      <c r="A1162" t="str">
        <f>TEXT(Table2[[#This Row],[dated]],"mmm")</f>
        <v>Nov</v>
      </c>
      <c r="B1162" t="s">
        <v>138</v>
      </c>
      <c r="C1162" s="1" t="s">
        <v>536</v>
      </c>
      <c r="D1162" t="str">
        <f>VLOOKUP(Table2[[#This Row],[product]],Ref[#All],7,FALSE)</f>
        <v>Pigeon Peas</v>
      </c>
      <c r="E1162" s="1" t="s">
        <v>754</v>
      </c>
      <c r="F1162" t="str">
        <f>VLOOKUP(Table2[[#This Row],[product]],Ref[#All],2,FALSE)</f>
        <v>Pigeon Peas New Halfa FG</v>
      </c>
      <c r="G1162" t="str">
        <f>VLOOKUP(Table2[[#This Row],[product]],Ref[#All],3,FALSE)</f>
        <v>Pigeon Peas FG</v>
      </c>
      <c r="H1162" t="str">
        <f>VLOOKUP(Table2[[#This Row],[product]],Ref[#All],4,FALSE)</f>
        <v>Export</v>
      </c>
      <c r="I1162" s="1">
        <v>45988</v>
      </c>
      <c r="J1162" s="28" t="s">
        <v>53</v>
      </c>
      <c r="K1162" t="s">
        <v>3175</v>
      </c>
      <c r="L1162" t="s">
        <v>1651</v>
      </c>
      <c r="M1162" t="s">
        <v>1586</v>
      </c>
      <c r="N1162" t="s">
        <v>784</v>
      </c>
      <c r="O1162" t="s">
        <v>786</v>
      </c>
      <c r="P1162" t="s">
        <v>2299</v>
      </c>
      <c r="Q1162" t="s">
        <v>55</v>
      </c>
      <c r="R1162" s="78">
        <v>-2</v>
      </c>
      <c r="S1162" s="15">
        <f>Table2[[#This Row],[movement_quantity]]/VLOOKUP(Table2[[#This Row],[product]],Ref[#All],5,FALSE)</f>
        <v>-0.1</v>
      </c>
      <c r="T1162">
        <v>113984.52</v>
      </c>
      <c r="U1162" t="s">
        <v>17</v>
      </c>
      <c r="V1162" t="s">
        <v>23</v>
      </c>
      <c r="W1162" t="s">
        <v>3282</v>
      </c>
      <c r="X1162" t="s">
        <v>17</v>
      </c>
      <c r="Y1162" s="2" t="s">
        <v>3279</v>
      </c>
      <c r="Z1162">
        <v>0</v>
      </c>
      <c r="AA1162" s="2">
        <v>-227969.04</v>
      </c>
      <c r="AB1162" t="str">
        <f>VLOOKUP(Table2[[#This Row],[product]],Ref[#All],6,FALSE)</f>
        <v>BAG50</v>
      </c>
    </row>
    <row r="1163" spans="1:28" x14ac:dyDescent="0.25">
      <c r="A1163" t="str">
        <f>TEXT(Table2[[#This Row],[dated]],"mmm")</f>
        <v>Nov</v>
      </c>
      <c r="B1163" t="s">
        <v>52</v>
      </c>
      <c r="C1163" s="1" t="s">
        <v>536</v>
      </c>
      <c r="D1163" t="str">
        <f>VLOOKUP(Table2[[#This Row],[product]],Ref[#All],7,FALSE)</f>
        <v>Flour</v>
      </c>
      <c r="E1163" s="1" t="s">
        <v>42</v>
      </c>
      <c r="F1163" t="str">
        <f>VLOOKUP(Table2[[#This Row],[product]],Ref[#All],2,FALSE)</f>
        <v>Alnajm Flour from Mill 25KG</v>
      </c>
      <c r="G1163" t="str">
        <f>VLOOKUP(Table2[[#This Row],[product]],Ref[#All],3,FALSE)</f>
        <v>Flour Al-Nagm (Mill)</v>
      </c>
      <c r="H1163" t="str">
        <f>VLOOKUP(Table2[[#This Row],[product]],Ref[#All],4,FALSE)</f>
        <v>Import</v>
      </c>
      <c r="I1163" s="1">
        <v>45991</v>
      </c>
      <c r="J1163" s="28" t="s">
        <v>53</v>
      </c>
      <c r="K1163" t="s">
        <v>3176</v>
      </c>
      <c r="L1163" t="s">
        <v>1651</v>
      </c>
      <c r="M1163" t="s">
        <v>1586</v>
      </c>
      <c r="N1163" t="s">
        <v>784</v>
      </c>
      <c r="O1163" t="s">
        <v>786</v>
      </c>
      <c r="P1163" t="s">
        <v>2299</v>
      </c>
      <c r="Q1163" t="s">
        <v>55</v>
      </c>
      <c r="R1163" s="78">
        <v>-79</v>
      </c>
      <c r="S1163" s="15">
        <f>Table2[[#This Row],[movement_quantity]]/VLOOKUP(Table2[[#This Row],[product]],Ref[#All],5,FALSE)</f>
        <v>-1.9750000000000001</v>
      </c>
      <c r="T1163">
        <v>25402.08338</v>
      </c>
      <c r="U1163" t="s">
        <v>17</v>
      </c>
      <c r="V1163" t="s">
        <v>18</v>
      </c>
      <c r="W1163" t="s">
        <v>3283</v>
      </c>
      <c r="X1163" t="s">
        <v>17</v>
      </c>
      <c r="Y1163" s="2" t="s">
        <v>3284</v>
      </c>
      <c r="Z1163">
        <v>0</v>
      </c>
      <c r="AA1163" s="2">
        <v>-2006764.58702</v>
      </c>
      <c r="AB1163" t="str">
        <f>VLOOKUP(Table2[[#This Row],[product]],Ref[#All],6,FALSE)</f>
        <v>BAG25</v>
      </c>
    </row>
    <row r="1164" spans="1:28" x14ac:dyDescent="0.25">
      <c r="A1164" t="str">
        <f>TEXT(Table2[[#This Row],[dated]],"mmm")</f>
        <v>Nov</v>
      </c>
      <c r="B1164" t="s">
        <v>52</v>
      </c>
      <c r="C1164" s="1" t="s">
        <v>536</v>
      </c>
      <c r="D1164" t="str">
        <f>VLOOKUP(Table2[[#This Row],[product]],Ref[#All],7,FALSE)</f>
        <v>Flour</v>
      </c>
      <c r="E1164" s="1" t="s">
        <v>42</v>
      </c>
      <c r="F1164" t="str">
        <f>VLOOKUP(Table2[[#This Row],[product]],Ref[#All],2,FALSE)</f>
        <v>Alnajm Flour from Mill 25KG</v>
      </c>
      <c r="G1164" t="str">
        <f>VLOOKUP(Table2[[#This Row],[product]],Ref[#All],3,FALSE)</f>
        <v>Flour Al-Nagm (Mill)</v>
      </c>
      <c r="H1164" t="str">
        <f>VLOOKUP(Table2[[#This Row],[product]],Ref[#All],4,FALSE)</f>
        <v>Import</v>
      </c>
      <c r="I1164" s="1">
        <v>45991</v>
      </c>
      <c r="J1164" s="28" t="s">
        <v>53</v>
      </c>
      <c r="K1164" s="33" t="s">
        <v>3177</v>
      </c>
      <c r="L1164" t="s">
        <v>1651</v>
      </c>
      <c r="M1164" t="s">
        <v>1586</v>
      </c>
      <c r="N1164" t="s">
        <v>784</v>
      </c>
      <c r="O1164" t="s">
        <v>785</v>
      </c>
      <c r="P1164" t="s">
        <v>788</v>
      </c>
      <c r="Q1164" s="33" t="s">
        <v>55</v>
      </c>
      <c r="R1164" s="78">
        <v>-3</v>
      </c>
      <c r="S1164" s="15">
        <f>Table2[[#This Row],[movement_quantity]]/VLOOKUP(Table2[[#This Row],[product]],Ref[#All],5,FALSE)</f>
        <v>-7.4999999999999997E-2</v>
      </c>
      <c r="T1164">
        <v>25402.08338</v>
      </c>
      <c r="U1164" t="s">
        <v>17</v>
      </c>
      <c r="V1164" t="s">
        <v>21</v>
      </c>
      <c r="W1164" t="s">
        <v>3285</v>
      </c>
      <c r="X1164" t="s">
        <v>17</v>
      </c>
      <c r="Y1164" s="2" t="s">
        <v>3284</v>
      </c>
      <c r="Z1164">
        <v>0</v>
      </c>
      <c r="AA1164" s="2">
        <v>-76206.250140000004</v>
      </c>
      <c r="AB1164" t="str">
        <f>VLOOKUP(Table2[[#This Row],[product]],Ref[#All],6,FALSE)</f>
        <v>BAG25</v>
      </c>
    </row>
    <row r="1165" spans="1:28" x14ac:dyDescent="0.25">
      <c r="A1165" t="str">
        <f>TEXT(Table2[[#This Row],[dated]],"mmm")</f>
        <v>Nov</v>
      </c>
      <c r="B1165" t="s">
        <v>52</v>
      </c>
      <c r="C1165" s="1" t="s">
        <v>536</v>
      </c>
      <c r="D1165" t="str">
        <f>VLOOKUP(Table2[[#This Row],[product]],Ref[#All],7,FALSE)</f>
        <v>Flour</v>
      </c>
      <c r="E1165" s="1" t="s">
        <v>42</v>
      </c>
      <c r="F1165" t="str">
        <f>VLOOKUP(Table2[[#This Row],[product]],Ref[#All],2,FALSE)</f>
        <v>Alnajm Flour from Mill 25KG</v>
      </c>
      <c r="G1165" t="str">
        <f>VLOOKUP(Table2[[#This Row],[product]],Ref[#All],3,FALSE)</f>
        <v>Flour Al-Nagm (Mill)</v>
      </c>
      <c r="H1165" t="str">
        <f>VLOOKUP(Table2[[#This Row],[product]],Ref[#All],4,FALSE)</f>
        <v>Import</v>
      </c>
      <c r="I1165" s="1">
        <v>45991</v>
      </c>
      <c r="J1165" s="28" t="s">
        <v>53</v>
      </c>
      <c r="K1165" s="33" t="s">
        <v>3178</v>
      </c>
      <c r="L1165" t="s">
        <v>1651</v>
      </c>
      <c r="M1165" t="s">
        <v>1586</v>
      </c>
      <c r="N1165" t="s">
        <v>784</v>
      </c>
      <c r="O1165" t="s">
        <v>785</v>
      </c>
      <c r="P1165" t="s">
        <v>788</v>
      </c>
      <c r="Q1165" s="33" t="s">
        <v>55</v>
      </c>
      <c r="R1165" s="78">
        <v>-1</v>
      </c>
      <c r="S1165" s="15">
        <f>Table2[[#This Row],[movement_quantity]]/VLOOKUP(Table2[[#This Row],[product]],Ref[#All],5,FALSE)</f>
        <v>-2.5000000000000001E-2</v>
      </c>
      <c r="T1165">
        <v>25402.08338</v>
      </c>
      <c r="U1165" t="s">
        <v>17</v>
      </c>
      <c r="V1165" t="s">
        <v>22</v>
      </c>
      <c r="W1165" t="s">
        <v>3286</v>
      </c>
      <c r="X1165" t="s">
        <v>17</v>
      </c>
      <c r="Y1165" s="2" t="s">
        <v>3284</v>
      </c>
      <c r="Z1165">
        <v>0</v>
      </c>
      <c r="AA1165" s="2">
        <v>-25402.08338</v>
      </c>
      <c r="AB1165" t="str">
        <f>VLOOKUP(Table2[[#This Row],[product]],Ref[#All],6,FALSE)</f>
        <v>BAG25</v>
      </c>
    </row>
    <row r="1166" spans="1:28" x14ac:dyDescent="0.25">
      <c r="A1166" t="str">
        <f>TEXT(Table2[[#This Row],[dated]],"mmm")</f>
        <v>Nov</v>
      </c>
      <c r="B1166" t="s">
        <v>52</v>
      </c>
      <c r="C1166" s="1" t="s">
        <v>536</v>
      </c>
      <c r="D1166" t="str">
        <f>VLOOKUP(Table2[[#This Row],[product]],Ref[#All],7,FALSE)</f>
        <v>Flour</v>
      </c>
      <c r="E1166" s="1" t="s">
        <v>42</v>
      </c>
      <c r="F1166" t="str">
        <f>VLOOKUP(Table2[[#This Row],[product]],Ref[#All],2,FALSE)</f>
        <v>Alnajm Flour from Mill 25KG</v>
      </c>
      <c r="G1166" t="str">
        <f>VLOOKUP(Table2[[#This Row],[product]],Ref[#All],3,FALSE)</f>
        <v>Flour Al-Nagm (Mill)</v>
      </c>
      <c r="H1166" t="str">
        <f>VLOOKUP(Table2[[#This Row],[product]],Ref[#All],4,FALSE)</f>
        <v>Import</v>
      </c>
      <c r="I1166" s="1">
        <v>45991</v>
      </c>
      <c r="J1166" s="28" t="s">
        <v>53</v>
      </c>
      <c r="K1166" t="s">
        <v>3179</v>
      </c>
      <c r="L1166" t="s">
        <v>1651</v>
      </c>
      <c r="M1166" t="s">
        <v>1586</v>
      </c>
      <c r="N1166" t="s">
        <v>784</v>
      </c>
      <c r="O1166" t="s">
        <v>786</v>
      </c>
      <c r="P1166" t="s">
        <v>2299</v>
      </c>
      <c r="Q1166" t="s">
        <v>55</v>
      </c>
      <c r="R1166" s="80">
        <v>-6</v>
      </c>
      <c r="S1166" s="15">
        <f>Table2[[#This Row],[movement_quantity]]/VLOOKUP(Table2[[#This Row],[product]],Ref[#All],5,FALSE)</f>
        <v>-0.15</v>
      </c>
      <c r="T1166">
        <v>25402.08338</v>
      </c>
      <c r="U1166" t="s">
        <v>17</v>
      </c>
      <c r="V1166" t="s">
        <v>23</v>
      </c>
      <c r="W1166" t="s">
        <v>3287</v>
      </c>
      <c r="X1166" t="s">
        <v>17</v>
      </c>
      <c r="Y1166" s="2" t="s">
        <v>3284</v>
      </c>
      <c r="Z1166">
        <v>0</v>
      </c>
      <c r="AA1166" s="2">
        <v>-152412.50028000001</v>
      </c>
      <c r="AB1166" t="str">
        <f>VLOOKUP(Table2[[#This Row],[product]],Ref[#All],6,FALSE)</f>
        <v>BAG25</v>
      </c>
    </row>
    <row r="1167" spans="1:28" x14ac:dyDescent="0.25">
      <c r="A1167" t="str">
        <f>TEXT(Table2[[#This Row],[dated]],"mmm")</f>
        <v>Nov</v>
      </c>
      <c r="B1167" t="s">
        <v>52</v>
      </c>
      <c r="C1167" s="1" t="s">
        <v>536</v>
      </c>
      <c r="D1167" t="str">
        <f>VLOOKUP(Table2[[#This Row],[product]],Ref[#All],7,FALSE)</f>
        <v>Flour</v>
      </c>
      <c r="E1167" s="1" t="s">
        <v>42</v>
      </c>
      <c r="F1167" t="str">
        <f>VLOOKUP(Table2[[#This Row],[product]],Ref[#All],2,FALSE)</f>
        <v>Alnajm Flour from Mill 25KG</v>
      </c>
      <c r="G1167" t="str">
        <f>VLOOKUP(Table2[[#This Row],[product]],Ref[#All],3,FALSE)</f>
        <v>Flour Al-Nagm (Mill)</v>
      </c>
      <c r="H1167" t="str">
        <f>VLOOKUP(Table2[[#This Row],[product]],Ref[#All],4,FALSE)</f>
        <v>Import</v>
      </c>
      <c r="I1167" s="1">
        <v>45991</v>
      </c>
      <c r="J1167" s="28" t="s">
        <v>53</v>
      </c>
      <c r="K1167" t="s">
        <v>3180</v>
      </c>
      <c r="L1167" t="s">
        <v>1651</v>
      </c>
      <c r="M1167" t="s">
        <v>1586</v>
      </c>
      <c r="N1167" t="s">
        <v>784</v>
      </c>
      <c r="O1167" t="s">
        <v>786</v>
      </c>
      <c r="P1167" t="s">
        <v>2299</v>
      </c>
      <c r="Q1167" t="s">
        <v>55</v>
      </c>
      <c r="R1167" s="78">
        <v>-4</v>
      </c>
      <c r="S1167" s="15">
        <f>Table2[[#This Row],[movement_quantity]]/VLOOKUP(Table2[[#This Row],[product]],Ref[#All],5,FALSE)</f>
        <v>-0.1</v>
      </c>
      <c r="T1167">
        <v>25402.08338</v>
      </c>
      <c r="U1167" t="s">
        <v>17</v>
      </c>
      <c r="V1167" t="s">
        <v>24</v>
      </c>
      <c r="W1167" t="s">
        <v>3288</v>
      </c>
      <c r="X1167" t="s">
        <v>17</v>
      </c>
      <c r="Y1167" s="2" t="s">
        <v>3284</v>
      </c>
      <c r="Z1167">
        <v>0</v>
      </c>
      <c r="AA1167" s="2">
        <v>-101608.33352</v>
      </c>
      <c r="AB1167" t="str">
        <f>VLOOKUP(Table2[[#This Row],[product]],Ref[#All],6,FALSE)</f>
        <v>BAG25</v>
      </c>
    </row>
    <row r="1168" spans="1:28" x14ac:dyDescent="0.25">
      <c r="A1168" t="str">
        <f>TEXT(Table2[[#This Row],[dated]],"mmm")</f>
        <v>Nov</v>
      </c>
      <c r="B1168" t="s">
        <v>52</v>
      </c>
      <c r="C1168" s="1" t="s">
        <v>536</v>
      </c>
      <c r="D1168" t="str">
        <f>VLOOKUP(Table2[[#This Row],[product]],Ref[#All],7,FALSE)</f>
        <v>Flour</v>
      </c>
      <c r="E1168" s="1" t="s">
        <v>42</v>
      </c>
      <c r="F1168" t="str">
        <f>VLOOKUP(Table2[[#This Row],[product]],Ref[#All],2,FALSE)</f>
        <v>Alnajm Flour from Mill 25KG</v>
      </c>
      <c r="G1168" t="str">
        <f>VLOOKUP(Table2[[#This Row],[product]],Ref[#All],3,FALSE)</f>
        <v>Flour Al-Nagm (Mill)</v>
      </c>
      <c r="H1168" t="str">
        <f>VLOOKUP(Table2[[#This Row],[product]],Ref[#All],4,FALSE)</f>
        <v>Import</v>
      </c>
      <c r="I1168" s="1">
        <v>45991</v>
      </c>
      <c r="J1168" s="28" t="s">
        <v>53</v>
      </c>
      <c r="K1168" s="33" t="s">
        <v>3181</v>
      </c>
      <c r="L1168" t="s">
        <v>1651</v>
      </c>
      <c r="M1168" t="s">
        <v>1586</v>
      </c>
      <c r="N1168" t="s">
        <v>784</v>
      </c>
      <c r="O1168" t="s">
        <v>785</v>
      </c>
      <c r="P1168" t="s">
        <v>788</v>
      </c>
      <c r="Q1168" s="33" t="s">
        <v>55</v>
      </c>
      <c r="R1168" s="78">
        <v>-1</v>
      </c>
      <c r="S1168" s="15">
        <f>Table2[[#This Row],[movement_quantity]]/VLOOKUP(Table2[[#This Row],[product]],Ref[#All],5,FALSE)</f>
        <v>-2.5000000000000001E-2</v>
      </c>
      <c r="T1168">
        <v>25402.08338</v>
      </c>
      <c r="U1168" t="s">
        <v>17</v>
      </c>
      <c r="V1168" t="s">
        <v>25</v>
      </c>
      <c r="W1168" t="s">
        <v>3289</v>
      </c>
      <c r="X1168" t="s">
        <v>17</v>
      </c>
      <c r="Y1168" s="2" t="s">
        <v>3284</v>
      </c>
      <c r="Z1168">
        <v>0</v>
      </c>
      <c r="AA1168" s="2">
        <v>-25402.08338</v>
      </c>
      <c r="AB1168" t="str">
        <f>VLOOKUP(Table2[[#This Row],[product]],Ref[#All],6,FALSE)</f>
        <v>BAG25</v>
      </c>
    </row>
    <row r="1169" spans="1:28" x14ac:dyDescent="0.25">
      <c r="A1169" t="str">
        <f>TEXT(Table2[[#This Row],[dated]],"mmm")</f>
        <v>Nov</v>
      </c>
      <c r="B1169" t="s">
        <v>52</v>
      </c>
      <c r="C1169" s="1" t="s">
        <v>536</v>
      </c>
      <c r="D1169" t="str">
        <f>VLOOKUP(Table2[[#This Row],[product]],Ref[#All],7,FALSE)</f>
        <v>Flour</v>
      </c>
      <c r="E1169" s="1" t="s">
        <v>42</v>
      </c>
      <c r="F1169" t="str">
        <f>VLOOKUP(Table2[[#This Row],[product]],Ref[#All],2,FALSE)</f>
        <v>Alnajm Flour from Mill 25KG</v>
      </c>
      <c r="G1169" t="str">
        <f>VLOOKUP(Table2[[#This Row],[product]],Ref[#All],3,FALSE)</f>
        <v>Flour Al-Nagm (Mill)</v>
      </c>
      <c r="H1169" t="str">
        <f>VLOOKUP(Table2[[#This Row],[product]],Ref[#All],4,FALSE)</f>
        <v>Import</v>
      </c>
      <c r="I1169" s="1">
        <v>45991</v>
      </c>
      <c r="J1169" s="28" t="s">
        <v>53</v>
      </c>
      <c r="K1169" t="s">
        <v>3182</v>
      </c>
      <c r="L1169" t="s">
        <v>1651</v>
      </c>
      <c r="M1169" t="s">
        <v>1586</v>
      </c>
      <c r="N1169" t="s">
        <v>784</v>
      </c>
      <c r="O1169" t="s">
        <v>785</v>
      </c>
      <c r="P1169" t="s">
        <v>788</v>
      </c>
      <c r="Q1169" t="s">
        <v>55</v>
      </c>
      <c r="R1169" s="81">
        <v>-3</v>
      </c>
      <c r="S1169" s="15">
        <f>Table2[[#This Row],[movement_quantity]]/VLOOKUP(Table2[[#This Row],[product]],Ref[#All],5,FALSE)</f>
        <v>-7.4999999999999997E-2</v>
      </c>
      <c r="T1169">
        <v>25402.08338</v>
      </c>
      <c r="U1169" t="s">
        <v>17</v>
      </c>
      <c r="V1169" t="s">
        <v>26</v>
      </c>
      <c r="W1169" t="s">
        <v>3290</v>
      </c>
      <c r="X1169" t="s">
        <v>17</v>
      </c>
      <c r="Y1169" s="2" t="s">
        <v>3284</v>
      </c>
      <c r="Z1169">
        <v>0</v>
      </c>
      <c r="AA1169" s="2">
        <v>-76206.250140000004</v>
      </c>
      <c r="AB1169" t="str">
        <f>VLOOKUP(Table2[[#This Row],[product]],Ref[#All],6,FALSE)</f>
        <v>BAG25</v>
      </c>
    </row>
    <row r="1170" spans="1:28" x14ac:dyDescent="0.25">
      <c r="A1170" t="str">
        <f>TEXT(Table2[[#This Row],[dated]],"mmm")</f>
        <v>Nov</v>
      </c>
      <c r="B1170" t="s">
        <v>52</v>
      </c>
      <c r="C1170" s="1" t="s">
        <v>536</v>
      </c>
      <c r="D1170" t="str">
        <f>VLOOKUP(Table2[[#This Row],[product]],Ref[#All],7,FALSE)</f>
        <v>Flour</v>
      </c>
      <c r="E1170" s="1" t="s">
        <v>42</v>
      </c>
      <c r="F1170" t="str">
        <f>VLOOKUP(Table2[[#This Row],[product]],Ref[#All],2,FALSE)</f>
        <v>Alnajm Flour from Mill 25KG</v>
      </c>
      <c r="G1170" t="str">
        <f>VLOOKUP(Table2[[#This Row],[product]],Ref[#All],3,FALSE)</f>
        <v>Flour Al-Nagm (Mill)</v>
      </c>
      <c r="H1170" t="str">
        <f>VLOOKUP(Table2[[#This Row],[product]],Ref[#All],4,FALSE)</f>
        <v>Import</v>
      </c>
      <c r="I1170" s="1">
        <v>45991</v>
      </c>
      <c r="J1170" s="28" t="s">
        <v>53</v>
      </c>
      <c r="K1170" t="s">
        <v>3183</v>
      </c>
      <c r="L1170" t="s">
        <v>1651</v>
      </c>
      <c r="M1170" t="s">
        <v>1586</v>
      </c>
      <c r="N1170" t="s">
        <v>784</v>
      </c>
      <c r="O1170" t="s">
        <v>786</v>
      </c>
      <c r="P1170" t="s">
        <v>2299</v>
      </c>
      <c r="Q1170" t="s">
        <v>55</v>
      </c>
      <c r="R1170" s="78">
        <v>-40</v>
      </c>
      <c r="S1170" s="15">
        <f>Table2[[#This Row],[movement_quantity]]/VLOOKUP(Table2[[#This Row],[product]],Ref[#All],5,FALSE)</f>
        <v>-1</v>
      </c>
      <c r="T1170">
        <v>25402.08338</v>
      </c>
      <c r="U1170" t="s">
        <v>17</v>
      </c>
      <c r="V1170" t="s">
        <v>27</v>
      </c>
      <c r="W1170" t="s">
        <v>3291</v>
      </c>
      <c r="X1170" t="s">
        <v>17</v>
      </c>
      <c r="Y1170" s="2" t="s">
        <v>3284</v>
      </c>
      <c r="Z1170">
        <v>0</v>
      </c>
      <c r="AA1170" s="2">
        <v>-1016083.3352</v>
      </c>
      <c r="AB1170" t="str">
        <f>VLOOKUP(Table2[[#This Row],[product]],Ref[#All],6,FALSE)</f>
        <v>BAG25</v>
      </c>
    </row>
    <row r="1171" spans="1:28" x14ac:dyDescent="0.25">
      <c r="A1171" t="str">
        <f>TEXT(Table2[[#This Row],[dated]],"mmm")</f>
        <v>Nov</v>
      </c>
      <c r="B1171" t="s">
        <v>52</v>
      </c>
      <c r="C1171" s="1" t="s">
        <v>536</v>
      </c>
      <c r="D1171" t="str">
        <f>VLOOKUP(Table2[[#This Row],[product]],Ref[#All],7,FALSE)</f>
        <v>Flour</v>
      </c>
      <c r="E1171" s="1" t="s">
        <v>42</v>
      </c>
      <c r="F1171" t="str">
        <f>VLOOKUP(Table2[[#This Row],[product]],Ref[#All],2,FALSE)</f>
        <v>Alnajm Flour from Mill 25KG</v>
      </c>
      <c r="G1171" t="str">
        <f>VLOOKUP(Table2[[#This Row],[product]],Ref[#All],3,FALSE)</f>
        <v>Flour Al-Nagm (Mill)</v>
      </c>
      <c r="H1171" t="str">
        <f>VLOOKUP(Table2[[#This Row],[product]],Ref[#All],4,FALSE)</f>
        <v>Import</v>
      </c>
      <c r="I1171" s="1">
        <v>45991</v>
      </c>
      <c r="J1171" s="28" t="s">
        <v>53</v>
      </c>
      <c r="K1171" t="s">
        <v>3184</v>
      </c>
      <c r="L1171" t="s">
        <v>1651</v>
      </c>
      <c r="M1171" t="s">
        <v>1586</v>
      </c>
      <c r="N1171" t="s">
        <v>784</v>
      </c>
      <c r="O1171" t="s">
        <v>785</v>
      </c>
      <c r="P1171" t="s">
        <v>788</v>
      </c>
      <c r="Q1171" t="s">
        <v>55</v>
      </c>
      <c r="R1171" s="78">
        <v>-1</v>
      </c>
      <c r="S1171" s="15">
        <f>Table2[[#This Row],[movement_quantity]]/VLOOKUP(Table2[[#This Row],[product]],Ref[#All],5,FALSE)</f>
        <v>-2.5000000000000001E-2</v>
      </c>
      <c r="T1171">
        <v>25402.08338</v>
      </c>
      <c r="U1171" t="s">
        <v>17</v>
      </c>
      <c r="V1171" t="s">
        <v>28</v>
      </c>
      <c r="W1171" t="s">
        <v>3292</v>
      </c>
      <c r="X1171" t="s">
        <v>17</v>
      </c>
      <c r="Y1171" s="2" t="s">
        <v>3284</v>
      </c>
      <c r="Z1171">
        <v>0</v>
      </c>
      <c r="AA1171" s="2">
        <v>-25402.08338</v>
      </c>
      <c r="AB1171" t="str">
        <f>VLOOKUP(Table2[[#This Row],[product]],Ref[#All],6,FALSE)</f>
        <v>BAG25</v>
      </c>
    </row>
    <row r="1172" spans="1:28" x14ac:dyDescent="0.25">
      <c r="A1172" t="str">
        <f>TEXT(Table2[[#This Row],[dated]],"mmm")</f>
        <v>Nov</v>
      </c>
      <c r="B1172" t="s">
        <v>52</v>
      </c>
      <c r="C1172" s="1" t="s">
        <v>536</v>
      </c>
      <c r="D1172" t="str">
        <f>VLOOKUP(Table2[[#This Row],[product]],Ref[#All],7,FALSE)</f>
        <v>Flour</v>
      </c>
      <c r="E1172" s="1" t="s">
        <v>42</v>
      </c>
      <c r="F1172" t="str">
        <f>VLOOKUP(Table2[[#This Row],[product]],Ref[#All],2,FALSE)</f>
        <v>Alnajm Flour from Mill 25KG</v>
      </c>
      <c r="G1172" t="str">
        <f>VLOOKUP(Table2[[#This Row],[product]],Ref[#All],3,FALSE)</f>
        <v>Flour Al-Nagm (Mill)</v>
      </c>
      <c r="H1172" t="str">
        <f>VLOOKUP(Table2[[#This Row],[product]],Ref[#All],4,FALSE)</f>
        <v>Import</v>
      </c>
      <c r="I1172" s="1">
        <v>45991</v>
      </c>
      <c r="J1172" s="28" t="s">
        <v>53</v>
      </c>
      <c r="K1172" t="s">
        <v>3185</v>
      </c>
      <c r="L1172" t="s">
        <v>1651</v>
      </c>
      <c r="M1172" t="s">
        <v>1586</v>
      </c>
      <c r="N1172" t="s">
        <v>784</v>
      </c>
      <c r="O1172" t="s">
        <v>786</v>
      </c>
      <c r="P1172" t="s">
        <v>2299</v>
      </c>
      <c r="Q1172" t="s">
        <v>55</v>
      </c>
      <c r="R1172" s="78">
        <v>-1</v>
      </c>
      <c r="S1172" s="15">
        <f>Table2[[#This Row],[movement_quantity]]/VLOOKUP(Table2[[#This Row],[product]],Ref[#All],5,FALSE)</f>
        <v>-2.5000000000000001E-2</v>
      </c>
      <c r="T1172">
        <v>25402.08338</v>
      </c>
      <c r="U1172" t="s">
        <v>17</v>
      </c>
      <c r="V1172" t="s">
        <v>29</v>
      </c>
      <c r="W1172" t="s">
        <v>3293</v>
      </c>
      <c r="X1172" t="s">
        <v>17</v>
      </c>
      <c r="Y1172" s="2" t="s">
        <v>3284</v>
      </c>
      <c r="Z1172">
        <v>0</v>
      </c>
      <c r="AA1172" s="2">
        <v>-25402.08338</v>
      </c>
      <c r="AB1172" t="str">
        <f>VLOOKUP(Table2[[#This Row],[product]],Ref[#All],6,FALSE)</f>
        <v>BAG25</v>
      </c>
    </row>
    <row r="1173" spans="1:28" x14ac:dyDescent="0.25">
      <c r="A1173" t="str">
        <f>TEXT(Table2[[#This Row],[dated]],"mmm")</f>
        <v>Nov</v>
      </c>
      <c r="B1173" t="s">
        <v>52</v>
      </c>
      <c r="C1173" s="1" t="s">
        <v>536</v>
      </c>
      <c r="D1173" t="str">
        <f>VLOOKUP(Table2[[#This Row],[product]],Ref[#All],7,FALSE)</f>
        <v>Flour</v>
      </c>
      <c r="E1173" s="1" t="s">
        <v>42</v>
      </c>
      <c r="F1173" t="str">
        <f>VLOOKUP(Table2[[#This Row],[product]],Ref[#All],2,FALSE)</f>
        <v>Alnajm Flour from Mill 25KG</v>
      </c>
      <c r="G1173" t="str">
        <f>VLOOKUP(Table2[[#This Row],[product]],Ref[#All],3,FALSE)</f>
        <v>Flour Al-Nagm (Mill)</v>
      </c>
      <c r="H1173" t="str">
        <f>VLOOKUP(Table2[[#This Row],[product]],Ref[#All],4,FALSE)</f>
        <v>Import</v>
      </c>
      <c r="I1173" s="1">
        <v>45991</v>
      </c>
      <c r="J1173" s="28" t="s">
        <v>53</v>
      </c>
      <c r="K1173" t="s">
        <v>3186</v>
      </c>
      <c r="L1173" t="s">
        <v>1651</v>
      </c>
      <c r="M1173" t="s">
        <v>1586</v>
      </c>
      <c r="N1173" t="s">
        <v>784</v>
      </c>
      <c r="O1173" t="s">
        <v>786</v>
      </c>
      <c r="P1173" t="s">
        <v>2299</v>
      </c>
      <c r="Q1173" t="s">
        <v>55</v>
      </c>
      <c r="R1173" s="78">
        <v>-1</v>
      </c>
      <c r="S1173" s="15">
        <f>Table2[[#This Row],[movement_quantity]]/VLOOKUP(Table2[[#This Row],[product]],Ref[#All],5,FALSE)</f>
        <v>-2.5000000000000001E-2</v>
      </c>
      <c r="T1173">
        <v>25402.08338</v>
      </c>
      <c r="U1173" t="s">
        <v>17</v>
      </c>
      <c r="V1173" t="s">
        <v>31</v>
      </c>
      <c r="W1173" t="s">
        <v>3294</v>
      </c>
      <c r="X1173" t="s">
        <v>17</v>
      </c>
      <c r="Y1173" s="2" t="s">
        <v>3284</v>
      </c>
      <c r="Z1173">
        <v>0</v>
      </c>
      <c r="AA1173" s="2">
        <v>-25402.08338</v>
      </c>
      <c r="AB1173" t="str">
        <f>VLOOKUP(Table2[[#This Row],[product]],Ref[#All],6,FALSE)</f>
        <v>BAG25</v>
      </c>
    </row>
    <row r="1174" spans="1:28" x14ac:dyDescent="0.25">
      <c r="A1174" t="str">
        <f>TEXT(Table2[[#This Row],[dated]],"mmm")</f>
        <v>Nov</v>
      </c>
      <c r="B1174" t="s">
        <v>52</v>
      </c>
      <c r="C1174" s="1" t="s">
        <v>536</v>
      </c>
      <c r="D1174" t="str">
        <f>VLOOKUP(Table2[[#This Row],[product]],Ref[#All],7,FALSE)</f>
        <v>Flour</v>
      </c>
      <c r="E1174" s="1" t="s">
        <v>42</v>
      </c>
      <c r="F1174" t="str">
        <f>VLOOKUP(Table2[[#This Row],[product]],Ref[#All],2,FALSE)</f>
        <v>Alnajm Flour from Mill 25KG</v>
      </c>
      <c r="G1174" t="str">
        <f>VLOOKUP(Table2[[#This Row],[product]],Ref[#All],3,FALSE)</f>
        <v>Flour Al-Nagm (Mill)</v>
      </c>
      <c r="H1174" t="str">
        <f>VLOOKUP(Table2[[#This Row],[product]],Ref[#All],4,FALSE)</f>
        <v>Import</v>
      </c>
      <c r="I1174" s="1">
        <v>45991</v>
      </c>
      <c r="J1174" s="28" t="s">
        <v>53</v>
      </c>
      <c r="K1174" s="33" t="s">
        <v>3187</v>
      </c>
      <c r="L1174" t="s">
        <v>1651</v>
      </c>
      <c r="M1174" t="s">
        <v>1586</v>
      </c>
      <c r="N1174" t="s">
        <v>784</v>
      </c>
      <c r="O1174" t="s">
        <v>786</v>
      </c>
      <c r="P1174" t="s">
        <v>2299</v>
      </c>
      <c r="Q1174" s="33" t="s">
        <v>55</v>
      </c>
      <c r="R1174" s="78">
        <v>-1</v>
      </c>
      <c r="S1174" s="15">
        <f>Table2[[#This Row],[movement_quantity]]/VLOOKUP(Table2[[#This Row],[product]],Ref[#All],5,FALSE)</f>
        <v>-2.5000000000000001E-2</v>
      </c>
      <c r="T1174">
        <v>25402.08338</v>
      </c>
      <c r="U1174" t="s">
        <v>17</v>
      </c>
      <c r="V1174" t="s">
        <v>32</v>
      </c>
      <c r="W1174" t="s">
        <v>3295</v>
      </c>
      <c r="X1174" t="s">
        <v>17</v>
      </c>
      <c r="Y1174" s="2" t="s">
        <v>3284</v>
      </c>
      <c r="Z1174">
        <v>0</v>
      </c>
      <c r="AA1174" s="2">
        <v>-25402.08338</v>
      </c>
      <c r="AB1174" t="str">
        <f>VLOOKUP(Table2[[#This Row],[product]],Ref[#All],6,FALSE)</f>
        <v>BAG25</v>
      </c>
    </row>
    <row r="1175" spans="1:28" x14ac:dyDescent="0.25">
      <c r="A1175" t="str">
        <f>TEXT(Table2[[#This Row],[dated]],"mmm")</f>
        <v>Dec</v>
      </c>
      <c r="B1175" t="s">
        <v>596</v>
      </c>
      <c r="C1175" s="1" t="s">
        <v>536</v>
      </c>
      <c r="D1175" t="str">
        <f>VLOOKUP(Table2[[#This Row],[product]],Ref[#All],7,FALSE)</f>
        <v>Rice</v>
      </c>
      <c r="E1175" s="1" t="s">
        <v>176</v>
      </c>
      <c r="F1175" t="str">
        <f>VLOOKUP(Table2[[#This Row],[product]],Ref[#All],2,FALSE)</f>
        <v>Rice Long Grade 1 Elngm 20Kg</v>
      </c>
      <c r="G1175" t="str">
        <f>VLOOKUP(Table2[[#This Row],[product]],Ref[#All],3,FALSE)</f>
        <v>Rice Long Grain</v>
      </c>
      <c r="H1175" t="str">
        <f>VLOOKUP(Table2[[#This Row],[product]],Ref[#All],4,FALSE)</f>
        <v>Import</v>
      </c>
      <c r="I1175" s="1">
        <v>45994</v>
      </c>
      <c r="J1175" s="28" t="s">
        <v>53</v>
      </c>
      <c r="K1175" s="33" t="s">
        <v>3188</v>
      </c>
      <c r="L1175" t="s">
        <v>1651</v>
      </c>
      <c r="M1175" t="s">
        <v>1586</v>
      </c>
      <c r="N1175" t="s">
        <v>784</v>
      </c>
      <c r="O1175" t="s">
        <v>785</v>
      </c>
      <c r="P1175" t="s">
        <v>788</v>
      </c>
      <c r="Q1175" s="33" t="s">
        <v>55</v>
      </c>
      <c r="R1175" s="78">
        <v>-1</v>
      </c>
      <c r="S1175" s="15">
        <f>Table2[[#This Row],[movement_quantity]]/VLOOKUP(Table2[[#This Row],[product]],Ref[#All],5,FALSE)</f>
        <v>-0.02</v>
      </c>
      <c r="T1175">
        <v>23264.08728</v>
      </c>
      <c r="U1175" t="s">
        <v>17</v>
      </c>
      <c r="V1175" t="s">
        <v>18</v>
      </c>
      <c r="W1175" t="s">
        <v>3296</v>
      </c>
      <c r="X1175" t="s">
        <v>17</v>
      </c>
      <c r="Y1175" s="2" t="s">
        <v>3245</v>
      </c>
      <c r="Z1175">
        <v>0</v>
      </c>
      <c r="AA1175" s="2">
        <v>-23264.08728</v>
      </c>
      <c r="AB1175" t="str">
        <f>VLOOKUP(Table2[[#This Row],[product]],Ref[#All],6,FALSE)</f>
        <v>BAG20</v>
      </c>
    </row>
    <row r="1176" spans="1:28" x14ac:dyDescent="0.25">
      <c r="A1176" t="str">
        <f>TEXT(Table2[[#This Row],[dated]],"mmm")</f>
        <v>Dec</v>
      </c>
      <c r="B1176" t="s">
        <v>596</v>
      </c>
      <c r="C1176" s="1" t="s">
        <v>536</v>
      </c>
      <c r="D1176" t="str">
        <f>VLOOKUP(Table2[[#This Row],[product]],Ref[#All],7,FALSE)</f>
        <v>Rice</v>
      </c>
      <c r="E1176" s="1" t="s">
        <v>176</v>
      </c>
      <c r="F1176" t="str">
        <f>VLOOKUP(Table2[[#This Row],[product]],Ref[#All],2,FALSE)</f>
        <v>Rice Long Grade 1 Elngm 20Kg</v>
      </c>
      <c r="G1176" t="str">
        <f>VLOOKUP(Table2[[#This Row],[product]],Ref[#All],3,FALSE)</f>
        <v>Rice Long Grain</v>
      </c>
      <c r="H1176" t="str">
        <f>VLOOKUP(Table2[[#This Row],[product]],Ref[#All],4,FALSE)</f>
        <v>Import</v>
      </c>
      <c r="I1176" s="1">
        <v>45994</v>
      </c>
      <c r="J1176" s="28" t="s">
        <v>53</v>
      </c>
      <c r="K1176" s="33" t="s">
        <v>3189</v>
      </c>
      <c r="L1176" t="s">
        <v>1651</v>
      </c>
      <c r="M1176" t="s">
        <v>1586</v>
      </c>
      <c r="N1176" t="s">
        <v>784</v>
      </c>
      <c r="O1176" t="s">
        <v>785</v>
      </c>
      <c r="P1176" t="s">
        <v>788</v>
      </c>
      <c r="Q1176" s="33" t="s">
        <v>55</v>
      </c>
      <c r="R1176" s="78">
        <v>-17</v>
      </c>
      <c r="S1176" s="15">
        <f>Table2[[#This Row],[movement_quantity]]/VLOOKUP(Table2[[#This Row],[product]],Ref[#All],5,FALSE)</f>
        <v>-0.34</v>
      </c>
      <c r="T1176">
        <v>23264.08728</v>
      </c>
      <c r="U1176" t="s">
        <v>17</v>
      </c>
      <c r="V1176" t="s">
        <v>21</v>
      </c>
      <c r="W1176" t="s">
        <v>3297</v>
      </c>
      <c r="X1176" t="s">
        <v>17</v>
      </c>
      <c r="Y1176" s="2" t="s">
        <v>3245</v>
      </c>
      <c r="Z1176">
        <v>0</v>
      </c>
      <c r="AA1176" s="2">
        <v>-395489.48375999997</v>
      </c>
      <c r="AB1176" t="str">
        <f>VLOOKUP(Table2[[#This Row],[product]],Ref[#All],6,FALSE)</f>
        <v>BAG20</v>
      </c>
    </row>
    <row r="1177" spans="1:28" x14ac:dyDescent="0.25">
      <c r="A1177" t="str">
        <f>TEXT(Table2[[#This Row],[dated]],"mmm")</f>
        <v>Dec</v>
      </c>
      <c r="B1177" t="s">
        <v>52</v>
      </c>
      <c r="C1177" s="1" t="s">
        <v>536</v>
      </c>
      <c r="D1177" t="str">
        <f>VLOOKUP(Table2[[#This Row],[product]],Ref[#All],7,FALSE)</f>
        <v>Rice</v>
      </c>
      <c r="E1177" s="1" t="s">
        <v>176</v>
      </c>
      <c r="F1177" t="str">
        <f>VLOOKUP(Table2[[#This Row],[product]],Ref[#All],2,FALSE)</f>
        <v>Rice Long Grade 1 Elngm 20Kg</v>
      </c>
      <c r="G1177" t="str">
        <f>VLOOKUP(Table2[[#This Row],[product]],Ref[#All],3,FALSE)</f>
        <v>Rice Long Grain</v>
      </c>
      <c r="H1177" t="str">
        <f>VLOOKUP(Table2[[#This Row],[product]],Ref[#All],4,FALSE)</f>
        <v>Import</v>
      </c>
      <c r="I1177" s="1">
        <v>45994</v>
      </c>
      <c r="J1177" s="28" t="s">
        <v>53</v>
      </c>
      <c r="K1177" s="33" t="s">
        <v>3190</v>
      </c>
      <c r="L1177" t="s">
        <v>1651</v>
      </c>
      <c r="M1177" t="s">
        <v>1586</v>
      </c>
      <c r="N1177" t="s">
        <v>784</v>
      </c>
      <c r="O1177" t="s">
        <v>785</v>
      </c>
      <c r="P1177" t="s">
        <v>788</v>
      </c>
      <c r="Q1177" s="33" t="s">
        <v>55</v>
      </c>
      <c r="R1177" s="78">
        <v>-2</v>
      </c>
      <c r="S1177" s="15">
        <f>Table2[[#This Row],[movement_quantity]]/VLOOKUP(Table2[[#This Row],[product]],Ref[#All],5,FALSE)</f>
        <v>-0.04</v>
      </c>
      <c r="T1177">
        <v>23264.08728</v>
      </c>
      <c r="U1177" t="s">
        <v>17</v>
      </c>
      <c r="V1177" t="s">
        <v>18</v>
      </c>
      <c r="W1177" t="s">
        <v>3298</v>
      </c>
      <c r="X1177" t="s">
        <v>17</v>
      </c>
      <c r="Y1177" s="2" t="s">
        <v>3245</v>
      </c>
      <c r="Z1177">
        <v>0</v>
      </c>
      <c r="AA1177" s="2">
        <v>-46528.174559999999</v>
      </c>
      <c r="AB1177" t="str">
        <f>VLOOKUP(Table2[[#This Row],[product]],Ref[#All],6,FALSE)</f>
        <v>BAG20</v>
      </c>
    </row>
    <row r="1178" spans="1:28" x14ac:dyDescent="0.25">
      <c r="A1178" t="str">
        <f>TEXT(Table2[[#This Row],[dated]],"mmm")</f>
        <v>Dec</v>
      </c>
      <c r="B1178" t="s">
        <v>52</v>
      </c>
      <c r="C1178" s="1" t="s">
        <v>536</v>
      </c>
      <c r="D1178" t="str">
        <f>VLOOKUP(Table2[[#This Row],[product]],Ref[#All],7,FALSE)</f>
        <v>Rice</v>
      </c>
      <c r="E1178" s="1" t="s">
        <v>176</v>
      </c>
      <c r="F1178" t="str">
        <f>VLOOKUP(Table2[[#This Row],[product]],Ref[#All],2,FALSE)</f>
        <v>Rice Long Grade 1 Elngm 20Kg</v>
      </c>
      <c r="G1178" t="str">
        <f>VLOOKUP(Table2[[#This Row],[product]],Ref[#All],3,FALSE)</f>
        <v>Rice Long Grain</v>
      </c>
      <c r="H1178" t="str">
        <f>VLOOKUP(Table2[[#This Row],[product]],Ref[#All],4,FALSE)</f>
        <v>Import</v>
      </c>
      <c r="I1178" s="1">
        <v>45994</v>
      </c>
      <c r="J1178" s="28" t="s">
        <v>53</v>
      </c>
      <c r="K1178" s="33" t="s">
        <v>3191</v>
      </c>
      <c r="L1178" t="s">
        <v>1651</v>
      </c>
      <c r="M1178" t="s">
        <v>1586</v>
      </c>
      <c r="N1178" t="s">
        <v>784</v>
      </c>
      <c r="O1178" t="s">
        <v>785</v>
      </c>
      <c r="P1178" t="s">
        <v>788</v>
      </c>
      <c r="Q1178" s="33" t="s">
        <v>55</v>
      </c>
      <c r="R1178" s="78">
        <v>-1</v>
      </c>
      <c r="S1178" s="15">
        <f>Table2[[#This Row],[movement_quantity]]/VLOOKUP(Table2[[#This Row],[product]],Ref[#All],5,FALSE)</f>
        <v>-0.02</v>
      </c>
      <c r="T1178">
        <v>23264.08728</v>
      </c>
      <c r="U1178" t="s">
        <v>17</v>
      </c>
      <c r="V1178" t="s">
        <v>21</v>
      </c>
      <c r="W1178" t="s">
        <v>3299</v>
      </c>
      <c r="X1178" t="s">
        <v>17</v>
      </c>
      <c r="Y1178" s="2" t="s">
        <v>3245</v>
      </c>
      <c r="Z1178">
        <v>0</v>
      </c>
      <c r="AA1178" s="2">
        <v>-23264.08728</v>
      </c>
      <c r="AB1178" t="str">
        <f>VLOOKUP(Table2[[#This Row],[product]],Ref[#All],6,FALSE)</f>
        <v>BAG20</v>
      </c>
    </row>
    <row r="1179" spans="1:28" x14ac:dyDescent="0.25">
      <c r="A1179" t="str">
        <f>TEXT(Table2[[#This Row],[dated]],"mmm")</f>
        <v>Dec</v>
      </c>
      <c r="B1179" t="s">
        <v>52</v>
      </c>
      <c r="C1179" s="1" t="s">
        <v>536</v>
      </c>
      <c r="D1179" t="str">
        <f>VLOOKUP(Table2[[#This Row],[product]],Ref[#All],7,FALSE)</f>
        <v>Lentils</v>
      </c>
      <c r="E1179" s="1" t="s">
        <v>39</v>
      </c>
      <c r="F1179" t="str">
        <f>VLOOKUP(Table2[[#This Row],[product]],Ref[#All],2,FALSE)</f>
        <v>Lentil TAT 20KG</v>
      </c>
      <c r="G1179" t="str">
        <f>VLOOKUP(Table2[[#This Row],[product]],Ref[#All],3,FALSE)</f>
        <v>Lentils</v>
      </c>
      <c r="H1179" t="str">
        <f>VLOOKUP(Table2[[#This Row],[product]],Ref[#All],4,FALSE)</f>
        <v>Import</v>
      </c>
      <c r="I1179" s="1">
        <v>45994</v>
      </c>
      <c r="J1179" s="28" t="s">
        <v>53</v>
      </c>
      <c r="K1179" s="33" t="s">
        <v>3192</v>
      </c>
      <c r="L1179" t="s">
        <v>1651</v>
      </c>
      <c r="M1179" t="s">
        <v>1586</v>
      </c>
      <c r="N1179" t="s">
        <v>784</v>
      </c>
      <c r="O1179" t="s">
        <v>785</v>
      </c>
      <c r="P1179" t="s">
        <v>788</v>
      </c>
      <c r="Q1179" s="33" t="s">
        <v>55</v>
      </c>
      <c r="R1179" s="78">
        <v>-3</v>
      </c>
      <c r="S1179" s="15">
        <f>Table2[[#This Row],[movement_quantity]]/VLOOKUP(Table2[[#This Row],[product]],Ref[#All],5,FALSE)</f>
        <v>-0.06</v>
      </c>
      <c r="T1179">
        <v>42710.736519999999</v>
      </c>
      <c r="U1179" t="s">
        <v>17</v>
      </c>
      <c r="V1179" t="s">
        <v>18</v>
      </c>
      <c r="W1179" t="s">
        <v>3300</v>
      </c>
      <c r="X1179" t="s">
        <v>17</v>
      </c>
      <c r="Y1179" s="2" t="s">
        <v>3301</v>
      </c>
      <c r="Z1179">
        <v>0</v>
      </c>
      <c r="AA1179" s="2">
        <v>-128132.20955999999</v>
      </c>
      <c r="AB1179" t="str">
        <f>VLOOKUP(Table2[[#This Row],[product]],Ref[#All],6,FALSE)</f>
        <v>BAG20</v>
      </c>
    </row>
    <row r="1180" spans="1:28" x14ac:dyDescent="0.25">
      <c r="A1180" t="str">
        <f>TEXT(Table2[[#This Row],[dated]],"mmm")</f>
        <v>Dec</v>
      </c>
      <c r="B1180" t="s">
        <v>52</v>
      </c>
      <c r="C1180" s="1" t="s">
        <v>536</v>
      </c>
      <c r="D1180" t="str">
        <f>VLOOKUP(Table2[[#This Row],[product]],Ref[#All],7,FALSE)</f>
        <v>Lentils</v>
      </c>
      <c r="E1180" s="1" t="s">
        <v>39</v>
      </c>
      <c r="F1180" t="str">
        <f>VLOOKUP(Table2[[#This Row],[product]],Ref[#All],2,FALSE)</f>
        <v>Lentil TAT 20KG</v>
      </c>
      <c r="G1180" t="str">
        <f>VLOOKUP(Table2[[#This Row],[product]],Ref[#All],3,FALSE)</f>
        <v>Lentils</v>
      </c>
      <c r="H1180" t="str">
        <f>VLOOKUP(Table2[[#This Row],[product]],Ref[#All],4,FALSE)</f>
        <v>Import</v>
      </c>
      <c r="I1180" s="1">
        <v>45994</v>
      </c>
      <c r="J1180" s="28" t="s">
        <v>53</v>
      </c>
      <c r="K1180" s="33" t="s">
        <v>3193</v>
      </c>
      <c r="L1180" t="s">
        <v>1651</v>
      </c>
      <c r="M1180" t="s">
        <v>1586</v>
      </c>
      <c r="N1180" t="s">
        <v>784</v>
      </c>
      <c r="O1180" t="s">
        <v>785</v>
      </c>
      <c r="P1180" t="s">
        <v>788</v>
      </c>
      <c r="Q1180" s="33" t="s">
        <v>55</v>
      </c>
      <c r="R1180" s="78">
        <v>-1</v>
      </c>
      <c r="S1180" s="15">
        <f>Table2[[#This Row],[movement_quantity]]/VLOOKUP(Table2[[#This Row],[product]],Ref[#All],5,FALSE)</f>
        <v>-0.02</v>
      </c>
      <c r="T1180">
        <v>42710.736519999999</v>
      </c>
      <c r="U1180" t="s">
        <v>17</v>
      </c>
      <c r="V1180" t="s">
        <v>21</v>
      </c>
      <c r="W1180" t="s">
        <v>3302</v>
      </c>
      <c r="X1180" t="s">
        <v>17</v>
      </c>
      <c r="Y1180" s="2" t="s">
        <v>3301</v>
      </c>
      <c r="Z1180">
        <v>0</v>
      </c>
      <c r="AA1180" s="2">
        <v>-42710.736519999999</v>
      </c>
      <c r="AB1180" t="str">
        <f>VLOOKUP(Table2[[#This Row],[product]],Ref[#All],6,FALSE)</f>
        <v>BAG20</v>
      </c>
    </row>
    <row r="1181" spans="1:28" x14ac:dyDescent="0.25">
      <c r="A1181" t="str">
        <f>TEXT(Table2[[#This Row],[dated]],"mmm")</f>
        <v>Dec</v>
      </c>
      <c r="B1181" t="s">
        <v>52</v>
      </c>
      <c r="C1181" s="1" t="s">
        <v>536</v>
      </c>
      <c r="D1181" t="str">
        <f>VLOOKUP(Table2[[#This Row],[product]],Ref[#All],7,FALSE)</f>
        <v>Lentils</v>
      </c>
      <c r="E1181" s="1" t="s">
        <v>39</v>
      </c>
      <c r="F1181" t="str">
        <f>VLOOKUP(Table2[[#This Row],[product]],Ref[#All],2,FALSE)</f>
        <v>Lentil TAT 20KG</v>
      </c>
      <c r="G1181" t="str">
        <f>VLOOKUP(Table2[[#This Row],[product]],Ref[#All],3,FALSE)</f>
        <v>Lentils</v>
      </c>
      <c r="H1181" t="str">
        <f>VLOOKUP(Table2[[#This Row],[product]],Ref[#All],4,FALSE)</f>
        <v>Import</v>
      </c>
      <c r="I1181" s="1">
        <v>45994</v>
      </c>
      <c r="J1181" s="28" t="s">
        <v>53</v>
      </c>
      <c r="K1181" s="33" t="s">
        <v>3194</v>
      </c>
      <c r="L1181" t="s">
        <v>1651</v>
      </c>
      <c r="M1181" t="s">
        <v>1586</v>
      </c>
      <c r="N1181" t="s">
        <v>784</v>
      </c>
      <c r="O1181" t="s">
        <v>785</v>
      </c>
      <c r="P1181" t="s">
        <v>788</v>
      </c>
      <c r="Q1181" s="33" t="s">
        <v>55</v>
      </c>
      <c r="R1181" s="78">
        <v>-3</v>
      </c>
      <c r="S1181" s="15">
        <f>Table2[[#This Row],[movement_quantity]]/VLOOKUP(Table2[[#This Row],[product]],Ref[#All],5,FALSE)</f>
        <v>-0.06</v>
      </c>
      <c r="T1181">
        <v>42710.736519999999</v>
      </c>
      <c r="U1181" t="s">
        <v>17</v>
      </c>
      <c r="V1181" t="s">
        <v>22</v>
      </c>
      <c r="W1181" t="s">
        <v>3303</v>
      </c>
      <c r="X1181" t="s">
        <v>17</v>
      </c>
      <c r="Y1181" s="2" t="s">
        <v>3301</v>
      </c>
      <c r="Z1181">
        <v>0</v>
      </c>
      <c r="AA1181" s="2">
        <v>-128132.20955999999</v>
      </c>
      <c r="AB1181" t="str">
        <f>VLOOKUP(Table2[[#This Row],[product]],Ref[#All],6,FALSE)</f>
        <v>BAG20</v>
      </c>
    </row>
    <row r="1182" spans="1:28" x14ac:dyDescent="0.25">
      <c r="A1182" t="str">
        <f>TEXT(Table2[[#This Row],[dated]],"mmm")</f>
        <v>Dec</v>
      </c>
      <c r="B1182" t="s">
        <v>30</v>
      </c>
      <c r="C1182" s="1" t="s">
        <v>536</v>
      </c>
      <c r="D1182" t="str">
        <f>VLOOKUP(Table2[[#This Row],[product]],Ref[#All],7,FALSE)</f>
        <v>Lentils</v>
      </c>
      <c r="E1182" s="1" t="s">
        <v>39</v>
      </c>
      <c r="F1182" t="str">
        <f>VLOOKUP(Table2[[#This Row],[product]],Ref[#All],2,FALSE)</f>
        <v>Lentil TAT 20KG</v>
      </c>
      <c r="G1182" t="str">
        <f>VLOOKUP(Table2[[#This Row],[product]],Ref[#All],3,FALSE)</f>
        <v>Lentils</v>
      </c>
      <c r="H1182" t="str">
        <f>VLOOKUP(Table2[[#This Row],[product]],Ref[#All],4,FALSE)</f>
        <v>Import</v>
      </c>
      <c r="I1182" s="1">
        <v>45994</v>
      </c>
      <c r="J1182" s="28" t="s">
        <v>53</v>
      </c>
      <c r="K1182" s="33" t="s">
        <v>3195</v>
      </c>
      <c r="L1182" t="s">
        <v>1651</v>
      </c>
      <c r="M1182" t="s">
        <v>1586</v>
      </c>
      <c r="N1182" t="s">
        <v>784</v>
      </c>
      <c r="O1182" t="s">
        <v>785</v>
      </c>
      <c r="P1182" t="s">
        <v>788</v>
      </c>
      <c r="Q1182" s="33" t="s">
        <v>55</v>
      </c>
      <c r="R1182" s="78">
        <v>-1</v>
      </c>
      <c r="S1182" s="15">
        <f>Table2[[#This Row],[movement_quantity]]/VLOOKUP(Table2[[#This Row],[product]],Ref[#All],5,FALSE)</f>
        <v>-0.02</v>
      </c>
      <c r="T1182">
        <v>42710.736519999999</v>
      </c>
      <c r="U1182" t="s">
        <v>17</v>
      </c>
      <c r="V1182" t="s">
        <v>18</v>
      </c>
      <c r="W1182" t="s">
        <v>3304</v>
      </c>
      <c r="X1182" t="s">
        <v>17</v>
      </c>
      <c r="Y1182" s="2" t="s">
        <v>3301</v>
      </c>
      <c r="Z1182">
        <v>0</v>
      </c>
      <c r="AA1182" s="2">
        <v>-42710.736519999999</v>
      </c>
      <c r="AB1182" t="str">
        <f>VLOOKUP(Table2[[#This Row],[product]],Ref[#All],6,FALSE)</f>
        <v>BAG20</v>
      </c>
    </row>
    <row r="1183" spans="1:28" x14ac:dyDescent="0.25">
      <c r="A1183" t="str">
        <f>TEXT(Table2[[#This Row],[dated]],"mmm")</f>
        <v>Dec</v>
      </c>
      <c r="B1183" t="s">
        <v>596</v>
      </c>
      <c r="C1183" s="1" t="s">
        <v>536</v>
      </c>
      <c r="D1183" t="str">
        <f>VLOOKUP(Table2[[#This Row],[product]],Ref[#All],7,FALSE)</f>
        <v>Lentils</v>
      </c>
      <c r="E1183" s="1" t="s">
        <v>39</v>
      </c>
      <c r="F1183" t="str">
        <f>VLOOKUP(Table2[[#This Row],[product]],Ref[#All],2,FALSE)</f>
        <v>Lentil TAT 20KG</v>
      </c>
      <c r="G1183" t="str">
        <f>VLOOKUP(Table2[[#This Row],[product]],Ref[#All],3,FALSE)</f>
        <v>Lentils</v>
      </c>
      <c r="H1183" t="str">
        <f>VLOOKUP(Table2[[#This Row],[product]],Ref[#All],4,FALSE)</f>
        <v>Import</v>
      </c>
      <c r="I1183" s="1">
        <v>45994</v>
      </c>
      <c r="J1183" s="28" t="s">
        <v>53</v>
      </c>
      <c r="K1183" s="33" t="s">
        <v>3196</v>
      </c>
      <c r="L1183" t="s">
        <v>1651</v>
      </c>
      <c r="M1183" t="s">
        <v>1586</v>
      </c>
      <c r="N1183" t="s">
        <v>784</v>
      </c>
      <c r="O1183" t="s">
        <v>785</v>
      </c>
      <c r="P1183" t="s">
        <v>788</v>
      </c>
      <c r="Q1183" s="33" t="s">
        <v>55</v>
      </c>
      <c r="R1183" s="78">
        <v>-2</v>
      </c>
      <c r="S1183" s="15">
        <f>Table2[[#This Row],[movement_quantity]]/VLOOKUP(Table2[[#This Row],[product]],Ref[#All],5,FALSE)</f>
        <v>-0.04</v>
      </c>
      <c r="T1183">
        <v>42710.736519999999</v>
      </c>
      <c r="U1183" t="s">
        <v>17</v>
      </c>
      <c r="V1183" t="s">
        <v>18</v>
      </c>
      <c r="W1183" t="s">
        <v>3305</v>
      </c>
      <c r="X1183" t="s">
        <v>17</v>
      </c>
      <c r="Y1183" s="2" t="s">
        <v>3301</v>
      </c>
      <c r="Z1183">
        <v>0</v>
      </c>
      <c r="AA1183" s="2">
        <v>-85421.473039999997</v>
      </c>
      <c r="AB1183" t="str">
        <f>VLOOKUP(Table2[[#This Row],[product]],Ref[#All],6,FALSE)</f>
        <v>BAG20</v>
      </c>
    </row>
    <row r="1184" spans="1:28" x14ac:dyDescent="0.25">
      <c r="A1184" t="str">
        <f>TEXT(Table2[[#This Row],[dated]],"mmm")</f>
        <v>Dec</v>
      </c>
      <c r="B1184" t="s">
        <v>596</v>
      </c>
      <c r="C1184" s="1" t="s">
        <v>536</v>
      </c>
      <c r="D1184" t="str">
        <f>VLOOKUP(Table2[[#This Row],[product]],Ref[#All],7,FALSE)</f>
        <v>Lentils</v>
      </c>
      <c r="E1184" s="1" t="s">
        <v>39</v>
      </c>
      <c r="F1184" t="str">
        <f>VLOOKUP(Table2[[#This Row],[product]],Ref[#All],2,FALSE)</f>
        <v>Lentil TAT 20KG</v>
      </c>
      <c r="G1184" t="str">
        <f>VLOOKUP(Table2[[#This Row],[product]],Ref[#All],3,FALSE)</f>
        <v>Lentils</v>
      </c>
      <c r="H1184" t="str">
        <f>VLOOKUP(Table2[[#This Row],[product]],Ref[#All],4,FALSE)</f>
        <v>Import</v>
      </c>
      <c r="I1184" s="1">
        <v>45994</v>
      </c>
      <c r="J1184" s="28" t="s">
        <v>53</v>
      </c>
      <c r="K1184" s="33" t="s">
        <v>3197</v>
      </c>
      <c r="L1184" t="s">
        <v>1651</v>
      </c>
      <c r="M1184" t="s">
        <v>1586</v>
      </c>
      <c r="N1184" t="s">
        <v>784</v>
      </c>
      <c r="O1184" t="s">
        <v>785</v>
      </c>
      <c r="P1184" t="s">
        <v>788</v>
      </c>
      <c r="Q1184" s="33" t="s">
        <v>55</v>
      </c>
      <c r="R1184" s="78">
        <v>-1</v>
      </c>
      <c r="S1184" s="15">
        <f>Table2[[#This Row],[movement_quantity]]/VLOOKUP(Table2[[#This Row],[product]],Ref[#All],5,FALSE)</f>
        <v>-0.02</v>
      </c>
      <c r="T1184">
        <v>42710.736519999999</v>
      </c>
      <c r="U1184" t="s">
        <v>17</v>
      </c>
      <c r="V1184" t="s">
        <v>21</v>
      </c>
      <c r="W1184" t="s">
        <v>3306</v>
      </c>
      <c r="X1184" t="s">
        <v>17</v>
      </c>
      <c r="Y1184" s="2" t="s">
        <v>3301</v>
      </c>
      <c r="Z1184">
        <v>0</v>
      </c>
      <c r="AA1184" s="2">
        <v>-42710.736519999999</v>
      </c>
      <c r="AB1184" t="str">
        <f>VLOOKUP(Table2[[#This Row],[product]],Ref[#All],6,FALSE)</f>
        <v>BAG20</v>
      </c>
    </row>
    <row r="1185" spans="1:28" x14ac:dyDescent="0.25">
      <c r="A1185" t="str">
        <f>TEXT(Table2[[#This Row],[dated]],"mmm")</f>
        <v>Dec</v>
      </c>
      <c r="B1185" t="s">
        <v>52</v>
      </c>
      <c r="C1185" s="1" t="s">
        <v>2726</v>
      </c>
      <c r="D1185" t="str">
        <f>VLOOKUP(Table2[[#This Row],[product]],Ref[#All],7,FALSE)</f>
        <v>Flour</v>
      </c>
      <c r="E1185" s="1" t="s">
        <v>42</v>
      </c>
      <c r="F1185" t="str">
        <f>VLOOKUP(Table2[[#This Row],[product]],Ref[#All],2,FALSE)</f>
        <v>Alnajm Flour from Mill 25KG</v>
      </c>
      <c r="G1185" t="str">
        <f>VLOOKUP(Table2[[#This Row],[product]],Ref[#All],3,FALSE)</f>
        <v>Flour Al-Nagm (Mill)</v>
      </c>
      <c r="H1185" t="str">
        <f>VLOOKUP(Table2[[#This Row],[product]],Ref[#All],4,FALSE)</f>
        <v>Import</v>
      </c>
      <c r="I1185" s="1">
        <v>45994</v>
      </c>
      <c r="J1185" s="28" t="s">
        <v>127</v>
      </c>
      <c r="K1185" s="33" t="s">
        <v>3198</v>
      </c>
      <c r="L1185" t="s">
        <v>1652</v>
      </c>
      <c r="M1185" t="s">
        <v>1593</v>
      </c>
      <c r="N1185" t="s">
        <v>784</v>
      </c>
      <c r="O1185" t="s">
        <v>1593</v>
      </c>
      <c r="P1185" t="s">
        <v>788</v>
      </c>
      <c r="Q1185" s="33" t="s">
        <v>55</v>
      </c>
      <c r="R1185" s="78">
        <v>1</v>
      </c>
      <c r="S1185" s="15">
        <f>Table2[[#This Row],[movement_quantity]]/VLOOKUP(Table2[[#This Row],[product]],Ref[#All],5,FALSE)</f>
        <v>2.5000000000000001E-2</v>
      </c>
      <c r="T1185">
        <v>24102.081340000001</v>
      </c>
      <c r="U1185" t="s">
        <v>153</v>
      </c>
      <c r="V1185" t="s">
        <v>18</v>
      </c>
      <c r="W1185" t="s">
        <v>3307</v>
      </c>
      <c r="X1185" t="s">
        <v>3308</v>
      </c>
      <c r="Y1185" s="2" t="s">
        <v>17</v>
      </c>
      <c r="Z1185">
        <v>0</v>
      </c>
      <c r="AA1185" s="2">
        <v>24102.081340000001</v>
      </c>
      <c r="AB1185" t="str">
        <f>VLOOKUP(Table2[[#This Row],[product]],Ref[#All],6,FALSE)</f>
        <v>BAG25</v>
      </c>
    </row>
    <row r="1186" spans="1:28" x14ac:dyDescent="0.25">
      <c r="A1186" t="str">
        <f>TEXT(Table2[[#This Row],[dated]],"mmm")</f>
        <v>Dec</v>
      </c>
      <c r="B1186" t="s">
        <v>52</v>
      </c>
      <c r="C1186" s="1" t="s">
        <v>2726</v>
      </c>
      <c r="D1186" t="str">
        <f>VLOOKUP(Table2[[#This Row],[product]],Ref[#All],7,FALSE)</f>
        <v>Flour</v>
      </c>
      <c r="E1186" s="1" t="s">
        <v>42</v>
      </c>
      <c r="F1186" t="str">
        <f>VLOOKUP(Table2[[#This Row],[product]],Ref[#All],2,FALSE)</f>
        <v>Alnajm Flour from Mill 25KG</v>
      </c>
      <c r="G1186" t="str">
        <f>VLOOKUP(Table2[[#This Row],[product]],Ref[#All],3,FALSE)</f>
        <v>Flour Al-Nagm (Mill)</v>
      </c>
      <c r="H1186" t="str">
        <f>VLOOKUP(Table2[[#This Row],[product]],Ref[#All],4,FALSE)</f>
        <v>Import</v>
      </c>
      <c r="I1186" s="1">
        <v>45994</v>
      </c>
      <c r="J1186" s="28" t="s">
        <v>127</v>
      </c>
      <c r="K1186" s="33" t="s">
        <v>3199</v>
      </c>
      <c r="L1186" t="s">
        <v>1652</v>
      </c>
      <c r="M1186" t="s">
        <v>1593</v>
      </c>
      <c r="N1186" t="s">
        <v>784</v>
      </c>
      <c r="O1186" t="s">
        <v>1593</v>
      </c>
      <c r="P1186" t="s">
        <v>788</v>
      </c>
      <c r="Q1186" s="33" t="s">
        <v>55</v>
      </c>
      <c r="R1186" s="78">
        <v>1</v>
      </c>
      <c r="S1186" s="15">
        <f>Table2[[#This Row],[movement_quantity]]/VLOOKUP(Table2[[#This Row],[product]],Ref[#All],5,FALSE)</f>
        <v>2.5000000000000001E-2</v>
      </c>
      <c r="T1186">
        <v>24102.081340000001</v>
      </c>
      <c r="U1186" t="s">
        <v>153</v>
      </c>
      <c r="V1186" t="s">
        <v>21</v>
      </c>
      <c r="W1186" t="s">
        <v>3309</v>
      </c>
      <c r="X1186" t="s">
        <v>3310</v>
      </c>
      <c r="Y1186" s="2" t="s">
        <v>17</v>
      </c>
      <c r="Z1186">
        <v>0</v>
      </c>
      <c r="AA1186" s="2">
        <v>24102.081340000001</v>
      </c>
      <c r="AB1186" t="str">
        <f>VLOOKUP(Table2[[#This Row],[product]],Ref[#All],6,FALSE)</f>
        <v>BAG25</v>
      </c>
    </row>
    <row r="1187" spans="1:28" x14ac:dyDescent="0.25">
      <c r="A1187" t="str">
        <f>TEXT(Table2[[#This Row],[dated]],"mmm")</f>
        <v>Dec</v>
      </c>
      <c r="B1187" t="s">
        <v>52</v>
      </c>
      <c r="C1187" s="1" t="s">
        <v>2726</v>
      </c>
      <c r="D1187" t="str">
        <f>VLOOKUP(Table2[[#This Row],[product]],Ref[#All],7,FALSE)</f>
        <v>Flour</v>
      </c>
      <c r="E1187" s="1" t="s">
        <v>42</v>
      </c>
      <c r="F1187" t="str">
        <f>VLOOKUP(Table2[[#This Row],[product]],Ref[#All],2,FALSE)</f>
        <v>Alnajm Flour from Mill 25KG</v>
      </c>
      <c r="G1187" t="str">
        <f>VLOOKUP(Table2[[#This Row],[product]],Ref[#All],3,FALSE)</f>
        <v>Flour Al-Nagm (Mill)</v>
      </c>
      <c r="H1187" t="str">
        <f>VLOOKUP(Table2[[#This Row],[product]],Ref[#All],4,FALSE)</f>
        <v>Import</v>
      </c>
      <c r="I1187" s="1">
        <v>45994</v>
      </c>
      <c r="J1187" s="28" t="s">
        <v>127</v>
      </c>
      <c r="K1187" s="33" t="s">
        <v>3200</v>
      </c>
      <c r="L1187" t="s">
        <v>1652</v>
      </c>
      <c r="M1187" t="s">
        <v>1593</v>
      </c>
      <c r="N1187" t="s">
        <v>784</v>
      </c>
      <c r="O1187" t="s">
        <v>1593</v>
      </c>
      <c r="P1187" t="s">
        <v>788</v>
      </c>
      <c r="Q1187" s="33" t="s">
        <v>55</v>
      </c>
      <c r="R1187" s="78">
        <v>1</v>
      </c>
      <c r="S1187" s="15">
        <f>Table2[[#This Row],[movement_quantity]]/VLOOKUP(Table2[[#This Row],[product]],Ref[#All],5,FALSE)</f>
        <v>2.5000000000000001E-2</v>
      </c>
      <c r="T1187">
        <v>24102.081340000001</v>
      </c>
      <c r="U1187" t="s">
        <v>153</v>
      </c>
      <c r="V1187" t="s">
        <v>22</v>
      </c>
      <c r="W1187" t="s">
        <v>3311</v>
      </c>
      <c r="X1187" t="s">
        <v>3312</v>
      </c>
      <c r="Y1187" s="2" t="s">
        <v>17</v>
      </c>
      <c r="Z1187">
        <v>0</v>
      </c>
      <c r="AA1187" s="2">
        <v>24102.081340000001</v>
      </c>
      <c r="AB1187" t="str">
        <f>VLOOKUP(Table2[[#This Row],[product]],Ref[#All],6,FALSE)</f>
        <v>BAG25</v>
      </c>
    </row>
    <row r="1188" spans="1:28" x14ac:dyDescent="0.25">
      <c r="A1188" t="str">
        <f>TEXT(Table2[[#This Row],[dated]],"mmm")</f>
        <v>Dec</v>
      </c>
      <c r="B1188" t="s">
        <v>125</v>
      </c>
      <c r="C1188" s="1" t="s">
        <v>538</v>
      </c>
      <c r="D1188" t="str">
        <f>VLOOKUP(Table2[[#This Row],[product]],Ref[#All],7,FALSE)</f>
        <v>Sesame Gadarif</v>
      </c>
      <c r="E1188" s="1" t="s">
        <v>131</v>
      </c>
      <c r="F1188" t="str">
        <f>VLOOKUP(Table2[[#This Row],[product]],Ref[#All],2,FALSE)</f>
        <v>Gadarif Sesame - FG</v>
      </c>
      <c r="G1188" t="str">
        <f>VLOOKUP(Table2[[#This Row],[product]],Ref[#All],3,FALSE)</f>
        <v>Gadarif Sesame - FG</v>
      </c>
      <c r="H1188" t="str">
        <f>VLOOKUP(Table2[[#This Row],[product]],Ref[#All],4,FALSE)</f>
        <v>Export</v>
      </c>
      <c r="I1188" s="1">
        <v>45998</v>
      </c>
      <c r="J1188" s="28" t="s">
        <v>53</v>
      </c>
      <c r="K1188" s="33" t="s">
        <v>3201</v>
      </c>
      <c r="L1188" t="s">
        <v>3356</v>
      </c>
      <c r="M1188" t="s">
        <v>1586</v>
      </c>
      <c r="N1188" t="s">
        <v>784</v>
      </c>
      <c r="O1188" t="s">
        <v>1680</v>
      </c>
      <c r="P1188" t="s">
        <v>788</v>
      </c>
      <c r="Q1188" s="33" t="s">
        <v>55</v>
      </c>
      <c r="R1188" s="78">
        <v>-3</v>
      </c>
      <c r="S1188" s="15">
        <f>Table2[[#This Row],[movement_quantity]]/VLOOKUP(Table2[[#This Row],[product]],Ref[#All],5,FALSE)</f>
        <v>-0.15</v>
      </c>
      <c r="T1188">
        <v>189125.99893999999</v>
      </c>
      <c r="U1188" t="s">
        <v>17</v>
      </c>
      <c r="V1188" t="s">
        <v>18</v>
      </c>
      <c r="W1188" t="s">
        <v>3313</v>
      </c>
      <c r="X1188" t="s">
        <v>17</v>
      </c>
      <c r="Y1188" s="2" t="s">
        <v>3314</v>
      </c>
      <c r="Z1188">
        <v>0</v>
      </c>
      <c r="AA1188" s="2">
        <v>-567377.99682</v>
      </c>
      <c r="AB1188" t="str">
        <f>VLOOKUP(Table2[[#This Row],[product]],Ref[#All],6,FALSE)</f>
        <v>BAG50</v>
      </c>
    </row>
    <row r="1189" spans="1:28" x14ac:dyDescent="0.25">
      <c r="A1189" t="str">
        <f>TEXT(Table2[[#This Row],[dated]],"mmm")</f>
        <v>Dec</v>
      </c>
      <c r="B1189" t="s">
        <v>20</v>
      </c>
      <c r="C1189" s="1" t="s">
        <v>2728</v>
      </c>
      <c r="D1189" t="str">
        <f>VLOOKUP(Table2[[#This Row],[product]],Ref[#All],7,FALSE)</f>
        <v>Lentils</v>
      </c>
      <c r="E1189" s="1" t="s">
        <v>39</v>
      </c>
      <c r="F1189" t="str">
        <f>VLOOKUP(Table2[[#This Row],[product]],Ref[#All],2,FALSE)</f>
        <v>Lentil TAT 20KG</v>
      </c>
      <c r="G1189" t="str">
        <f>VLOOKUP(Table2[[#This Row],[product]],Ref[#All],3,FALSE)</f>
        <v>Lentils</v>
      </c>
      <c r="H1189" t="str">
        <f>VLOOKUP(Table2[[#This Row],[product]],Ref[#All],4,FALSE)</f>
        <v>Import</v>
      </c>
      <c r="I1189" s="1">
        <v>45999</v>
      </c>
      <c r="J1189" s="28" t="s">
        <v>53</v>
      </c>
      <c r="K1189" s="33" t="s">
        <v>3202</v>
      </c>
      <c r="L1189" t="s">
        <v>3362</v>
      </c>
      <c r="M1189" t="s">
        <v>1586</v>
      </c>
      <c r="N1189" t="s">
        <v>784</v>
      </c>
      <c r="O1189" t="s">
        <v>786</v>
      </c>
      <c r="P1189" t="s">
        <v>1598</v>
      </c>
      <c r="Q1189" s="33" t="s">
        <v>55</v>
      </c>
      <c r="R1189" s="78">
        <v>-28</v>
      </c>
      <c r="S1189" s="15">
        <f>Table2[[#This Row],[movement_quantity]]/VLOOKUP(Table2[[#This Row],[product]],Ref[#All],5,FALSE)</f>
        <v>-0.56000000000000005</v>
      </c>
      <c r="T1189">
        <v>42710.736519999999</v>
      </c>
      <c r="U1189" t="s">
        <v>17</v>
      </c>
      <c r="V1189" t="s">
        <v>28</v>
      </c>
      <c r="W1189" t="s">
        <v>3315</v>
      </c>
      <c r="X1189" t="s">
        <v>17</v>
      </c>
      <c r="Y1189" s="2" t="s">
        <v>3316</v>
      </c>
      <c r="Z1189">
        <v>0</v>
      </c>
      <c r="AA1189" s="2">
        <v>-1195900.62256</v>
      </c>
      <c r="AB1189" t="str">
        <f>VLOOKUP(Table2[[#This Row],[product]],Ref[#All],6,FALSE)</f>
        <v>BAG20</v>
      </c>
    </row>
    <row r="1190" spans="1:28" x14ac:dyDescent="0.25">
      <c r="A1190" t="str">
        <f>TEXT(Table2[[#This Row],[dated]],"mmm")</f>
        <v>Dec</v>
      </c>
      <c r="B1190" t="s">
        <v>20</v>
      </c>
      <c r="C1190" s="1" t="s">
        <v>2729</v>
      </c>
      <c r="D1190" t="str">
        <f>VLOOKUP(Table2[[#This Row],[product]],Ref[#All],7,FALSE)</f>
        <v>Lentils</v>
      </c>
      <c r="E1190" s="1" t="s">
        <v>39</v>
      </c>
      <c r="F1190" t="str">
        <f>VLOOKUP(Table2[[#This Row],[product]],Ref[#All],2,FALSE)</f>
        <v>Lentil TAT 20KG</v>
      </c>
      <c r="G1190" t="str">
        <f>VLOOKUP(Table2[[#This Row],[product]],Ref[#All],3,FALSE)</f>
        <v>Lentils</v>
      </c>
      <c r="H1190" t="str">
        <f>VLOOKUP(Table2[[#This Row],[product]],Ref[#All],4,FALSE)</f>
        <v>Import</v>
      </c>
      <c r="I1190" s="1">
        <v>45999</v>
      </c>
      <c r="J1190" s="28" t="s">
        <v>127</v>
      </c>
      <c r="K1190" s="33" t="s">
        <v>3203</v>
      </c>
      <c r="L1190" t="s">
        <v>3363</v>
      </c>
      <c r="M1190" t="s">
        <v>1593</v>
      </c>
      <c r="N1190" t="s">
        <v>784</v>
      </c>
      <c r="O1190" t="s">
        <v>1593</v>
      </c>
      <c r="P1190" t="s">
        <v>788</v>
      </c>
      <c r="Q1190" s="33" t="s">
        <v>55</v>
      </c>
      <c r="R1190" s="78">
        <v>19</v>
      </c>
      <c r="S1190" s="15">
        <f>Table2[[#This Row],[movement_quantity]]/VLOOKUP(Table2[[#This Row],[product]],Ref[#All],5,FALSE)</f>
        <v>0.38</v>
      </c>
      <c r="T1190">
        <v>42710.736519999999</v>
      </c>
      <c r="U1190" t="s">
        <v>1439</v>
      </c>
      <c r="V1190" t="s">
        <v>21</v>
      </c>
      <c r="W1190" t="s">
        <v>3317</v>
      </c>
      <c r="X1190" t="s">
        <v>3318</v>
      </c>
      <c r="Y1190" s="2" t="s">
        <v>17</v>
      </c>
      <c r="Z1190">
        <v>0</v>
      </c>
      <c r="AA1190" s="2">
        <v>811503.99387999997</v>
      </c>
      <c r="AB1190" t="str">
        <f>VLOOKUP(Table2[[#This Row],[product]],Ref[#All],6,FALSE)</f>
        <v>BAG20</v>
      </c>
    </row>
    <row r="1191" spans="1:28" x14ac:dyDescent="0.25">
      <c r="A1191" t="str">
        <f>TEXT(Table2[[#This Row],[dated]],"mmm")</f>
        <v>Dec</v>
      </c>
      <c r="B1191" t="s">
        <v>20</v>
      </c>
      <c r="C1191" s="1" t="s">
        <v>2729</v>
      </c>
      <c r="D1191" t="str">
        <f>VLOOKUP(Table2[[#This Row],[product]],Ref[#All],7,FALSE)</f>
        <v>Lentils</v>
      </c>
      <c r="E1191" s="1" t="s">
        <v>39</v>
      </c>
      <c r="F1191" t="str">
        <f>VLOOKUP(Table2[[#This Row],[product]],Ref[#All],2,FALSE)</f>
        <v>Lentil TAT 20KG</v>
      </c>
      <c r="G1191" t="str">
        <f>VLOOKUP(Table2[[#This Row],[product]],Ref[#All],3,FALSE)</f>
        <v>Lentils</v>
      </c>
      <c r="H1191" t="str">
        <f>VLOOKUP(Table2[[#This Row],[product]],Ref[#All],4,FALSE)</f>
        <v>Import</v>
      </c>
      <c r="I1191" s="1">
        <v>45999</v>
      </c>
      <c r="J1191" s="28" t="s">
        <v>127</v>
      </c>
      <c r="K1191" s="33" t="s">
        <v>3204</v>
      </c>
      <c r="L1191" t="s">
        <v>3364</v>
      </c>
      <c r="M1191" t="s">
        <v>1593</v>
      </c>
      <c r="N1191" t="s">
        <v>784</v>
      </c>
      <c r="O1191" t="s">
        <v>1593</v>
      </c>
      <c r="P1191" t="s">
        <v>788</v>
      </c>
      <c r="Q1191" s="33" t="s">
        <v>55</v>
      </c>
      <c r="R1191" s="78">
        <v>18</v>
      </c>
      <c r="S1191" s="15">
        <f>Table2[[#This Row],[movement_quantity]]/VLOOKUP(Table2[[#This Row],[product]],Ref[#All],5,FALSE)</f>
        <v>0.36</v>
      </c>
      <c r="T1191">
        <v>42710.736519999999</v>
      </c>
      <c r="U1191" t="s">
        <v>1439</v>
      </c>
      <c r="V1191" t="s">
        <v>22</v>
      </c>
      <c r="W1191" t="s">
        <v>3319</v>
      </c>
      <c r="X1191" t="s">
        <v>3320</v>
      </c>
      <c r="Y1191" s="2" t="s">
        <v>17</v>
      </c>
      <c r="Z1191">
        <v>0</v>
      </c>
      <c r="AA1191" s="2">
        <v>768793.25735999993</v>
      </c>
      <c r="AB1191" t="str">
        <f>VLOOKUP(Table2[[#This Row],[product]],Ref[#All],6,FALSE)</f>
        <v>BAG20</v>
      </c>
    </row>
    <row r="1192" spans="1:28" x14ac:dyDescent="0.25">
      <c r="A1192" t="str">
        <f>TEXT(Table2[[#This Row],[dated]],"mmm")</f>
        <v>Dec</v>
      </c>
      <c r="B1192" t="s">
        <v>20</v>
      </c>
      <c r="C1192" s="1" t="s">
        <v>2729</v>
      </c>
      <c r="D1192" t="str">
        <f>VLOOKUP(Table2[[#This Row],[product]],Ref[#All],7,FALSE)</f>
        <v>Lentils</v>
      </c>
      <c r="E1192" s="1" t="s">
        <v>39</v>
      </c>
      <c r="F1192" t="str">
        <f>VLOOKUP(Table2[[#This Row],[product]],Ref[#All],2,FALSE)</f>
        <v>Lentil TAT 20KG</v>
      </c>
      <c r="G1192" t="str">
        <f>VLOOKUP(Table2[[#This Row],[product]],Ref[#All],3,FALSE)</f>
        <v>Lentils</v>
      </c>
      <c r="H1192" t="str">
        <f>VLOOKUP(Table2[[#This Row],[product]],Ref[#All],4,FALSE)</f>
        <v>Import</v>
      </c>
      <c r="I1192" s="1">
        <v>45999</v>
      </c>
      <c r="J1192" s="28" t="s">
        <v>127</v>
      </c>
      <c r="K1192" s="33" t="s">
        <v>3205</v>
      </c>
      <c r="L1192" t="s">
        <v>3365</v>
      </c>
      <c r="M1192" t="s">
        <v>1593</v>
      </c>
      <c r="N1192" t="s">
        <v>784</v>
      </c>
      <c r="O1192" t="s">
        <v>1593</v>
      </c>
      <c r="P1192" t="s">
        <v>788</v>
      </c>
      <c r="Q1192" s="33" t="s">
        <v>55</v>
      </c>
      <c r="R1192" s="78">
        <v>19</v>
      </c>
      <c r="S1192" s="15">
        <f>Table2[[#This Row],[movement_quantity]]/VLOOKUP(Table2[[#This Row],[product]],Ref[#All],5,FALSE)</f>
        <v>0.38</v>
      </c>
      <c r="T1192">
        <v>42710.736519999999</v>
      </c>
      <c r="U1192" t="s">
        <v>1439</v>
      </c>
      <c r="V1192" t="s">
        <v>23</v>
      </c>
      <c r="W1192" t="s">
        <v>3321</v>
      </c>
      <c r="X1192" t="s">
        <v>3322</v>
      </c>
      <c r="Y1192" s="2" t="s">
        <v>17</v>
      </c>
      <c r="Z1192">
        <v>0</v>
      </c>
      <c r="AA1192" s="2">
        <v>811503.99387999997</v>
      </c>
      <c r="AB1192" t="str">
        <f>VLOOKUP(Table2[[#This Row],[product]],Ref[#All],6,FALSE)</f>
        <v>BAG20</v>
      </c>
    </row>
    <row r="1193" spans="1:28" x14ac:dyDescent="0.25">
      <c r="A1193" t="str">
        <f>TEXT(Table2[[#This Row],[dated]],"mmm")</f>
        <v>Dec</v>
      </c>
      <c r="B1193" t="s">
        <v>20</v>
      </c>
      <c r="C1193" s="1" t="s">
        <v>2729</v>
      </c>
      <c r="D1193" t="str">
        <f>VLOOKUP(Table2[[#This Row],[product]],Ref[#All],7,FALSE)</f>
        <v>Lentils</v>
      </c>
      <c r="E1193" s="1" t="s">
        <v>39</v>
      </c>
      <c r="F1193" t="str">
        <f>VLOOKUP(Table2[[#This Row],[product]],Ref[#All],2,FALSE)</f>
        <v>Lentil TAT 20KG</v>
      </c>
      <c r="G1193" t="str">
        <f>VLOOKUP(Table2[[#This Row],[product]],Ref[#All],3,FALSE)</f>
        <v>Lentils</v>
      </c>
      <c r="H1193" t="str">
        <f>VLOOKUP(Table2[[#This Row],[product]],Ref[#All],4,FALSE)</f>
        <v>Import</v>
      </c>
      <c r="I1193" s="1">
        <v>45999</v>
      </c>
      <c r="J1193" s="28" t="s">
        <v>127</v>
      </c>
      <c r="K1193" s="33" t="s">
        <v>3206</v>
      </c>
      <c r="L1193" t="s">
        <v>3366</v>
      </c>
      <c r="M1193" t="s">
        <v>1593</v>
      </c>
      <c r="N1193" t="s">
        <v>784</v>
      </c>
      <c r="O1193" t="s">
        <v>1593</v>
      </c>
      <c r="P1193" t="s">
        <v>788</v>
      </c>
      <c r="Q1193" s="33" t="s">
        <v>55</v>
      </c>
      <c r="R1193" s="78">
        <v>14</v>
      </c>
      <c r="S1193" s="15">
        <f>Table2[[#This Row],[movement_quantity]]/VLOOKUP(Table2[[#This Row],[product]],Ref[#All],5,FALSE)</f>
        <v>0.28000000000000003</v>
      </c>
      <c r="T1193">
        <v>42710.736519999999</v>
      </c>
      <c r="U1193" t="s">
        <v>1439</v>
      </c>
      <c r="V1193" t="s">
        <v>24</v>
      </c>
      <c r="W1193" t="s">
        <v>3323</v>
      </c>
      <c r="X1193" t="s">
        <v>3324</v>
      </c>
      <c r="Y1193" s="2" t="s">
        <v>17</v>
      </c>
      <c r="Z1193">
        <v>0</v>
      </c>
      <c r="AA1193" s="2">
        <v>597950.31128000002</v>
      </c>
      <c r="AB1193" t="str">
        <f>VLOOKUP(Table2[[#This Row],[product]],Ref[#All],6,FALSE)</f>
        <v>BAG20</v>
      </c>
    </row>
    <row r="1194" spans="1:28" x14ac:dyDescent="0.25">
      <c r="A1194" t="str">
        <f>TEXT(Table2[[#This Row],[dated]],"mmm")</f>
        <v>Dec</v>
      </c>
      <c r="B1194" t="s">
        <v>20</v>
      </c>
      <c r="C1194" s="1" t="s">
        <v>2729</v>
      </c>
      <c r="D1194" t="str">
        <f>VLOOKUP(Table2[[#This Row],[product]],Ref[#All],7,FALSE)</f>
        <v>Lentils</v>
      </c>
      <c r="E1194" s="1" t="s">
        <v>39</v>
      </c>
      <c r="F1194" t="str">
        <f>VLOOKUP(Table2[[#This Row],[product]],Ref[#All],2,FALSE)</f>
        <v>Lentil TAT 20KG</v>
      </c>
      <c r="G1194" t="str">
        <f>VLOOKUP(Table2[[#This Row],[product]],Ref[#All],3,FALSE)</f>
        <v>Lentils</v>
      </c>
      <c r="H1194" t="str">
        <f>VLOOKUP(Table2[[#This Row],[product]],Ref[#All],4,FALSE)</f>
        <v>Import</v>
      </c>
      <c r="I1194" s="1">
        <v>45999</v>
      </c>
      <c r="J1194" s="28" t="s">
        <v>127</v>
      </c>
      <c r="K1194" s="33" t="s">
        <v>3207</v>
      </c>
      <c r="L1194" t="s">
        <v>3367</v>
      </c>
      <c r="M1194" t="s">
        <v>1593</v>
      </c>
      <c r="N1194" t="s">
        <v>784</v>
      </c>
      <c r="O1194" t="s">
        <v>1593</v>
      </c>
      <c r="P1194" t="s">
        <v>788</v>
      </c>
      <c r="Q1194" s="33" t="s">
        <v>55</v>
      </c>
      <c r="R1194" s="78">
        <v>9</v>
      </c>
      <c r="S1194" s="15">
        <f>Table2[[#This Row],[movement_quantity]]/VLOOKUP(Table2[[#This Row],[product]],Ref[#All],5,FALSE)</f>
        <v>0.18</v>
      </c>
      <c r="T1194">
        <v>42710.736519999999</v>
      </c>
      <c r="U1194" t="s">
        <v>1439</v>
      </c>
      <c r="V1194" t="s">
        <v>25</v>
      </c>
      <c r="W1194" t="s">
        <v>3325</v>
      </c>
      <c r="X1194" t="s">
        <v>3326</v>
      </c>
      <c r="Y1194" s="2" t="s">
        <v>17</v>
      </c>
      <c r="Z1194">
        <v>0</v>
      </c>
      <c r="AA1194" s="2">
        <v>384396.62867999997</v>
      </c>
      <c r="AB1194" t="str">
        <f>VLOOKUP(Table2[[#This Row],[product]],Ref[#All],6,FALSE)</f>
        <v>BAG20</v>
      </c>
    </row>
    <row r="1195" spans="1:28" x14ac:dyDescent="0.25">
      <c r="A1195" t="str">
        <f>TEXT(Table2[[#This Row],[dated]],"mmm")</f>
        <v>Dec</v>
      </c>
      <c r="B1195" t="s">
        <v>20</v>
      </c>
      <c r="C1195" s="1" t="s">
        <v>2729</v>
      </c>
      <c r="D1195" t="str">
        <f>VLOOKUP(Table2[[#This Row],[product]],Ref[#All],7,FALSE)</f>
        <v>Lentils</v>
      </c>
      <c r="E1195" s="1" t="s">
        <v>39</v>
      </c>
      <c r="F1195" t="str">
        <f>VLOOKUP(Table2[[#This Row],[product]],Ref[#All],2,FALSE)</f>
        <v>Lentil TAT 20KG</v>
      </c>
      <c r="G1195" t="str">
        <f>VLOOKUP(Table2[[#This Row],[product]],Ref[#All],3,FALSE)</f>
        <v>Lentils</v>
      </c>
      <c r="H1195" t="str">
        <f>VLOOKUP(Table2[[#This Row],[product]],Ref[#All],4,FALSE)</f>
        <v>Import</v>
      </c>
      <c r="I1195" s="1">
        <v>45999</v>
      </c>
      <c r="J1195" s="28" t="s">
        <v>127</v>
      </c>
      <c r="K1195" s="33" t="s">
        <v>3208</v>
      </c>
      <c r="L1195" t="s">
        <v>3368</v>
      </c>
      <c r="M1195" t="s">
        <v>1593</v>
      </c>
      <c r="N1195" t="s">
        <v>784</v>
      </c>
      <c r="O1195" t="s">
        <v>1593</v>
      </c>
      <c r="P1195" t="s">
        <v>788</v>
      </c>
      <c r="Q1195" s="33" t="s">
        <v>55</v>
      </c>
      <c r="R1195" s="78">
        <v>76</v>
      </c>
      <c r="S1195" s="15">
        <f>Table2[[#This Row],[movement_quantity]]/VLOOKUP(Table2[[#This Row],[product]],Ref[#All],5,FALSE)</f>
        <v>1.52</v>
      </c>
      <c r="T1195">
        <v>42710.736519999999</v>
      </c>
      <c r="U1195" t="s">
        <v>1439</v>
      </c>
      <c r="V1195" t="s">
        <v>26</v>
      </c>
      <c r="W1195" t="s">
        <v>3327</v>
      </c>
      <c r="X1195" t="s">
        <v>3328</v>
      </c>
      <c r="Y1195" s="2" t="s">
        <v>17</v>
      </c>
      <c r="Z1195">
        <v>0</v>
      </c>
      <c r="AA1195" s="2">
        <v>3246015.9755199999</v>
      </c>
      <c r="AB1195" t="str">
        <f>VLOOKUP(Table2[[#This Row],[product]],Ref[#All],6,FALSE)</f>
        <v>BAG20</v>
      </c>
    </row>
    <row r="1196" spans="1:28" x14ac:dyDescent="0.25">
      <c r="A1196" t="str">
        <f>TEXT(Table2[[#This Row],[dated]],"mmm")</f>
        <v>Dec</v>
      </c>
      <c r="B1196" t="s">
        <v>20</v>
      </c>
      <c r="C1196" s="1" t="s">
        <v>2729</v>
      </c>
      <c r="D1196" t="str">
        <f>VLOOKUP(Table2[[#This Row],[product]],Ref[#All],7,FALSE)</f>
        <v>Lentils</v>
      </c>
      <c r="E1196" s="1" t="s">
        <v>39</v>
      </c>
      <c r="F1196" t="str">
        <f>VLOOKUP(Table2[[#This Row],[product]],Ref[#All],2,FALSE)</f>
        <v>Lentil TAT 20KG</v>
      </c>
      <c r="G1196" t="str">
        <f>VLOOKUP(Table2[[#This Row],[product]],Ref[#All],3,FALSE)</f>
        <v>Lentils</v>
      </c>
      <c r="H1196" t="str">
        <f>VLOOKUP(Table2[[#This Row],[product]],Ref[#All],4,FALSE)</f>
        <v>Import</v>
      </c>
      <c r="I1196" s="1">
        <v>45999</v>
      </c>
      <c r="J1196" s="28" t="s">
        <v>127</v>
      </c>
      <c r="K1196" s="33" t="s">
        <v>3209</v>
      </c>
      <c r="L1196" t="s">
        <v>3369</v>
      </c>
      <c r="M1196" t="s">
        <v>1593</v>
      </c>
      <c r="N1196" t="s">
        <v>784</v>
      </c>
      <c r="O1196" t="s">
        <v>1593</v>
      </c>
      <c r="P1196" t="s">
        <v>788</v>
      </c>
      <c r="Q1196" s="33" t="s">
        <v>55</v>
      </c>
      <c r="R1196" s="78">
        <v>119</v>
      </c>
      <c r="S1196" s="15">
        <f>Table2[[#This Row],[movement_quantity]]/VLOOKUP(Table2[[#This Row],[product]],Ref[#All],5,FALSE)</f>
        <v>2.38</v>
      </c>
      <c r="T1196">
        <v>42710.736519999999</v>
      </c>
      <c r="U1196" t="s">
        <v>1439</v>
      </c>
      <c r="V1196" t="s">
        <v>27</v>
      </c>
      <c r="W1196" t="s">
        <v>3329</v>
      </c>
      <c r="X1196" t="s">
        <v>3330</v>
      </c>
      <c r="Y1196" s="2" t="s">
        <v>17</v>
      </c>
      <c r="Z1196">
        <v>0</v>
      </c>
      <c r="AA1196" s="2">
        <v>5082577.6458799997</v>
      </c>
      <c r="AB1196" t="str">
        <f>VLOOKUP(Table2[[#This Row],[product]],Ref[#All],6,FALSE)</f>
        <v>BAG20</v>
      </c>
    </row>
    <row r="1197" spans="1:28" x14ac:dyDescent="0.25">
      <c r="A1197" t="str">
        <f>TEXT(Table2[[#This Row],[dated]],"mmm")</f>
        <v>Dec</v>
      </c>
      <c r="B1197" t="s">
        <v>52</v>
      </c>
      <c r="C1197" s="1" t="s">
        <v>2726</v>
      </c>
      <c r="D1197" t="str">
        <f>VLOOKUP(Table2[[#This Row],[product]],Ref[#All],7,FALSE)</f>
        <v>Lentils</v>
      </c>
      <c r="E1197" s="1" t="s">
        <v>39</v>
      </c>
      <c r="F1197" t="str">
        <f>VLOOKUP(Table2[[#This Row],[product]],Ref[#All],2,FALSE)</f>
        <v>Lentil TAT 20KG</v>
      </c>
      <c r="G1197" t="str">
        <f>VLOOKUP(Table2[[#This Row],[product]],Ref[#All],3,FALSE)</f>
        <v>Lentils</v>
      </c>
      <c r="H1197" t="str">
        <f>VLOOKUP(Table2[[#This Row],[product]],Ref[#All],4,FALSE)</f>
        <v>Import</v>
      </c>
      <c r="I1197" s="1">
        <v>46000</v>
      </c>
      <c r="J1197" s="28" t="s">
        <v>127</v>
      </c>
      <c r="K1197" s="33" t="s">
        <v>3210</v>
      </c>
      <c r="L1197" t="s">
        <v>1652</v>
      </c>
      <c r="M1197" t="s">
        <v>1593</v>
      </c>
      <c r="N1197" t="s">
        <v>784</v>
      </c>
      <c r="O1197" t="s">
        <v>1593</v>
      </c>
      <c r="P1197" t="s">
        <v>788</v>
      </c>
      <c r="Q1197" s="33" t="s">
        <v>55</v>
      </c>
      <c r="R1197" s="78">
        <v>4</v>
      </c>
      <c r="S1197" s="15">
        <f>Table2[[#This Row],[movement_quantity]]/VLOOKUP(Table2[[#This Row],[product]],Ref[#All],5,FALSE)</f>
        <v>0.08</v>
      </c>
      <c r="T1197">
        <v>42710.736519999999</v>
      </c>
      <c r="U1197" t="s">
        <v>153</v>
      </c>
      <c r="V1197" t="s">
        <v>18</v>
      </c>
      <c r="W1197" t="s">
        <v>3331</v>
      </c>
      <c r="X1197" t="s">
        <v>3332</v>
      </c>
      <c r="Y1197" s="2" t="s">
        <v>17</v>
      </c>
      <c r="Z1197">
        <v>0</v>
      </c>
      <c r="AA1197" s="2">
        <v>170842.94607999999</v>
      </c>
      <c r="AB1197" t="str">
        <f>VLOOKUP(Table2[[#This Row],[product]],Ref[#All],6,FALSE)</f>
        <v>BAG20</v>
      </c>
    </row>
    <row r="1198" spans="1:28" x14ac:dyDescent="0.25">
      <c r="A1198" t="str">
        <f>TEXT(Table2[[#This Row],[dated]],"mmm")</f>
        <v>Dec</v>
      </c>
      <c r="B1198" t="s">
        <v>52</v>
      </c>
      <c r="C1198" s="1" t="s">
        <v>2726</v>
      </c>
      <c r="D1198" t="str">
        <f>VLOOKUP(Table2[[#This Row],[product]],Ref[#All],7,FALSE)</f>
        <v>Flour</v>
      </c>
      <c r="E1198" s="1" t="s">
        <v>42</v>
      </c>
      <c r="F1198" t="str">
        <f>VLOOKUP(Table2[[#This Row],[product]],Ref[#All],2,FALSE)</f>
        <v>Alnajm Flour from Mill 25KG</v>
      </c>
      <c r="G1198" t="str">
        <f>VLOOKUP(Table2[[#This Row],[product]],Ref[#All],3,FALSE)</f>
        <v>Flour Al-Nagm (Mill)</v>
      </c>
      <c r="H1198" t="str">
        <f>VLOOKUP(Table2[[#This Row],[product]],Ref[#All],4,FALSE)</f>
        <v>Import</v>
      </c>
      <c r="I1198" s="1">
        <v>46000</v>
      </c>
      <c r="J1198" s="28" t="s">
        <v>127</v>
      </c>
      <c r="K1198" s="33" t="s">
        <v>3211</v>
      </c>
      <c r="L1198" t="s">
        <v>1652</v>
      </c>
      <c r="M1198" t="s">
        <v>1593</v>
      </c>
      <c r="N1198" t="s">
        <v>784</v>
      </c>
      <c r="O1198" t="s">
        <v>1593</v>
      </c>
      <c r="P1198" t="s">
        <v>788</v>
      </c>
      <c r="Q1198" s="33" t="s">
        <v>55</v>
      </c>
      <c r="R1198" s="78">
        <v>4</v>
      </c>
      <c r="S1198" s="15">
        <f>Table2[[#This Row],[movement_quantity]]/VLOOKUP(Table2[[#This Row],[product]],Ref[#All],5,FALSE)</f>
        <v>0.1</v>
      </c>
      <c r="T1198">
        <v>24102.081340000001</v>
      </c>
      <c r="U1198" t="s">
        <v>153</v>
      </c>
      <c r="V1198" t="s">
        <v>18</v>
      </c>
      <c r="W1198" t="s">
        <v>3333</v>
      </c>
      <c r="X1198" t="s">
        <v>3334</v>
      </c>
      <c r="Y1198" s="2" t="s">
        <v>17</v>
      </c>
      <c r="Z1198">
        <v>0</v>
      </c>
      <c r="AA1198" s="2">
        <v>96408.325360000003</v>
      </c>
      <c r="AB1198" t="str">
        <f>VLOOKUP(Table2[[#This Row],[product]],Ref[#All],6,FALSE)</f>
        <v>BAG25</v>
      </c>
    </row>
    <row r="1199" spans="1:28" x14ac:dyDescent="0.25">
      <c r="A1199" t="str">
        <f>TEXT(Table2[[#This Row],[dated]],"mmm")</f>
        <v>Dec</v>
      </c>
      <c r="B1199" t="s">
        <v>52</v>
      </c>
      <c r="C1199" s="1" t="s">
        <v>2726</v>
      </c>
      <c r="D1199" t="str">
        <f>VLOOKUP(Table2[[#This Row],[product]],Ref[#All],7,FALSE)</f>
        <v>Flour</v>
      </c>
      <c r="E1199" s="1" t="s">
        <v>42</v>
      </c>
      <c r="F1199" t="str">
        <f>VLOOKUP(Table2[[#This Row],[product]],Ref[#All],2,FALSE)</f>
        <v>Alnajm Flour from Mill 25KG</v>
      </c>
      <c r="G1199" t="str">
        <f>VLOOKUP(Table2[[#This Row],[product]],Ref[#All],3,FALSE)</f>
        <v>Flour Al-Nagm (Mill)</v>
      </c>
      <c r="H1199" t="str">
        <f>VLOOKUP(Table2[[#This Row],[product]],Ref[#All],4,FALSE)</f>
        <v>Import</v>
      </c>
      <c r="I1199" s="1">
        <v>46000</v>
      </c>
      <c r="J1199" s="28" t="s">
        <v>127</v>
      </c>
      <c r="K1199" s="33" t="s">
        <v>3212</v>
      </c>
      <c r="L1199" t="s">
        <v>1652</v>
      </c>
      <c r="M1199" t="s">
        <v>1593</v>
      </c>
      <c r="N1199" t="s">
        <v>784</v>
      </c>
      <c r="O1199" t="s">
        <v>1593</v>
      </c>
      <c r="P1199" t="s">
        <v>788</v>
      </c>
      <c r="Q1199" s="33" t="s">
        <v>55</v>
      </c>
      <c r="R1199" s="78">
        <v>1</v>
      </c>
      <c r="S1199" s="15">
        <f>Table2[[#This Row],[movement_quantity]]/VLOOKUP(Table2[[#This Row],[product]],Ref[#All],5,FALSE)</f>
        <v>2.5000000000000001E-2</v>
      </c>
      <c r="T1199">
        <v>24102.081340000001</v>
      </c>
      <c r="U1199" t="s">
        <v>153</v>
      </c>
      <c r="V1199" t="s">
        <v>21</v>
      </c>
      <c r="W1199" t="s">
        <v>3335</v>
      </c>
      <c r="X1199" t="s">
        <v>3336</v>
      </c>
      <c r="Y1199" s="2" t="s">
        <v>17</v>
      </c>
      <c r="Z1199">
        <v>0</v>
      </c>
      <c r="AA1199" s="2">
        <v>24102.081340000001</v>
      </c>
      <c r="AB1199" t="str">
        <f>VLOOKUP(Table2[[#This Row],[product]],Ref[#All],6,FALSE)</f>
        <v>BAG25</v>
      </c>
    </row>
    <row r="1200" spans="1:28" x14ac:dyDescent="0.25">
      <c r="A1200" t="str">
        <f>TEXT(Table2[[#This Row],[dated]],"mmm")</f>
        <v>Dec</v>
      </c>
      <c r="B1200" t="s">
        <v>123</v>
      </c>
      <c r="C1200" s="1" t="s">
        <v>538</v>
      </c>
      <c r="D1200" t="str">
        <f>VLOOKUP(Table2[[#This Row],[product]],Ref[#All],7,FALSE)</f>
        <v>Lentils</v>
      </c>
      <c r="E1200" s="1" t="s">
        <v>39</v>
      </c>
      <c r="F1200" t="str">
        <f>VLOOKUP(Table2[[#This Row],[product]],Ref[#All],2,FALSE)</f>
        <v>Lentil TAT 20KG</v>
      </c>
      <c r="G1200" t="str">
        <f>VLOOKUP(Table2[[#This Row],[product]],Ref[#All],3,FALSE)</f>
        <v>Lentils</v>
      </c>
      <c r="H1200" t="str">
        <f>VLOOKUP(Table2[[#This Row],[product]],Ref[#All],4,FALSE)</f>
        <v>Import</v>
      </c>
      <c r="I1200" s="1">
        <v>46000</v>
      </c>
      <c r="J1200" s="28" t="s">
        <v>53</v>
      </c>
      <c r="K1200" s="33" t="s">
        <v>3213</v>
      </c>
      <c r="L1200" t="s">
        <v>3346</v>
      </c>
      <c r="M1200" t="s">
        <v>1586</v>
      </c>
      <c r="N1200" t="s">
        <v>784</v>
      </c>
      <c r="O1200" t="s">
        <v>1680</v>
      </c>
      <c r="P1200" t="s">
        <v>788</v>
      </c>
      <c r="Q1200" s="33" t="s">
        <v>55</v>
      </c>
      <c r="R1200" s="78">
        <v>-18</v>
      </c>
      <c r="S1200" s="15">
        <f>Table2[[#This Row],[movement_quantity]]/VLOOKUP(Table2[[#This Row],[product]],Ref[#All],5,FALSE)</f>
        <v>-0.36</v>
      </c>
      <c r="T1200">
        <v>42710.736519999999</v>
      </c>
      <c r="U1200" t="s">
        <v>17</v>
      </c>
      <c r="V1200" t="s">
        <v>18</v>
      </c>
      <c r="W1200" t="s">
        <v>3337</v>
      </c>
      <c r="X1200" t="s">
        <v>17</v>
      </c>
      <c r="Y1200" s="2" t="s">
        <v>3076</v>
      </c>
      <c r="Z1200">
        <v>0</v>
      </c>
      <c r="AA1200" s="2">
        <v>-768793.25735999993</v>
      </c>
      <c r="AB1200" t="str">
        <f>VLOOKUP(Table2[[#This Row],[product]],Ref[#All],6,FALSE)</f>
        <v>BAG20</v>
      </c>
    </row>
    <row r="1201" spans="1:28" x14ac:dyDescent="0.25">
      <c r="A1201" t="str">
        <f>TEXT(Table2[[#This Row],[dated]],"mmm")</f>
        <v>Dec</v>
      </c>
      <c r="B1201" t="s">
        <v>123</v>
      </c>
      <c r="C1201" s="1" t="s">
        <v>538</v>
      </c>
      <c r="D1201" t="str">
        <f>VLOOKUP(Table2[[#This Row],[product]],Ref[#All],7,FALSE)</f>
        <v>Lentils</v>
      </c>
      <c r="E1201" s="1" t="s">
        <v>39</v>
      </c>
      <c r="F1201" t="str">
        <f>VLOOKUP(Table2[[#This Row],[product]],Ref[#All],2,FALSE)</f>
        <v>Lentil TAT 20KG</v>
      </c>
      <c r="G1201" t="str">
        <f>VLOOKUP(Table2[[#This Row],[product]],Ref[#All],3,FALSE)</f>
        <v>Lentils</v>
      </c>
      <c r="H1201" t="str">
        <f>VLOOKUP(Table2[[#This Row],[product]],Ref[#All],4,FALSE)</f>
        <v>Import</v>
      </c>
      <c r="I1201" s="1">
        <v>46000</v>
      </c>
      <c r="J1201" s="28" t="s">
        <v>53</v>
      </c>
      <c r="K1201" s="33" t="s">
        <v>3214</v>
      </c>
      <c r="L1201" t="s">
        <v>3347</v>
      </c>
      <c r="M1201" t="s">
        <v>1586</v>
      </c>
      <c r="N1201" t="s">
        <v>784</v>
      </c>
      <c r="O1201" t="s">
        <v>1680</v>
      </c>
      <c r="P1201" t="s">
        <v>788</v>
      </c>
      <c r="Q1201" s="33" t="s">
        <v>55</v>
      </c>
      <c r="R1201" s="78">
        <v>-11</v>
      </c>
      <c r="S1201" s="15">
        <f>Table2[[#This Row],[movement_quantity]]/VLOOKUP(Table2[[#This Row],[product]],Ref[#All],5,FALSE)</f>
        <v>-0.22</v>
      </c>
      <c r="T1201">
        <v>42710.736519999999</v>
      </c>
      <c r="U1201" t="s">
        <v>17</v>
      </c>
      <c r="V1201" t="s">
        <v>21</v>
      </c>
      <c r="W1201" t="s">
        <v>3338</v>
      </c>
      <c r="X1201" t="s">
        <v>17</v>
      </c>
      <c r="Y1201" s="2" t="s">
        <v>3076</v>
      </c>
      <c r="Z1201">
        <v>0</v>
      </c>
      <c r="AA1201" s="2">
        <v>-469818.10171999998</v>
      </c>
      <c r="AB1201" t="str">
        <f>VLOOKUP(Table2[[#This Row],[product]],Ref[#All],6,FALSE)</f>
        <v>BAG20</v>
      </c>
    </row>
    <row r="1202" spans="1:28" x14ac:dyDescent="0.25">
      <c r="A1202" t="str">
        <f>TEXT(Table2[[#This Row],[dated]],"mmm")</f>
        <v>Dec</v>
      </c>
      <c r="B1202" t="s">
        <v>123</v>
      </c>
      <c r="C1202" s="1" t="s">
        <v>538</v>
      </c>
      <c r="D1202" t="str">
        <f>VLOOKUP(Table2[[#This Row],[product]],Ref[#All],7,FALSE)</f>
        <v>Lentils</v>
      </c>
      <c r="E1202" s="1" t="s">
        <v>39</v>
      </c>
      <c r="F1202" t="str">
        <f>VLOOKUP(Table2[[#This Row],[product]],Ref[#All],2,FALSE)</f>
        <v>Lentil TAT 20KG</v>
      </c>
      <c r="G1202" t="str">
        <f>VLOOKUP(Table2[[#This Row],[product]],Ref[#All],3,FALSE)</f>
        <v>Lentils</v>
      </c>
      <c r="H1202" t="str">
        <f>VLOOKUP(Table2[[#This Row],[product]],Ref[#All],4,FALSE)</f>
        <v>Import</v>
      </c>
      <c r="I1202" s="1">
        <v>46000</v>
      </c>
      <c r="J1202" s="28" t="s">
        <v>53</v>
      </c>
      <c r="K1202" s="33" t="s">
        <v>3215</v>
      </c>
      <c r="L1202" t="s">
        <v>3348</v>
      </c>
      <c r="M1202" t="s">
        <v>1586</v>
      </c>
      <c r="N1202" t="s">
        <v>784</v>
      </c>
      <c r="O1202" t="s">
        <v>1680</v>
      </c>
      <c r="P1202" t="s">
        <v>788</v>
      </c>
      <c r="Q1202" s="33" t="s">
        <v>55</v>
      </c>
      <c r="R1202" s="78">
        <v>-9</v>
      </c>
      <c r="S1202" s="15">
        <f>Table2[[#This Row],[movement_quantity]]/VLOOKUP(Table2[[#This Row],[product]],Ref[#All],5,FALSE)</f>
        <v>-0.18</v>
      </c>
      <c r="T1202">
        <v>42710.736519999999</v>
      </c>
      <c r="U1202" t="s">
        <v>17</v>
      </c>
      <c r="V1202" t="s">
        <v>22</v>
      </c>
      <c r="W1202" t="s">
        <v>3339</v>
      </c>
      <c r="X1202" t="s">
        <v>17</v>
      </c>
      <c r="Y1202" s="2" t="s">
        <v>3076</v>
      </c>
      <c r="Z1202">
        <v>0</v>
      </c>
      <c r="AA1202" s="2">
        <v>-384396.62867999997</v>
      </c>
      <c r="AB1202" t="str">
        <f>VLOOKUP(Table2[[#This Row],[product]],Ref[#All],6,FALSE)</f>
        <v>BAG20</v>
      </c>
    </row>
    <row r="1203" spans="1:28" x14ac:dyDescent="0.25">
      <c r="A1203" t="str">
        <f>TEXT(Table2[[#This Row],[dated]],"mmm")</f>
        <v>Dec</v>
      </c>
      <c r="B1203" t="s">
        <v>123</v>
      </c>
      <c r="C1203" s="1" t="s">
        <v>538</v>
      </c>
      <c r="D1203" t="str">
        <f>VLOOKUP(Table2[[#This Row],[product]],Ref[#All],7,FALSE)</f>
        <v>Lentils</v>
      </c>
      <c r="E1203" s="1" t="s">
        <v>39</v>
      </c>
      <c r="F1203" t="str">
        <f>VLOOKUP(Table2[[#This Row],[product]],Ref[#All],2,FALSE)</f>
        <v>Lentil TAT 20KG</v>
      </c>
      <c r="G1203" t="str">
        <f>VLOOKUP(Table2[[#This Row],[product]],Ref[#All],3,FALSE)</f>
        <v>Lentils</v>
      </c>
      <c r="H1203" t="str">
        <f>VLOOKUP(Table2[[#This Row],[product]],Ref[#All],4,FALSE)</f>
        <v>Import</v>
      </c>
      <c r="I1203" s="1">
        <v>46000</v>
      </c>
      <c r="J1203" s="28" t="s">
        <v>53</v>
      </c>
      <c r="K1203" s="33" t="s">
        <v>3216</v>
      </c>
      <c r="L1203" t="s">
        <v>3349</v>
      </c>
      <c r="M1203" t="s">
        <v>1586</v>
      </c>
      <c r="N1203" t="s">
        <v>784</v>
      </c>
      <c r="O1203" t="s">
        <v>1680</v>
      </c>
      <c r="P1203" t="s">
        <v>788</v>
      </c>
      <c r="Q1203" s="33" t="s">
        <v>55</v>
      </c>
      <c r="R1203" s="78">
        <v>-17</v>
      </c>
      <c r="S1203" s="15">
        <f>Table2[[#This Row],[movement_quantity]]/VLOOKUP(Table2[[#This Row],[product]],Ref[#All],5,FALSE)</f>
        <v>-0.34</v>
      </c>
      <c r="T1203">
        <v>42710.736519999999</v>
      </c>
      <c r="U1203" t="s">
        <v>17</v>
      </c>
      <c r="V1203" t="s">
        <v>23</v>
      </c>
      <c r="W1203" t="s">
        <v>3340</v>
      </c>
      <c r="X1203" t="s">
        <v>17</v>
      </c>
      <c r="Y1203" s="2" t="s">
        <v>3076</v>
      </c>
      <c r="Z1203">
        <v>0</v>
      </c>
      <c r="AA1203" s="2">
        <v>-726082.52084000001</v>
      </c>
      <c r="AB1203" t="str">
        <f>VLOOKUP(Table2[[#This Row],[product]],Ref[#All],6,FALSE)</f>
        <v>BAG20</v>
      </c>
    </row>
    <row r="1204" spans="1:28" x14ac:dyDescent="0.25">
      <c r="A1204" t="str">
        <f>TEXT(Table2[[#This Row],[dated]],"mmm")</f>
        <v>Dec</v>
      </c>
      <c r="B1204" t="s">
        <v>123</v>
      </c>
      <c r="C1204" s="1" t="s">
        <v>538</v>
      </c>
      <c r="D1204" t="str">
        <f>VLOOKUP(Table2[[#This Row],[product]],Ref[#All],7,FALSE)</f>
        <v>Rice</v>
      </c>
      <c r="E1204" s="1" t="s">
        <v>176</v>
      </c>
      <c r="F1204" t="str">
        <f>VLOOKUP(Table2[[#This Row],[product]],Ref[#All],2,FALSE)</f>
        <v>Rice Long Grade 1 Elngm 20Kg</v>
      </c>
      <c r="G1204" t="str">
        <f>VLOOKUP(Table2[[#This Row],[product]],Ref[#All],3,FALSE)</f>
        <v>Rice Long Grain</v>
      </c>
      <c r="H1204" t="str">
        <f>VLOOKUP(Table2[[#This Row],[product]],Ref[#All],4,FALSE)</f>
        <v>Import</v>
      </c>
      <c r="I1204" s="1">
        <v>46000</v>
      </c>
      <c r="J1204" s="28" t="s">
        <v>53</v>
      </c>
      <c r="K1204" s="33" t="s">
        <v>3217</v>
      </c>
      <c r="L1204" t="s">
        <v>3350</v>
      </c>
      <c r="M1204" t="s">
        <v>1586</v>
      </c>
      <c r="N1204" t="s">
        <v>784</v>
      </c>
      <c r="O1204" t="s">
        <v>1680</v>
      </c>
      <c r="P1204" t="s">
        <v>788</v>
      </c>
      <c r="Q1204" s="33" t="s">
        <v>55</v>
      </c>
      <c r="R1204" s="78">
        <v>-1</v>
      </c>
      <c r="S1204" s="15">
        <f>Table2[[#This Row],[movement_quantity]]/VLOOKUP(Table2[[#This Row],[product]],Ref[#All],5,FALSE)</f>
        <v>-0.02</v>
      </c>
      <c r="T1204">
        <v>23264.08728</v>
      </c>
      <c r="U1204" t="s">
        <v>17</v>
      </c>
      <c r="V1204" t="s">
        <v>18</v>
      </c>
      <c r="W1204" t="s">
        <v>3341</v>
      </c>
      <c r="X1204" t="s">
        <v>17</v>
      </c>
      <c r="Y1204" s="2" t="s">
        <v>3342</v>
      </c>
      <c r="Z1204">
        <v>0</v>
      </c>
      <c r="AA1204" s="2">
        <v>-23264.08728</v>
      </c>
      <c r="AB1204" t="str">
        <f>VLOOKUP(Table2[[#This Row],[product]],Ref[#All],6,FALSE)</f>
        <v>BAG20</v>
      </c>
    </row>
    <row r="1205" spans="1:28" x14ac:dyDescent="0.25">
      <c r="A1205" t="str">
        <f>TEXT(Table2[[#This Row],[dated]],"mmm")</f>
        <v>Dec</v>
      </c>
      <c r="B1205" t="s">
        <v>123</v>
      </c>
      <c r="C1205" s="1" t="s">
        <v>538</v>
      </c>
      <c r="D1205" t="str">
        <f>VLOOKUP(Table2[[#This Row],[product]],Ref[#All],7,FALSE)</f>
        <v>Lentils</v>
      </c>
      <c r="E1205" s="1" t="s">
        <v>39</v>
      </c>
      <c r="F1205" t="str">
        <f>VLOOKUP(Table2[[#This Row],[product]],Ref[#All],2,FALSE)</f>
        <v>Lentil TAT 20KG</v>
      </c>
      <c r="G1205" t="str">
        <f>VLOOKUP(Table2[[#This Row],[product]],Ref[#All],3,FALSE)</f>
        <v>Lentils</v>
      </c>
      <c r="H1205" t="str">
        <f>VLOOKUP(Table2[[#This Row],[product]],Ref[#All],4,FALSE)</f>
        <v>Import</v>
      </c>
      <c r="I1205" s="1">
        <v>46000</v>
      </c>
      <c r="J1205" s="28" t="s">
        <v>53</v>
      </c>
      <c r="K1205" s="33" t="s">
        <v>3218</v>
      </c>
      <c r="L1205" t="s">
        <v>3351</v>
      </c>
      <c r="M1205" t="s">
        <v>1586</v>
      </c>
      <c r="N1205" t="s">
        <v>784</v>
      </c>
      <c r="O1205" t="s">
        <v>1680</v>
      </c>
      <c r="P1205" t="s">
        <v>788</v>
      </c>
      <c r="Q1205" s="33" t="s">
        <v>55</v>
      </c>
      <c r="R1205" s="78">
        <v>-6</v>
      </c>
      <c r="S1205" s="15">
        <f>Table2[[#This Row],[movement_quantity]]/VLOOKUP(Table2[[#This Row],[product]],Ref[#All],5,FALSE)</f>
        <v>-0.12</v>
      </c>
      <c r="T1205">
        <v>42710.736519999999</v>
      </c>
      <c r="U1205" t="s">
        <v>17</v>
      </c>
      <c r="V1205" t="s">
        <v>24</v>
      </c>
      <c r="W1205" t="s">
        <v>3343</v>
      </c>
      <c r="X1205" t="s">
        <v>17</v>
      </c>
      <c r="Y1205" s="2" t="s">
        <v>3076</v>
      </c>
      <c r="Z1205">
        <v>0</v>
      </c>
      <c r="AA1205" s="2">
        <v>-256264.41911999998</v>
      </c>
      <c r="AB1205" t="str">
        <f>VLOOKUP(Table2[[#This Row],[product]],Ref[#All],6,FALSE)</f>
        <v>BAG20</v>
      </c>
    </row>
    <row r="1206" spans="1:28" x14ac:dyDescent="0.25">
      <c r="A1206" t="str">
        <f>TEXT(Table2[[#This Row],[dated]],"mmm")</f>
        <v>Dec</v>
      </c>
      <c r="B1206" t="s">
        <v>20</v>
      </c>
      <c r="C1206" s="1" t="s">
        <v>2728</v>
      </c>
      <c r="D1206" t="str">
        <f>VLOOKUP(Table2[[#This Row],[product]],Ref[#All],7,FALSE)</f>
        <v>Rice</v>
      </c>
      <c r="E1206" s="1" t="s">
        <v>176</v>
      </c>
      <c r="F1206" t="str">
        <f>VLOOKUP(Table2[[#This Row],[product]],Ref[#All],2,FALSE)</f>
        <v>Rice Long Grade 1 Elngm 20Kg</v>
      </c>
      <c r="G1206" t="str">
        <f>VLOOKUP(Table2[[#This Row],[product]],Ref[#All],3,FALSE)</f>
        <v>Rice Long Grain</v>
      </c>
      <c r="H1206" t="str">
        <f>VLOOKUP(Table2[[#This Row],[product]],Ref[#All],4,FALSE)</f>
        <v>Import</v>
      </c>
      <c r="I1206" s="1">
        <v>46000</v>
      </c>
      <c r="J1206" s="28" t="s">
        <v>53</v>
      </c>
      <c r="K1206" s="33" t="s">
        <v>3219</v>
      </c>
      <c r="L1206" t="s">
        <v>3370</v>
      </c>
      <c r="M1206" t="s">
        <v>1586</v>
      </c>
      <c r="N1206" t="s">
        <v>784</v>
      </c>
      <c r="O1206" t="s">
        <v>786</v>
      </c>
      <c r="P1206" t="s">
        <v>1598</v>
      </c>
      <c r="Q1206" s="33" t="s">
        <v>55</v>
      </c>
      <c r="R1206" s="78">
        <v>-81</v>
      </c>
      <c r="S1206" s="15">
        <f>Table2[[#This Row],[movement_quantity]]/VLOOKUP(Table2[[#This Row],[product]],Ref[#All],5,FALSE)</f>
        <v>-1.62</v>
      </c>
      <c r="T1206">
        <v>23264.08728</v>
      </c>
      <c r="U1206" t="s">
        <v>17</v>
      </c>
      <c r="V1206" t="s">
        <v>18</v>
      </c>
      <c r="W1206" t="s">
        <v>3344</v>
      </c>
      <c r="X1206" t="s">
        <v>17</v>
      </c>
      <c r="Y1206" s="2" t="s">
        <v>3345</v>
      </c>
      <c r="Z1206">
        <v>0</v>
      </c>
      <c r="AA1206" s="2">
        <v>-1884391.06968</v>
      </c>
      <c r="AB1206" t="str">
        <f>VLOOKUP(Table2[[#This Row],[product]],Ref[#All],6,FALSE)</f>
        <v>BAG20</v>
      </c>
    </row>
    <row r="1207" spans="1:28" x14ac:dyDescent="0.25">
      <c r="A1207" s="83" t="str">
        <f>TEXT(Table2[[#This Row],[dated]],"mmm")</f>
        <v>Dec</v>
      </c>
      <c r="B1207" t="s">
        <v>3405</v>
      </c>
      <c r="C1207" s="1" t="s">
        <v>3409</v>
      </c>
      <c r="D1207" s="83" t="str">
        <f>VLOOKUP(Table2[[#This Row],[product]],Ref[#All],7,FALSE)</f>
        <v>Sugar</v>
      </c>
      <c r="E1207" s="1" t="s">
        <v>72</v>
      </c>
      <c r="F1207" t="str">
        <f>VLOOKUP(Table2[[#This Row],[product]],Ref[#All],2,FALSE)</f>
        <v>White Sugar</v>
      </c>
      <c r="G1207" s="83" t="str">
        <f>VLOOKUP(Table2[[#This Row],[product]],Ref[#All],3,FALSE)</f>
        <v>White Sugar</v>
      </c>
      <c r="H1207" t="str">
        <f>VLOOKUP(Table2[[#This Row],[product]],Ref[#All],4,FALSE)</f>
        <v>Import</v>
      </c>
      <c r="I1207" s="1">
        <v>46001</v>
      </c>
      <c r="J1207" t="s">
        <v>127</v>
      </c>
      <c r="K1207" t="s">
        <v>3388</v>
      </c>
      <c r="L1207" t="s">
        <v>3434</v>
      </c>
      <c r="N1207" t="s">
        <v>784</v>
      </c>
      <c r="O1207" t="s">
        <v>1593</v>
      </c>
      <c r="P1207" t="s">
        <v>788</v>
      </c>
      <c r="Q1207" s="33" t="s">
        <v>55</v>
      </c>
      <c r="R1207" s="78">
        <v>6</v>
      </c>
      <c r="S1207" s="15">
        <f>Table2[[#This Row],[movement_quantity]]/VLOOKUP(Table2[[#This Row],[product]],Ref[#All],5,FALSE)</f>
        <v>0.3</v>
      </c>
      <c r="T1207">
        <v>87806.150009999998</v>
      </c>
      <c r="U1207" t="s">
        <v>3410</v>
      </c>
      <c r="V1207" t="s">
        <v>18</v>
      </c>
      <c r="W1207" t="s">
        <v>3411</v>
      </c>
      <c r="X1207" t="s">
        <v>3412</v>
      </c>
      <c r="Y1207" s="2" t="s">
        <v>17</v>
      </c>
      <c r="Z1207">
        <v>0</v>
      </c>
      <c r="AA1207" s="2">
        <v>526836.90006000001</v>
      </c>
      <c r="AB1207" t="str">
        <f>VLOOKUP(Table2[[#This Row],[product]],Ref[#All],6,FALSE)</f>
        <v>BAG50</v>
      </c>
    </row>
    <row r="1208" spans="1:28" x14ac:dyDescent="0.25">
      <c r="A1208" s="83" t="str">
        <f>TEXT(Table2[[#This Row],[dated]],"mmm")</f>
        <v>Dec</v>
      </c>
      <c r="B1208" t="s">
        <v>2221</v>
      </c>
      <c r="C1208" s="1" t="s">
        <v>3409</v>
      </c>
      <c r="D1208" s="83" t="str">
        <f>VLOOKUP(Table2[[#This Row],[product]],Ref[#All],7,FALSE)</f>
        <v>Rice</v>
      </c>
      <c r="E1208" s="1" t="s">
        <v>45</v>
      </c>
      <c r="F1208" t="str">
        <f>VLOOKUP(Table2[[#This Row],[product]],Ref[#All],2,FALSE)</f>
        <v>Rice Short Grain Elngm 25Kg</v>
      </c>
      <c r="G1208" s="83" t="str">
        <f>VLOOKUP(Table2[[#This Row],[product]],Ref[#All],3,FALSE)</f>
        <v>Rice Short Grain</v>
      </c>
      <c r="H1208" t="str">
        <f>VLOOKUP(Table2[[#This Row],[product]],Ref[#All],4,FALSE)</f>
        <v>Import</v>
      </c>
      <c r="I1208" s="1">
        <v>46001</v>
      </c>
      <c r="J1208" t="s">
        <v>127</v>
      </c>
      <c r="K1208" t="s">
        <v>3389</v>
      </c>
      <c r="L1208" t="s">
        <v>3434</v>
      </c>
      <c r="N1208" t="s">
        <v>784</v>
      </c>
      <c r="O1208" t="s">
        <v>1593</v>
      </c>
      <c r="P1208" t="s">
        <v>788</v>
      </c>
      <c r="Q1208" s="33" t="s">
        <v>55</v>
      </c>
      <c r="R1208" s="78">
        <v>1</v>
      </c>
      <c r="S1208" s="15">
        <f>Table2[[#This Row],[movement_quantity]]/VLOOKUP(Table2[[#This Row],[product]],Ref[#All],5,FALSE)</f>
        <v>2.5000000000000001E-2</v>
      </c>
      <c r="T1208">
        <v>48871.565979999999</v>
      </c>
      <c r="U1208" t="s">
        <v>3413</v>
      </c>
      <c r="V1208" t="s">
        <v>18</v>
      </c>
      <c r="W1208" t="s">
        <v>3414</v>
      </c>
      <c r="X1208" t="s">
        <v>3415</v>
      </c>
      <c r="Y1208" s="2" t="s">
        <v>17</v>
      </c>
      <c r="Z1208">
        <v>0</v>
      </c>
      <c r="AA1208" s="2">
        <v>48871.565979999999</v>
      </c>
      <c r="AB1208" t="str">
        <f>VLOOKUP(Table2[[#This Row],[product]],Ref[#All],6,FALSE)</f>
        <v>BAG25</v>
      </c>
    </row>
    <row r="1209" spans="1:28" x14ac:dyDescent="0.25">
      <c r="A1209" s="83" t="str">
        <f>TEXT(Table2[[#This Row],[dated]],"mmm")</f>
        <v>Dec</v>
      </c>
      <c r="B1209" t="s">
        <v>138</v>
      </c>
      <c r="C1209" s="1" t="s">
        <v>539</v>
      </c>
      <c r="D1209" s="83" t="str">
        <f>VLOOKUP(Table2[[#This Row],[product]],Ref[#All],7,FALSE)</f>
        <v>Sesame Red</v>
      </c>
      <c r="E1209" s="1" t="s">
        <v>2177</v>
      </c>
      <c r="F1209" t="str">
        <f>VLOOKUP(Table2[[#This Row],[product]],Ref[#All],2,FALSE)</f>
        <v>Red Sesame - FG</v>
      </c>
      <c r="G1209" s="83" t="str">
        <f>VLOOKUP(Table2[[#This Row],[product]],Ref[#All],3,FALSE)</f>
        <v>Red Sesame - FG</v>
      </c>
      <c r="H1209" t="str">
        <f>VLOOKUP(Table2[[#This Row],[product]],Ref[#All],4,FALSE)</f>
        <v>Export</v>
      </c>
      <c r="I1209" s="1">
        <v>46005</v>
      </c>
      <c r="J1209" t="s">
        <v>53</v>
      </c>
      <c r="K1209" t="s">
        <v>3390</v>
      </c>
      <c r="L1209" t="s">
        <v>3433</v>
      </c>
      <c r="M1209" t="s">
        <v>1586</v>
      </c>
      <c r="N1209" t="s">
        <v>784</v>
      </c>
      <c r="O1209" t="s">
        <v>1680</v>
      </c>
      <c r="P1209" t="s">
        <v>788</v>
      </c>
      <c r="Q1209" s="33" t="s">
        <v>55</v>
      </c>
      <c r="R1209" s="78">
        <v>-315</v>
      </c>
      <c r="S1209" s="15">
        <f>Table2[[#This Row],[movement_quantity]]/VLOOKUP(Table2[[#This Row],[product]],Ref[#All],5,FALSE)</f>
        <v>-15.75</v>
      </c>
      <c r="T1209">
        <v>169675.87367999999</v>
      </c>
      <c r="U1209" t="s">
        <v>17</v>
      </c>
      <c r="V1209" t="s">
        <v>18</v>
      </c>
      <c r="W1209" t="s">
        <v>3416</v>
      </c>
      <c r="X1209" t="s">
        <v>17</v>
      </c>
      <c r="Y1209" s="2" t="s">
        <v>3417</v>
      </c>
      <c r="Z1209">
        <v>0</v>
      </c>
      <c r="AA1209" s="2">
        <v>-53447900.209199995</v>
      </c>
      <c r="AB1209" t="str">
        <f>VLOOKUP(Table2[[#This Row],[product]],Ref[#All],6,FALSE)</f>
        <v>BAG50</v>
      </c>
    </row>
    <row r="1210" spans="1:28" x14ac:dyDescent="0.25">
      <c r="A1210" s="83" t="str">
        <f>TEXT(Table2[[#This Row],[dated]],"mmm")</f>
        <v>Dec</v>
      </c>
      <c r="B1210" t="s">
        <v>138</v>
      </c>
      <c r="C1210" s="1" t="s">
        <v>539</v>
      </c>
      <c r="D1210" s="83" t="str">
        <f>VLOOKUP(Table2[[#This Row],[product]],Ref[#All],7,FALSE)</f>
        <v>Sesame Red</v>
      </c>
      <c r="E1210" s="1" t="s">
        <v>3404</v>
      </c>
      <c r="F1210" t="str">
        <f>VLOOKUP(Table2[[#This Row],[product]],Ref[#All],2,FALSE)</f>
        <v>Red Sesame LowQualty</v>
      </c>
      <c r="G1210" s="83" t="str">
        <f>VLOOKUP(Table2[[#This Row],[product]],Ref[#All],3,FALSE)</f>
        <v>Red Sesame FG Lower Grade</v>
      </c>
      <c r="H1210" t="str">
        <f>VLOOKUP(Table2[[#This Row],[product]],Ref[#All],4,FALSE)</f>
        <v>Export</v>
      </c>
      <c r="I1210" s="1">
        <v>46005</v>
      </c>
      <c r="J1210" t="s">
        <v>127</v>
      </c>
      <c r="K1210" t="s">
        <v>3391</v>
      </c>
      <c r="L1210" t="s">
        <v>3433</v>
      </c>
      <c r="M1210" t="s">
        <v>1593</v>
      </c>
      <c r="N1210" t="s">
        <v>784</v>
      </c>
      <c r="O1210" t="s">
        <v>1593</v>
      </c>
      <c r="P1210" t="s">
        <v>788</v>
      </c>
      <c r="Q1210" s="33" t="s">
        <v>55</v>
      </c>
      <c r="R1210" s="78">
        <v>315</v>
      </c>
      <c r="S1210" s="15">
        <f>Table2[[#This Row],[movement_quantity]]/VLOOKUP(Table2[[#This Row],[product]],Ref[#All],5,FALSE)</f>
        <v>15.75</v>
      </c>
      <c r="T1210">
        <v>67870.399999999994</v>
      </c>
      <c r="U1210" t="s">
        <v>163</v>
      </c>
      <c r="V1210" t="s">
        <v>18</v>
      </c>
      <c r="W1210" t="s">
        <v>3418</v>
      </c>
      <c r="X1210" t="s">
        <v>3419</v>
      </c>
      <c r="Y1210" s="2" t="s">
        <v>17</v>
      </c>
      <c r="Z1210">
        <v>0</v>
      </c>
      <c r="AA1210" s="2">
        <v>21379176</v>
      </c>
      <c r="AB1210" t="str">
        <f>VLOOKUP(Table2[[#This Row],[product]],Ref[#All],6,FALSE)</f>
        <v>Bag50</v>
      </c>
    </row>
    <row r="1211" spans="1:28" x14ac:dyDescent="0.25">
      <c r="A1211" s="83" t="str">
        <f>TEXT(Table2[[#This Row],[dated]],"mmm")</f>
        <v>Dec</v>
      </c>
      <c r="B1211" t="s">
        <v>30</v>
      </c>
      <c r="C1211" s="1" t="s">
        <v>536</v>
      </c>
      <c r="D1211" s="83" t="str">
        <f>VLOOKUP(Table2[[#This Row],[product]],Ref[#All],7,FALSE)</f>
        <v>Lentils</v>
      </c>
      <c r="E1211" s="1" t="s">
        <v>39</v>
      </c>
      <c r="F1211" t="str">
        <f>VLOOKUP(Table2[[#This Row],[product]],Ref[#All],2,FALSE)</f>
        <v>Lentil TAT 20KG</v>
      </c>
      <c r="G1211" s="83" t="str">
        <f>VLOOKUP(Table2[[#This Row],[product]],Ref[#All],3,FALSE)</f>
        <v>Lentils</v>
      </c>
      <c r="H1211" t="str">
        <f>VLOOKUP(Table2[[#This Row],[product]],Ref[#All],4,FALSE)</f>
        <v>Import</v>
      </c>
      <c r="I1211" s="1">
        <v>46006</v>
      </c>
      <c r="J1211" t="s">
        <v>53</v>
      </c>
      <c r="K1211" t="s">
        <v>3392</v>
      </c>
      <c r="L1211" t="s">
        <v>1651</v>
      </c>
      <c r="M1211" t="s">
        <v>1586</v>
      </c>
      <c r="N1211" t="s">
        <v>784</v>
      </c>
      <c r="O1211" t="s">
        <v>786</v>
      </c>
      <c r="P1211" t="s">
        <v>2299</v>
      </c>
      <c r="Q1211" s="33" t="s">
        <v>55</v>
      </c>
      <c r="R1211" s="78">
        <v>-2</v>
      </c>
      <c r="S1211" s="15">
        <f>Table2[[#This Row],[movement_quantity]]/VLOOKUP(Table2[[#This Row],[product]],Ref[#All],5,FALSE)</f>
        <v>-0.04</v>
      </c>
      <c r="T1211">
        <v>42710.736519999999</v>
      </c>
      <c r="U1211" t="s">
        <v>17</v>
      </c>
      <c r="V1211" t="s">
        <v>18</v>
      </c>
      <c r="W1211" t="s">
        <v>3420</v>
      </c>
      <c r="X1211" t="s">
        <v>17</v>
      </c>
      <c r="Y1211" s="2" t="s">
        <v>3301</v>
      </c>
      <c r="Z1211">
        <v>0</v>
      </c>
      <c r="AA1211" s="2">
        <v>-85421.473039999997</v>
      </c>
      <c r="AB1211" t="str">
        <f>VLOOKUP(Table2[[#This Row],[product]],Ref[#All],6,FALSE)</f>
        <v>BAG20</v>
      </c>
    </row>
    <row r="1212" spans="1:28" x14ac:dyDescent="0.25">
      <c r="A1212" s="83" t="str">
        <f>TEXT(Table2[[#This Row],[dated]],"mmm")</f>
        <v>Dec</v>
      </c>
      <c r="B1212" t="s">
        <v>52</v>
      </c>
      <c r="C1212" s="1" t="s">
        <v>536</v>
      </c>
      <c r="D1212" s="83" t="str">
        <f>VLOOKUP(Table2[[#This Row],[product]],Ref[#All],7,FALSE)</f>
        <v>Lentils</v>
      </c>
      <c r="E1212" s="1" t="s">
        <v>39</v>
      </c>
      <c r="F1212" t="str">
        <f>VLOOKUP(Table2[[#This Row],[product]],Ref[#All],2,FALSE)</f>
        <v>Lentil TAT 20KG</v>
      </c>
      <c r="G1212" s="83" t="str">
        <f>VLOOKUP(Table2[[#This Row],[product]],Ref[#All],3,FALSE)</f>
        <v>Lentils</v>
      </c>
      <c r="H1212" t="str">
        <f>VLOOKUP(Table2[[#This Row],[product]],Ref[#All],4,FALSE)</f>
        <v>Import</v>
      </c>
      <c r="I1212" s="1">
        <v>46006</v>
      </c>
      <c r="J1212" t="s">
        <v>53</v>
      </c>
      <c r="K1212" t="s">
        <v>3393</v>
      </c>
      <c r="L1212" t="s">
        <v>1651</v>
      </c>
      <c r="M1212" t="s">
        <v>1586</v>
      </c>
      <c r="N1212" t="s">
        <v>784</v>
      </c>
      <c r="O1212" t="s">
        <v>786</v>
      </c>
      <c r="P1212" t="s">
        <v>2299</v>
      </c>
      <c r="Q1212" s="33" t="s">
        <v>55</v>
      </c>
      <c r="R1212" s="78">
        <v>-1</v>
      </c>
      <c r="S1212" s="15">
        <f>Table2[[#This Row],[movement_quantity]]/VLOOKUP(Table2[[#This Row],[product]],Ref[#All],5,FALSE)</f>
        <v>-0.02</v>
      </c>
      <c r="T1212">
        <v>42710.736519999999</v>
      </c>
      <c r="U1212" t="s">
        <v>17</v>
      </c>
      <c r="V1212" t="s">
        <v>18</v>
      </c>
      <c r="W1212" t="s">
        <v>3421</v>
      </c>
      <c r="X1212" t="s">
        <v>17</v>
      </c>
      <c r="Y1212" s="2" t="s">
        <v>3316</v>
      </c>
      <c r="Z1212">
        <v>0</v>
      </c>
      <c r="AA1212" s="2">
        <v>-42710.736519999999</v>
      </c>
      <c r="AB1212" t="str">
        <f>VLOOKUP(Table2[[#This Row],[product]],Ref[#All],6,FALSE)</f>
        <v>BAG20</v>
      </c>
    </row>
    <row r="1213" spans="1:28" x14ac:dyDescent="0.25">
      <c r="A1213" s="83" t="str">
        <f>TEXT(Table2[[#This Row],[dated]],"mmm")</f>
        <v>Dec</v>
      </c>
      <c r="B1213" t="s">
        <v>52</v>
      </c>
      <c r="C1213" s="1" t="s">
        <v>536</v>
      </c>
      <c r="D1213" s="83" t="str">
        <f>VLOOKUP(Table2[[#This Row],[product]],Ref[#All],7,FALSE)</f>
        <v>Lentils</v>
      </c>
      <c r="E1213" s="1" t="s">
        <v>39</v>
      </c>
      <c r="F1213" t="str">
        <f>VLOOKUP(Table2[[#This Row],[product]],Ref[#All],2,FALSE)</f>
        <v>Lentil TAT 20KG</v>
      </c>
      <c r="G1213" s="83" t="str">
        <f>VLOOKUP(Table2[[#This Row],[product]],Ref[#All],3,FALSE)</f>
        <v>Lentils</v>
      </c>
      <c r="H1213" t="str">
        <f>VLOOKUP(Table2[[#This Row],[product]],Ref[#All],4,FALSE)</f>
        <v>Import</v>
      </c>
      <c r="I1213" s="1">
        <v>46006</v>
      </c>
      <c r="J1213" t="s">
        <v>53</v>
      </c>
      <c r="K1213" s="33" t="s">
        <v>3394</v>
      </c>
      <c r="L1213" t="s">
        <v>1651</v>
      </c>
      <c r="M1213" t="s">
        <v>1586</v>
      </c>
      <c r="N1213" t="s">
        <v>784</v>
      </c>
      <c r="O1213" t="s">
        <v>786</v>
      </c>
      <c r="P1213" t="s">
        <v>2299</v>
      </c>
      <c r="Q1213" s="33" t="s">
        <v>55</v>
      </c>
      <c r="R1213" s="78">
        <v>-1</v>
      </c>
      <c r="S1213" s="15">
        <f>Table2[[#This Row],[movement_quantity]]/VLOOKUP(Table2[[#This Row],[product]],Ref[#All],5,FALSE)</f>
        <v>-0.02</v>
      </c>
      <c r="T1213">
        <v>42710.736519999999</v>
      </c>
      <c r="U1213" t="s">
        <v>17</v>
      </c>
      <c r="V1213" t="s">
        <v>21</v>
      </c>
      <c r="W1213" t="s">
        <v>3422</v>
      </c>
      <c r="X1213" t="s">
        <v>17</v>
      </c>
      <c r="Y1213" s="2" t="s">
        <v>3316</v>
      </c>
      <c r="Z1213">
        <v>0</v>
      </c>
      <c r="AA1213" s="2">
        <v>-42710.736519999999</v>
      </c>
      <c r="AB1213" t="str">
        <f>VLOOKUP(Table2[[#This Row],[product]],Ref[#All],6,FALSE)</f>
        <v>BAG20</v>
      </c>
    </row>
    <row r="1214" spans="1:28" x14ac:dyDescent="0.25">
      <c r="A1214" s="83" t="str">
        <f>TEXT(Table2[[#This Row],[dated]],"mmm")</f>
        <v>Dec</v>
      </c>
      <c r="B1214" t="s">
        <v>52</v>
      </c>
      <c r="C1214" s="1" t="s">
        <v>536</v>
      </c>
      <c r="D1214" s="83" t="str">
        <f>VLOOKUP(Table2[[#This Row],[product]],Ref[#All],7,FALSE)</f>
        <v>Lentils</v>
      </c>
      <c r="E1214" s="1" t="s">
        <v>39</v>
      </c>
      <c r="F1214" t="str">
        <f>VLOOKUP(Table2[[#This Row],[product]],Ref[#All],2,FALSE)</f>
        <v>Lentil TAT 20KG</v>
      </c>
      <c r="G1214" s="83" t="str">
        <f>VLOOKUP(Table2[[#This Row],[product]],Ref[#All],3,FALSE)</f>
        <v>Lentils</v>
      </c>
      <c r="H1214" t="str">
        <f>VLOOKUP(Table2[[#This Row],[product]],Ref[#All],4,FALSE)</f>
        <v>Import</v>
      </c>
      <c r="I1214" s="1">
        <v>46006</v>
      </c>
      <c r="J1214" t="s">
        <v>53</v>
      </c>
      <c r="K1214" s="33" t="s">
        <v>3395</v>
      </c>
      <c r="L1214" t="s">
        <v>1651</v>
      </c>
      <c r="M1214" t="s">
        <v>1586</v>
      </c>
      <c r="N1214" t="s">
        <v>784</v>
      </c>
      <c r="O1214" t="s">
        <v>786</v>
      </c>
      <c r="P1214" t="s">
        <v>2299</v>
      </c>
      <c r="Q1214" s="33" t="s">
        <v>55</v>
      </c>
      <c r="R1214" s="78">
        <v>-1</v>
      </c>
      <c r="S1214" s="15">
        <f>Table2[[#This Row],[movement_quantity]]/VLOOKUP(Table2[[#This Row],[product]],Ref[#All],5,FALSE)</f>
        <v>-0.02</v>
      </c>
      <c r="T1214">
        <v>42710.736519999999</v>
      </c>
      <c r="U1214" t="s">
        <v>17</v>
      </c>
      <c r="V1214" t="s">
        <v>22</v>
      </c>
      <c r="W1214" t="s">
        <v>3423</v>
      </c>
      <c r="X1214" t="s">
        <v>17</v>
      </c>
      <c r="Y1214" s="2" t="s">
        <v>3316</v>
      </c>
      <c r="Z1214">
        <v>0</v>
      </c>
      <c r="AA1214" s="2">
        <v>-42710.736519999999</v>
      </c>
      <c r="AB1214" t="str">
        <f>VLOOKUP(Table2[[#This Row],[product]],Ref[#All],6,FALSE)</f>
        <v>BAG20</v>
      </c>
    </row>
    <row r="1215" spans="1:28" x14ac:dyDescent="0.25">
      <c r="A1215" s="83" t="str">
        <f>TEXT(Table2[[#This Row],[dated]],"mmm")</f>
        <v>Dec</v>
      </c>
      <c r="B1215" t="s">
        <v>52</v>
      </c>
      <c r="C1215" s="1" t="s">
        <v>536</v>
      </c>
      <c r="D1215" s="83" t="str">
        <f>VLOOKUP(Table2[[#This Row],[product]],Ref[#All],7,FALSE)</f>
        <v>Flour</v>
      </c>
      <c r="E1215" s="1" t="s">
        <v>42</v>
      </c>
      <c r="F1215" t="str">
        <f>VLOOKUP(Table2[[#This Row],[product]],Ref[#All],2,FALSE)</f>
        <v>Alnajm Flour from Mill 25KG</v>
      </c>
      <c r="G1215" s="83" t="str">
        <f>VLOOKUP(Table2[[#This Row],[product]],Ref[#All],3,FALSE)</f>
        <v>Flour Al-Nagm (Mill)</v>
      </c>
      <c r="H1215" t="str">
        <f>VLOOKUP(Table2[[#This Row],[product]],Ref[#All],4,FALSE)</f>
        <v>Import</v>
      </c>
      <c r="I1215" s="1">
        <v>46007</v>
      </c>
      <c r="J1215" t="s">
        <v>53</v>
      </c>
      <c r="K1215" s="33" t="s">
        <v>3396</v>
      </c>
      <c r="L1215" t="s">
        <v>1651</v>
      </c>
      <c r="M1215" t="s">
        <v>1586</v>
      </c>
      <c r="N1215" t="s">
        <v>784</v>
      </c>
      <c r="O1215" t="s">
        <v>786</v>
      </c>
      <c r="P1215" t="s">
        <v>2299</v>
      </c>
      <c r="Q1215" s="33" t="s">
        <v>55</v>
      </c>
      <c r="R1215" s="78">
        <v>-1</v>
      </c>
      <c r="S1215" s="15">
        <f>Table2[[#This Row],[movement_quantity]]/VLOOKUP(Table2[[#This Row],[product]],Ref[#All],5,FALSE)</f>
        <v>-2.5000000000000001E-2</v>
      </c>
      <c r="T1215">
        <v>24102.081340000001</v>
      </c>
      <c r="U1215" t="s">
        <v>17</v>
      </c>
      <c r="V1215" t="s">
        <v>18</v>
      </c>
      <c r="W1215" t="s">
        <v>3424</v>
      </c>
      <c r="X1215" t="s">
        <v>17</v>
      </c>
      <c r="Y1215" s="2" t="s">
        <v>3425</v>
      </c>
      <c r="Z1215">
        <v>0</v>
      </c>
      <c r="AA1215" s="2">
        <v>-24102.081340000001</v>
      </c>
      <c r="AB1215" t="str">
        <f>VLOOKUP(Table2[[#This Row],[product]],Ref[#All],6,FALSE)</f>
        <v>BAG25</v>
      </c>
    </row>
    <row r="1216" spans="1:28" x14ac:dyDescent="0.25">
      <c r="A1216" s="83" t="str">
        <f>TEXT(Table2[[#This Row],[dated]],"mmm")</f>
        <v>Dec</v>
      </c>
      <c r="B1216" t="s">
        <v>52</v>
      </c>
      <c r="C1216" s="1" t="s">
        <v>536</v>
      </c>
      <c r="D1216" s="83" t="str">
        <f>VLOOKUP(Table2[[#This Row],[product]],Ref[#All],7,FALSE)</f>
        <v>Flour</v>
      </c>
      <c r="E1216" s="1" t="s">
        <v>42</v>
      </c>
      <c r="F1216" t="str">
        <f>VLOOKUP(Table2[[#This Row],[product]],Ref[#All],2,FALSE)</f>
        <v>Alnajm Flour from Mill 25KG</v>
      </c>
      <c r="G1216" s="83" t="str">
        <f>VLOOKUP(Table2[[#This Row],[product]],Ref[#All],3,FALSE)</f>
        <v>Flour Al-Nagm (Mill)</v>
      </c>
      <c r="H1216" t="str">
        <f>VLOOKUP(Table2[[#This Row],[product]],Ref[#All],4,FALSE)</f>
        <v>Import</v>
      </c>
      <c r="I1216" s="1">
        <v>46007</v>
      </c>
      <c r="J1216" t="s">
        <v>53</v>
      </c>
      <c r="K1216" s="33" t="s">
        <v>3397</v>
      </c>
      <c r="L1216" t="s">
        <v>1651</v>
      </c>
      <c r="M1216" t="s">
        <v>1586</v>
      </c>
      <c r="N1216" t="s">
        <v>784</v>
      </c>
      <c r="O1216" t="s">
        <v>786</v>
      </c>
      <c r="P1216" t="s">
        <v>2299</v>
      </c>
      <c r="Q1216" s="33" t="s">
        <v>55</v>
      </c>
      <c r="R1216" s="78">
        <v>-1</v>
      </c>
      <c r="S1216" s="15">
        <f>Table2[[#This Row],[movement_quantity]]/VLOOKUP(Table2[[#This Row],[product]],Ref[#All],5,FALSE)</f>
        <v>-2.5000000000000001E-2</v>
      </c>
      <c r="T1216">
        <v>24102.081340000001</v>
      </c>
      <c r="U1216" t="s">
        <v>17</v>
      </c>
      <c r="V1216" t="s">
        <v>21</v>
      </c>
      <c r="W1216" t="s">
        <v>3426</v>
      </c>
      <c r="X1216" t="s">
        <v>17</v>
      </c>
      <c r="Y1216" s="2" t="s">
        <v>3425</v>
      </c>
      <c r="Z1216">
        <v>0</v>
      </c>
      <c r="AA1216" s="2">
        <v>-24102.081340000001</v>
      </c>
      <c r="AB1216" t="str">
        <f>VLOOKUP(Table2[[#This Row],[product]],Ref[#All],6,FALSE)</f>
        <v>BAG25</v>
      </c>
    </row>
    <row r="1217" spans="1:28" x14ac:dyDescent="0.25">
      <c r="A1217" s="83" t="str">
        <f>TEXT(Table2[[#This Row],[dated]],"mmm")</f>
        <v>Dec</v>
      </c>
      <c r="B1217" t="s">
        <v>52</v>
      </c>
      <c r="C1217" s="1" t="s">
        <v>536</v>
      </c>
      <c r="D1217" s="83" t="str">
        <f>VLOOKUP(Table2[[#This Row],[product]],Ref[#All],7,FALSE)</f>
        <v>Flour</v>
      </c>
      <c r="E1217" s="1" t="s">
        <v>42</v>
      </c>
      <c r="F1217" t="str">
        <f>VLOOKUP(Table2[[#This Row],[product]],Ref[#All],2,FALSE)</f>
        <v>Alnajm Flour from Mill 25KG</v>
      </c>
      <c r="G1217" s="83" t="str">
        <f>VLOOKUP(Table2[[#This Row],[product]],Ref[#All],3,FALSE)</f>
        <v>Flour Al-Nagm (Mill)</v>
      </c>
      <c r="H1217" t="str">
        <f>VLOOKUP(Table2[[#This Row],[product]],Ref[#All],4,FALSE)</f>
        <v>Import</v>
      </c>
      <c r="I1217" s="1">
        <v>46007</v>
      </c>
      <c r="J1217" t="s">
        <v>53</v>
      </c>
      <c r="K1217" s="33" t="s">
        <v>3398</v>
      </c>
      <c r="L1217" t="s">
        <v>1651</v>
      </c>
      <c r="M1217" t="s">
        <v>1586</v>
      </c>
      <c r="N1217" t="s">
        <v>784</v>
      </c>
      <c r="O1217" t="s">
        <v>786</v>
      </c>
      <c r="P1217" t="s">
        <v>2299</v>
      </c>
      <c r="Q1217" s="33" t="s">
        <v>55</v>
      </c>
      <c r="R1217" s="78">
        <v>-1</v>
      </c>
      <c r="S1217" s="15">
        <f>Table2[[#This Row],[movement_quantity]]/VLOOKUP(Table2[[#This Row],[product]],Ref[#All],5,FALSE)</f>
        <v>-2.5000000000000001E-2</v>
      </c>
      <c r="T1217">
        <v>24102.081340000001</v>
      </c>
      <c r="U1217" t="s">
        <v>17</v>
      </c>
      <c r="V1217" t="s">
        <v>22</v>
      </c>
      <c r="W1217" t="s">
        <v>3427</v>
      </c>
      <c r="X1217" t="s">
        <v>17</v>
      </c>
      <c r="Y1217" s="2" t="s">
        <v>3425</v>
      </c>
      <c r="Z1217">
        <v>0</v>
      </c>
      <c r="AA1217" s="2">
        <v>-24102.081340000001</v>
      </c>
      <c r="AB1217" t="str">
        <f>VLOOKUP(Table2[[#This Row],[product]],Ref[#All],6,FALSE)</f>
        <v>BAG25</v>
      </c>
    </row>
    <row r="1218" spans="1:28" x14ac:dyDescent="0.25">
      <c r="A1218" s="83" t="str">
        <f>TEXT(Table2[[#This Row],[dated]],"mmm")</f>
        <v>Dec</v>
      </c>
      <c r="B1218" t="s">
        <v>52</v>
      </c>
      <c r="C1218" s="1" t="s">
        <v>536</v>
      </c>
      <c r="D1218" s="83" t="str">
        <f>VLOOKUP(Table2[[#This Row],[product]],Ref[#All],7,FALSE)</f>
        <v>Flour</v>
      </c>
      <c r="E1218" s="1" t="s">
        <v>42</v>
      </c>
      <c r="F1218" t="str">
        <f>VLOOKUP(Table2[[#This Row],[product]],Ref[#All],2,FALSE)</f>
        <v>Alnajm Flour from Mill 25KG</v>
      </c>
      <c r="G1218" s="83" t="str">
        <f>VLOOKUP(Table2[[#This Row],[product]],Ref[#All],3,FALSE)</f>
        <v>Flour Al-Nagm (Mill)</v>
      </c>
      <c r="H1218" t="str">
        <f>VLOOKUP(Table2[[#This Row],[product]],Ref[#All],4,FALSE)</f>
        <v>Import</v>
      </c>
      <c r="I1218" s="1">
        <v>46007</v>
      </c>
      <c r="J1218" t="s">
        <v>53</v>
      </c>
      <c r="K1218" s="33" t="s">
        <v>3399</v>
      </c>
      <c r="L1218" t="s">
        <v>1651</v>
      </c>
      <c r="M1218" t="s">
        <v>1586</v>
      </c>
      <c r="N1218" t="s">
        <v>784</v>
      </c>
      <c r="O1218" t="s">
        <v>786</v>
      </c>
      <c r="P1218" t="s">
        <v>2299</v>
      </c>
      <c r="Q1218" s="33" t="s">
        <v>55</v>
      </c>
      <c r="R1218" s="78">
        <v>-4</v>
      </c>
      <c r="S1218" s="15">
        <f>Table2[[#This Row],[movement_quantity]]/VLOOKUP(Table2[[#This Row],[product]],Ref[#All],5,FALSE)</f>
        <v>-0.1</v>
      </c>
      <c r="T1218">
        <v>24102.081340000001</v>
      </c>
      <c r="U1218" t="s">
        <v>17</v>
      </c>
      <c r="V1218" t="s">
        <v>23</v>
      </c>
      <c r="W1218" t="s">
        <v>3428</v>
      </c>
      <c r="X1218" t="s">
        <v>17</v>
      </c>
      <c r="Y1218" s="2" t="s">
        <v>3425</v>
      </c>
      <c r="Z1218">
        <v>0</v>
      </c>
      <c r="AA1218" s="2">
        <v>-96408.325360000003</v>
      </c>
      <c r="AB1218" t="str">
        <f>VLOOKUP(Table2[[#This Row],[product]],Ref[#All],6,FALSE)</f>
        <v>BAG25</v>
      </c>
    </row>
    <row r="1219" spans="1:28" x14ac:dyDescent="0.25">
      <c r="A1219" s="83" t="str">
        <f>TEXT(Table2[[#This Row],[dated]],"mmm")</f>
        <v>Dec</v>
      </c>
      <c r="B1219" t="s">
        <v>52</v>
      </c>
      <c r="C1219" s="1" t="s">
        <v>536</v>
      </c>
      <c r="D1219" s="83" t="str">
        <f>VLOOKUP(Table2[[#This Row],[product]],Ref[#All],7,FALSE)</f>
        <v>Flour</v>
      </c>
      <c r="E1219" s="1" t="s">
        <v>42</v>
      </c>
      <c r="F1219" t="str">
        <f>VLOOKUP(Table2[[#This Row],[product]],Ref[#All],2,FALSE)</f>
        <v>Alnajm Flour from Mill 25KG</v>
      </c>
      <c r="G1219" s="83" t="str">
        <f>VLOOKUP(Table2[[#This Row],[product]],Ref[#All],3,FALSE)</f>
        <v>Flour Al-Nagm (Mill)</v>
      </c>
      <c r="H1219" t="str">
        <f>VLOOKUP(Table2[[#This Row],[product]],Ref[#All],4,FALSE)</f>
        <v>Import</v>
      </c>
      <c r="I1219" s="1">
        <v>46007</v>
      </c>
      <c r="J1219" t="s">
        <v>53</v>
      </c>
      <c r="K1219" s="33" t="s">
        <v>3400</v>
      </c>
      <c r="L1219" t="s">
        <v>1651</v>
      </c>
      <c r="M1219" t="s">
        <v>1586</v>
      </c>
      <c r="N1219" t="s">
        <v>784</v>
      </c>
      <c r="O1219" t="s">
        <v>786</v>
      </c>
      <c r="P1219" t="s">
        <v>2299</v>
      </c>
      <c r="Q1219" s="33" t="s">
        <v>55</v>
      </c>
      <c r="R1219" s="78">
        <v>-1</v>
      </c>
      <c r="S1219" s="15">
        <f>Table2[[#This Row],[movement_quantity]]/VLOOKUP(Table2[[#This Row],[product]],Ref[#All],5,FALSE)</f>
        <v>-2.5000000000000001E-2</v>
      </c>
      <c r="T1219">
        <v>24102.081340000001</v>
      </c>
      <c r="U1219" t="s">
        <v>17</v>
      </c>
      <c r="V1219" t="s">
        <v>24</v>
      </c>
      <c r="W1219" t="s">
        <v>3429</v>
      </c>
      <c r="X1219" t="s">
        <v>17</v>
      </c>
      <c r="Y1219" s="2" t="s">
        <v>3425</v>
      </c>
      <c r="Z1219">
        <v>0</v>
      </c>
      <c r="AA1219" s="2">
        <v>-24102.081340000001</v>
      </c>
      <c r="AB1219" t="str">
        <f>VLOOKUP(Table2[[#This Row],[product]],Ref[#All],6,FALSE)</f>
        <v>BAG25</v>
      </c>
    </row>
    <row r="1220" spans="1:28" x14ac:dyDescent="0.25">
      <c r="A1220" s="83" t="str">
        <f>TEXT(Table2[[#This Row],[dated]],"mmm")</f>
        <v>Dec</v>
      </c>
      <c r="B1220" t="s">
        <v>52</v>
      </c>
      <c r="C1220" s="1" t="s">
        <v>536</v>
      </c>
      <c r="D1220" s="83" t="str">
        <f>VLOOKUP(Table2[[#This Row],[product]],Ref[#All],7,FALSE)</f>
        <v>Flour</v>
      </c>
      <c r="E1220" s="1" t="s">
        <v>42</v>
      </c>
      <c r="F1220" t="str">
        <f>VLOOKUP(Table2[[#This Row],[product]],Ref[#All],2,FALSE)</f>
        <v>Alnajm Flour from Mill 25KG</v>
      </c>
      <c r="G1220" s="83" t="str">
        <f>VLOOKUP(Table2[[#This Row],[product]],Ref[#All],3,FALSE)</f>
        <v>Flour Al-Nagm (Mill)</v>
      </c>
      <c r="H1220" t="str">
        <f>VLOOKUP(Table2[[#This Row],[product]],Ref[#All],4,FALSE)</f>
        <v>Import</v>
      </c>
      <c r="I1220" s="1">
        <v>46007</v>
      </c>
      <c r="J1220" t="s">
        <v>53</v>
      </c>
      <c r="K1220" s="33" t="s">
        <v>3401</v>
      </c>
      <c r="L1220" t="s">
        <v>1651</v>
      </c>
      <c r="M1220" t="s">
        <v>1586</v>
      </c>
      <c r="N1220" t="s">
        <v>784</v>
      </c>
      <c r="O1220" t="s">
        <v>786</v>
      </c>
      <c r="P1220" t="s">
        <v>2299</v>
      </c>
      <c r="Q1220" s="33" t="s">
        <v>55</v>
      </c>
      <c r="R1220" s="78">
        <v>-1</v>
      </c>
      <c r="S1220" s="15">
        <f>Table2[[#This Row],[movement_quantity]]/VLOOKUP(Table2[[#This Row],[product]],Ref[#All],5,FALSE)</f>
        <v>-2.5000000000000001E-2</v>
      </c>
      <c r="T1220">
        <v>24102.081340000001</v>
      </c>
      <c r="U1220" t="s">
        <v>17</v>
      </c>
      <c r="V1220" t="s">
        <v>25</v>
      </c>
      <c r="W1220" t="s">
        <v>3430</v>
      </c>
      <c r="X1220" t="s">
        <v>17</v>
      </c>
      <c r="Y1220" s="2" t="s">
        <v>3425</v>
      </c>
      <c r="Z1220">
        <v>0</v>
      </c>
      <c r="AA1220" s="2">
        <v>-24102.081340000001</v>
      </c>
      <c r="AB1220" t="str">
        <f>VLOOKUP(Table2[[#This Row],[product]],Ref[#All],6,FALSE)</f>
        <v>BAG25</v>
      </c>
    </row>
    <row r="1221" spans="1:28" x14ac:dyDescent="0.25">
      <c r="A1221" s="83" t="str">
        <f>TEXT(Table2[[#This Row],[dated]],"mmm")</f>
        <v>Dec</v>
      </c>
      <c r="B1221" t="s">
        <v>52</v>
      </c>
      <c r="C1221" s="1" t="s">
        <v>536</v>
      </c>
      <c r="D1221" s="83" t="str">
        <f>VLOOKUP(Table2[[#This Row],[product]],Ref[#All],7,FALSE)</f>
        <v>Flour</v>
      </c>
      <c r="E1221" s="1" t="s">
        <v>42</v>
      </c>
      <c r="F1221" t="str">
        <f>VLOOKUP(Table2[[#This Row],[product]],Ref[#All],2,FALSE)</f>
        <v>Alnajm Flour from Mill 25KG</v>
      </c>
      <c r="G1221" s="83" t="str">
        <f>VLOOKUP(Table2[[#This Row],[product]],Ref[#All],3,FALSE)</f>
        <v>Flour Al-Nagm (Mill)</v>
      </c>
      <c r="H1221" t="str">
        <f>VLOOKUP(Table2[[#This Row],[product]],Ref[#All],4,FALSE)</f>
        <v>Import</v>
      </c>
      <c r="I1221" s="1">
        <v>46007</v>
      </c>
      <c r="J1221" t="s">
        <v>53</v>
      </c>
      <c r="K1221" s="33" t="s">
        <v>3402</v>
      </c>
      <c r="L1221" t="s">
        <v>1651</v>
      </c>
      <c r="M1221" t="s">
        <v>1586</v>
      </c>
      <c r="N1221" t="s">
        <v>784</v>
      </c>
      <c r="O1221" t="s">
        <v>786</v>
      </c>
      <c r="P1221" t="s">
        <v>2299</v>
      </c>
      <c r="Q1221" s="33" t="s">
        <v>55</v>
      </c>
      <c r="R1221" s="78">
        <v>-2</v>
      </c>
      <c r="S1221" s="15">
        <f>Table2[[#This Row],[movement_quantity]]/VLOOKUP(Table2[[#This Row],[product]],Ref[#All],5,FALSE)</f>
        <v>-0.05</v>
      </c>
      <c r="T1221">
        <v>24102.081340000001</v>
      </c>
      <c r="U1221" t="s">
        <v>17</v>
      </c>
      <c r="V1221" t="s">
        <v>26</v>
      </c>
      <c r="W1221" t="s">
        <v>3431</v>
      </c>
      <c r="X1221" t="s">
        <v>17</v>
      </c>
      <c r="Y1221" s="2" t="s">
        <v>3425</v>
      </c>
      <c r="Z1221">
        <v>0</v>
      </c>
      <c r="AA1221" s="2">
        <v>-48204.162680000001</v>
      </c>
      <c r="AB1221" t="str">
        <f>VLOOKUP(Table2[[#This Row],[product]],Ref[#All],6,FALSE)</f>
        <v>BAG25</v>
      </c>
    </row>
    <row r="1222" spans="1:28" x14ac:dyDescent="0.25">
      <c r="A1222" s="83" t="str">
        <f>TEXT(Table2[[#This Row],[dated]],"mmm")</f>
        <v>Dec</v>
      </c>
      <c r="B1222" t="s">
        <v>52</v>
      </c>
      <c r="C1222" s="1" t="s">
        <v>536</v>
      </c>
      <c r="D1222" s="83" t="str">
        <f>VLOOKUP(Table2[[#This Row],[product]],Ref[#All],7,FALSE)</f>
        <v>Flour</v>
      </c>
      <c r="E1222" s="1" t="s">
        <v>42</v>
      </c>
      <c r="F1222" t="str">
        <f>VLOOKUP(Table2[[#This Row],[product]],Ref[#All],2,FALSE)</f>
        <v>Alnajm Flour from Mill 25KG</v>
      </c>
      <c r="G1222" s="83" t="str">
        <f>VLOOKUP(Table2[[#This Row],[product]],Ref[#All],3,FALSE)</f>
        <v>Flour Al-Nagm (Mill)</v>
      </c>
      <c r="H1222" t="str">
        <f>VLOOKUP(Table2[[#This Row],[product]],Ref[#All],4,FALSE)</f>
        <v>Import</v>
      </c>
      <c r="I1222" s="1">
        <v>46007</v>
      </c>
      <c r="J1222" t="s">
        <v>53</v>
      </c>
      <c r="K1222" s="33" t="s">
        <v>3403</v>
      </c>
      <c r="L1222" t="s">
        <v>1651</v>
      </c>
      <c r="M1222" t="s">
        <v>1586</v>
      </c>
      <c r="N1222" t="s">
        <v>784</v>
      </c>
      <c r="O1222" t="s">
        <v>786</v>
      </c>
      <c r="P1222" t="s">
        <v>2299</v>
      </c>
      <c r="Q1222" s="33" t="s">
        <v>55</v>
      </c>
      <c r="R1222" s="78">
        <v>-1</v>
      </c>
      <c r="S1222" s="15">
        <f>Table2[[#This Row],[movement_quantity]]/VLOOKUP(Table2[[#This Row],[product]],Ref[#All],5,FALSE)</f>
        <v>-2.5000000000000001E-2</v>
      </c>
      <c r="T1222">
        <v>24102.081340000001</v>
      </c>
      <c r="U1222" t="s">
        <v>17</v>
      </c>
      <c r="V1222" t="s">
        <v>27</v>
      </c>
      <c r="W1222" t="s">
        <v>3432</v>
      </c>
      <c r="X1222" t="s">
        <v>17</v>
      </c>
      <c r="Y1222" s="2" t="s">
        <v>3425</v>
      </c>
      <c r="Z1222">
        <v>0</v>
      </c>
      <c r="AA1222" s="2">
        <v>-24102.081340000001</v>
      </c>
      <c r="AB1222" t="str">
        <f>VLOOKUP(Table2[[#This Row],[product]],Ref[#All],6,FALSE)</f>
        <v>BAG25</v>
      </c>
    </row>
  </sheetData>
  <phoneticPr fontId="8" type="noConversion"/>
  <pageMargins left="0.7" right="0.7" top="0.75" bottom="0.75" header="0.3" footer="0.3"/>
  <pageSetup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B2A62-EA60-4529-9E60-765BAC338B48}">
  <sheetPr codeName="Sheet4"/>
  <dimension ref="A1:G93"/>
  <sheetViews>
    <sheetView topLeftCell="A85" workbookViewId="0">
      <selection activeCell="E98" sqref="E98"/>
    </sheetView>
  </sheetViews>
  <sheetFormatPr defaultRowHeight="15" x14ac:dyDescent="0.25"/>
  <cols>
    <col min="2" max="2" width="27.7109375" bestFit="1" customWidth="1"/>
    <col min="3" max="3" width="38.7109375" bestFit="1" customWidth="1"/>
    <col min="7" max="7" width="14.42578125" bestFit="1" customWidth="1"/>
    <col min="11" max="11" width="11.28515625" customWidth="1"/>
  </cols>
  <sheetData>
    <row r="1" spans="1:7" x14ac:dyDescent="0.25">
      <c r="A1" t="s">
        <v>2135</v>
      </c>
      <c r="B1" t="s">
        <v>2136</v>
      </c>
      <c r="C1" t="s">
        <v>1123</v>
      </c>
      <c r="D1" t="s">
        <v>744</v>
      </c>
      <c r="E1" t="s">
        <v>2137</v>
      </c>
      <c r="F1" t="s">
        <v>745</v>
      </c>
      <c r="G1" t="s">
        <v>1600</v>
      </c>
    </row>
    <row r="2" spans="1:7" x14ac:dyDescent="0.25">
      <c r="A2" t="s">
        <v>412</v>
      </c>
      <c r="B2" t="s">
        <v>746</v>
      </c>
      <c r="C2" t="s">
        <v>746</v>
      </c>
      <c r="D2" t="s">
        <v>747</v>
      </c>
      <c r="E2">
        <v>1</v>
      </c>
      <c r="F2" t="s">
        <v>748</v>
      </c>
      <c r="G2" t="s">
        <v>1601</v>
      </c>
    </row>
    <row r="3" spans="1:7" x14ac:dyDescent="0.25">
      <c r="A3" t="s">
        <v>2138</v>
      </c>
      <c r="B3" t="s">
        <v>2139</v>
      </c>
      <c r="C3" t="s">
        <v>2139</v>
      </c>
      <c r="D3" t="s">
        <v>747</v>
      </c>
      <c r="E3">
        <v>1</v>
      </c>
      <c r="F3" t="s">
        <v>748</v>
      </c>
      <c r="G3" t="s">
        <v>1601</v>
      </c>
    </row>
    <row r="4" spans="1:7" x14ac:dyDescent="0.25">
      <c r="A4" t="s">
        <v>399</v>
      </c>
      <c r="B4" t="s">
        <v>749</v>
      </c>
      <c r="C4" t="s">
        <v>749</v>
      </c>
      <c r="D4" t="s">
        <v>747</v>
      </c>
      <c r="E4">
        <v>1</v>
      </c>
      <c r="F4" t="s">
        <v>748</v>
      </c>
      <c r="G4" t="s">
        <v>1601</v>
      </c>
    </row>
    <row r="5" spans="1:7" x14ac:dyDescent="0.25">
      <c r="A5" t="s">
        <v>2140</v>
      </c>
      <c r="B5" t="s">
        <v>2141</v>
      </c>
      <c r="C5" t="s">
        <v>2141</v>
      </c>
      <c r="D5" t="s">
        <v>747</v>
      </c>
      <c r="E5">
        <v>1</v>
      </c>
      <c r="F5" t="s">
        <v>748</v>
      </c>
      <c r="G5" t="s">
        <v>1601</v>
      </c>
    </row>
    <row r="6" spans="1:7" x14ac:dyDescent="0.25">
      <c r="A6" t="s">
        <v>2142</v>
      </c>
      <c r="B6" t="s">
        <v>2143</v>
      </c>
      <c r="C6" t="s">
        <v>2143</v>
      </c>
      <c r="D6" t="s">
        <v>747</v>
      </c>
      <c r="E6">
        <v>1</v>
      </c>
      <c r="F6" t="s">
        <v>748</v>
      </c>
      <c r="G6" t="s">
        <v>1601</v>
      </c>
    </row>
    <row r="7" spans="1:7" x14ac:dyDescent="0.25">
      <c r="A7" t="s">
        <v>2144</v>
      </c>
      <c r="B7" t="s">
        <v>2145</v>
      </c>
      <c r="C7" t="s">
        <v>2145</v>
      </c>
      <c r="D7" t="s">
        <v>747</v>
      </c>
      <c r="E7">
        <v>1</v>
      </c>
      <c r="F7" t="s">
        <v>748</v>
      </c>
      <c r="G7" t="s">
        <v>2146</v>
      </c>
    </row>
    <row r="8" spans="1:7" x14ac:dyDescent="0.25">
      <c r="A8" t="s">
        <v>2147</v>
      </c>
      <c r="B8" t="s">
        <v>2145</v>
      </c>
      <c r="C8" t="s">
        <v>2145</v>
      </c>
      <c r="D8" t="s">
        <v>747</v>
      </c>
      <c r="E8">
        <v>1</v>
      </c>
      <c r="F8" t="s">
        <v>748</v>
      </c>
      <c r="G8" t="s">
        <v>2146</v>
      </c>
    </row>
    <row r="9" spans="1:7" x14ac:dyDescent="0.25">
      <c r="A9" t="s">
        <v>2148</v>
      </c>
      <c r="B9" t="s">
        <v>2149</v>
      </c>
      <c r="C9" t="s">
        <v>2149</v>
      </c>
      <c r="D9" t="s">
        <v>747</v>
      </c>
      <c r="E9">
        <v>20</v>
      </c>
      <c r="F9" t="s">
        <v>750</v>
      </c>
      <c r="G9" t="s">
        <v>2146</v>
      </c>
    </row>
    <row r="10" spans="1:7" x14ac:dyDescent="0.25">
      <c r="A10" t="s">
        <v>2150</v>
      </c>
      <c r="B10" t="s">
        <v>2149</v>
      </c>
      <c r="C10" t="s">
        <v>2149</v>
      </c>
      <c r="D10" t="s">
        <v>747</v>
      </c>
      <c r="E10">
        <v>20</v>
      </c>
      <c r="F10" t="s">
        <v>750</v>
      </c>
      <c r="G10" t="s">
        <v>2146</v>
      </c>
    </row>
    <row r="11" spans="1:7" x14ac:dyDescent="0.25">
      <c r="A11" t="s">
        <v>2151</v>
      </c>
      <c r="B11" t="s">
        <v>2152</v>
      </c>
      <c r="C11" t="s">
        <v>2152</v>
      </c>
      <c r="D11" t="s">
        <v>747</v>
      </c>
      <c r="E11">
        <v>1</v>
      </c>
      <c r="F11" t="s">
        <v>748</v>
      </c>
      <c r="G11" t="s">
        <v>2146</v>
      </c>
    </row>
    <row r="12" spans="1:7" x14ac:dyDescent="0.25">
      <c r="A12" t="s">
        <v>2153</v>
      </c>
      <c r="B12" t="s">
        <v>2154</v>
      </c>
      <c r="C12" t="s">
        <v>2154</v>
      </c>
      <c r="D12" t="s">
        <v>747</v>
      </c>
      <c r="E12">
        <v>1</v>
      </c>
      <c r="F12" t="s">
        <v>748</v>
      </c>
      <c r="G12" t="s">
        <v>2146</v>
      </c>
    </row>
    <row r="13" spans="1:7" x14ac:dyDescent="0.25">
      <c r="A13" t="s">
        <v>2155</v>
      </c>
      <c r="B13" t="s">
        <v>2156</v>
      </c>
      <c r="C13" t="s">
        <v>2156</v>
      </c>
      <c r="D13" t="s">
        <v>747</v>
      </c>
      <c r="E13">
        <v>1</v>
      </c>
      <c r="F13" t="s">
        <v>748</v>
      </c>
      <c r="G13" t="s">
        <v>2146</v>
      </c>
    </row>
    <row r="14" spans="1:7" x14ac:dyDescent="0.25">
      <c r="A14" s="37" t="s">
        <v>2528</v>
      </c>
      <c r="B14" s="37" t="s">
        <v>2531</v>
      </c>
      <c r="C14" s="37" t="s">
        <v>2532</v>
      </c>
      <c r="D14" t="s">
        <v>747</v>
      </c>
      <c r="E14">
        <v>20</v>
      </c>
      <c r="F14" t="s">
        <v>750</v>
      </c>
      <c r="G14" t="s">
        <v>2146</v>
      </c>
    </row>
    <row r="15" spans="1:7" x14ac:dyDescent="0.25">
      <c r="A15" t="s">
        <v>2157</v>
      </c>
      <c r="B15" t="s">
        <v>2158</v>
      </c>
      <c r="C15" t="s">
        <v>2158</v>
      </c>
      <c r="D15" t="s">
        <v>747</v>
      </c>
      <c r="E15">
        <v>20</v>
      </c>
      <c r="F15" t="s">
        <v>750</v>
      </c>
      <c r="G15" t="s">
        <v>1603</v>
      </c>
    </row>
    <row r="16" spans="1:7" x14ac:dyDescent="0.25">
      <c r="A16" t="s">
        <v>2159</v>
      </c>
      <c r="B16" t="s">
        <v>2158</v>
      </c>
      <c r="C16" t="s">
        <v>2158</v>
      </c>
      <c r="D16" t="s">
        <v>747</v>
      </c>
      <c r="E16">
        <v>20</v>
      </c>
      <c r="F16" t="s">
        <v>750</v>
      </c>
      <c r="G16" t="s">
        <v>1603</v>
      </c>
    </row>
    <row r="17" spans="1:7" x14ac:dyDescent="0.25">
      <c r="A17" t="s">
        <v>2160</v>
      </c>
      <c r="B17" t="s">
        <v>2158</v>
      </c>
      <c r="C17" t="s">
        <v>2158</v>
      </c>
      <c r="D17" t="s">
        <v>747</v>
      </c>
      <c r="E17">
        <v>1</v>
      </c>
      <c r="F17" t="s">
        <v>748</v>
      </c>
      <c r="G17" t="s">
        <v>1603</v>
      </c>
    </row>
    <row r="18" spans="1:7" x14ac:dyDescent="0.25">
      <c r="A18" t="s">
        <v>2161</v>
      </c>
      <c r="B18" t="s">
        <v>2162</v>
      </c>
      <c r="C18" t="s">
        <v>2162</v>
      </c>
      <c r="D18" t="s">
        <v>747</v>
      </c>
      <c r="E18">
        <v>20</v>
      </c>
      <c r="F18" t="s">
        <v>750</v>
      </c>
      <c r="G18" t="s">
        <v>1603</v>
      </c>
    </row>
    <row r="19" spans="1:7" x14ac:dyDescent="0.25">
      <c r="A19" t="s">
        <v>2163</v>
      </c>
      <c r="B19" t="s">
        <v>2164</v>
      </c>
      <c r="C19" t="s">
        <v>2164</v>
      </c>
      <c r="D19" t="s">
        <v>747</v>
      </c>
      <c r="E19">
        <v>20</v>
      </c>
      <c r="F19" t="s">
        <v>750</v>
      </c>
      <c r="G19" t="s">
        <v>1603</v>
      </c>
    </row>
    <row r="20" spans="1:7" x14ac:dyDescent="0.25">
      <c r="A20" t="s">
        <v>2165</v>
      </c>
      <c r="B20" t="s">
        <v>751</v>
      </c>
      <c r="C20" t="s">
        <v>751</v>
      </c>
      <c r="D20" t="s">
        <v>747</v>
      </c>
      <c r="E20">
        <v>1</v>
      </c>
      <c r="F20" t="s">
        <v>748</v>
      </c>
      <c r="G20" t="s">
        <v>1603</v>
      </c>
    </row>
    <row r="21" spans="1:7" x14ac:dyDescent="0.25">
      <c r="A21" t="s">
        <v>39</v>
      </c>
      <c r="B21" t="s">
        <v>752</v>
      </c>
      <c r="C21" t="s">
        <v>1124</v>
      </c>
      <c r="D21" t="s">
        <v>753</v>
      </c>
      <c r="E21">
        <v>50</v>
      </c>
      <c r="F21" t="s">
        <v>776</v>
      </c>
      <c r="G21" t="s">
        <v>1124</v>
      </c>
    </row>
    <row r="22" spans="1:7" x14ac:dyDescent="0.25">
      <c r="A22" t="s">
        <v>2166</v>
      </c>
      <c r="B22" t="s">
        <v>2167</v>
      </c>
      <c r="C22" t="s">
        <v>1124</v>
      </c>
      <c r="D22" t="s">
        <v>753</v>
      </c>
      <c r="E22">
        <v>50</v>
      </c>
      <c r="F22" t="s">
        <v>776</v>
      </c>
      <c r="G22" t="s">
        <v>1124</v>
      </c>
    </row>
    <row r="23" spans="1:7" x14ac:dyDescent="0.25">
      <c r="A23" t="s">
        <v>2168</v>
      </c>
      <c r="B23" t="s">
        <v>2169</v>
      </c>
      <c r="C23" t="s">
        <v>1124</v>
      </c>
      <c r="D23" t="s">
        <v>753</v>
      </c>
      <c r="E23">
        <v>50</v>
      </c>
      <c r="F23" t="s">
        <v>776</v>
      </c>
      <c r="G23" t="s">
        <v>1124</v>
      </c>
    </row>
    <row r="24" spans="1:7" x14ac:dyDescent="0.25">
      <c r="A24" s="28" t="s">
        <v>2600</v>
      </c>
      <c r="B24" t="s">
        <v>2602</v>
      </c>
      <c r="C24" t="s">
        <v>1581</v>
      </c>
      <c r="D24" t="s">
        <v>753</v>
      </c>
      <c r="E24">
        <v>50</v>
      </c>
      <c r="F24" t="s">
        <v>750</v>
      </c>
      <c r="G24" t="s">
        <v>1124</v>
      </c>
    </row>
    <row r="25" spans="1:7" x14ac:dyDescent="0.25">
      <c r="A25" t="s">
        <v>754</v>
      </c>
      <c r="B25" t="s">
        <v>1590</v>
      </c>
      <c r="C25" t="s">
        <v>1592</v>
      </c>
      <c r="D25" t="s">
        <v>747</v>
      </c>
      <c r="E25">
        <v>20</v>
      </c>
      <c r="F25" t="s">
        <v>750</v>
      </c>
      <c r="G25" t="s">
        <v>1588</v>
      </c>
    </row>
    <row r="26" spans="1:7" x14ac:dyDescent="0.25">
      <c r="A26" t="s">
        <v>133</v>
      </c>
      <c r="B26" t="s">
        <v>2170</v>
      </c>
      <c r="C26" t="s">
        <v>1125</v>
      </c>
      <c r="D26" t="s">
        <v>753</v>
      </c>
      <c r="E26">
        <v>40</v>
      </c>
      <c r="F26" t="s">
        <v>757</v>
      </c>
      <c r="G26" t="s">
        <v>1602</v>
      </c>
    </row>
    <row r="27" spans="1:7" x14ac:dyDescent="0.25">
      <c r="A27" t="s">
        <v>2171</v>
      </c>
      <c r="B27" t="s">
        <v>2172</v>
      </c>
      <c r="C27" t="s">
        <v>1126</v>
      </c>
      <c r="D27" t="s">
        <v>753</v>
      </c>
      <c r="E27">
        <v>40</v>
      </c>
      <c r="F27" t="s">
        <v>757</v>
      </c>
      <c r="G27" t="s">
        <v>1602</v>
      </c>
    </row>
    <row r="28" spans="1:7" x14ac:dyDescent="0.25">
      <c r="A28" t="s">
        <v>2680</v>
      </c>
      <c r="B28" s="13" t="s">
        <v>2682</v>
      </c>
      <c r="C28" t="s">
        <v>1126</v>
      </c>
      <c r="D28" t="s">
        <v>753</v>
      </c>
      <c r="E28">
        <v>50</v>
      </c>
      <c r="F28" t="s">
        <v>776</v>
      </c>
      <c r="G28" t="s">
        <v>1602</v>
      </c>
    </row>
    <row r="29" spans="1:7" x14ac:dyDescent="0.25">
      <c r="A29" t="s">
        <v>2681</v>
      </c>
      <c r="B29" s="13" t="s">
        <v>2683</v>
      </c>
      <c r="C29" t="s">
        <v>1126</v>
      </c>
      <c r="D29" t="s">
        <v>753</v>
      </c>
      <c r="E29">
        <v>20</v>
      </c>
      <c r="F29" t="s">
        <v>750</v>
      </c>
      <c r="G29" t="s">
        <v>1602</v>
      </c>
    </row>
    <row r="30" spans="1:7" x14ac:dyDescent="0.25">
      <c r="A30" t="s">
        <v>2173</v>
      </c>
      <c r="B30" t="s">
        <v>2174</v>
      </c>
      <c r="C30" t="s">
        <v>2174</v>
      </c>
      <c r="D30" t="s">
        <v>747</v>
      </c>
      <c r="E30">
        <v>1</v>
      </c>
      <c r="F30" t="s">
        <v>2175</v>
      </c>
      <c r="G30" t="s">
        <v>2176</v>
      </c>
    </row>
    <row r="31" spans="1:7" x14ac:dyDescent="0.25">
      <c r="A31" t="s">
        <v>131</v>
      </c>
      <c r="B31" t="s">
        <v>755</v>
      </c>
      <c r="C31" t="s">
        <v>755</v>
      </c>
      <c r="D31" t="s">
        <v>747</v>
      </c>
      <c r="E31">
        <v>20</v>
      </c>
      <c r="F31" t="s">
        <v>750</v>
      </c>
      <c r="G31" t="s">
        <v>1604</v>
      </c>
    </row>
    <row r="32" spans="1:7" x14ac:dyDescent="0.25">
      <c r="A32" t="s">
        <v>77</v>
      </c>
      <c r="B32" t="s">
        <v>756</v>
      </c>
      <c r="C32" t="s">
        <v>756</v>
      </c>
      <c r="D32" t="s">
        <v>747</v>
      </c>
      <c r="E32">
        <v>20</v>
      </c>
      <c r="F32" t="s">
        <v>750</v>
      </c>
      <c r="G32" t="s">
        <v>1605</v>
      </c>
    </row>
    <row r="33" spans="1:7" x14ac:dyDescent="0.25">
      <c r="A33" t="s">
        <v>2177</v>
      </c>
      <c r="B33" t="s">
        <v>2178</v>
      </c>
      <c r="C33" t="s">
        <v>2178</v>
      </c>
      <c r="D33" t="s">
        <v>747</v>
      </c>
      <c r="E33">
        <v>20</v>
      </c>
      <c r="F33" t="s">
        <v>750</v>
      </c>
      <c r="G33" t="s">
        <v>2179</v>
      </c>
    </row>
    <row r="34" spans="1:7" x14ac:dyDescent="0.25">
      <c r="A34" t="s">
        <v>2180</v>
      </c>
      <c r="B34" t="s">
        <v>2181</v>
      </c>
      <c r="C34" t="s">
        <v>2181</v>
      </c>
      <c r="D34" t="s">
        <v>747</v>
      </c>
      <c r="E34">
        <v>40</v>
      </c>
      <c r="F34" t="s">
        <v>757</v>
      </c>
      <c r="G34" t="s">
        <v>1604</v>
      </c>
    </row>
    <row r="35" spans="1:7" x14ac:dyDescent="0.25">
      <c r="A35" t="s">
        <v>2182</v>
      </c>
      <c r="B35" t="s">
        <v>2183</v>
      </c>
      <c r="C35" t="s">
        <v>2183</v>
      </c>
      <c r="D35" t="s">
        <v>747</v>
      </c>
      <c r="E35">
        <v>20</v>
      </c>
      <c r="F35" t="s">
        <v>750</v>
      </c>
      <c r="G35" t="s">
        <v>2184</v>
      </c>
    </row>
    <row r="36" spans="1:7" x14ac:dyDescent="0.25">
      <c r="A36" t="s">
        <v>90</v>
      </c>
      <c r="B36" t="s">
        <v>758</v>
      </c>
      <c r="C36" t="s">
        <v>758</v>
      </c>
      <c r="D36" t="s">
        <v>747</v>
      </c>
      <c r="E36">
        <v>1</v>
      </c>
      <c r="F36" t="s">
        <v>748</v>
      </c>
      <c r="G36" t="s">
        <v>1604</v>
      </c>
    </row>
    <row r="37" spans="1:7" x14ac:dyDescent="0.25">
      <c r="A37" t="s">
        <v>137</v>
      </c>
      <c r="B37" t="s">
        <v>759</v>
      </c>
      <c r="C37" t="s">
        <v>759</v>
      </c>
      <c r="D37" t="s">
        <v>747</v>
      </c>
      <c r="E37">
        <v>1</v>
      </c>
      <c r="F37" t="s">
        <v>748</v>
      </c>
      <c r="G37" t="s">
        <v>1606</v>
      </c>
    </row>
    <row r="38" spans="1:7" x14ac:dyDescent="0.25">
      <c r="A38" t="s">
        <v>2185</v>
      </c>
      <c r="B38" t="s">
        <v>2186</v>
      </c>
      <c r="C38" t="s">
        <v>2186</v>
      </c>
      <c r="D38" t="s">
        <v>747</v>
      </c>
      <c r="E38">
        <v>20</v>
      </c>
      <c r="F38" t="s">
        <v>750</v>
      </c>
      <c r="G38" t="s">
        <v>1603</v>
      </c>
    </row>
    <row r="39" spans="1:7" x14ac:dyDescent="0.25">
      <c r="A39" t="s">
        <v>2187</v>
      </c>
      <c r="B39" t="s">
        <v>2188</v>
      </c>
      <c r="C39" t="s">
        <v>2188</v>
      </c>
      <c r="D39" t="s">
        <v>747</v>
      </c>
      <c r="E39">
        <v>20</v>
      </c>
      <c r="F39" t="s">
        <v>750</v>
      </c>
      <c r="G39" t="s">
        <v>1603</v>
      </c>
    </row>
    <row r="40" spans="1:7" x14ac:dyDescent="0.25">
      <c r="A40" t="s">
        <v>2189</v>
      </c>
      <c r="B40" t="s">
        <v>2190</v>
      </c>
      <c r="C40" t="s">
        <v>2190</v>
      </c>
      <c r="D40" t="s">
        <v>753</v>
      </c>
      <c r="E40">
        <v>20</v>
      </c>
      <c r="F40" t="s">
        <v>750</v>
      </c>
      <c r="G40" t="s">
        <v>2191</v>
      </c>
    </row>
    <row r="41" spans="1:7" x14ac:dyDescent="0.25">
      <c r="A41" t="s">
        <v>2189</v>
      </c>
      <c r="B41" t="s">
        <v>2190</v>
      </c>
      <c r="C41" t="s">
        <v>2190</v>
      </c>
      <c r="D41" t="s">
        <v>753</v>
      </c>
      <c r="E41">
        <v>20</v>
      </c>
      <c r="F41" t="s">
        <v>750</v>
      </c>
      <c r="G41" t="s">
        <v>2191</v>
      </c>
    </row>
    <row r="42" spans="1:7" x14ac:dyDescent="0.25">
      <c r="A42" t="s">
        <v>2192</v>
      </c>
      <c r="B42" t="s">
        <v>2193</v>
      </c>
      <c r="C42" t="s">
        <v>2193</v>
      </c>
      <c r="D42" t="s">
        <v>753</v>
      </c>
      <c r="E42">
        <v>20</v>
      </c>
      <c r="F42" t="s">
        <v>750</v>
      </c>
      <c r="G42" t="s">
        <v>2191</v>
      </c>
    </row>
    <row r="43" spans="1:7" x14ac:dyDescent="0.25">
      <c r="A43" t="s">
        <v>2192</v>
      </c>
      <c r="B43" t="s">
        <v>2193</v>
      </c>
      <c r="C43" t="s">
        <v>2193</v>
      </c>
      <c r="D43" t="s">
        <v>753</v>
      </c>
      <c r="E43">
        <v>20</v>
      </c>
      <c r="F43" t="s">
        <v>750</v>
      </c>
      <c r="G43" t="s">
        <v>2191</v>
      </c>
    </row>
    <row r="44" spans="1:7" x14ac:dyDescent="0.25">
      <c r="A44" t="s">
        <v>72</v>
      </c>
      <c r="B44" t="s">
        <v>760</v>
      </c>
      <c r="C44" t="s">
        <v>760</v>
      </c>
      <c r="D44" t="s">
        <v>753</v>
      </c>
      <c r="E44">
        <v>20</v>
      </c>
      <c r="F44" t="s">
        <v>750</v>
      </c>
      <c r="G44" t="s">
        <v>1607</v>
      </c>
    </row>
    <row r="45" spans="1:7" x14ac:dyDescent="0.25">
      <c r="A45" t="s">
        <v>2194</v>
      </c>
      <c r="B45" t="s">
        <v>2195</v>
      </c>
      <c r="C45" t="s">
        <v>2195</v>
      </c>
      <c r="D45" t="s">
        <v>753</v>
      </c>
      <c r="E45">
        <v>20</v>
      </c>
      <c r="F45" t="s">
        <v>750</v>
      </c>
      <c r="G45" t="s">
        <v>1607</v>
      </c>
    </row>
    <row r="46" spans="1:7" x14ac:dyDescent="0.25">
      <c r="A46" t="s">
        <v>1992</v>
      </c>
      <c r="B46" t="s">
        <v>760</v>
      </c>
      <c r="C46" t="s">
        <v>760</v>
      </c>
      <c r="D46" t="s">
        <v>753</v>
      </c>
      <c r="E46">
        <v>20</v>
      </c>
      <c r="F46" t="s">
        <v>750</v>
      </c>
      <c r="G46" t="s">
        <v>1607</v>
      </c>
    </row>
    <row r="47" spans="1:7" x14ac:dyDescent="0.25">
      <c r="A47" t="s">
        <v>16</v>
      </c>
      <c r="B47" t="s">
        <v>760</v>
      </c>
      <c r="C47" t="s">
        <v>760</v>
      </c>
      <c r="D47" t="s">
        <v>753</v>
      </c>
      <c r="E47">
        <v>20</v>
      </c>
      <c r="F47" t="s">
        <v>750</v>
      </c>
      <c r="G47" t="s">
        <v>1607</v>
      </c>
    </row>
    <row r="48" spans="1:7" x14ac:dyDescent="0.25">
      <c r="A48" t="s">
        <v>761</v>
      </c>
      <c r="B48" t="s">
        <v>762</v>
      </c>
      <c r="C48" t="s">
        <v>762</v>
      </c>
      <c r="D48" t="s">
        <v>753</v>
      </c>
      <c r="E48">
        <v>20</v>
      </c>
      <c r="F48" t="s">
        <v>750</v>
      </c>
      <c r="G48" t="s">
        <v>1607</v>
      </c>
    </row>
    <row r="49" spans="1:7" x14ac:dyDescent="0.25">
      <c r="A49" t="s">
        <v>763</v>
      </c>
      <c r="B49" t="s">
        <v>764</v>
      </c>
      <c r="C49" t="s">
        <v>764</v>
      </c>
      <c r="D49" t="s">
        <v>753</v>
      </c>
      <c r="E49">
        <v>20</v>
      </c>
      <c r="F49" t="s">
        <v>750</v>
      </c>
      <c r="G49" t="s">
        <v>1607</v>
      </c>
    </row>
    <row r="50" spans="1:7" x14ac:dyDescent="0.25">
      <c r="A50" t="s">
        <v>549</v>
      </c>
      <c r="B50" t="s">
        <v>765</v>
      </c>
      <c r="C50" t="s">
        <v>765</v>
      </c>
      <c r="D50" t="s">
        <v>753</v>
      </c>
      <c r="E50">
        <v>20</v>
      </c>
      <c r="F50" t="s">
        <v>750</v>
      </c>
      <c r="G50" t="s">
        <v>1607</v>
      </c>
    </row>
    <row r="51" spans="1:7" x14ac:dyDescent="0.25">
      <c r="A51" t="s">
        <v>2196</v>
      </c>
      <c r="B51" t="s">
        <v>766</v>
      </c>
      <c r="C51" t="s">
        <v>766</v>
      </c>
      <c r="D51" t="s">
        <v>747</v>
      </c>
      <c r="E51">
        <v>1</v>
      </c>
      <c r="F51" t="s">
        <v>748</v>
      </c>
      <c r="G51" t="s">
        <v>1606</v>
      </c>
    </row>
    <row r="52" spans="1:7" x14ac:dyDescent="0.25">
      <c r="A52" t="s">
        <v>341</v>
      </c>
      <c r="B52" t="s">
        <v>1122</v>
      </c>
      <c r="C52" t="s">
        <v>1575</v>
      </c>
      <c r="D52" t="s">
        <v>753</v>
      </c>
      <c r="E52">
        <v>40</v>
      </c>
      <c r="F52" t="s">
        <v>757</v>
      </c>
      <c r="G52" t="s">
        <v>1602</v>
      </c>
    </row>
    <row r="53" spans="1:7" x14ac:dyDescent="0.25">
      <c r="A53" t="s">
        <v>42</v>
      </c>
      <c r="B53" t="s">
        <v>775</v>
      </c>
      <c r="C53" t="s">
        <v>1128</v>
      </c>
      <c r="D53" t="s">
        <v>753</v>
      </c>
      <c r="E53">
        <v>40</v>
      </c>
      <c r="F53" t="s">
        <v>757</v>
      </c>
      <c r="G53" t="s">
        <v>1608</v>
      </c>
    </row>
    <row r="54" spans="1:7" x14ac:dyDescent="0.25">
      <c r="A54" t="s">
        <v>36</v>
      </c>
      <c r="B54" t="s">
        <v>1118</v>
      </c>
      <c r="C54" t="s">
        <v>1129</v>
      </c>
      <c r="D54" t="s">
        <v>753</v>
      </c>
      <c r="E54">
        <v>40</v>
      </c>
      <c r="F54" t="s">
        <v>757</v>
      </c>
      <c r="G54" t="s">
        <v>1608</v>
      </c>
    </row>
    <row r="55" spans="1:7" x14ac:dyDescent="0.25">
      <c r="A55" t="s">
        <v>2601</v>
      </c>
      <c r="B55" t="s">
        <v>2603</v>
      </c>
      <c r="C55" t="s">
        <v>2720</v>
      </c>
      <c r="D55" t="s">
        <v>753</v>
      </c>
      <c r="E55">
        <v>40</v>
      </c>
      <c r="F55" t="s">
        <v>757</v>
      </c>
      <c r="G55" t="s">
        <v>1608</v>
      </c>
    </row>
    <row r="56" spans="1:7" x14ac:dyDescent="0.25">
      <c r="A56" t="s">
        <v>2197</v>
      </c>
      <c r="B56" t="s">
        <v>2198</v>
      </c>
      <c r="C56" t="s">
        <v>2199</v>
      </c>
      <c r="D56" t="s">
        <v>753</v>
      </c>
      <c r="E56">
        <v>20</v>
      </c>
      <c r="F56" t="s">
        <v>750</v>
      </c>
      <c r="G56" t="s">
        <v>1602</v>
      </c>
    </row>
    <row r="57" spans="1:7" x14ac:dyDescent="0.25">
      <c r="A57" t="s">
        <v>2200</v>
      </c>
      <c r="B57" t="s">
        <v>2201</v>
      </c>
      <c r="C57" t="s">
        <v>2201</v>
      </c>
      <c r="D57" t="s">
        <v>747</v>
      </c>
      <c r="E57">
        <v>20</v>
      </c>
      <c r="F57" t="s">
        <v>750</v>
      </c>
      <c r="G57" t="s">
        <v>1609</v>
      </c>
    </row>
    <row r="58" spans="1:7" x14ac:dyDescent="0.25">
      <c r="A58" t="s">
        <v>767</v>
      </c>
      <c r="B58" t="s">
        <v>1591</v>
      </c>
      <c r="C58" t="s">
        <v>1592</v>
      </c>
      <c r="D58" t="s">
        <v>747</v>
      </c>
      <c r="E58">
        <v>20</v>
      </c>
      <c r="F58" t="s">
        <v>750</v>
      </c>
      <c r="G58" t="s">
        <v>1588</v>
      </c>
    </row>
    <row r="59" spans="1:7" x14ac:dyDescent="0.25">
      <c r="A59" t="s">
        <v>176</v>
      </c>
      <c r="B59" t="s">
        <v>1119</v>
      </c>
      <c r="C59" t="s">
        <v>1126</v>
      </c>
      <c r="D59" t="s">
        <v>753</v>
      </c>
      <c r="E59">
        <v>50</v>
      </c>
      <c r="F59" t="s">
        <v>776</v>
      </c>
      <c r="G59" t="s">
        <v>1602</v>
      </c>
    </row>
    <row r="60" spans="1:7" x14ac:dyDescent="0.25">
      <c r="A60" t="s">
        <v>251</v>
      </c>
      <c r="B60" t="s">
        <v>777</v>
      </c>
      <c r="C60" t="s">
        <v>777</v>
      </c>
      <c r="D60" t="s">
        <v>747</v>
      </c>
      <c r="E60">
        <v>20</v>
      </c>
      <c r="F60" t="s">
        <v>750</v>
      </c>
      <c r="G60" t="s">
        <v>1605</v>
      </c>
    </row>
    <row r="61" spans="1:7" x14ac:dyDescent="0.25">
      <c r="A61" t="s">
        <v>269</v>
      </c>
      <c r="B61" t="s">
        <v>778</v>
      </c>
      <c r="C61" t="s">
        <v>1589</v>
      </c>
      <c r="D61" t="s">
        <v>747</v>
      </c>
      <c r="E61">
        <v>1</v>
      </c>
      <c r="F61" t="s">
        <v>748</v>
      </c>
      <c r="G61" t="s">
        <v>1588</v>
      </c>
    </row>
    <row r="62" spans="1:7" x14ac:dyDescent="0.25">
      <c r="A62" t="s">
        <v>277</v>
      </c>
      <c r="B62" t="s">
        <v>779</v>
      </c>
      <c r="C62" t="s">
        <v>1574</v>
      </c>
      <c r="D62" t="s">
        <v>747</v>
      </c>
      <c r="E62">
        <v>20</v>
      </c>
      <c r="F62" t="s">
        <v>750</v>
      </c>
      <c r="G62" t="s">
        <v>1604</v>
      </c>
    </row>
    <row r="63" spans="1:7" x14ac:dyDescent="0.25">
      <c r="A63" t="s">
        <v>281</v>
      </c>
      <c r="B63" t="s">
        <v>780</v>
      </c>
      <c r="C63" t="s">
        <v>1573</v>
      </c>
      <c r="D63" t="s">
        <v>747</v>
      </c>
      <c r="E63">
        <v>20</v>
      </c>
      <c r="F63" t="s">
        <v>750</v>
      </c>
      <c r="G63" t="s">
        <v>1605</v>
      </c>
    </row>
    <row r="64" spans="1:7" x14ac:dyDescent="0.25">
      <c r="A64" t="s">
        <v>47</v>
      </c>
      <c r="B64" t="s">
        <v>1120</v>
      </c>
      <c r="C64" t="s">
        <v>1126</v>
      </c>
      <c r="D64" t="s">
        <v>753</v>
      </c>
      <c r="E64">
        <v>50</v>
      </c>
      <c r="F64" t="s">
        <v>776</v>
      </c>
      <c r="G64" t="s">
        <v>1602</v>
      </c>
    </row>
    <row r="65" spans="1:7" x14ac:dyDescent="0.25">
      <c r="A65" t="s">
        <v>45</v>
      </c>
      <c r="B65" t="s">
        <v>1121</v>
      </c>
      <c r="C65" t="s">
        <v>1125</v>
      </c>
      <c r="D65" t="s">
        <v>753</v>
      </c>
      <c r="E65">
        <v>40</v>
      </c>
      <c r="F65" t="s">
        <v>757</v>
      </c>
      <c r="G65" t="s">
        <v>1602</v>
      </c>
    </row>
    <row r="66" spans="1:7" x14ac:dyDescent="0.25">
      <c r="A66" t="s">
        <v>2202</v>
      </c>
      <c r="B66" t="s">
        <v>2203</v>
      </c>
      <c r="C66" t="s">
        <v>2204</v>
      </c>
      <c r="D66" t="s">
        <v>747</v>
      </c>
      <c r="E66">
        <v>20</v>
      </c>
      <c r="F66" t="s">
        <v>750</v>
      </c>
      <c r="G66" t="s">
        <v>2179</v>
      </c>
    </row>
    <row r="67" spans="1:7" x14ac:dyDescent="0.25">
      <c r="A67" t="s">
        <v>2205</v>
      </c>
      <c r="B67" t="s">
        <v>2206</v>
      </c>
      <c r="C67" t="s">
        <v>2207</v>
      </c>
      <c r="D67" t="s">
        <v>747</v>
      </c>
      <c r="E67">
        <v>20</v>
      </c>
      <c r="F67" t="s">
        <v>750</v>
      </c>
      <c r="G67" t="s">
        <v>2184</v>
      </c>
    </row>
    <row r="68" spans="1:7" x14ac:dyDescent="0.25">
      <c r="A68" t="s">
        <v>126</v>
      </c>
      <c r="B68" t="s">
        <v>781</v>
      </c>
      <c r="C68" t="s">
        <v>1572</v>
      </c>
      <c r="D68" t="s">
        <v>747</v>
      </c>
      <c r="E68">
        <v>20</v>
      </c>
      <c r="F68" t="s">
        <v>750</v>
      </c>
      <c r="G68" t="s">
        <v>1605</v>
      </c>
    </row>
    <row r="69" spans="1:7" x14ac:dyDescent="0.25">
      <c r="A69" t="s">
        <v>51</v>
      </c>
      <c r="B69" t="s">
        <v>782</v>
      </c>
      <c r="C69" t="s">
        <v>782</v>
      </c>
      <c r="D69" t="s">
        <v>747</v>
      </c>
      <c r="E69">
        <v>1</v>
      </c>
      <c r="F69" t="s">
        <v>748</v>
      </c>
      <c r="G69" t="s">
        <v>1609</v>
      </c>
    </row>
    <row r="70" spans="1:7" x14ac:dyDescent="0.25">
      <c r="A70" t="s">
        <v>664</v>
      </c>
      <c r="B70" t="s">
        <v>1127</v>
      </c>
      <c r="C70" t="s">
        <v>1579</v>
      </c>
      <c r="D70" t="s">
        <v>753</v>
      </c>
      <c r="E70">
        <v>1</v>
      </c>
      <c r="F70" t="s">
        <v>748</v>
      </c>
      <c r="G70" t="s">
        <v>1608</v>
      </c>
    </row>
    <row r="71" spans="1:7" x14ac:dyDescent="0.25">
      <c r="A71" t="s">
        <v>817</v>
      </c>
      <c r="B71" t="s">
        <v>751</v>
      </c>
      <c r="C71" t="s">
        <v>751</v>
      </c>
      <c r="D71" t="s">
        <v>747</v>
      </c>
      <c r="E71">
        <v>1</v>
      </c>
      <c r="F71" t="s">
        <v>748</v>
      </c>
      <c r="G71" t="s">
        <v>1603</v>
      </c>
    </row>
    <row r="72" spans="1:7" x14ac:dyDescent="0.25">
      <c r="A72" t="s">
        <v>853</v>
      </c>
      <c r="B72" t="s">
        <v>1111</v>
      </c>
      <c r="C72" t="s">
        <v>1124</v>
      </c>
      <c r="D72" t="s">
        <v>753</v>
      </c>
      <c r="E72">
        <v>50</v>
      </c>
      <c r="F72" t="s">
        <v>776</v>
      </c>
      <c r="G72" t="s">
        <v>1124</v>
      </c>
    </row>
    <row r="73" spans="1:7" x14ac:dyDescent="0.25">
      <c r="A73" t="s">
        <v>889</v>
      </c>
      <c r="B73" t="s">
        <v>1113</v>
      </c>
      <c r="C73" t="s">
        <v>1580</v>
      </c>
      <c r="D73" t="s">
        <v>747</v>
      </c>
      <c r="E73">
        <v>20</v>
      </c>
      <c r="F73" t="s">
        <v>750</v>
      </c>
      <c r="G73" t="s">
        <v>1603</v>
      </c>
    </row>
    <row r="74" spans="1:7" x14ac:dyDescent="0.25">
      <c r="A74" t="s">
        <v>895</v>
      </c>
      <c r="B74" t="s">
        <v>1112</v>
      </c>
      <c r="C74" t="s">
        <v>1581</v>
      </c>
      <c r="D74" t="s">
        <v>753</v>
      </c>
      <c r="E74">
        <v>50</v>
      </c>
      <c r="F74" t="s">
        <v>776</v>
      </c>
      <c r="G74" t="s">
        <v>1124</v>
      </c>
    </row>
    <row r="75" spans="1:7" x14ac:dyDescent="0.25">
      <c r="A75" t="s">
        <v>1546</v>
      </c>
      <c r="B75" t="s">
        <v>1557</v>
      </c>
      <c r="C75" t="s">
        <v>1576</v>
      </c>
      <c r="D75" t="s">
        <v>747</v>
      </c>
      <c r="E75">
        <v>1</v>
      </c>
      <c r="F75" t="s">
        <v>748</v>
      </c>
      <c r="G75" t="s">
        <v>1606</v>
      </c>
    </row>
    <row r="76" spans="1:7" x14ac:dyDescent="0.25">
      <c r="A76" t="s">
        <v>1550</v>
      </c>
      <c r="B76" t="s">
        <v>1558</v>
      </c>
      <c r="C76" t="s">
        <v>1577</v>
      </c>
      <c r="D76" t="s">
        <v>747</v>
      </c>
      <c r="E76">
        <v>20</v>
      </c>
      <c r="F76" t="s">
        <v>750</v>
      </c>
      <c r="G76" t="s">
        <v>1606</v>
      </c>
    </row>
    <row r="77" spans="1:7" x14ac:dyDescent="0.25">
      <c r="A77" t="s">
        <v>1501</v>
      </c>
      <c r="B77" t="s">
        <v>1559</v>
      </c>
      <c r="C77" t="s">
        <v>1578</v>
      </c>
      <c r="D77" t="s">
        <v>747</v>
      </c>
      <c r="E77">
        <v>1</v>
      </c>
      <c r="F77" t="s">
        <v>748</v>
      </c>
      <c r="G77" t="s">
        <v>1601</v>
      </c>
    </row>
    <row r="78" spans="1:7" x14ac:dyDescent="0.25">
      <c r="A78" t="s">
        <v>1505</v>
      </c>
      <c r="B78" t="s">
        <v>1568</v>
      </c>
      <c r="C78" t="s">
        <v>1561</v>
      </c>
      <c r="D78" t="s">
        <v>747</v>
      </c>
      <c r="E78">
        <v>20</v>
      </c>
      <c r="F78" t="s">
        <v>750</v>
      </c>
      <c r="G78" t="s">
        <v>1560</v>
      </c>
    </row>
    <row r="79" spans="1:7" x14ac:dyDescent="0.25">
      <c r="A79" t="s">
        <v>1510</v>
      </c>
      <c r="B79" t="s">
        <v>1568</v>
      </c>
      <c r="C79" t="s">
        <v>1561</v>
      </c>
      <c r="D79" t="s">
        <v>747</v>
      </c>
      <c r="E79">
        <v>20</v>
      </c>
      <c r="F79" t="s">
        <v>750</v>
      </c>
      <c r="G79" t="s">
        <v>1560</v>
      </c>
    </row>
    <row r="80" spans="1:7" x14ac:dyDescent="0.25">
      <c r="A80" t="s">
        <v>1514</v>
      </c>
      <c r="B80" t="s">
        <v>1564</v>
      </c>
      <c r="C80" t="s">
        <v>1566</v>
      </c>
      <c r="D80" t="s">
        <v>747</v>
      </c>
      <c r="E80">
        <v>20</v>
      </c>
      <c r="F80" t="s">
        <v>750</v>
      </c>
      <c r="G80" t="s">
        <v>1560</v>
      </c>
    </row>
    <row r="81" spans="1:7" x14ac:dyDescent="0.25">
      <c r="A81" t="s">
        <v>1523</v>
      </c>
      <c r="B81" t="s">
        <v>1565</v>
      </c>
      <c r="C81" t="s">
        <v>1567</v>
      </c>
      <c r="D81" t="s">
        <v>747</v>
      </c>
      <c r="E81">
        <v>20</v>
      </c>
      <c r="F81" t="s">
        <v>750</v>
      </c>
      <c r="G81" t="s">
        <v>1588</v>
      </c>
    </row>
    <row r="82" spans="1:7" x14ac:dyDescent="0.25">
      <c r="A82" t="s">
        <v>1534</v>
      </c>
      <c r="B82" t="s">
        <v>1563</v>
      </c>
      <c r="C82" t="s">
        <v>1570</v>
      </c>
      <c r="D82" t="s">
        <v>747</v>
      </c>
      <c r="E82">
        <v>20</v>
      </c>
      <c r="F82" t="s">
        <v>750</v>
      </c>
      <c r="G82" t="s">
        <v>1604</v>
      </c>
    </row>
    <row r="83" spans="1:7" x14ac:dyDescent="0.25">
      <c r="A83" t="s">
        <v>1538</v>
      </c>
      <c r="B83" t="s">
        <v>1562</v>
      </c>
      <c r="C83" t="s">
        <v>1571</v>
      </c>
      <c r="D83" t="s">
        <v>747</v>
      </c>
      <c r="E83">
        <v>20</v>
      </c>
      <c r="F83" t="s">
        <v>750</v>
      </c>
      <c r="G83" t="s">
        <v>1605</v>
      </c>
    </row>
    <row r="84" spans="1:7" x14ac:dyDescent="0.25">
      <c r="A84" t="s">
        <v>1539</v>
      </c>
      <c r="B84" t="s">
        <v>1569</v>
      </c>
      <c r="C84" t="s">
        <v>766</v>
      </c>
      <c r="D84" t="s">
        <v>747</v>
      </c>
      <c r="E84">
        <v>20</v>
      </c>
      <c r="F84" t="s">
        <v>750</v>
      </c>
      <c r="G84" t="s">
        <v>1606</v>
      </c>
    </row>
    <row r="85" spans="1:7" x14ac:dyDescent="0.25">
      <c r="A85" s="1" t="s">
        <v>2884</v>
      </c>
      <c r="C85" t="s">
        <v>2211</v>
      </c>
      <c r="D85" t="s">
        <v>753</v>
      </c>
      <c r="E85">
        <v>1</v>
      </c>
      <c r="G85" t="s">
        <v>2210</v>
      </c>
    </row>
    <row r="86" spans="1:7" x14ac:dyDescent="0.25">
      <c r="A86" s="1" t="s">
        <v>2885</v>
      </c>
      <c r="C86" t="s">
        <v>2211</v>
      </c>
      <c r="D86" t="s">
        <v>747</v>
      </c>
      <c r="E86">
        <v>1</v>
      </c>
      <c r="G86" t="s">
        <v>2210</v>
      </c>
    </row>
    <row r="87" spans="1:7" x14ac:dyDescent="0.25">
      <c r="A87" s="1" t="s">
        <v>2886</v>
      </c>
      <c r="C87" t="s">
        <v>2889</v>
      </c>
      <c r="D87" t="s">
        <v>747</v>
      </c>
      <c r="E87">
        <v>1</v>
      </c>
      <c r="G87" t="s">
        <v>2210</v>
      </c>
    </row>
    <row r="88" spans="1:7" x14ac:dyDescent="0.25">
      <c r="A88" s="1" t="s">
        <v>2887</v>
      </c>
      <c r="C88" t="s">
        <v>2889</v>
      </c>
      <c r="D88" t="s">
        <v>753</v>
      </c>
      <c r="E88">
        <v>1</v>
      </c>
      <c r="G88" t="s">
        <v>2210</v>
      </c>
    </row>
    <row r="89" spans="1:7" x14ac:dyDescent="0.25">
      <c r="A89" s="1" t="s">
        <v>2888</v>
      </c>
      <c r="C89" t="s">
        <v>2890</v>
      </c>
      <c r="D89" t="s">
        <v>753</v>
      </c>
      <c r="E89">
        <v>1</v>
      </c>
      <c r="G89" t="s">
        <v>2210</v>
      </c>
    </row>
    <row r="90" spans="1:7" x14ac:dyDescent="0.25">
      <c r="A90" t="s">
        <v>2871</v>
      </c>
      <c r="B90" t="s">
        <v>3013</v>
      </c>
      <c r="C90" t="s">
        <v>3013</v>
      </c>
      <c r="D90" t="s">
        <v>747</v>
      </c>
      <c r="E90">
        <v>1</v>
      </c>
      <c r="F90" t="s">
        <v>748</v>
      </c>
      <c r="G90" t="s">
        <v>1603</v>
      </c>
    </row>
    <row r="91" spans="1:7" x14ac:dyDescent="0.25">
      <c r="A91" t="s">
        <v>3220</v>
      </c>
      <c r="B91" s="79" t="s">
        <v>3224</v>
      </c>
      <c r="C91" s="13" t="s">
        <v>3222</v>
      </c>
      <c r="D91" t="s">
        <v>747</v>
      </c>
      <c r="E91">
        <v>20</v>
      </c>
      <c r="F91" t="s">
        <v>750</v>
      </c>
      <c r="G91" t="s">
        <v>3223</v>
      </c>
    </row>
    <row r="92" spans="1:7" x14ac:dyDescent="0.25">
      <c r="A92" t="s">
        <v>3221</v>
      </c>
      <c r="B92" s="13" t="s">
        <v>3226</v>
      </c>
      <c r="C92" s="13" t="s">
        <v>3225</v>
      </c>
      <c r="D92" t="s">
        <v>747</v>
      </c>
      <c r="E92">
        <v>1</v>
      </c>
      <c r="F92" t="s">
        <v>748</v>
      </c>
      <c r="G92" t="s">
        <v>1601</v>
      </c>
    </row>
    <row r="93" spans="1:7" x14ac:dyDescent="0.25">
      <c r="A93" t="s">
        <v>3404</v>
      </c>
      <c r="B93" t="s">
        <v>3406</v>
      </c>
      <c r="C93" t="s">
        <v>3407</v>
      </c>
      <c r="D93" t="s">
        <v>747</v>
      </c>
      <c r="E93">
        <v>20</v>
      </c>
      <c r="F93" t="s">
        <v>3408</v>
      </c>
      <c r="G93" t="s">
        <v>2179</v>
      </c>
    </row>
  </sheetData>
  <phoneticPr fontId="8"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Volumes 24</vt:lpstr>
      <vt:lpstr>Export volumes 25</vt:lpstr>
      <vt:lpstr>Import Volumes 25</vt:lpstr>
      <vt:lpstr>Notes</vt:lpstr>
      <vt:lpstr>Summary</vt:lpstr>
      <vt:lpstr>Adjustment Status</vt:lpstr>
      <vt:lpstr>Adjustments Details</vt:lpstr>
      <vt:lpstr>Sheet1</vt:lpstr>
      <vt:lpstr>Data</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dc:creator>
  <cp:lastModifiedBy>Abdelrahman Khalid Abdelrahman</cp:lastModifiedBy>
  <dcterms:created xsi:type="dcterms:W3CDTF">2025-04-21T11:44:35Z</dcterms:created>
  <dcterms:modified xsi:type="dcterms:W3CDTF">2025-12-18T16:18:36Z</dcterms:modified>
</cp:coreProperties>
</file>