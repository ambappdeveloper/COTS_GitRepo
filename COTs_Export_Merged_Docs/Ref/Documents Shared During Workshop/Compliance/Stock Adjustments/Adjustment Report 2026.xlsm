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sara.muhd\Desktop\Work Files Updated\COTS - CIM Export &amp; Import Management System\Workshop Documents\Compliance\Stock Adjustments\"/>
    </mc:Choice>
  </mc:AlternateContent>
  <xr:revisionPtr revIDLastSave="0" documentId="13_ncr:1_{065014F1-5C46-4675-B85C-70DCC38A43A3}" xr6:coauthVersionLast="47" xr6:coauthVersionMax="47" xr10:uidLastSave="{00000000-0000-0000-0000-000000000000}"/>
  <bookViews>
    <workbookView xWindow="-120" yWindow="-120" windowWidth="20730" windowHeight="11040" activeTab="2" xr2:uid="{00000000-000D-0000-FFFF-FFFF00000000}"/>
  </bookViews>
  <sheets>
    <sheet name="Notes" sheetId="7" r:id="rId1"/>
    <sheet name="Volume Analysis" sheetId="9" state="hidden" r:id="rId2"/>
    <sheet name="Summary" sheetId="10" r:id="rId3"/>
    <sheet name="Adjustments Status" sheetId="11" r:id="rId4"/>
    <sheet name="Adjustments Details" sheetId="4" r:id="rId5"/>
    <sheet name="Adjustments data" sheetId="1" r:id="rId6"/>
    <sheet name="N.Ref" sheetId="5" state="hidden" r:id="rId7"/>
    <sheet name="SAP Material Master Data" sheetId="3" state="hidden" r:id="rId8"/>
    <sheet name="Not considered" sheetId="8" state="hidden" r:id="rId9"/>
  </sheets>
  <externalReferences>
    <externalReference r:id="rId10"/>
  </externalReferences>
  <definedNames>
    <definedName name="_xlnm._FilterDatabase" localSheetId="7" hidden="1">'SAP Material Master Data'!#REF!</definedName>
    <definedName name="_xlnm._FilterDatabase" localSheetId="1" hidden="1">'Volume Analysis'!$B$47:$S$53</definedName>
    <definedName name="CurrentStock">#REF!</definedName>
    <definedName name="dffddd">#REF!</definedName>
    <definedName name="Facility">'[1]Define '!$A$1:$B$84</definedName>
    <definedName name="InTransit">#REF!</definedName>
    <definedName name="Losses">#REF!</definedName>
    <definedName name="Reserved">#REF!</definedName>
    <definedName name="Sales">#REF!</definedName>
    <definedName name="Slicer_Adjustment_Type">#N/A</definedName>
    <definedName name="Slicer_Compensation_status">#N/A</definedName>
    <definedName name="Slicer_Compensation_status1">#N/A</definedName>
    <definedName name="Slicer_Month">#N/A</definedName>
    <definedName name="Slicer_Product_Type">#N/A</definedName>
    <definedName name="Slicer_Product_Type1">#N/A</definedName>
    <definedName name="Slicer_Stream">#N/A</definedName>
    <definedName name="Slicer_Stream1">#N/A</definedName>
    <definedName name="Slicer_Stream2">#N/A</definedName>
    <definedName name="TransitLosses">#REF!</definedName>
    <definedName name="Vessel">#REF!</definedName>
  </definedNames>
  <calcPr calcId="191029"/>
  <pivotCaches>
    <pivotCache cacheId="39"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0" i="1" l="1"/>
  <c r="Y70" i="1"/>
  <c r="A53" i="1"/>
  <c r="I53" i="1"/>
  <c r="J53" i="1"/>
  <c r="K53" i="1"/>
  <c r="L53" i="1"/>
  <c r="X53" i="1"/>
  <c r="Y53" i="1"/>
  <c r="A48" i="1"/>
  <c r="A51" i="1"/>
  <c r="A52" i="1"/>
  <c r="I48" i="1"/>
  <c r="I51" i="1"/>
  <c r="I52" i="1"/>
  <c r="J48" i="1"/>
  <c r="J51" i="1"/>
  <c r="J52" i="1"/>
  <c r="K48" i="1"/>
  <c r="K51" i="1"/>
  <c r="K52" i="1"/>
  <c r="L48" i="1"/>
  <c r="L51" i="1"/>
  <c r="L52" i="1"/>
  <c r="X48" i="1"/>
  <c r="X51" i="1"/>
  <c r="X52" i="1"/>
  <c r="Y48" i="1"/>
  <c r="Y51" i="1"/>
  <c r="Y52" i="1"/>
  <c r="A69" i="1"/>
  <c r="I69" i="1"/>
  <c r="J69" i="1"/>
  <c r="K69" i="1"/>
  <c r="L69" i="1"/>
  <c r="X69" i="1"/>
  <c r="Y69" i="1"/>
  <c r="A68" i="1"/>
  <c r="I68" i="1"/>
  <c r="J68" i="1"/>
  <c r="K68" i="1"/>
  <c r="L68" i="1"/>
  <c r="X68" i="1"/>
  <c r="Y68" i="1"/>
  <c r="A67" i="1"/>
  <c r="I67" i="1"/>
  <c r="J67" i="1"/>
  <c r="K67" i="1"/>
  <c r="L67" i="1"/>
  <c r="X67" i="1"/>
  <c r="Y67" i="1"/>
  <c r="A26" i="1"/>
  <c r="A66" i="1"/>
  <c r="I26" i="1"/>
  <c r="I66" i="1"/>
  <c r="J26" i="1"/>
  <c r="J66" i="1"/>
  <c r="K26" i="1"/>
  <c r="K66" i="1"/>
  <c r="L26" i="1"/>
  <c r="L66" i="1"/>
  <c r="X26" i="1"/>
  <c r="X66" i="1"/>
  <c r="Y26" i="1"/>
  <c r="Y66" i="1"/>
  <c r="A25" i="1"/>
  <c r="I25" i="1"/>
  <c r="J25" i="1"/>
  <c r="K25" i="1"/>
  <c r="L25" i="1"/>
  <c r="X25" i="1"/>
  <c r="Y25" i="1"/>
  <c r="Y2" i="1"/>
  <c r="Y3" i="1"/>
  <c r="Y4" i="1"/>
  <c r="Y5" i="1"/>
  <c r="Y6" i="1"/>
  <c r="Y7" i="1"/>
  <c r="Y8" i="1"/>
  <c r="Y9" i="1"/>
  <c r="Y10" i="1"/>
  <c r="Y11" i="1"/>
  <c r="Y12" i="1"/>
  <c r="Y13" i="1"/>
  <c r="Y14" i="1"/>
  <c r="Y15" i="1"/>
  <c r="Y16" i="1"/>
  <c r="Y17" i="1"/>
  <c r="Y18" i="1"/>
  <c r="Y19" i="1"/>
  <c r="Y20" i="1"/>
  <c r="Y21" i="1"/>
  <c r="Y22" i="1"/>
  <c r="Y23" i="1"/>
  <c r="Y24" i="1"/>
  <c r="Y27" i="1"/>
  <c r="Y28" i="1"/>
  <c r="Y29" i="1"/>
  <c r="Y30" i="1"/>
  <c r="Y31" i="1"/>
  <c r="Y32" i="1"/>
  <c r="Y33" i="1"/>
  <c r="Y34" i="1"/>
  <c r="Y35" i="1"/>
  <c r="Y36" i="1"/>
  <c r="Y37" i="1"/>
  <c r="Y38" i="1"/>
  <c r="Y39" i="1"/>
  <c r="Y40" i="1"/>
  <c r="Y41" i="1"/>
  <c r="Y42" i="1"/>
  <c r="Y43" i="1"/>
  <c r="Y44" i="1"/>
  <c r="Y45" i="1"/>
  <c r="Y46" i="1"/>
  <c r="Y47" i="1"/>
  <c r="Y49" i="1"/>
  <c r="Y50" i="1"/>
  <c r="Y54" i="1"/>
  <c r="Y55" i="1"/>
  <c r="Y56" i="1"/>
  <c r="Y57" i="1"/>
  <c r="Y58" i="1"/>
  <c r="Y60" i="1"/>
  <c r="Y61" i="1"/>
  <c r="Y62" i="1"/>
  <c r="Y63" i="1"/>
  <c r="Y64" i="1"/>
  <c r="Y65" i="1"/>
  <c r="Y59" i="1"/>
  <c r="X23" i="1" l="1"/>
  <c r="X24" i="1"/>
  <c r="X49" i="1"/>
  <c r="A24" i="1" l="1"/>
  <c r="I24" i="1"/>
  <c r="J24" i="1"/>
  <c r="K24" i="1"/>
  <c r="L24" i="1"/>
  <c r="A23" i="1"/>
  <c r="I23" i="1"/>
  <c r="J23" i="1"/>
  <c r="K23" i="1"/>
  <c r="L23" i="1"/>
  <c r="A59" i="1"/>
  <c r="A55" i="1"/>
  <c r="A56" i="1"/>
  <c r="A57" i="1"/>
  <c r="A58" i="1"/>
  <c r="A46" i="1"/>
  <c r="A47" i="1"/>
  <c r="A49" i="1"/>
  <c r="A60" i="1"/>
  <c r="A61" i="1"/>
  <c r="A62" i="1"/>
  <c r="A63" i="1"/>
  <c r="A6" i="1"/>
  <c r="A7" i="1"/>
  <c r="A8" i="1"/>
  <c r="A64" i="1"/>
  <c r="A65" i="1"/>
  <c r="A9" i="1"/>
  <c r="A10" i="1"/>
  <c r="A11" i="1"/>
  <c r="A12" i="1"/>
  <c r="A13" i="1"/>
  <c r="A14" i="1"/>
  <c r="A3" i="1"/>
  <c r="I59" i="1"/>
  <c r="I55" i="1"/>
  <c r="I56" i="1"/>
  <c r="I57" i="1"/>
  <c r="I58" i="1"/>
  <c r="I46" i="1"/>
  <c r="I47" i="1"/>
  <c r="I49" i="1"/>
  <c r="I60" i="1"/>
  <c r="I61" i="1"/>
  <c r="I62" i="1"/>
  <c r="I63" i="1"/>
  <c r="I6" i="1"/>
  <c r="I7" i="1"/>
  <c r="I8" i="1"/>
  <c r="I64" i="1"/>
  <c r="I65" i="1"/>
  <c r="I9" i="1"/>
  <c r="I10" i="1"/>
  <c r="I11" i="1"/>
  <c r="I12" i="1"/>
  <c r="I13" i="1"/>
  <c r="I14" i="1"/>
  <c r="I3" i="1"/>
  <c r="J59" i="1"/>
  <c r="J55" i="1"/>
  <c r="J56" i="1"/>
  <c r="J57" i="1"/>
  <c r="J58" i="1"/>
  <c r="J46" i="1"/>
  <c r="J47" i="1"/>
  <c r="J49" i="1"/>
  <c r="J60" i="1"/>
  <c r="J61" i="1"/>
  <c r="J62" i="1"/>
  <c r="J63" i="1"/>
  <c r="J6" i="1"/>
  <c r="J7" i="1"/>
  <c r="J8" i="1"/>
  <c r="J64" i="1"/>
  <c r="J65" i="1"/>
  <c r="J9" i="1"/>
  <c r="J10" i="1"/>
  <c r="J11" i="1"/>
  <c r="J12" i="1"/>
  <c r="J13" i="1"/>
  <c r="J14" i="1"/>
  <c r="J3" i="1"/>
  <c r="K59" i="1"/>
  <c r="K55" i="1"/>
  <c r="K56" i="1"/>
  <c r="K57" i="1"/>
  <c r="K58" i="1"/>
  <c r="K46" i="1"/>
  <c r="K47" i="1"/>
  <c r="K49" i="1"/>
  <c r="K60" i="1"/>
  <c r="K61" i="1"/>
  <c r="K62" i="1"/>
  <c r="K63" i="1"/>
  <c r="K6" i="1"/>
  <c r="K7" i="1"/>
  <c r="K8" i="1"/>
  <c r="K64" i="1"/>
  <c r="K65" i="1"/>
  <c r="K9" i="1"/>
  <c r="K10" i="1"/>
  <c r="K11" i="1"/>
  <c r="K12" i="1"/>
  <c r="K13" i="1"/>
  <c r="K14" i="1"/>
  <c r="K3" i="1"/>
  <c r="L55" i="1"/>
  <c r="L56" i="1"/>
  <c r="L57" i="1"/>
  <c r="L58" i="1"/>
  <c r="L46" i="1"/>
  <c r="L47" i="1"/>
  <c r="L49" i="1"/>
  <c r="L60" i="1"/>
  <c r="L61" i="1"/>
  <c r="L62" i="1"/>
  <c r="L63" i="1"/>
  <c r="L6" i="1"/>
  <c r="L7" i="1"/>
  <c r="L8" i="1"/>
  <c r="L64" i="1"/>
  <c r="L65" i="1"/>
  <c r="L9" i="1"/>
  <c r="L10" i="1"/>
  <c r="L11" i="1"/>
  <c r="L12" i="1"/>
  <c r="L13" i="1"/>
  <c r="L14" i="1"/>
  <c r="L3" i="1"/>
  <c r="X59" i="1"/>
  <c r="X55" i="1"/>
  <c r="X56" i="1"/>
  <c r="X57" i="1"/>
  <c r="X58" i="1"/>
  <c r="X46" i="1"/>
  <c r="X47" i="1"/>
  <c r="X60" i="1"/>
  <c r="X61" i="1"/>
  <c r="X62" i="1"/>
  <c r="X63" i="1"/>
  <c r="X6" i="1"/>
  <c r="X7" i="1"/>
  <c r="X8" i="1"/>
  <c r="X64" i="1"/>
  <c r="X65" i="1"/>
  <c r="X9" i="1"/>
  <c r="X10" i="1"/>
  <c r="X11" i="1"/>
  <c r="X12" i="1"/>
  <c r="X13" i="1"/>
  <c r="X14" i="1"/>
  <c r="X3" i="1"/>
  <c r="A50" i="1"/>
  <c r="I50" i="1"/>
  <c r="J50" i="1"/>
  <c r="K50" i="1"/>
  <c r="L50" i="1"/>
  <c r="X50" i="1"/>
  <c r="R49" i="9" l="1"/>
  <c r="R51" i="9"/>
  <c r="R52" i="9"/>
  <c r="R53" i="9"/>
  <c r="R48" i="9"/>
  <c r="X17" i="1" l="1"/>
  <c r="L17" i="1"/>
  <c r="K17" i="1"/>
  <c r="J17" i="1"/>
  <c r="I17" i="1"/>
  <c r="A17" i="1"/>
  <c r="X16" i="1"/>
  <c r="L16" i="1"/>
  <c r="K16" i="1"/>
  <c r="J16" i="1"/>
  <c r="I16" i="1"/>
  <c r="A16" i="1"/>
  <c r="X15" i="1"/>
  <c r="L15" i="1"/>
  <c r="K15" i="1"/>
  <c r="J15" i="1"/>
  <c r="I15" i="1"/>
  <c r="A15" i="1"/>
  <c r="X54" i="1"/>
  <c r="L54" i="1"/>
  <c r="K54" i="1"/>
  <c r="J54" i="1"/>
  <c r="I54" i="1"/>
  <c r="A54" i="1"/>
  <c r="AC45" i="1"/>
  <c r="X45" i="1"/>
  <c r="L45" i="1"/>
  <c r="K45" i="1"/>
  <c r="J45" i="1"/>
  <c r="I45" i="1"/>
  <c r="A45" i="1"/>
  <c r="AC44" i="1"/>
  <c r="X44" i="1"/>
  <c r="L44" i="1"/>
  <c r="K44" i="1"/>
  <c r="J44" i="1"/>
  <c r="I44" i="1"/>
  <c r="A44" i="1"/>
  <c r="AC43" i="1"/>
  <c r="X43" i="1"/>
  <c r="L43" i="1"/>
  <c r="K43" i="1"/>
  <c r="J43" i="1"/>
  <c r="I43" i="1"/>
  <c r="A43" i="1"/>
  <c r="AC42" i="1"/>
  <c r="X42" i="1"/>
  <c r="L42" i="1"/>
  <c r="K42" i="1"/>
  <c r="J42" i="1"/>
  <c r="I42" i="1"/>
  <c r="A42" i="1"/>
  <c r="AC41" i="1"/>
  <c r="X41" i="1"/>
  <c r="L41" i="1"/>
  <c r="K41" i="1"/>
  <c r="J41" i="1"/>
  <c r="I41" i="1"/>
  <c r="A41" i="1"/>
  <c r="X40" i="1"/>
  <c r="L40" i="1"/>
  <c r="K40" i="1"/>
  <c r="J40" i="1"/>
  <c r="I40" i="1"/>
  <c r="A40" i="1"/>
  <c r="X39" i="1"/>
  <c r="L39" i="1"/>
  <c r="K39" i="1"/>
  <c r="J39" i="1"/>
  <c r="I39" i="1"/>
  <c r="A39" i="1"/>
  <c r="X38" i="1"/>
  <c r="L38" i="1"/>
  <c r="K38" i="1"/>
  <c r="J38" i="1"/>
  <c r="I38" i="1"/>
  <c r="A38" i="1"/>
  <c r="X37" i="1"/>
  <c r="L37" i="1"/>
  <c r="K37" i="1"/>
  <c r="J37" i="1"/>
  <c r="I37" i="1"/>
  <c r="A37" i="1"/>
  <c r="X36" i="1"/>
  <c r="L36" i="1"/>
  <c r="K36" i="1"/>
  <c r="J36" i="1"/>
  <c r="I36" i="1"/>
  <c r="A36" i="1"/>
  <c r="X35" i="1"/>
  <c r="L35" i="1"/>
  <c r="K35" i="1"/>
  <c r="J35" i="1"/>
  <c r="I35" i="1"/>
  <c r="A35" i="1"/>
  <c r="X34" i="1"/>
  <c r="L34" i="1"/>
  <c r="K34" i="1"/>
  <c r="J34" i="1"/>
  <c r="I34" i="1"/>
  <c r="A34" i="1"/>
  <c r="X33" i="1"/>
  <c r="L33" i="1"/>
  <c r="K33" i="1"/>
  <c r="J33" i="1"/>
  <c r="I33" i="1"/>
  <c r="A33" i="1"/>
  <c r="X32" i="1"/>
  <c r="L32" i="1"/>
  <c r="K32" i="1"/>
  <c r="J32" i="1"/>
  <c r="I32" i="1"/>
  <c r="A32" i="1"/>
  <c r="X31" i="1"/>
  <c r="L31" i="1"/>
  <c r="K31" i="1"/>
  <c r="J31" i="1"/>
  <c r="I31" i="1"/>
  <c r="A31" i="1"/>
  <c r="X30" i="1"/>
  <c r="L30" i="1"/>
  <c r="K30" i="1"/>
  <c r="J30" i="1"/>
  <c r="I30" i="1"/>
  <c r="A30" i="1"/>
  <c r="X29" i="1"/>
  <c r="L29" i="1"/>
  <c r="K29" i="1"/>
  <c r="J29" i="1"/>
  <c r="I29" i="1"/>
  <c r="A29" i="1"/>
  <c r="X28" i="1"/>
  <c r="L28" i="1"/>
  <c r="K28" i="1"/>
  <c r="J28" i="1"/>
  <c r="I28" i="1"/>
  <c r="A28" i="1"/>
  <c r="X27" i="1"/>
  <c r="L27" i="1"/>
  <c r="K27" i="1"/>
  <c r="J27" i="1"/>
  <c r="I27" i="1"/>
  <c r="A27" i="1"/>
  <c r="X22" i="1"/>
  <c r="L22" i="1"/>
  <c r="K22" i="1"/>
  <c r="J22" i="1"/>
  <c r="I22" i="1"/>
  <c r="A22" i="1"/>
  <c r="X21" i="1"/>
  <c r="L21" i="1"/>
  <c r="K21" i="1"/>
  <c r="J21" i="1"/>
  <c r="I21" i="1"/>
  <c r="A21" i="1"/>
  <c r="X20" i="1"/>
  <c r="L20" i="1"/>
  <c r="K20" i="1"/>
  <c r="J20" i="1"/>
  <c r="I20" i="1"/>
  <c r="A20" i="1"/>
  <c r="X19" i="1"/>
  <c r="L19" i="1"/>
  <c r="K19" i="1"/>
  <c r="J19" i="1"/>
  <c r="I19" i="1"/>
  <c r="A19" i="1"/>
  <c r="X18" i="1"/>
  <c r="L18" i="1"/>
  <c r="K18" i="1"/>
  <c r="J18" i="1"/>
  <c r="I18" i="1"/>
  <c r="A18" i="1"/>
  <c r="X5" i="1"/>
  <c r="L5" i="1"/>
  <c r="K5" i="1"/>
  <c r="J5" i="1"/>
  <c r="I5" i="1"/>
  <c r="A5" i="1"/>
  <c r="X4" i="1"/>
  <c r="L4" i="1"/>
  <c r="K4" i="1"/>
  <c r="J4" i="1"/>
  <c r="I4" i="1"/>
  <c r="A4" i="1"/>
  <c r="X2" i="1"/>
  <c r="L2" i="1"/>
  <c r="K2" i="1"/>
  <c r="J2" i="1"/>
  <c r="I2" i="1"/>
  <c r="A2" i="1"/>
  <c r="D7" i="9"/>
  <c r="F7" i="9" s="1"/>
  <c r="E6" i="9"/>
  <c r="D6" i="9"/>
  <c r="F6" i="9" s="1"/>
  <c r="C67" i="9" s="1"/>
  <c r="E5" i="9"/>
  <c r="D5" i="9"/>
  <c r="F5" i="9" s="1"/>
  <c r="C66" i="9" s="1"/>
  <c r="E4" i="9"/>
  <c r="D4" i="9"/>
  <c r="N65" i="9"/>
  <c r="J64" i="9"/>
  <c r="J65" i="9"/>
  <c r="J66" i="9"/>
  <c r="F64" i="9"/>
  <c r="D50" i="9"/>
  <c r="P65" i="9"/>
  <c r="N67" i="9"/>
  <c r="L64" i="9"/>
  <c r="D66" i="9"/>
  <c r="H67" i="9"/>
  <c r="N66" i="9"/>
  <c r="D67" i="9"/>
  <c r="F67" i="9"/>
  <c r="L67" i="9"/>
  <c r="H64" i="9"/>
  <c r="P67" i="9"/>
  <c r="D64" i="9"/>
  <c r="P64" i="9"/>
  <c r="L65" i="9"/>
  <c r="L66" i="9"/>
  <c r="N64" i="9"/>
  <c r="F65" i="9"/>
  <c r="J67" i="9"/>
  <c r="P66" i="9"/>
  <c r="H66" i="9"/>
  <c r="D65" i="9"/>
  <c r="H65" i="9"/>
  <c r="F66" i="9"/>
  <c r="F4" i="9" l="1"/>
  <c r="C65" i="9" s="1"/>
  <c r="C68" i="9" s="1"/>
  <c r="G65" i="9"/>
  <c r="R66" i="9"/>
  <c r="S66" i="9" s="1"/>
  <c r="E66" i="9"/>
  <c r="M67" i="9"/>
  <c r="L68" i="9"/>
  <c r="M64" i="9"/>
  <c r="O67" i="9"/>
  <c r="I65" i="9"/>
  <c r="G66" i="9"/>
  <c r="N68" i="9"/>
  <c r="O68" i="9" s="1"/>
  <c r="O64" i="9"/>
  <c r="Q67" i="9"/>
  <c r="K65" i="9"/>
  <c r="I66" i="9"/>
  <c r="R67" i="9"/>
  <c r="S67" i="9" s="1"/>
  <c r="E67" i="9"/>
  <c r="D68" i="9"/>
  <c r="E68" i="9" s="1"/>
  <c r="R64" i="9"/>
  <c r="E64" i="9"/>
  <c r="P68" i="9"/>
  <c r="Q64" i="9"/>
  <c r="M65" i="9"/>
  <c r="K66" i="9"/>
  <c r="G67" i="9"/>
  <c r="F68" i="9"/>
  <c r="G68" i="9" s="1"/>
  <c r="G64" i="9"/>
  <c r="O65" i="9"/>
  <c r="M66" i="9"/>
  <c r="I67" i="9"/>
  <c r="I64" i="9"/>
  <c r="H68" i="9"/>
  <c r="O66" i="9"/>
  <c r="R65" i="9"/>
  <c r="S65" i="9" s="1"/>
  <c r="E65" i="9"/>
  <c r="K67" i="9"/>
  <c r="J68" i="9"/>
  <c r="K68" i="9" s="1"/>
  <c r="K64" i="9"/>
  <c r="Q66" i="9"/>
  <c r="R50" i="9"/>
  <c r="S50" i="9" s="1"/>
  <c r="E50" i="9"/>
  <c r="Q68" i="9" l="1"/>
  <c r="Q65" i="9"/>
  <c r="M68" i="9"/>
  <c r="I68" i="9"/>
  <c r="R68" i="9"/>
  <c r="S68" i="9" s="1"/>
  <c r="S6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tc={5B07BC00-6804-42B2-9B2D-9886D50081BA}</author>
  </authors>
  <commentList>
    <comment ref="A158" authorId="0" shapeId="0" xr:uid="{5B07BC00-6804-42B2-9B2D-9886D50081BA}">
      <text>
        <t>[Threaded comment]
Your version of Excel allows you to read this threaded comment; however, any edits to it will get removed if the file is opened in a newer version of Excel. Learn more: https://go.microsoft.com/fwlink/?linkid=870924
Comment:
    Added</t>
      </text>
    </comment>
  </commentList>
</comments>
</file>

<file path=xl/sharedStrings.xml><?xml version="1.0" encoding="utf-8"?>
<sst xmlns="http://schemas.openxmlformats.org/spreadsheetml/2006/main" count="6302" uniqueCount="1036">
  <si>
    <t>2123</t>
  </si>
  <si>
    <t>CIM</t>
  </si>
  <si>
    <t>ISIM</t>
  </si>
  <si>
    <t>4000000008</t>
  </si>
  <si>
    <t>Alnajm Flour 25Kg</t>
  </si>
  <si>
    <t>RE scrapping</t>
  </si>
  <si>
    <t>552</t>
  </si>
  <si>
    <t>BAG</t>
  </si>
  <si>
    <t/>
  </si>
  <si>
    <t>1</t>
  </si>
  <si>
    <t>Ahmed Bakri Abasaied Ata</t>
  </si>
  <si>
    <t>0</t>
  </si>
  <si>
    <t>2100</t>
  </si>
  <si>
    <t>21011101</t>
  </si>
  <si>
    <t>2026</t>
  </si>
  <si>
    <t>ABBAKRI</t>
  </si>
  <si>
    <t>4000000058</t>
  </si>
  <si>
    <t>TAT Lentil Red Split 20KG</t>
  </si>
  <si>
    <t>IMPT</t>
  </si>
  <si>
    <t>4000000082</t>
  </si>
  <si>
    <t>Alnajm Wheat Flour 25Kg Imp</t>
  </si>
  <si>
    <t>CUTOVER</t>
  </si>
  <si>
    <t>13</t>
  </si>
  <si>
    <t>14</t>
  </si>
  <si>
    <t>15</t>
  </si>
  <si>
    <t>GI scrapping</t>
  </si>
  <si>
    <t>551</t>
  </si>
  <si>
    <t>2</t>
  </si>
  <si>
    <t>3</t>
  </si>
  <si>
    <t>4</t>
  </si>
  <si>
    <t>5</t>
  </si>
  <si>
    <t>6</t>
  </si>
  <si>
    <t>7</t>
  </si>
  <si>
    <t>8</t>
  </si>
  <si>
    <t>12</t>
  </si>
  <si>
    <t>11</t>
  </si>
  <si>
    <t>10</t>
  </si>
  <si>
    <t>9</t>
  </si>
  <si>
    <t>4900072074</t>
  </si>
  <si>
    <t>GD08</t>
  </si>
  <si>
    <t>1000000040</t>
  </si>
  <si>
    <t>Sesame White Gadarif Raw</t>
  </si>
  <si>
    <t>4900089186</t>
  </si>
  <si>
    <t>MT</t>
  </si>
  <si>
    <t>25/26</t>
  </si>
  <si>
    <t>4000000088</t>
  </si>
  <si>
    <t>Alnajm Rice Long Grain Parboiled G1 20KG</t>
  </si>
  <si>
    <t>0000002680</t>
  </si>
  <si>
    <t>4000000053</t>
  </si>
  <si>
    <t>Gum Arabic Talha Cleaned 50KG</t>
  </si>
  <si>
    <t>4900089717</t>
  </si>
  <si>
    <t>SMASR12326</t>
  </si>
  <si>
    <t>0000002386</t>
  </si>
  <si>
    <t>4900096482</t>
  </si>
  <si>
    <t>E002</t>
  </si>
  <si>
    <t>4000000060</t>
  </si>
  <si>
    <t>Dalian Rice Short Grain 25KG</t>
  </si>
  <si>
    <t>4900100159</t>
  </si>
  <si>
    <t>Elimination</t>
  </si>
  <si>
    <t>4000000063</t>
  </si>
  <si>
    <t>Tabagna Rice Long Grain 20KG</t>
  </si>
  <si>
    <t>7000000025</t>
  </si>
  <si>
    <t>Damaged NC Rice Short Grain 25Kg</t>
  </si>
  <si>
    <t>7000000084</t>
  </si>
  <si>
    <t>Damaged NC Rice Long Grain 20Kg</t>
  </si>
  <si>
    <t>4900100723</t>
  </si>
  <si>
    <t>SAP Cutoff issue</t>
  </si>
  <si>
    <t>ICMA</t>
  </si>
  <si>
    <t>0000001187</t>
  </si>
  <si>
    <t>MV SHIBA</t>
  </si>
  <si>
    <t>4900109136</t>
  </si>
  <si>
    <t>4900109141</t>
  </si>
  <si>
    <t>RK02</t>
  </si>
  <si>
    <t>4900118417</t>
  </si>
  <si>
    <t>NCR</t>
  </si>
  <si>
    <t>KO02</t>
  </si>
  <si>
    <t>Plant</t>
  </si>
  <si>
    <t>Name 1</t>
  </si>
  <si>
    <t>Storage location</t>
  </si>
  <si>
    <t>Material</t>
  </si>
  <si>
    <t>Material description</t>
  </si>
  <si>
    <t>Material Document</t>
  </si>
  <si>
    <t>Posting Date</t>
  </si>
  <si>
    <t>Time of Entry</t>
  </si>
  <si>
    <t>Movement Type Text</t>
  </si>
  <si>
    <t>Movement type</t>
  </si>
  <si>
    <t>Qty in unit of entry</t>
  </si>
  <si>
    <t>Unit of Entry</t>
  </si>
  <si>
    <t>Base Unit of Measure</t>
  </si>
  <si>
    <t>Quantity</t>
  </si>
  <si>
    <t>Batch</t>
  </si>
  <si>
    <t>Document Date</t>
  </si>
  <si>
    <t>Entry Date</t>
  </si>
  <si>
    <t>Amt.in Loc.Cur.</t>
  </si>
  <si>
    <t>Document Header Text</t>
  </si>
  <si>
    <t>Bill of Lading</t>
  </si>
  <si>
    <t>Special Stock</t>
  </si>
  <si>
    <t>Material Doc.Item</t>
  </si>
  <si>
    <t>Text</t>
  </si>
  <si>
    <t>Reference</t>
  </si>
  <si>
    <t>Username Full Name</t>
  </si>
  <si>
    <t>Order</t>
  </si>
  <si>
    <t>Reservation</t>
  </si>
  <si>
    <t>Purchase order</t>
  </si>
  <si>
    <t>Company Code</t>
  </si>
  <si>
    <t>Item</t>
  </si>
  <si>
    <t>Sales Order</t>
  </si>
  <si>
    <t>Cost Center</t>
  </si>
  <si>
    <t>Customer</t>
  </si>
  <si>
    <t>Movement indicator</t>
  </si>
  <si>
    <t>Receipt Indicator</t>
  </si>
  <si>
    <t>Supplier</t>
  </si>
  <si>
    <t>Material Doc. Year</t>
  </si>
  <si>
    <t>User Name</t>
  </si>
  <si>
    <t>Adjustment Type</t>
  </si>
  <si>
    <t>Remarks</t>
  </si>
  <si>
    <t>Stock Variance - Transport Excess</t>
  </si>
  <si>
    <t>Imported Shipments Discharge Losses</t>
  </si>
  <si>
    <t>Accumulative WH Variance</t>
  </si>
  <si>
    <t>Non Conformity</t>
  </si>
  <si>
    <t>Transportation excess bags received as per waybill</t>
  </si>
  <si>
    <t>Weight variance of White sesame GDP RM shown in Gadarif warehouse (GD08). Total received Qty in warehouse is 851.680 MT, Variance is 1.420 MT Percentage 0.17%. The physical loaded qty is 850.260  MT has been transported to PZU-Balaji sifter. This variance might be a result of weighbridges records variation, the commodity was received and delivered using Agricultural bank &amp; Five stars weighbridges</t>
  </si>
  <si>
    <t>Sage Code</t>
  </si>
  <si>
    <t>Stream</t>
  </si>
  <si>
    <t>Short Description</t>
  </si>
  <si>
    <t>Conversion</t>
  </si>
  <si>
    <t>Product Type</t>
  </si>
  <si>
    <t>Found</t>
  </si>
  <si>
    <t>Cotton Flower</t>
  </si>
  <si>
    <t>CO0101</t>
  </si>
  <si>
    <t>Export</t>
  </si>
  <si>
    <t>Cotton Flower Raw</t>
  </si>
  <si>
    <t>Cotton</t>
  </si>
  <si>
    <t>Sesame Mix Color Non Gadarif 50KG</t>
  </si>
  <si>
    <t>SM0032</t>
  </si>
  <si>
    <t>Non Gadarif Sesame - Colored - Grade 2 5</t>
  </si>
  <si>
    <t>Sesame Non Gadarif</t>
  </si>
  <si>
    <t>Cotton Seeds White</t>
  </si>
  <si>
    <t>CO0102</t>
  </si>
  <si>
    <t>White Cotton Seeds</t>
  </si>
  <si>
    <t>Cotton FG Standard</t>
  </si>
  <si>
    <t>BL</t>
  </si>
  <si>
    <t>CO0001</t>
  </si>
  <si>
    <t xml:space="preserve">Cotton - FG </t>
  </si>
  <si>
    <t>Alnajm Lentil Red Split 20KG</t>
  </si>
  <si>
    <t>LE9005</t>
  </si>
  <si>
    <t>Import</t>
  </si>
  <si>
    <t>Lentils</t>
  </si>
  <si>
    <t>Lentil</t>
  </si>
  <si>
    <t>Cotton FG Small</t>
  </si>
  <si>
    <t>BLS</t>
  </si>
  <si>
    <t>Damaged NC Cotton</t>
  </si>
  <si>
    <t>-</t>
  </si>
  <si>
    <t>Cotton - Damage</t>
  </si>
  <si>
    <t>1000000029</t>
  </si>
  <si>
    <t>Groundnut Seeds Unshielded Raw</t>
  </si>
  <si>
    <t>GN0101</t>
  </si>
  <si>
    <t>Groundnuts Seeds Raw</t>
  </si>
  <si>
    <t>Groundnut</t>
  </si>
  <si>
    <t>1000000030</t>
  </si>
  <si>
    <t>Groundnut Seeds Unshielded Raw Grade 2</t>
  </si>
  <si>
    <t>GN0103</t>
  </si>
  <si>
    <t>Groundnut Seeds Raw Grade 2</t>
  </si>
  <si>
    <t>1000000031</t>
  </si>
  <si>
    <t>Groundnuts In Shells Raw</t>
  </si>
  <si>
    <t>GN0111</t>
  </si>
  <si>
    <t>Groundnuts In Shells Raw Material</t>
  </si>
  <si>
    <t>1000000032</t>
  </si>
  <si>
    <t>Gum Arabic Hashab Fresh Raw</t>
  </si>
  <si>
    <t>HG0101</t>
  </si>
  <si>
    <t>Gum Arabic Hashab Raw</t>
  </si>
  <si>
    <t>Gum Arabic Hashab</t>
  </si>
  <si>
    <t>1000000035</t>
  </si>
  <si>
    <t>Pigeon Peas Raw</t>
  </si>
  <si>
    <t>PP0101</t>
  </si>
  <si>
    <t>Pigeon Peas</t>
  </si>
  <si>
    <t>1000000037</t>
  </si>
  <si>
    <t>Sorghum Raw</t>
  </si>
  <si>
    <t>SO0101</t>
  </si>
  <si>
    <t>Sorghum</t>
  </si>
  <si>
    <t>1000000038</t>
  </si>
  <si>
    <t>Watermelon Seeds Raw</t>
  </si>
  <si>
    <t>WT0101</t>
  </si>
  <si>
    <t>Watermelon</t>
  </si>
  <si>
    <t>SM0101</t>
  </si>
  <si>
    <t>Gadarif Sesame Raw</t>
  </si>
  <si>
    <t>Sesame Gadarif</t>
  </si>
  <si>
    <t>3000000050</t>
  </si>
  <si>
    <t>Bag Jute Used</t>
  </si>
  <si>
    <t>PC</t>
  </si>
  <si>
    <t>JB0202</t>
  </si>
  <si>
    <t>Packaging</t>
  </si>
  <si>
    <t>Jute Bag Used</t>
  </si>
  <si>
    <t>3000000062</t>
  </si>
  <si>
    <t>Bag Plastic 60X105CM</t>
  </si>
  <si>
    <t>PB0288</t>
  </si>
  <si>
    <t>3000000063</t>
  </si>
  <si>
    <t>Bag Plastic 65X105CM</t>
  </si>
  <si>
    <t>PB0289</t>
  </si>
  <si>
    <t>3000000064</t>
  </si>
  <si>
    <t>Bag Plastic 70X125CM</t>
  </si>
  <si>
    <t>PB0290</t>
  </si>
  <si>
    <t>3000000066</t>
  </si>
  <si>
    <t>Sheet Cardboard 2 Layer 12m x 140cm</t>
  </si>
  <si>
    <t>CB0301</t>
  </si>
  <si>
    <t>Cardboard Paper Sheet</t>
  </si>
  <si>
    <t>3000000070</t>
  </si>
  <si>
    <t>Bag Plastic Sugar 50KG</t>
  </si>
  <si>
    <t>PB0260</t>
  </si>
  <si>
    <t>3000000071</t>
  </si>
  <si>
    <t>Bale Cover Cotton Tricot 60X70CM</t>
  </si>
  <si>
    <t>PB0301</t>
  </si>
  <si>
    <t>Tricot Cover 60*170</t>
  </si>
  <si>
    <t>3000000073</t>
  </si>
  <si>
    <t>Bag Plastic Local 70X120CM</t>
  </si>
  <si>
    <t>PB0291</t>
  </si>
  <si>
    <t>3000000075</t>
  </si>
  <si>
    <t>Bag Plastic Used</t>
  </si>
  <si>
    <t>PB0101</t>
  </si>
  <si>
    <t>Plastic Bag Used</t>
  </si>
  <si>
    <t>3000000077</t>
  </si>
  <si>
    <t>Bag Plastic Urea 60x100CM</t>
  </si>
  <si>
    <t>PB0201</t>
  </si>
  <si>
    <t>3000000079</t>
  </si>
  <si>
    <t>Bag Plastic 50x75CM</t>
  </si>
  <si>
    <t>PB0284</t>
  </si>
  <si>
    <t>3000000236</t>
  </si>
  <si>
    <t>Bag Plastic 75X120CM</t>
  </si>
  <si>
    <t>PB0272</t>
  </si>
  <si>
    <t>4000000031</t>
  </si>
  <si>
    <t>Alnajm Rice Short Grain 25KG</t>
  </si>
  <si>
    <t>RC0006</t>
  </si>
  <si>
    <t>Rice Short Grain</t>
  </si>
  <si>
    <t>Rice</t>
  </si>
  <si>
    <t>4000000032</t>
  </si>
  <si>
    <t>Armada Lentil Red Split 20KG</t>
  </si>
  <si>
    <t>LE0003</t>
  </si>
  <si>
    <t>4000000040</t>
  </si>
  <si>
    <t>Chick Peas 50KG</t>
  </si>
  <si>
    <t>CP0001</t>
  </si>
  <si>
    <t>Chickpeas FG</t>
  </si>
  <si>
    <t>Chickpeas</t>
  </si>
  <si>
    <t>4000000042</t>
  </si>
  <si>
    <t>Cotton Fuzz</t>
  </si>
  <si>
    <t>CO0103</t>
  </si>
  <si>
    <t>Fuzz Cotton Mt</t>
  </si>
  <si>
    <t>4000000043</t>
  </si>
  <si>
    <t>Cotton Seeds Black</t>
  </si>
  <si>
    <t>CO0104</t>
  </si>
  <si>
    <t>Black Cotton Seeds</t>
  </si>
  <si>
    <t>4000000045</t>
  </si>
  <si>
    <t>Groundnut Oil</t>
  </si>
  <si>
    <t>GN0001</t>
  </si>
  <si>
    <t>4000000046</t>
  </si>
  <si>
    <t>Groundnut Seeds HPS FG 50KG</t>
  </si>
  <si>
    <t>GN0005</t>
  </si>
  <si>
    <t>HPS 50KG</t>
  </si>
  <si>
    <t>4000000047</t>
  </si>
  <si>
    <t>Gum Arabic Hashab Cleaned 50KG</t>
  </si>
  <si>
    <t>HG0005</t>
  </si>
  <si>
    <t>Gum Hashab Cleaned</t>
  </si>
  <si>
    <t>4000000049</t>
  </si>
  <si>
    <t>Gum Arabic Hashab FG 50KG</t>
  </si>
  <si>
    <t>HG0001</t>
  </si>
  <si>
    <t>Gum Arabic Hashab Finshed</t>
  </si>
  <si>
    <t>4000000050</t>
  </si>
  <si>
    <t>Gum Arabic Hashab Kibbled 50KG</t>
  </si>
  <si>
    <t>HG0003</t>
  </si>
  <si>
    <t>Gum Hashab Kippled</t>
  </si>
  <si>
    <t>4000000051</t>
  </si>
  <si>
    <t>Gum Arabic Hashab Sifting 50KG</t>
  </si>
  <si>
    <t>HG0008</t>
  </si>
  <si>
    <t>Gum Hashab Sifting</t>
  </si>
  <si>
    <t>4000000052</t>
  </si>
  <si>
    <t>Gum Arabic Hashab Sugar 50KG</t>
  </si>
  <si>
    <t>HG0009</t>
  </si>
  <si>
    <t>Gum Hashab Sugar</t>
  </si>
  <si>
    <t>TG0005</t>
  </si>
  <si>
    <t>Gum Talha Cleaned</t>
  </si>
  <si>
    <t>Gum Arabic Talha</t>
  </si>
  <si>
    <t>4000000054</t>
  </si>
  <si>
    <t>Gum Arabic Talha Dust 50KG</t>
  </si>
  <si>
    <t>TG0004</t>
  </si>
  <si>
    <t>Gum Talha Dust</t>
  </si>
  <si>
    <t>4000000057</t>
  </si>
  <si>
    <t>Tabagna Lentil Red Split 20KG</t>
  </si>
  <si>
    <t>LE0002</t>
  </si>
  <si>
    <t>LE0001</t>
  </si>
  <si>
    <t>4000000059</t>
  </si>
  <si>
    <t>Pigeon Peas 50KG</t>
  </si>
  <si>
    <t>PP0001</t>
  </si>
  <si>
    <t>Pigeon Peas FG</t>
  </si>
  <si>
    <t>RC0001</t>
  </si>
  <si>
    <t>4000000062</t>
  </si>
  <si>
    <t>Alnajm Rice Long Grain Parboiled G2 20KG</t>
  </si>
  <si>
    <t>RC0004</t>
  </si>
  <si>
    <t>Rice Long Grain</t>
  </si>
  <si>
    <t>RC0002</t>
  </si>
  <si>
    <t>4000000064</t>
  </si>
  <si>
    <t>Sesame Mixed Cleaned 50KG</t>
  </si>
  <si>
    <t>SM0021</t>
  </si>
  <si>
    <t>Mixed Sesame - FG</t>
  </si>
  <si>
    <t>Sesame Mixed</t>
  </si>
  <si>
    <t>4000000065</t>
  </si>
  <si>
    <t>Sesame Red Cleaned 50KG</t>
  </si>
  <si>
    <t>SM0011</t>
  </si>
  <si>
    <t>Red Sesame - FG</t>
  </si>
  <si>
    <t>Sesame Red</t>
  </si>
  <si>
    <t>4000000066</t>
  </si>
  <si>
    <t>Sesame White Gadarif Cleaned 50KG</t>
  </si>
  <si>
    <t>SM0001</t>
  </si>
  <si>
    <t>Gadarif Sesame - FG</t>
  </si>
  <si>
    <t>4000000067</t>
  </si>
  <si>
    <t>Sesame White Non Gadarif Cleaned 50KG</t>
  </si>
  <si>
    <t>SM0002</t>
  </si>
  <si>
    <t xml:space="preserve">White Sesame Non Gadarif - FG </t>
  </si>
  <si>
    <t>4000000068</t>
  </si>
  <si>
    <t>Sesame White Non Gadarif Sorted 50KG</t>
  </si>
  <si>
    <t>SM0003</t>
  </si>
  <si>
    <t>White Sesame Sorted</t>
  </si>
  <si>
    <t>4000000069</t>
  </si>
  <si>
    <t>Sorghum Cleaned 50KG</t>
  </si>
  <si>
    <t>SO0001</t>
  </si>
  <si>
    <t>Sorghum FG</t>
  </si>
  <si>
    <t>4000000070</t>
  </si>
  <si>
    <t>Sorghum Cleaned MT</t>
  </si>
  <si>
    <t>SO0003</t>
  </si>
  <si>
    <t>4000000071</t>
  </si>
  <si>
    <t>Sugar Caked 50KG</t>
  </si>
  <si>
    <t>WS0010</t>
  </si>
  <si>
    <t>Caked Sugar</t>
  </si>
  <si>
    <t>Sugar</t>
  </si>
  <si>
    <t>4000000072</t>
  </si>
  <si>
    <t>Sugar Coke Specs FG 50KG</t>
  </si>
  <si>
    <t>WS0002</t>
  </si>
  <si>
    <t>White Sugar - Coke Specs</t>
  </si>
  <si>
    <t>4000000073</t>
  </si>
  <si>
    <t>Sugar Crystal FG 50KG</t>
  </si>
  <si>
    <t>WS0008</t>
  </si>
  <si>
    <t>White Crystal Sugar</t>
  </si>
  <si>
    <t>4000000075</t>
  </si>
  <si>
    <t>Sugar Refined Indian FG 50KG</t>
  </si>
  <si>
    <t>WS0001</t>
  </si>
  <si>
    <t>White Sugar</t>
  </si>
  <si>
    <t>4000000076</t>
  </si>
  <si>
    <t>Sugar Refined KSA 50KG</t>
  </si>
  <si>
    <t>WS0005</t>
  </si>
  <si>
    <t>4000000077</t>
  </si>
  <si>
    <t>Sugar Refined UAE 50KG</t>
  </si>
  <si>
    <t>WS0004</t>
  </si>
  <si>
    <t>4000000079</t>
  </si>
  <si>
    <t>Urea Granular FG 50KG</t>
  </si>
  <si>
    <t>UR0001</t>
  </si>
  <si>
    <t>Urea Fertilizer</t>
  </si>
  <si>
    <t>Urea</t>
  </si>
  <si>
    <t>4000000080</t>
  </si>
  <si>
    <t>Urea Granular Grade 2 FG 50KG</t>
  </si>
  <si>
    <t>UR0010</t>
  </si>
  <si>
    <t>Urea Fertilizer Grade 2</t>
  </si>
  <si>
    <t>4000000081</t>
  </si>
  <si>
    <t>Watermelon Seeds Cleaned 50KG</t>
  </si>
  <si>
    <t>WT0001</t>
  </si>
  <si>
    <t>Watermelon Seeds - FG</t>
  </si>
  <si>
    <t>IF0001</t>
  </si>
  <si>
    <t>Flour Al-Nagm (Imported)</t>
  </si>
  <si>
    <t>Flour</t>
  </si>
  <si>
    <t>RC9008</t>
  </si>
  <si>
    <t>4000000089</t>
  </si>
  <si>
    <t>Sesame White Gadarif Cleaned 25Kg</t>
  </si>
  <si>
    <t>SM0012</t>
  </si>
  <si>
    <t>Gadarif Sesame 25KG</t>
  </si>
  <si>
    <t>4000000120</t>
  </si>
  <si>
    <t>Gum Arabic Hashab Cleaned Dark 50KG</t>
  </si>
  <si>
    <t>HG0007</t>
  </si>
  <si>
    <t>Gum Hashab Cleaned Dark FG</t>
  </si>
  <si>
    <t>4000000121</t>
  </si>
  <si>
    <t>Sesame White Gadarif Clean Low  50KG</t>
  </si>
  <si>
    <t>SM0051</t>
  </si>
  <si>
    <t>Gadarif Sesame FG - Low Grade</t>
  </si>
  <si>
    <t>4000000122</t>
  </si>
  <si>
    <t>Sesame White Non Gadarif Clean Low  50Kg</t>
  </si>
  <si>
    <t>SM0052</t>
  </si>
  <si>
    <t>Non Gadarif Sesame FG - Low Grade</t>
  </si>
  <si>
    <t>4000000123</t>
  </si>
  <si>
    <t>Chickpeas Low Grade 50Kg</t>
  </si>
  <si>
    <t>CP0051</t>
  </si>
  <si>
    <t>Chickpeas FG - Low Grade</t>
  </si>
  <si>
    <t>4000000124</t>
  </si>
  <si>
    <t>Pigeon Peas Low Grade 50Kg</t>
  </si>
  <si>
    <t>PP0051</t>
  </si>
  <si>
    <t>Pigeon Peas FG - Low Grade</t>
  </si>
  <si>
    <t>4000000136</t>
  </si>
  <si>
    <t>Sesame Red Low Grade 50Kg</t>
  </si>
  <si>
    <t>Red Sesame Low Grade</t>
  </si>
  <si>
    <t>7000000022</t>
  </si>
  <si>
    <t>Waste Sorghum</t>
  </si>
  <si>
    <t>SO0301</t>
  </si>
  <si>
    <t>Sorghum - Waste</t>
  </si>
  <si>
    <t>7000000023</t>
  </si>
  <si>
    <t>Damaged NC Lentil 20KG</t>
  </si>
  <si>
    <t>LE0303</t>
  </si>
  <si>
    <t>Lentil - Damaged</t>
  </si>
  <si>
    <t>7000000024</t>
  </si>
  <si>
    <t>Waste Rice Short Grain 50Kg</t>
  </si>
  <si>
    <t>RC0301</t>
  </si>
  <si>
    <t>Rice - Waste</t>
  </si>
  <si>
    <t>RC0303</t>
  </si>
  <si>
    <t>Rice - Damaged</t>
  </si>
  <si>
    <t>7000000026</t>
  </si>
  <si>
    <t>Waste Groundnut Shells</t>
  </si>
  <si>
    <t>GN0303</t>
  </si>
  <si>
    <t>Groundnut Shells</t>
  </si>
  <si>
    <t>7000000028</t>
  </si>
  <si>
    <t>Damaged NC Groundnut HPS 50KG</t>
  </si>
  <si>
    <t>GN0307</t>
  </si>
  <si>
    <t>HPS 50KG - Damage</t>
  </si>
  <si>
    <t>7000000031</t>
  </si>
  <si>
    <t>Damaged NC Sorghum 50KG</t>
  </si>
  <si>
    <t>SO0303</t>
  </si>
  <si>
    <t>Sorghum - Damage</t>
  </si>
  <si>
    <t>7000000033</t>
  </si>
  <si>
    <t>Damaged NC Sesame Red 50KG</t>
  </si>
  <si>
    <t>SM0333</t>
  </si>
  <si>
    <t>Red Sesame - Damage</t>
  </si>
  <si>
    <t>7000000034</t>
  </si>
  <si>
    <t>Damaged NC Sesame Mixed 50KG</t>
  </si>
  <si>
    <t>SM0334</t>
  </si>
  <si>
    <t>Mixed Sesame - Damage</t>
  </si>
  <si>
    <t>7000000035</t>
  </si>
  <si>
    <t>Damaged NC Sesame White Gadarif 50KG</t>
  </si>
  <si>
    <t>SM0331</t>
  </si>
  <si>
    <t>White Sesame Gadarif - Damage</t>
  </si>
  <si>
    <t>7000000036</t>
  </si>
  <si>
    <t>Damaged NC Sesame White Non Gadarif 50KG</t>
  </si>
  <si>
    <t>SM0332</t>
  </si>
  <si>
    <t>Non Gadarif Sesame - Damage</t>
  </si>
  <si>
    <t>7000000040</t>
  </si>
  <si>
    <t>Waste GNO Baloza</t>
  </si>
  <si>
    <t>GN0301</t>
  </si>
  <si>
    <t xml:space="preserve">Baloza </t>
  </si>
  <si>
    <t>7000000042</t>
  </si>
  <si>
    <t>Waste Cotton</t>
  </si>
  <si>
    <t>CO0301</t>
  </si>
  <si>
    <t>Cotton - Waste</t>
  </si>
  <si>
    <t>7000000043</t>
  </si>
  <si>
    <t>Waste Gum Arabic Hashab</t>
  </si>
  <si>
    <t>HG1301</t>
  </si>
  <si>
    <t>Gum Hashab Waste</t>
  </si>
  <si>
    <t>7000000044</t>
  </si>
  <si>
    <t>Waste Gum Arabic Talha</t>
  </si>
  <si>
    <t>TG0301</t>
  </si>
  <si>
    <t>Gum Arabic Talha Waste</t>
  </si>
  <si>
    <t>7000000045</t>
  </si>
  <si>
    <t>Waste Sesame Mixed</t>
  </si>
  <si>
    <t>SM0321</t>
  </si>
  <si>
    <t>Mixed Sesame Waste</t>
  </si>
  <si>
    <t>7000000049</t>
  </si>
  <si>
    <t>Waste Sesame White Non Gadarif</t>
  </si>
  <si>
    <t>SM0302</t>
  </si>
  <si>
    <t>White Sesame Non Gadarif Waste</t>
  </si>
  <si>
    <t>7000000051</t>
  </si>
  <si>
    <t>Damaged NC Sugar 50KG</t>
  </si>
  <si>
    <t>WS0011</t>
  </si>
  <si>
    <t>White Sugar - Damaged</t>
  </si>
  <si>
    <t>7000000053</t>
  </si>
  <si>
    <t>Damaged NC Sesame Mix Color Non Gad 50KG</t>
  </si>
  <si>
    <t>Sesame Mix Color Non Gadarif - Damage</t>
  </si>
  <si>
    <t>7000000054</t>
  </si>
  <si>
    <t>Damaged NC Wheat Flour 25KG</t>
  </si>
  <si>
    <t>DF0301</t>
  </si>
  <si>
    <t>Flour Damaged 25KG</t>
  </si>
  <si>
    <t>7000000055</t>
  </si>
  <si>
    <t>Damaged Lentil 50KG</t>
  </si>
  <si>
    <t>LE0304</t>
  </si>
  <si>
    <t>7000000056</t>
  </si>
  <si>
    <t>Damaged Flour to AF TON</t>
  </si>
  <si>
    <t>DK0101</t>
  </si>
  <si>
    <t>Flour - Damaged (AF)</t>
  </si>
  <si>
    <t>7000000073</t>
  </si>
  <si>
    <t>RC0304</t>
  </si>
  <si>
    <t>7000000074</t>
  </si>
  <si>
    <t>Waste Rice Long Grain 50Kg</t>
  </si>
  <si>
    <t>7000000037</t>
  </si>
  <si>
    <t>Damaged NC Watermelon Seeds 50KG</t>
  </si>
  <si>
    <t>Watermelon - Damage</t>
  </si>
  <si>
    <t>7000000038</t>
  </si>
  <si>
    <t>Damaged NC Sunflower Seeds 50KG</t>
  </si>
  <si>
    <t>Sunflower - Damage</t>
  </si>
  <si>
    <t>Sunflower</t>
  </si>
  <si>
    <t>7000000052</t>
  </si>
  <si>
    <t>Damaged NC Groundnut Seeds Mixed 50Kg</t>
  </si>
  <si>
    <t>Groundnuts FG Mixed - Damage</t>
  </si>
  <si>
    <t>7000000030</t>
  </si>
  <si>
    <t>Damaged NC Chick Peas 50KG</t>
  </si>
  <si>
    <t>CP0303</t>
  </si>
  <si>
    <t>Chickpeas - Damaged</t>
  </si>
  <si>
    <t>4000000044</t>
  </si>
  <si>
    <t>Groundnut Cake 50KG</t>
  </si>
  <si>
    <t>GN0004</t>
  </si>
  <si>
    <t>Groundnut Cake</t>
  </si>
  <si>
    <t>4000000250</t>
  </si>
  <si>
    <t>Gum Arabic Hashab Dust 50KG(New)</t>
  </si>
  <si>
    <t>HG0004</t>
  </si>
  <si>
    <t>Gum Hashab Dust</t>
  </si>
  <si>
    <t>4000000113</t>
  </si>
  <si>
    <t>Gum Arabic Hashab Agglom PWD 25KG</t>
  </si>
  <si>
    <t>HG0006</t>
  </si>
  <si>
    <t>Gum Hashab Spray Dried</t>
  </si>
  <si>
    <t>4000000114</t>
  </si>
  <si>
    <t>Gum Arabic Hashab Fine PWD 25KG</t>
  </si>
  <si>
    <t>2000000026</t>
  </si>
  <si>
    <t>Sesame Mix Color Gadarif 50KG</t>
  </si>
  <si>
    <t>new</t>
  </si>
  <si>
    <t>Sesame Mix Color Gadarif FG</t>
  </si>
  <si>
    <t>4000000083</t>
  </si>
  <si>
    <t>Groundnut Seeds Mixed FG 50KG</t>
  </si>
  <si>
    <t>Groundnut Seeds Mixed</t>
  </si>
  <si>
    <t>7000000029</t>
  </si>
  <si>
    <t>Damaged NC Pigeon Peas 50KG</t>
  </si>
  <si>
    <t>PP0303</t>
  </si>
  <si>
    <t>Pigeon Peas - Damage</t>
  </si>
  <si>
    <t>4000000137</t>
  </si>
  <si>
    <t>Sesame White Gadarif Sorted 50KG</t>
  </si>
  <si>
    <t>4000000078</t>
  </si>
  <si>
    <t>Sunflower Seeds Cleaned 50KG</t>
  </si>
  <si>
    <t>SS0001</t>
  </si>
  <si>
    <t>Sunflower Seeds FG</t>
  </si>
  <si>
    <t>4000000055</t>
  </si>
  <si>
    <t>Gum Arabic Talha FG 50KG</t>
  </si>
  <si>
    <t>TG0001</t>
  </si>
  <si>
    <t>Gum Arabic Talha FG</t>
  </si>
  <si>
    <t>4000000115</t>
  </si>
  <si>
    <t>Gum Arabic Talha Agglom brown 25KG</t>
  </si>
  <si>
    <t>TG0002</t>
  </si>
  <si>
    <t>Gum Talha Spray Dried</t>
  </si>
  <si>
    <t>4000000116</t>
  </si>
  <si>
    <t>Gum Arabic Talha Fine SD Brown 25KG</t>
  </si>
  <si>
    <t>4000000119</t>
  </si>
  <si>
    <t>Watermelon Seeds Cleaned 40Kg</t>
  </si>
  <si>
    <t>WT0002</t>
  </si>
  <si>
    <t>1000000039</t>
  </si>
  <si>
    <t>Wheat</t>
  </si>
  <si>
    <t>AW0001</t>
  </si>
  <si>
    <t>2000000028</t>
  </si>
  <si>
    <t>Urea Granular Bulk</t>
  </si>
  <si>
    <t>UR0002</t>
  </si>
  <si>
    <t>4000000001</t>
  </si>
  <si>
    <t>Al-Awwal Flour 10X1Kg</t>
  </si>
  <si>
    <t>BE</t>
  </si>
  <si>
    <t>Flour Alawwal 10X 1 KG</t>
  </si>
  <si>
    <t>NF0001</t>
  </si>
  <si>
    <t>Flour Al-Nagm (Mill)</t>
  </si>
  <si>
    <t>4000000056</t>
  </si>
  <si>
    <t>Sayga Lentil Red Split 20KG</t>
  </si>
  <si>
    <t>LE0004</t>
  </si>
  <si>
    <t>4000000061</t>
  </si>
  <si>
    <t>Dan Rice Long Grain 20KG</t>
  </si>
  <si>
    <t>RC0003</t>
  </si>
  <si>
    <t>4000000074</t>
  </si>
  <si>
    <t>Sugar Refined Egyptian FG 50KG</t>
  </si>
  <si>
    <t>WS0003</t>
  </si>
  <si>
    <t>4000000087</t>
  </si>
  <si>
    <t>Tabagna Rice Short Grain 25KG</t>
  </si>
  <si>
    <t>RC0103</t>
  </si>
  <si>
    <t>4000000145</t>
  </si>
  <si>
    <t>Dalian Rice Short Grain 20Kg</t>
  </si>
  <si>
    <t>KG</t>
  </si>
  <si>
    <t>4000000249</t>
  </si>
  <si>
    <t>Alnajm Wheat Flour Local 25Kg(New)</t>
  </si>
  <si>
    <t>deleted</t>
  </si>
  <si>
    <t>4000000248</t>
  </si>
  <si>
    <t>Groundnuts Oil Crushed Jv</t>
  </si>
  <si>
    <t>Not used</t>
  </si>
  <si>
    <t>4000000126</t>
  </si>
  <si>
    <t>Al-Awwal Flour Fortified 10X1KG</t>
  </si>
  <si>
    <t>Not CIM material</t>
  </si>
  <si>
    <t>4000000135</t>
  </si>
  <si>
    <t>Alnajm Wheat Flour Local 25Kg</t>
  </si>
  <si>
    <t>4000000144</t>
  </si>
  <si>
    <t>Alnajm Rice Long Grain 20Kg</t>
  </si>
  <si>
    <t>1000000027</t>
  </si>
  <si>
    <t>Chick Peas Raw</t>
  </si>
  <si>
    <t>CP0101</t>
  </si>
  <si>
    <t>Chickpeas Raw</t>
  </si>
  <si>
    <t>7000000041</t>
  </si>
  <si>
    <t>Waste Chickpeas</t>
  </si>
  <si>
    <t>CP0301</t>
  </si>
  <si>
    <t>Chickpeas - Waste</t>
  </si>
  <si>
    <t>7000000027</t>
  </si>
  <si>
    <t>Waste GNS Sorting</t>
  </si>
  <si>
    <t>GN0304</t>
  </si>
  <si>
    <t>GNS Sorting Waste</t>
  </si>
  <si>
    <t>1000000043</t>
  </si>
  <si>
    <t>Gum Arabic Hashab Dry Raw</t>
  </si>
  <si>
    <t>7000000046</t>
  </si>
  <si>
    <t>Waste Pigon Peas</t>
  </si>
  <si>
    <t>PP0301</t>
  </si>
  <si>
    <t>Pigeon Peas - Waste</t>
  </si>
  <si>
    <t>1000000041</t>
  </si>
  <si>
    <t>Sesame White Non Gadarif Raw</t>
  </si>
  <si>
    <t>SM0102</t>
  </si>
  <si>
    <t>Non Gadarif Sesame Raw</t>
  </si>
  <si>
    <t>1000000036</t>
  </si>
  <si>
    <t>Sesame Red Raw</t>
  </si>
  <si>
    <t>SM0111</t>
  </si>
  <si>
    <t>Red Sesame Raw</t>
  </si>
  <si>
    <t>1000000034</t>
  </si>
  <si>
    <t>Sesame Mixed Raw</t>
  </si>
  <si>
    <t>SM0121</t>
  </si>
  <si>
    <t>Mixed Sesame Raw</t>
  </si>
  <si>
    <t>7000000050</t>
  </si>
  <si>
    <t>Waste Sesame White Gadarif</t>
  </si>
  <si>
    <t>SM0301</t>
  </si>
  <si>
    <t>Gadarif Sesame Waste</t>
  </si>
  <si>
    <t>7000000047</t>
  </si>
  <si>
    <t>Waste Sesame Red</t>
  </si>
  <si>
    <t>SM0311</t>
  </si>
  <si>
    <t>Red Sesame Waste</t>
  </si>
  <si>
    <t>1000000042</t>
  </si>
  <si>
    <t>Sunflower Seeds Raw</t>
  </si>
  <si>
    <t>SS0101</t>
  </si>
  <si>
    <t>7000000039</t>
  </si>
  <si>
    <t>Waste Sunflower Seeds</t>
  </si>
  <si>
    <t>SS0301</t>
  </si>
  <si>
    <t>Sunflower Seeds Waste</t>
  </si>
  <si>
    <t>1000000033</t>
  </si>
  <si>
    <t>Gum Arabic Talha Raw</t>
  </si>
  <si>
    <t>TG0101</t>
  </si>
  <si>
    <t>7000000048</t>
  </si>
  <si>
    <t>Waste Watermelon Seeds</t>
  </si>
  <si>
    <t>WT0301</t>
  </si>
  <si>
    <t>Watermelon Seeds Waste</t>
  </si>
  <si>
    <t>7000000075</t>
  </si>
  <si>
    <t>Damaged NC Urea Granular 50Kg</t>
  </si>
  <si>
    <t>Damaged NC Rice Long Grain 20Kg(NEW)</t>
  </si>
  <si>
    <t>1000000094</t>
  </si>
  <si>
    <t>Gum Arabic Talha Kibbled</t>
  </si>
  <si>
    <t>3000000036</t>
  </si>
  <si>
    <t>Bag Jumbo PP</t>
  </si>
  <si>
    <t>PB0220</t>
  </si>
  <si>
    <t>3000000078</t>
  </si>
  <si>
    <t>Bag Plastic Flour 25KG</t>
  </si>
  <si>
    <t>PB0240</t>
  </si>
  <si>
    <t>3000000067</t>
  </si>
  <si>
    <t>Bag Plastic Lentil 20KG</t>
  </si>
  <si>
    <t>PB0256</t>
  </si>
  <si>
    <t>3000000068</t>
  </si>
  <si>
    <t>Bag Plastic Rice 25KG</t>
  </si>
  <si>
    <t>PB0258</t>
  </si>
  <si>
    <t>3000000069</t>
  </si>
  <si>
    <t>Bag Plastic Rice 20KG</t>
  </si>
  <si>
    <t>PB0259</t>
  </si>
  <si>
    <t>3000000246</t>
  </si>
  <si>
    <t>Local Empty Pp Bag 75*120 Cm - 80 Kg</t>
  </si>
  <si>
    <t>Local Empty PP Bag 75*120 CM</t>
  </si>
  <si>
    <t>3000000074</t>
  </si>
  <si>
    <t>Bag Plastic Sorghum Export 50KG</t>
  </si>
  <si>
    <t>PB0273</t>
  </si>
  <si>
    <t>Bag Plastic Sorghum Export</t>
  </si>
  <si>
    <t>3000000072</t>
  </si>
  <si>
    <t>Bale Cover Cotton Tricot 70X200CM</t>
  </si>
  <si>
    <t>PB0302</t>
  </si>
  <si>
    <t>Tricot Cover 70*200</t>
  </si>
  <si>
    <t>3000000001</t>
  </si>
  <si>
    <t>Bag Alkhabaz​ Baladi improver</t>
  </si>
  <si>
    <t>3000000051</t>
  </si>
  <si>
    <t>Bag Multi Purpose Plain 50Kg</t>
  </si>
  <si>
    <t>3000000237</t>
  </si>
  <si>
    <t>Bag Yamani Flour</t>
  </si>
  <si>
    <t>3000000065</t>
  </si>
  <si>
    <t>Tank Flexi Oil</t>
  </si>
  <si>
    <t>SET</t>
  </si>
  <si>
    <t>OF0201</t>
  </si>
  <si>
    <t>Flexi Tank</t>
  </si>
  <si>
    <t>QTY -MT</t>
  </si>
  <si>
    <t>Month</t>
  </si>
  <si>
    <t>Sales order2</t>
  </si>
  <si>
    <t>Grand Total</t>
  </si>
  <si>
    <t>Rice Total</t>
  </si>
  <si>
    <t>Sum of Quantity</t>
  </si>
  <si>
    <t>Sum of QTY -MT</t>
  </si>
  <si>
    <t>Sum of Amt.in Loc.Cur.</t>
  </si>
  <si>
    <t>Product</t>
  </si>
  <si>
    <t>SAP code</t>
  </si>
  <si>
    <t>SAP Description</t>
  </si>
  <si>
    <t>Product Description</t>
  </si>
  <si>
    <t>Sage Unit</t>
  </si>
  <si>
    <t>SAP Unit</t>
  </si>
  <si>
    <t>TON</t>
  </si>
  <si>
    <t>GN0003</t>
  </si>
  <si>
    <t>GN0007</t>
  </si>
  <si>
    <t>BAG50</t>
  </si>
  <si>
    <t>GROUNDNUT SEEDS HPS DAMAGE 50KG</t>
  </si>
  <si>
    <t>HPS DAMAGE 50KG</t>
  </si>
  <si>
    <t>HG0301</t>
  </si>
  <si>
    <t>Lentil Elngm 20KG</t>
  </si>
  <si>
    <t>BAG20</t>
  </si>
  <si>
    <t>Sugar Empty Bags</t>
  </si>
  <si>
    <t>Empty Bags - Sugar 50 Kg</t>
  </si>
  <si>
    <t>Piece</t>
  </si>
  <si>
    <t>Urea Empty Bags</t>
  </si>
  <si>
    <t>Urea Empty Bags 60X100</t>
  </si>
  <si>
    <t>Rice Short Grain Elngm 25Kg</t>
  </si>
  <si>
    <t>BAG25</t>
  </si>
  <si>
    <t>Lentil Armada 20KG</t>
  </si>
  <si>
    <t>Lentil Tabagna 20KG</t>
  </si>
  <si>
    <t>Lentil TAT 20KG</t>
  </si>
  <si>
    <t>Rice Short Grain Dalian</t>
  </si>
  <si>
    <t>Rice Long Grade 2 Elngm 20Kg</t>
  </si>
  <si>
    <t>Rice Long Grain Tabagna</t>
  </si>
  <si>
    <t>Flour Import Elngm 25Kg</t>
  </si>
  <si>
    <t>Rice Long Grade 1 Elngm 20Kg</t>
  </si>
  <si>
    <t>Lentil Damaged 20KG</t>
  </si>
  <si>
    <t>Pigeon Peas Jazira FG</t>
  </si>
  <si>
    <t>Rice Waste 50KG</t>
  </si>
  <si>
    <t>PIGEON PEAS JAZIRA CLEAN RAW MATRIAL</t>
  </si>
  <si>
    <t>White Sesame Gadarif Damage NC 50K</t>
  </si>
  <si>
    <t>White Sesame Non Gadarif Damage NC 50K</t>
  </si>
  <si>
    <t>Rice Damaged 25KG</t>
  </si>
  <si>
    <t>Red Sesame Damage NC 50K</t>
  </si>
  <si>
    <t>Mixed Sesame Damage NC 50K</t>
  </si>
  <si>
    <t>SM0335</t>
  </si>
  <si>
    <t>Non Gadarif Sesame Colored Damage NC 50K</t>
  </si>
  <si>
    <t>Non Gadarif Sesame Colored Damage</t>
  </si>
  <si>
    <t>WHEAT FLOUR DAMAGED 25KG</t>
  </si>
  <si>
    <t>Lentil Damage/waste 50KG</t>
  </si>
  <si>
    <t>Gum Hashab Dark FG 50KG</t>
  </si>
  <si>
    <t>Gum Hashab Dark FG</t>
  </si>
  <si>
    <t>Flour Damaged (AF) - Ton</t>
  </si>
  <si>
    <t>Sorghum Waste</t>
  </si>
  <si>
    <t>Sorghum Damage</t>
  </si>
  <si>
    <t>Cotton Waste</t>
  </si>
  <si>
    <t>Chickpeas FG 50KG</t>
  </si>
  <si>
    <t>Chickpeas Low Grade FG 50KG</t>
  </si>
  <si>
    <t>Pigeon Peas Low Grade FG 50KG</t>
  </si>
  <si>
    <t>Gadarif Sesame Low Grade FG 50KG</t>
  </si>
  <si>
    <t>Non Gadarif Sesame Low Grade FG 50KG</t>
  </si>
  <si>
    <t>Sorghum FG 50 KG</t>
  </si>
  <si>
    <t>Gum Arabic Hashab RM</t>
  </si>
  <si>
    <t>White Sesame Sorted Finished Good 50KG</t>
  </si>
  <si>
    <t>SM0053</t>
  </si>
  <si>
    <t>Red Sesame LowQualty</t>
  </si>
  <si>
    <t>Red Sesame FG Lower Grade</t>
  </si>
  <si>
    <t>Bag50</t>
  </si>
  <si>
    <t>Groundnuts In Shells</t>
  </si>
  <si>
    <t>Plastic Bag  Used</t>
  </si>
  <si>
    <t>Export Emp 70*125Cm</t>
  </si>
  <si>
    <t>Export Empty Bags 70*125Cm</t>
  </si>
  <si>
    <t>Local Emp 70*120 Cm</t>
  </si>
  <si>
    <t>Local Empty Bags 70*120 Cm</t>
  </si>
  <si>
    <t>Rice Long Damaged20</t>
  </si>
  <si>
    <t>Cardboard Paper 12Mx</t>
  </si>
  <si>
    <t>Cardboard Paper Sheet 12Mx140Cm 2Layers</t>
  </si>
  <si>
    <t>Roll</t>
  </si>
  <si>
    <t>Gum Arabic Hashab Fg</t>
  </si>
  <si>
    <t>Gum Hashab Sifting F</t>
  </si>
  <si>
    <t>Gum Arabic Hashab Sifting Fg 50Kg</t>
  </si>
  <si>
    <t>RC0302</t>
  </si>
  <si>
    <t>Rice Long Damaged50</t>
  </si>
  <si>
    <t>Empty Pp Bag 75*120C</t>
  </si>
  <si>
    <t>Export Emp 50*75Cm</t>
  </si>
  <si>
    <t>Export Empty Bags 50*75Cm</t>
  </si>
  <si>
    <t>Export Emp 60*105Cm</t>
  </si>
  <si>
    <t>Export Empty Bags 60*105Cm</t>
  </si>
  <si>
    <t>White Sesame Non Gdp</t>
  </si>
  <si>
    <t>Mxd Sesame Ws</t>
  </si>
  <si>
    <t>Gum Arabic Talh Wa</t>
  </si>
  <si>
    <t>Gum Arabic Talh Waste</t>
  </si>
  <si>
    <t>Export Emp 65*105Cm</t>
  </si>
  <si>
    <t>Export Empty Bags 65*105Cm</t>
  </si>
  <si>
    <t>TX01</t>
  </si>
  <si>
    <t>4900126665</t>
  </si>
  <si>
    <t>4900126482</t>
  </si>
  <si>
    <t>20</t>
  </si>
  <si>
    <t>Variance Classification</t>
  </si>
  <si>
    <t>Description</t>
  </si>
  <si>
    <t>Compensation Status</t>
  </si>
  <si>
    <t>Repacking/Reprocessing</t>
  </si>
  <si>
    <t>Losses reported as a result of repacking or reprocessing operation of damaged bags in warehouses. For exports repacking was needed for bags torned during loading and offloading at warehouse. For imports most repacking is done at the warehouse for bags received torned from containers shipments offloading operation.</t>
  </si>
  <si>
    <t>Non recoverable for WH oprations damage, however might be recoverable for damage received form external party (supplier, transporter..etc)</t>
  </si>
  <si>
    <t>Stuffing Variance</t>
  </si>
  <si>
    <t>These are the lossesas a result of the cotton exported shipments packaging weight variance. Inventory apply the gross weight in stock transfer to XF "Stuffing warehouse" and the confirmation is based on surveyors report which using the net weight (the gross minus the standard packing weight). 
NOTE: the packaging adjustment is considered in the purchasing, so these are not real losses. Currently the stock in Portsudan is Invictus SMA stock, the variances are reversed from sales and written off from PZU main warehouse (XP).</t>
  </si>
  <si>
    <t>Unreal loss, as payment to suppliers is based on the net weight (packaging weight is excluded)</t>
  </si>
  <si>
    <t>Non conformity reports was mostly due to defects during storage.</t>
  </si>
  <si>
    <t>Transportation losses as per waybills. All quantity compensated using the market value at time of the loss. For raw material stocks or FG monitored in tonnage like cotton the deduction is for any quantity over weight tolerance or if any bags/bales recorded short.</t>
  </si>
  <si>
    <t>Compensated by the transporter</t>
  </si>
  <si>
    <t>Transport Scale Variance</t>
  </si>
  <si>
    <t xml:space="preserve">Transportation Scale difference within tolerance between loading and destination scales for raw materials: sesame, sorghum and watermelon transported from Gadarif to PZU and Cotton bales loaded from New Halfa to PZU. </t>
  </si>
  <si>
    <t>Accepted variannce as per agreed weight tolerance level for each commodity</t>
  </si>
  <si>
    <t>Variances related to transportaion excess: adjustment to correct the excess stock received at destination compared to documented loaded quantity from source location. This happens mainly for trucks loaded from vessel to warehouse.</t>
  </si>
  <si>
    <t>Gain</t>
  </si>
  <si>
    <t>Accumulative weight variances after the receiving and loading operations completed at the warehouse and stock reached zero level. Excess or short quantity appear in the system warehouse, it is reviewed against the reports and weight slips before adjustment is done.</t>
  </si>
  <si>
    <t>Reviewed variance: might be gain or loss, this variance is reviewed by case and adjusted accordingly and no compensation as it is weight variances or oprations variances</t>
  </si>
  <si>
    <t>Insurance Cases</t>
  </si>
  <si>
    <t>Losses caused by accidents, theft or weather conditions, raised to insurance for compensation as per the agreed insurance policy requirements. The claim of the case related to rain damage of 2024 rainy season has been completed and submitted to Insurance waiting their final claim settlement (reprocessing operations and local sales completed and all related expenses of loading and processing costs included in the claim value).</t>
  </si>
  <si>
    <t>Compensated by insurance company as per their requirements and policies</t>
  </si>
  <si>
    <t>Imported Shipments Shortages &amp; Rejections</t>
  </si>
  <si>
    <t>Short landing quantity and SSMO rejected from imported shipments (PZU vessels and containers shipment, road shipments from Egypt). Compensation have been received for two road shipments, and for vessels comepnsations are pending waiting credit notes from Invictus. A tolerance of 0.5% is applied for imported shipments short compensation.</t>
  </si>
  <si>
    <t>Compensated by the supplier, shipper, or insurance company subject to terms and conditions of the shipment contract</t>
  </si>
  <si>
    <t>Losses during discharge operation of imported shipments, includes bags fallen in sea, repacking of damage as result of handling and samples for both SSMO authority and Sayga quality team. The imported flour and sugar vessels recorded high percentage of discharge losses. For sugar there was issue with packaging that caused this increase in discharge loss.</t>
  </si>
  <si>
    <t>Non recoverable</t>
  </si>
  <si>
    <t>Imported Vessels Overlanding</t>
  </si>
  <si>
    <t>Excess quantity received for imorted shipments compared to BL quantity</t>
  </si>
  <si>
    <t>Stock Correction</t>
  </si>
  <si>
    <t>Variations reported in the physical warehouse stock against the system stock which found during stocktaking or warehouse cycle count. It might be excess or loss.</t>
  </si>
  <si>
    <t>Gain / loss</t>
  </si>
  <si>
    <t>Stock Adjustments</t>
  </si>
  <si>
    <t>Stock Losses/Gains</t>
  </si>
  <si>
    <t>Compensation status</t>
  </si>
  <si>
    <t>Compensation process</t>
  </si>
  <si>
    <t>Reviewed Variance</t>
  </si>
  <si>
    <t>Non Recoverable</t>
  </si>
  <si>
    <t>Pending</t>
  </si>
  <si>
    <t>Waiting Transportation/Finance feedback</t>
  </si>
  <si>
    <t>Loss</t>
  </si>
  <si>
    <t>Row Labels</t>
  </si>
  <si>
    <t>Imports Volume</t>
  </si>
  <si>
    <t>Repacking &amp; Reprocessing</t>
  </si>
  <si>
    <t>Transport Loss</t>
  </si>
  <si>
    <t>Total</t>
  </si>
  <si>
    <t>Volume</t>
  </si>
  <si>
    <t>%</t>
  </si>
  <si>
    <t>Adjustment type</t>
  </si>
  <si>
    <t>Transport Losses</t>
  </si>
  <si>
    <t>Exports Volume</t>
  </si>
  <si>
    <t>Stock Adjustments Total</t>
  </si>
  <si>
    <t>Stock Losses/Gains Total</t>
  </si>
  <si>
    <t>Value SDG</t>
  </si>
  <si>
    <t>QTY - MT</t>
  </si>
  <si>
    <t xml:space="preserve"> </t>
  </si>
  <si>
    <t>Volume / MT</t>
  </si>
  <si>
    <t xml:space="preserve">Lentils </t>
  </si>
  <si>
    <t xml:space="preserve">2025 Balance </t>
  </si>
  <si>
    <t>Total Volume 26</t>
  </si>
  <si>
    <t>Flour Total</t>
  </si>
  <si>
    <t>Lentil Total</t>
  </si>
  <si>
    <t>Accumulative WH Variance Total</t>
  </si>
  <si>
    <t>Imported Shipments Shortages &amp; Rejections Total</t>
  </si>
  <si>
    <t>Imported Vessels Overlanding Total</t>
  </si>
  <si>
    <t>Non Conformity Total</t>
  </si>
  <si>
    <t>Repacking/Reprocessing Total</t>
  </si>
  <si>
    <t>Transport Losses Total</t>
  </si>
  <si>
    <t>Adjustment</t>
  </si>
  <si>
    <t>Loss Value</t>
  </si>
  <si>
    <t>Compensation - SDG</t>
  </si>
  <si>
    <t>ITKH</t>
  </si>
  <si>
    <t>4900128833</t>
  </si>
  <si>
    <t>0000004097</t>
  </si>
  <si>
    <t>Excess - OBD 80010457</t>
  </si>
  <si>
    <t>4900128526</t>
  </si>
  <si>
    <t>SPB1</t>
  </si>
  <si>
    <t>GD04</t>
  </si>
  <si>
    <t>KS05</t>
  </si>
  <si>
    <t>ICGA</t>
  </si>
  <si>
    <t>MD05</t>
  </si>
  <si>
    <t>E003</t>
  </si>
  <si>
    <t>BL01</t>
  </si>
  <si>
    <t>SGME</t>
  </si>
  <si>
    <t>7000000092</t>
  </si>
  <si>
    <t>Damaged NC Flexi Tank</t>
  </si>
  <si>
    <t>4900140734</t>
  </si>
  <si>
    <t>4900140809</t>
  </si>
  <si>
    <t>4900140799</t>
  </si>
  <si>
    <t>4900140629</t>
  </si>
  <si>
    <t>4900140630</t>
  </si>
  <si>
    <t>4900138865</t>
  </si>
  <si>
    <t>4900146388</t>
  </si>
  <si>
    <t>4900152547</t>
  </si>
  <si>
    <t>4900152533</t>
  </si>
  <si>
    <t>4900152529</t>
  </si>
  <si>
    <t>4900152528</t>
  </si>
  <si>
    <t>4900155341</t>
  </si>
  <si>
    <t>4900155347</t>
  </si>
  <si>
    <t>4900155350</t>
  </si>
  <si>
    <t>4900156643</t>
  </si>
  <si>
    <t>4900158999</t>
  </si>
  <si>
    <t>4900158836</t>
  </si>
  <si>
    <t>4900158837</t>
  </si>
  <si>
    <t>4900158838</t>
  </si>
  <si>
    <t>4900158839</t>
  </si>
  <si>
    <t>4900158840</t>
  </si>
  <si>
    <t>4900158841</t>
  </si>
  <si>
    <t>4900159856</t>
  </si>
  <si>
    <t>441</t>
  </si>
  <si>
    <t>438</t>
  </si>
  <si>
    <t>25-26</t>
  </si>
  <si>
    <t>405</t>
  </si>
  <si>
    <t>407</t>
  </si>
  <si>
    <t>442</t>
  </si>
  <si>
    <t>402</t>
  </si>
  <si>
    <t>0000002974</t>
  </si>
  <si>
    <t>399</t>
  </si>
  <si>
    <t>7760</t>
  </si>
  <si>
    <t>TRANSPORTER LOSS</t>
  </si>
  <si>
    <t>NC 106</t>
  </si>
  <si>
    <t>NC 140 RECLASSIFICATION</t>
  </si>
  <si>
    <t>MVSummit Xiamen-3700 Over</t>
  </si>
  <si>
    <t>MVSummit Xiamen-3701 Over</t>
  </si>
  <si>
    <t>MVSummit Xiamen 3702 Over</t>
  </si>
  <si>
    <t>MVSummit Xiamen 4200 Over</t>
  </si>
  <si>
    <t>MVSummit Xiamen 4201 Over</t>
  </si>
  <si>
    <t>MVSummit Xiamen 4202 Over</t>
  </si>
  <si>
    <t>MVSummit Xiamen 4203 Over</t>
  </si>
  <si>
    <t>MVSummit Xiamen 4204 Over</t>
  </si>
  <si>
    <t>MVSummit Xiamen 4205 Over</t>
  </si>
  <si>
    <t>Scale difference - 2021</t>
  </si>
  <si>
    <t>LOSSINTRANSIT</t>
  </si>
  <si>
    <t>Mohammed Hussein Mohammed Elmahi</t>
  </si>
  <si>
    <t>7500000338</t>
  </si>
  <si>
    <t>21300102</t>
  </si>
  <si>
    <t>MEELMAHI</t>
  </si>
  <si>
    <t>0080005692</t>
  </si>
  <si>
    <t>0077003018</t>
  </si>
  <si>
    <t>7500000780</t>
  </si>
  <si>
    <t>7500000628</t>
  </si>
  <si>
    <t>0080004616</t>
  </si>
  <si>
    <t>7500000426</t>
  </si>
  <si>
    <t>0080004623</t>
  </si>
  <si>
    <t>0077003614</t>
  </si>
  <si>
    <t>7500000907</t>
  </si>
  <si>
    <t>0077003616</t>
  </si>
  <si>
    <t>0077003290</t>
  </si>
  <si>
    <t>7500000843</t>
  </si>
  <si>
    <t>0077003289</t>
  </si>
  <si>
    <t>0077003016</t>
  </si>
  <si>
    <t>0077002993</t>
  </si>
  <si>
    <t>4900146384</t>
  </si>
  <si>
    <t>TF tfr ps.mat.to mat</t>
  </si>
  <si>
    <t>309</t>
  </si>
  <si>
    <t>Flexi Tank - Damaged</t>
  </si>
  <si>
    <t>Out of 5,700 bags of sesame GDP FG stored in Emarat 3 WH, there were 67 bags found torn during loading &amp; offloading NC 106. The result of repacking is: sound 63 bags - loss 3 bags - waste 1 bag (will be sold in locally)</t>
  </si>
  <si>
    <t>MV Summit Xiamen -Lentil Shipment BL 3700 QTY 25,000 bags - Received =25,069 bags- Sound=25,036 bags -Torn=32 bags- Wet= 1 bags- overlanded=69 bags.</t>
  </si>
  <si>
    <t>MV Summit Xiamen -Lentil Shipment BL 3701 QTY 25,000 bags - Received =25,084 bags- Sound=25,045 bags -Torn=38 bags- Wet= 1 bags- overlanded=84 bags.</t>
  </si>
  <si>
    <t>MV Summit Xiamen -Lentil Shipment BL 3702 QTY 25,000 bags - Received =25,078 bags- Sound=25,017 bags -Torn=61 bags- overlanded=78 bags.</t>
  </si>
  <si>
    <t>MV Summit Xiamen -Lentil Shipment BL 4201 QTY 25,000 bags - Received =25,055 bags- Sound=25,002 bags -Torn=40 bags- Wet=13 bags - overlanded=55 bags. Empty bags=189 PC, Wet and torn had been reported to Invictus.</t>
  </si>
  <si>
    <t>MV Summit Xiamen -Lentil Shipment BL 4202 QTY 25,000 bags - Received =25,074 bags- Sound=25,045 bags -Torn=29 bags- overlanded=74 bags. Empty bags=184 PC, Wet and torn had been reported to Invictus.</t>
  </si>
  <si>
    <t>MV Summit Xiamen -Lentil Shipment BL 4204 QTY 25,000 bags - Received =25,048 bags- Sound=24,930 bags -Torn=79 bags- Wet= 39 bags - overlanded=48 bags. Empty bags=206 PC, Wet and torn had been reported to Invictus.</t>
  </si>
  <si>
    <t>MV Summit Xiamen -Lentil Shipment BL 4203 QTY 25,000 bags - Received =25,027 bags- Sound=24,935 bags -Torn=90 bags- Wet= 2 bags - overlanded=27 bags. Empty bags=185 PC, Wet and torn had been reported to Invictus.</t>
  </si>
  <si>
    <t>Stock Correction Total</t>
  </si>
  <si>
    <t>Transport Scale Variance (No Tolerance)</t>
  </si>
  <si>
    <t>MV Summit Xiamen -Lentil Shipment BL 4205 QTY 25,000 bags - Received =25,046 bags- Sound=24,956 bags -Torn=90 bags- overlanded=46 bags - Empty bags=144 PC. Torn bags had not been reported to Invictus because they were not identified if they are coming from containers or torn during offloading.</t>
  </si>
  <si>
    <t>MV Summit Xiamen -Lentil Shipment BL 4200 QTY 25,000 bags - Received =25,080 bags- Sound=25,020 bags -Torn=60 bags- overlanded=80 bags - Empty bags=195 PC. Torn bags had not been reported to Invictus because they were not identified if they are coming from containers or torn during offloading.</t>
  </si>
  <si>
    <t>Stock Discrepancy - Transport Excess</t>
  </si>
  <si>
    <t>Stock Discrepancy - Transport Excess Total</t>
  </si>
  <si>
    <t>Adj. Type</t>
  </si>
  <si>
    <t>Transportation Scale difference between loading and destination scales for raw materials: sesame, sorghum and watermelon transported from Gadarif to PZU. These quantities have been reviewed and posted by finance team. There's no agreed tolerance with the transporters to apply and use for deduction processs.</t>
  </si>
  <si>
    <t>2. In this report the value for low grade and damaged products write on is based on sales value rather than system std value. It has been modified to reflect the actual loss amount.</t>
  </si>
  <si>
    <t>3. The below table shows detailed description of the adjustment categories used in this report:</t>
  </si>
  <si>
    <t>1. The variances are classified into three categories:</t>
  </si>
  <si>
    <t xml:space="preserve">     A. Stock Adjustments: these are variances due to scales or netting to exclude packaging weight hence are not real losses in inventory.</t>
  </si>
  <si>
    <t xml:space="preserve">     B. Stock Losses/Gains: these are actual discrepancies or loss/gain in the physical inventory identfied during the operation and are related to several causes like damages inside the warehouses (non conformities), transportation losses or any reported incidents.</t>
  </si>
  <si>
    <t xml:space="preserve">     C. Adjusted by finance/inventory: these are stock adjustments that have been reviewed and posted by finance inventory team. The report lists and shows the classification for it as per our follow up.</t>
  </si>
  <si>
    <t>Under follow up with finance to update the status</t>
  </si>
  <si>
    <t>Sesame Gadarif Total</t>
  </si>
  <si>
    <t>Sorghum Total</t>
  </si>
  <si>
    <t>Waiting Invictus feedback</t>
  </si>
  <si>
    <t>265 bags of rice were classified as wet and bad odder and the quality decision was to be eliminated. The adjustment was done without CIM approval.</t>
  </si>
  <si>
    <t>492 bags of flour classified as damaged in Rabak WH, 162 bags from local produced flour and 330 bags from imported flour. The damage bags represent 0.26% from total received quantity in the WH. 444 bags were damaged by insects due to long storage and 48 bags were torn during loading and offloading operations and became caked because of moisture exposure. The proposed action was to eliminate them. NC 91, 92, 110, &amp; 111</t>
  </si>
  <si>
    <t>4 bags of flour from local production were classified as damaged in Kosti WH, they represent 0.0014% from total received quantity in the WH. they were damaged by insects and expired due to long storage. The proposed action was to eliminate them. NC 131</t>
  </si>
  <si>
    <t>Out of 123,100 lentil bags received from containers, there were 320 defected bags transported to E2 &amp; Textile warehouse at PZU (represent 0.259% from total received) and the corrective action was to be repacked. Repacking result: sound= 238 bags, loss=58 bags, wet=23 bags, &amp; high polish= 1 bag. The wet and  had been sold (20,000SDG/bag) for total amount of 460,000 SDG. Nc 69, 95, 96, 97, 98, 99, 102, 103,&amp; 109</t>
  </si>
  <si>
    <t>Out of 136,300 rice bags received from containers in Textile warehouse at PZU, there were 426 bags found defected (represent 0.312% from total received) and the proposed action was to be repacked. Repacking result: sound= 350 bags, loss=66 bags, damage=3 bags, &amp; wet=7 bags. The wet and damage bags had been sold (20,000SDG/bag) for total amount of 200,000 SDG. Nc 121, 122, 123, 124, &amp; 125</t>
  </si>
  <si>
    <t>Transportation losses as per waybill</t>
  </si>
  <si>
    <t>MV Shiba -Lentil Shipment BL 8900 QTY 25,000 bags - Received =24,955 bags- Sound=24,821 bags -Torn= 39 bags -wet/damage =95 bags- short landed=45 bags. Shortlanded, wet and torn had been reported to Invictus.</t>
  </si>
  <si>
    <t>MV Shiba -Lentil Shipment BL 8902 QTY 10,000 bags - Received =9,957 bags- Sound=9,928 bags -Torn= 22 bags -wet =7 bags- short landed=43 bags. Shortlanded, wet and torn had been reported to Invictus.</t>
  </si>
  <si>
    <t>A quantity of 241 SET of Oil Flex Tank in Bilal WH was remaining unused for long until it was expired and damaged, the decision was to sell it in local market as damaged. 12 SET out of this quantity were defected after loading to stuffing and issuing it on the system, then it was returned from stuffing yard to WH resulting in 241 SET as physical stock. They were sold for total amount of (160,000 SDG/SET) 38,560,000 SDG</t>
  </si>
  <si>
    <t>A013</t>
  </si>
  <si>
    <t>KH01</t>
  </si>
  <si>
    <t>MPGC</t>
  </si>
  <si>
    <t>4900163023</t>
  </si>
  <si>
    <t>4900165107</t>
  </si>
  <si>
    <t>4900165355</t>
  </si>
  <si>
    <t>4900165352</t>
  </si>
  <si>
    <t>4900165360</t>
  </si>
  <si>
    <t>4900166560</t>
  </si>
  <si>
    <t>4900168089</t>
  </si>
  <si>
    <t>4900169974</t>
  </si>
  <si>
    <t>4900169971</t>
  </si>
  <si>
    <t>4900169965</t>
  </si>
  <si>
    <t>NC (DBA-IR-FP-01)</t>
  </si>
  <si>
    <t>8496</t>
  </si>
  <si>
    <t>0077004469</t>
  </si>
  <si>
    <t>7500001071</t>
  </si>
  <si>
    <t>LOCAL SHUNTING LOSS</t>
  </si>
  <si>
    <t>Physical existing Qty</t>
  </si>
  <si>
    <t>Abu Alwafaa Mohammed Ebied</t>
  </si>
  <si>
    <t>21300202</t>
  </si>
  <si>
    <t>AAEBIED</t>
  </si>
  <si>
    <t>Processing Loss-NC 133</t>
  </si>
  <si>
    <t>0000005082</t>
  </si>
  <si>
    <t>Stock Exess 99100/99150/9</t>
  </si>
  <si>
    <t>0000005081</t>
  </si>
  <si>
    <t>0000005080</t>
  </si>
  <si>
    <t>IMRH</t>
  </si>
  <si>
    <t>4900058294</t>
  </si>
  <si>
    <t>LOT 99/Short</t>
  </si>
  <si>
    <t>LOT 100/short</t>
  </si>
  <si>
    <t>LOT 92 /sample</t>
  </si>
  <si>
    <t>4900058371</t>
  </si>
  <si>
    <t>LOT 111/ short</t>
  </si>
  <si>
    <t>4900058366</t>
  </si>
  <si>
    <t>LOT 79/Sample</t>
  </si>
  <si>
    <t>LOT 79/Short</t>
  </si>
  <si>
    <t>LOT 110/Sample</t>
  </si>
  <si>
    <t>LOT 92 /Short</t>
  </si>
  <si>
    <t>LOT 110/excess</t>
  </si>
  <si>
    <t>LOT 80/Sample</t>
  </si>
  <si>
    <t>LOT 94/sample</t>
  </si>
  <si>
    <t>LOT 80/over</t>
  </si>
  <si>
    <t>LOT 99/Sample</t>
  </si>
  <si>
    <t>LOT 122/excess</t>
  </si>
  <si>
    <t>LOT 100/Sample</t>
  </si>
  <si>
    <t>LOT 101/Short</t>
  </si>
  <si>
    <t>LOT 101/Sample</t>
  </si>
  <si>
    <t>LOT 109/Sample</t>
  </si>
  <si>
    <t>LOT 109/Short</t>
  </si>
  <si>
    <t>LOT 120/Short</t>
  </si>
  <si>
    <t>LOT 121/Sample</t>
  </si>
  <si>
    <t>LOT 120/Sample</t>
  </si>
  <si>
    <t>LOT 121/short</t>
  </si>
  <si>
    <t>Compensated</t>
  </si>
  <si>
    <t>Out of 8,600 bags of Gum Arabic Talha Cleaned 50KG stored in PZU Gum clean WH (MPGC), there were 671 bags found torn because of long storing period NC 133. The result of repacking is: sound 647 bags - loss 24 bags. Loss percentage from total quantity (8,600 bags): 0.28%</t>
  </si>
  <si>
    <t>Pigeon Peas Total</t>
  </si>
  <si>
    <t>Sesame Non Gadarif Total</t>
  </si>
  <si>
    <t>Gum Arabic Talha Total</t>
  </si>
  <si>
    <t>Transporter Compensation Value</t>
  </si>
  <si>
    <t>The compensation value for export commodities transportation loss</t>
  </si>
  <si>
    <t>E-T-Value</t>
  </si>
  <si>
    <t>Transport Loss Compensation Value</t>
  </si>
  <si>
    <t>Value</t>
  </si>
  <si>
    <t>_report_modif.</t>
  </si>
  <si>
    <t>Transporter Compensation Value Total</t>
  </si>
  <si>
    <t>Weight variance of truck delivered from Gadarif  using ABS weighbridge and received at PZU using Abo-hashish weighbridge, there were 4 bags (0.360 MT) reported missing in truck no. 14541-WB 5510 and the loss was sent to AP to create debit note.</t>
  </si>
  <si>
    <t>Packaging Total</t>
  </si>
  <si>
    <t>Value Total</t>
  </si>
  <si>
    <t>Total received QTY of sorghum in Metallic silo (SGME) is 17,926.158 MT - delivered is 17,908.33 MT - system remaining QTY is 17.828 MT. After loading all remaining the confirmed loaded quantity was 18.100 MT. The excess variance is 0.272 MT (0.0015% of the total received quantity) and it might be due moisture gain and weighbridge record variations - ABS weighbridge (used in receiving and delivering the product across several years)</t>
  </si>
  <si>
    <t>Out of 5,000 bags (2 trucks) of Rice loaded to customer in Dabba there were 20 bags received defected, according to QA investigation these bags were considered caked at the time of loading and must be returned to CIM WH to be sold as animal feed. They were stored in customer WH due to lack of WH space in Dabba and sold for total amount (5,000 SDG/bag) of 100,000 SDG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</si>
</sst>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F400]h:mm:ss\ AM/PM"/>
    <numFmt numFmtId="165" formatCode="_(* #,##0.0_);_(* \(#,##0.0\);_(* &quot;-&quot;??_);_(@_)"/>
    <numFmt numFmtId="166" formatCode="0.000%"/>
    <numFmt numFmtId="167" formatCode="_(* #,##0_);_(* \(#,##0\);_(* &quot;-&quot;??_);_(@_)"/>
  </numFmts>
  <fonts count="2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Arial"/>
      <family val="2"/>
    </font>
    <font>
      <sz val="11"/>
      <name val="Calibri"/>
      <family val="2"/>
    </font>
    <font>
      <sz val="11"/>
      <color theme="0"/>
      <name val="Calibri"/>
      <family val="2"/>
      <scheme val="minor"/>
    </font>
    <font>
      <sz val="11"/>
      <color rgb="FFFF0000"/>
      <name val="Calibri"/>
      <family val="2"/>
      <scheme val="minor"/>
    </font>
    <font>
      <b/>
      <sz val="11"/>
      <color theme="1"/>
      <name val="Calibri"/>
      <family val="2"/>
      <scheme val="minor"/>
    </font>
    <font>
      <sz val="10"/>
      <color rgb="FFFF0000"/>
      <name val="Arial"/>
      <family val="2"/>
    </font>
    <font>
      <b/>
      <sz val="12"/>
      <name val="Calibri"/>
      <family val="2"/>
      <scheme val="minor"/>
    </font>
    <font>
      <b/>
      <sz val="11"/>
      <name val="Calibri"/>
      <family val="2"/>
      <scheme val="minor"/>
    </font>
    <font>
      <sz val="11"/>
      <name val="Calibri"/>
      <family val="2"/>
      <scheme val="minor"/>
    </font>
    <font>
      <b/>
      <sz val="10"/>
      <color theme="1"/>
      <name val="Arial"/>
      <family val="2"/>
    </font>
    <font>
      <sz val="10"/>
      <color theme="1"/>
      <name val="Arial"/>
      <family val="2"/>
    </font>
  </fonts>
  <fills count="17">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4"/>
        <bgColor theme="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1" tint="0.249977111117893"/>
        <bgColor indexed="64"/>
      </patternFill>
    </fill>
    <fill>
      <patternFill patternType="solid">
        <fgColor theme="1"/>
        <bgColor indexed="64"/>
      </patternFill>
    </fill>
    <fill>
      <patternFill patternType="solid">
        <fgColor theme="3" tint="-0.499984740745262"/>
        <bgColor indexed="64"/>
      </patternFill>
    </fill>
    <fill>
      <patternFill patternType="solid">
        <fgColor theme="4"/>
        <bgColor indexed="64"/>
      </patternFill>
    </fill>
    <fill>
      <patternFill patternType="solid">
        <fgColor theme="8" tint="0.59999389629810485"/>
        <bgColor indexed="64"/>
      </patternFill>
    </fill>
    <fill>
      <patternFill patternType="solid">
        <fgColor theme="1" tint="4.9989318521683403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indexed="1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theme="4" tint="0.39997558519241921"/>
      </top>
      <bottom style="thin">
        <color theme="4" tint="0.39997558519241921"/>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theme="4" tint="0.39997558519241921"/>
      </bottom>
      <diagonal/>
    </border>
    <border>
      <left/>
      <right/>
      <top/>
      <bottom style="thin">
        <color indexed="64"/>
      </bottom>
      <diagonal/>
    </border>
    <border>
      <left/>
      <right style="thin">
        <color indexed="64"/>
      </right>
      <top/>
      <bottom style="thin">
        <color indexed="64"/>
      </bottom>
      <diagonal/>
    </border>
  </borders>
  <cellStyleXfs count="6">
    <xf numFmtId="0" fontId="0" fillId="0" borderId="0"/>
    <xf numFmtId="0" fontId="7" fillId="0" borderId="0"/>
    <xf numFmtId="43" fontId="10" fillId="0" borderId="0" applyFont="0" applyFill="0" applyBorder="0" applyAlignment="0" applyProtection="0"/>
    <xf numFmtId="0" fontId="6" fillId="0" borderId="0"/>
    <xf numFmtId="0" fontId="5" fillId="0" borderId="0"/>
    <xf numFmtId="9" fontId="10" fillId="0" borderId="0" applyFont="0" applyFill="0" applyBorder="0" applyAlignment="0" applyProtection="0"/>
  </cellStyleXfs>
  <cellXfs count="132">
    <xf numFmtId="0" fontId="0" fillId="0" borderId="0" xfId="0" applyAlignment="1">
      <alignment vertical="top"/>
    </xf>
    <xf numFmtId="0" fontId="0" fillId="2" borderId="1" xfId="0" applyFill="1" applyBorder="1" applyAlignment="1">
      <alignment vertical="top"/>
    </xf>
    <xf numFmtId="14" fontId="0" fillId="0" borderId="0" xfId="0" applyNumberFormat="1" applyAlignment="1">
      <alignment horizontal="right" vertical="top"/>
    </xf>
    <xf numFmtId="164" fontId="0" fillId="0" borderId="0" xfId="0" applyNumberFormat="1" applyAlignment="1">
      <alignment horizontal="right" vertical="top"/>
    </xf>
    <xf numFmtId="4" fontId="0" fillId="0" borderId="0" xfId="0" applyNumberFormat="1" applyAlignment="1">
      <alignment horizontal="right" vertical="top"/>
    </xf>
    <xf numFmtId="0" fontId="0" fillId="2" borderId="1" xfId="0" applyFill="1" applyBorder="1" applyAlignment="1">
      <alignment vertical="top" wrapText="1"/>
    </xf>
    <xf numFmtId="0" fontId="0" fillId="3" borderId="1" xfId="0" applyFill="1" applyBorder="1" applyAlignment="1">
      <alignment vertical="top" wrapText="1"/>
    </xf>
    <xf numFmtId="0" fontId="9" fillId="3" borderId="1" xfId="0" applyFont="1" applyFill="1" applyBorder="1" applyAlignment="1">
      <alignment vertical="top" wrapText="1"/>
    </xf>
    <xf numFmtId="0" fontId="7" fillId="0" borderId="1" xfId="1" applyBorder="1" applyAlignment="1">
      <alignment vertical="top"/>
    </xf>
    <xf numFmtId="0" fontId="7" fillId="0" borderId="1" xfId="1" applyBorder="1" applyAlignment="1">
      <alignment vertical="top" wrapText="1"/>
    </xf>
    <xf numFmtId="0" fontId="7" fillId="0" borderId="2" xfId="1" applyBorder="1" applyAlignment="1">
      <alignment vertical="top"/>
    </xf>
    <xf numFmtId="0" fontId="8" fillId="4" borderId="3" xfId="1" applyFont="1" applyFill="1" applyBorder="1" applyAlignment="1">
      <alignment vertical="top"/>
    </xf>
    <xf numFmtId="0" fontId="7" fillId="0" borderId="0" xfId="1"/>
    <xf numFmtId="0" fontId="7" fillId="0" borderId="0" xfId="1" applyAlignment="1">
      <alignment vertical="top"/>
    </xf>
    <xf numFmtId="0" fontId="9" fillId="0" borderId="0" xfId="1" applyFont="1"/>
    <xf numFmtId="0" fontId="7" fillId="3" borderId="0" xfId="1" applyFill="1" applyAlignment="1">
      <alignment vertical="top"/>
    </xf>
    <xf numFmtId="0" fontId="9" fillId="0" borderId="0" xfId="1" applyFont="1" applyAlignment="1">
      <alignment vertical="top"/>
    </xf>
    <xf numFmtId="0" fontId="0" fillId="5" borderId="0" xfId="0" applyFill="1" applyAlignment="1">
      <alignment vertical="top"/>
    </xf>
    <xf numFmtId="0" fontId="0" fillId="5" borderId="1" xfId="0" applyFill="1" applyBorder="1" applyAlignment="1">
      <alignment vertical="top"/>
    </xf>
    <xf numFmtId="43" fontId="0" fillId="0" borderId="0" xfId="2" applyFont="1" applyAlignment="1">
      <alignment horizontal="right" vertical="top"/>
    </xf>
    <xf numFmtId="0" fontId="0" fillId="3" borderId="1" xfId="0" applyFill="1" applyBorder="1" applyAlignment="1">
      <alignment vertical="top"/>
    </xf>
    <xf numFmtId="0" fontId="11" fillId="0" borderId="0" xfId="0" applyFont="1" applyAlignment="1">
      <alignment vertical="top" wrapText="1"/>
    </xf>
    <xf numFmtId="0" fontId="11" fillId="0" borderId="0" xfId="0" applyFont="1" applyAlignment="1">
      <alignment vertical="top"/>
    </xf>
    <xf numFmtId="0" fontId="11" fillId="0" borderId="0" xfId="0" pivotButton="1" applyFont="1" applyAlignment="1">
      <alignment vertical="top" wrapText="1"/>
    </xf>
    <xf numFmtId="43" fontId="11" fillId="0" borderId="0" xfId="0" applyNumberFormat="1" applyFont="1" applyAlignment="1">
      <alignment vertical="top" wrapText="1"/>
    </xf>
    <xf numFmtId="4" fontId="11" fillId="0" borderId="0" xfId="0" applyNumberFormat="1" applyFont="1" applyAlignment="1">
      <alignment vertical="top" wrapText="1"/>
    </xf>
    <xf numFmtId="0" fontId="6" fillId="0" borderId="0" xfId="3"/>
    <xf numFmtId="0" fontId="6" fillId="3" borderId="0" xfId="3" applyFill="1"/>
    <xf numFmtId="0" fontId="12" fillId="0" borderId="0" xfId="3" applyFont="1"/>
    <xf numFmtId="43" fontId="9" fillId="0" borderId="0" xfId="2" applyFont="1" applyAlignment="1">
      <alignment horizontal="right" vertical="top"/>
    </xf>
    <xf numFmtId="0" fontId="9" fillId="0" borderId="0" xfId="0" applyFont="1" applyAlignment="1">
      <alignment vertical="top"/>
    </xf>
    <xf numFmtId="4" fontId="15" fillId="0" borderId="0" xfId="0" applyNumberFormat="1" applyFont="1" applyAlignment="1">
      <alignment horizontal="right" vertical="top"/>
    </xf>
    <xf numFmtId="0" fontId="5" fillId="0" borderId="0" xfId="3" applyFont="1"/>
    <xf numFmtId="0" fontId="13" fillId="0" borderId="0" xfId="4" applyFont="1" applyAlignment="1">
      <alignment vertical="top" wrapText="1"/>
    </xf>
    <xf numFmtId="0" fontId="5" fillId="0" borderId="0" xfId="4" applyAlignment="1">
      <alignment vertical="top" wrapText="1"/>
    </xf>
    <xf numFmtId="0" fontId="5" fillId="0" borderId="0" xfId="4"/>
    <xf numFmtId="0" fontId="14" fillId="0" borderId="4" xfId="4" applyFont="1" applyBorder="1" applyAlignment="1">
      <alignment vertical="top" wrapText="1"/>
    </xf>
    <xf numFmtId="0" fontId="14" fillId="0" borderId="1" xfId="4" applyFont="1" applyBorder="1" applyAlignment="1">
      <alignment vertical="top" wrapText="1"/>
    </xf>
    <xf numFmtId="0" fontId="5" fillId="0" borderId="1" xfId="4" applyBorder="1" applyAlignment="1">
      <alignment vertical="top" wrapText="1"/>
    </xf>
    <xf numFmtId="0" fontId="9" fillId="5" borderId="1" xfId="0" applyFont="1" applyFill="1" applyBorder="1" applyAlignment="1">
      <alignment vertical="top"/>
    </xf>
    <xf numFmtId="0" fontId="0" fillId="5" borderId="2" xfId="0" applyFill="1" applyBorder="1" applyAlignment="1">
      <alignment vertical="top"/>
    </xf>
    <xf numFmtId="0" fontId="0" fillId="0" borderId="0" xfId="0" pivotButton="1" applyAlignment="1">
      <alignment vertical="top"/>
    </xf>
    <xf numFmtId="43" fontId="0" fillId="0" borderId="0" xfId="0" applyNumberFormat="1" applyAlignment="1">
      <alignment vertical="top"/>
    </xf>
    <xf numFmtId="0" fontId="0" fillId="0" borderId="0" xfId="0" applyAlignment="1">
      <alignment horizontal="left" vertical="top"/>
    </xf>
    <xf numFmtId="43" fontId="8" fillId="9" borderId="7" xfId="2" applyFont="1" applyFill="1" applyBorder="1" applyAlignment="1">
      <alignment horizontal="center" vertical="center" wrapText="1"/>
    </xf>
    <xf numFmtId="43" fontId="8" fillId="8" borderId="7" xfId="2" applyFont="1" applyFill="1" applyBorder="1" applyAlignment="1">
      <alignment horizontal="center" vertical="center"/>
    </xf>
    <xf numFmtId="43" fontId="8" fillId="9" borderId="7" xfId="2" applyFont="1" applyFill="1" applyBorder="1" applyAlignment="1">
      <alignment horizontal="center" vertical="center"/>
    </xf>
    <xf numFmtId="0" fontId="8" fillId="9" borderId="7" xfId="0" applyFont="1" applyFill="1" applyBorder="1" applyAlignment="1">
      <alignment horizontal="center" vertical="center"/>
    </xf>
    <xf numFmtId="43" fontId="8" fillId="10" borderId="7" xfId="2" applyFont="1" applyFill="1" applyBorder="1" applyAlignment="1">
      <alignment horizontal="center" vertical="center"/>
    </xf>
    <xf numFmtId="165" fontId="8" fillId="8" borderId="5" xfId="2" applyNumberFormat="1" applyFont="1" applyFill="1" applyBorder="1" applyAlignment="1">
      <alignment horizontal="center" vertical="center"/>
    </xf>
    <xf numFmtId="165" fontId="8" fillId="8" borderId="6" xfId="2" applyNumberFormat="1" applyFont="1" applyFill="1" applyBorder="1" applyAlignment="1">
      <alignment horizontal="center" vertical="center"/>
    </xf>
    <xf numFmtId="0" fontId="8" fillId="9" borderId="7" xfId="0" applyFont="1" applyFill="1" applyBorder="1" applyAlignment="1">
      <alignment horizontal="center" vertical="center" wrapText="1"/>
    </xf>
    <xf numFmtId="0" fontId="8" fillId="11" borderId="0" xfId="0" applyFont="1" applyFill="1" applyAlignment="1">
      <alignment vertical="top"/>
    </xf>
    <xf numFmtId="43" fontId="17" fillId="7" borderId="0" xfId="2" applyFont="1" applyFill="1" applyBorder="1" applyAlignment="1">
      <alignment vertical="top"/>
    </xf>
    <xf numFmtId="43" fontId="14" fillId="12" borderId="0" xfId="2" applyFont="1" applyFill="1"/>
    <xf numFmtId="166" fontId="17" fillId="7" borderId="0" xfId="5" applyNumberFormat="1" applyFont="1" applyFill="1" applyBorder="1" applyAlignment="1">
      <alignment vertical="top"/>
    </xf>
    <xf numFmtId="167" fontId="8" fillId="9" borderId="0" xfId="0" applyNumberFormat="1" applyFont="1" applyFill="1" applyAlignment="1">
      <alignment horizontal="center" vertical="center"/>
    </xf>
    <xf numFmtId="0" fontId="18" fillId="0" borderId="0" xfId="0" pivotButton="1" applyFont="1" applyAlignment="1">
      <alignment vertical="top"/>
    </xf>
    <xf numFmtId="0" fontId="18" fillId="0" borderId="0" xfId="0" applyFont="1" applyAlignment="1">
      <alignment vertical="top"/>
    </xf>
    <xf numFmtId="43" fontId="18" fillId="0" borderId="0" xfId="0" applyNumberFormat="1" applyFont="1" applyAlignment="1">
      <alignment vertical="top"/>
    </xf>
    <xf numFmtId="4" fontId="18" fillId="0" borderId="0" xfId="0" applyNumberFormat="1" applyFont="1" applyAlignment="1">
      <alignment vertical="top"/>
    </xf>
    <xf numFmtId="0" fontId="14" fillId="14" borderId="1" xfId="0" applyFont="1" applyFill="1" applyBorder="1" applyAlignment="1">
      <alignment horizontal="center" vertical="center"/>
    </xf>
    <xf numFmtId="0" fontId="14" fillId="14" borderId="1" xfId="0" applyFont="1" applyFill="1" applyBorder="1" applyAlignment="1">
      <alignment vertical="center" wrapText="1"/>
    </xf>
    <xf numFmtId="0" fontId="14" fillId="15" borderId="1" xfId="0" applyFont="1" applyFill="1" applyBorder="1" applyAlignment="1">
      <alignment horizontal="left" vertical="center" wrapText="1"/>
    </xf>
    <xf numFmtId="0" fontId="14" fillId="0" borderId="1" xfId="0" applyFont="1" applyBorder="1" applyAlignment="1">
      <alignment horizontal="center" vertical="center"/>
    </xf>
    <xf numFmtId="43" fontId="14" fillId="0" borderId="1" xfId="2" applyFont="1" applyBorder="1" applyAlignment="1">
      <alignment vertical="center"/>
    </xf>
    <xf numFmtId="43" fontId="14" fillId="0" borderId="1" xfId="0" applyNumberFormat="1" applyFont="1" applyBorder="1" applyAlignment="1">
      <alignment vertical="center"/>
    </xf>
    <xf numFmtId="43" fontId="0" fillId="0" borderId="1" xfId="2" applyFont="1" applyBorder="1" applyAlignment="1">
      <alignment vertical="center"/>
    </xf>
    <xf numFmtId="43" fontId="0" fillId="0" borderId="1" xfId="0" applyNumberFormat="1" applyBorder="1" applyAlignment="1">
      <alignment vertical="center"/>
    </xf>
    <xf numFmtId="0" fontId="14" fillId="0" borderId="7" xfId="0" applyFont="1" applyBorder="1" applyAlignment="1">
      <alignment vertical="center"/>
    </xf>
    <xf numFmtId="43" fontId="14" fillId="0" borderId="1" xfId="2" quotePrefix="1" applyFont="1" applyBorder="1" applyAlignment="1">
      <alignment vertical="center"/>
    </xf>
    <xf numFmtId="4" fontId="0" fillId="0" borderId="0" xfId="0" applyNumberFormat="1" applyAlignment="1">
      <alignment vertical="top"/>
    </xf>
    <xf numFmtId="0" fontId="19" fillId="6" borderId="9" xfId="0" applyFont="1" applyFill="1" applyBorder="1"/>
    <xf numFmtId="0" fontId="19" fillId="6" borderId="9" xfId="0" applyFont="1" applyFill="1" applyBorder="1" applyAlignment="1">
      <alignment vertical="top"/>
    </xf>
    <xf numFmtId="43" fontId="17" fillId="12" borderId="0" xfId="2" applyFont="1" applyFill="1" applyBorder="1" applyAlignment="1">
      <alignment vertical="top"/>
    </xf>
    <xf numFmtId="0" fontId="8" fillId="9" borderId="0" xfId="0" applyFont="1" applyFill="1" applyAlignment="1">
      <alignment horizontal="center" vertical="center"/>
    </xf>
    <xf numFmtId="43" fontId="8" fillId="13" borderId="8" xfId="2" applyFont="1" applyFill="1" applyBorder="1" applyAlignment="1">
      <alignment horizontal="center" vertical="center"/>
    </xf>
    <xf numFmtId="166" fontId="8" fillId="13" borderId="8" xfId="5" applyNumberFormat="1" applyFont="1" applyFill="1" applyBorder="1" applyAlignment="1">
      <alignment horizontal="center" vertical="center"/>
    </xf>
    <xf numFmtId="0" fontId="8" fillId="11" borderId="0" xfId="0" applyFont="1" applyFill="1" applyAlignment="1">
      <alignment horizontal="center" vertical="center"/>
    </xf>
    <xf numFmtId="43" fontId="14" fillId="12" borderId="0" xfId="2" applyFont="1" applyFill="1" applyAlignment="1">
      <alignment horizontal="center" vertical="center"/>
    </xf>
    <xf numFmtId="43" fontId="17" fillId="7" borderId="0" xfId="2" applyFont="1" applyFill="1" applyBorder="1" applyAlignment="1">
      <alignment horizontal="center" vertical="center"/>
    </xf>
    <xf numFmtId="166" fontId="17" fillId="7" borderId="0" xfId="5" applyNumberFormat="1" applyFont="1" applyFill="1" applyBorder="1" applyAlignment="1">
      <alignment horizontal="center" vertical="center"/>
    </xf>
    <xf numFmtId="166" fontId="14" fillId="12" borderId="0" xfId="2" applyNumberFormat="1" applyFont="1" applyFill="1" applyAlignment="1">
      <alignment horizontal="center" vertical="center"/>
    </xf>
    <xf numFmtId="166" fontId="8" fillId="9" borderId="0" xfId="5" applyNumberFormat="1" applyFont="1" applyFill="1" applyBorder="1" applyAlignment="1">
      <alignment horizontal="center" vertical="center"/>
    </xf>
    <xf numFmtId="0" fontId="8" fillId="9" borderId="7" xfId="0" applyFont="1" applyFill="1" applyBorder="1" applyAlignment="1">
      <alignment vertical="top" wrapText="1"/>
    </xf>
    <xf numFmtId="43" fontId="8" fillId="9" borderId="7" xfId="2" applyFont="1" applyFill="1" applyBorder="1" applyAlignment="1">
      <alignment horizontal="center" vertical="top" wrapText="1"/>
    </xf>
    <xf numFmtId="43" fontId="8" fillId="8" borderId="7" xfId="2" applyFont="1" applyFill="1" applyBorder="1" applyAlignment="1">
      <alignment horizontal="center" vertical="top"/>
    </xf>
    <xf numFmtId="43" fontId="8" fillId="9" borderId="7" xfId="2" applyFont="1" applyFill="1" applyBorder="1" applyAlignment="1">
      <alignment horizontal="center" vertical="top"/>
    </xf>
    <xf numFmtId="0" fontId="8" fillId="9" borderId="7" xfId="0" applyFont="1" applyFill="1" applyBorder="1" applyAlignment="1">
      <alignment horizontal="center" vertical="top"/>
    </xf>
    <xf numFmtId="43" fontId="8" fillId="10" borderId="7" xfId="2" applyFont="1" applyFill="1" applyBorder="1" applyAlignment="1">
      <alignment horizontal="center" vertical="top"/>
    </xf>
    <xf numFmtId="165" fontId="8" fillId="8" borderId="5" xfId="2" applyNumberFormat="1" applyFont="1" applyFill="1" applyBorder="1" applyAlignment="1">
      <alignment horizontal="center" vertical="top"/>
    </xf>
    <xf numFmtId="165" fontId="8" fillId="8" borderId="6" xfId="2" applyNumberFormat="1" applyFont="1" applyFill="1" applyBorder="1" applyAlignment="1">
      <alignment horizontal="center" vertical="top"/>
    </xf>
    <xf numFmtId="0" fontId="8" fillId="9" borderId="7" xfId="0" applyFont="1" applyFill="1" applyBorder="1" applyAlignment="1">
      <alignment horizontal="center" vertical="top" wrapText="1"/>
    </xf>
    <xf numFmtId="43" fontId="14" fillId="12" borderId="0" xfId="2" applyFont="1" applyFill="1" applyAlignment="1">
      <alignment vertical="top"/>
    </xf>
    <xf numFmtId="166" fontId="14" fillId="12" borderId="0" xfId="2" applyNumberFormat="1" applyFont="1" applyFill="1" applyAlignment="1">
      <alignment vertical="top"/>
    </xf>
    <xf numFmtId="0" fontId="4" fillId="0" borderId="0" xfId="3" applyFont="1"/>
    <xf numFmtId="0" fontId="3" fillId="0" borderId="0" xfId="3" applyFont="1"/>
    <xf numFmtId="0" fontId="2" fillId="0" borderId="1" xfId="4" applyFont="1" applyBorder="1" applyAlignment="1">
      <alignment vertical="top" wrapText="1"/>
    </xf>
    <xf numFmtId="0" fontId="1" fillId="0" borderId="1" xfId="4" applyFont="1" applyBorder="1" applyAlignment="1">
      <alignment vertical="top" wrapText="1"/>
    </xf>
    <xf numFmtId="0" fontId="1" fillId="0" borderId="0" xfId="4" applyFont="1"/>
    <xf numFmtId="0" fontId="0" fillId="16" borderId="1" xfId="0" applyFill="1" applyBorder="1" applyAlignment="1">
      <alignment vertical="top"/>
    </xf>
    <xf numFmtId="0" fontId="0" fillId="16" borderId="1" xfId="0" applyFill="1" applyBorder="1" applyAlignment="1">
      <alignment vertical="top" wrapText="1"/>
    </xf>
    <xf numFmtId="3" fontId="0" fillId="0" borderId="0" xfId="0" applyNumberFormat="1" applyAlignment="1">
      <alignment horizontal="right" vertical="top"/>
    </xf>
    <xf numFmtId="0" fontId="0" fillId="2" borderId="8" xfId="0" applyFill="1" applyBorder="1" applyAlignment="1">
      <alignment vertical="top"/>
    </xf>
    <xf numFmtId="0" fontId="0" fillId="2" borderId="8" xfId="0" applyFill="1" applyBorder="1" applyAlignment="1">
      <alignment vertical="top" wrapText="1"/>
    </xf>
    <xf numFmtId="4" fontId="15" fillId="0" borderId="0" xfId="0" applyNumberFormat="1" applyFont="1" applyAlignment="1">
      <alignment vertical="top"/>
    </xf>
    <xf numFmtId="4" fontId="20" fillId="0" borderId="0" xfId="0" applyNumberFormat="1" applyFont="1" applyAlignment="1">
      <alignment horizontal="right" vertical="top"/>
    </xf>
    <xf numFmtId="43" fontId="8" fillId="10" borderId="5" xfId="2" applyFont="1" applyFill="1" applyBorder="1" applyAlignment="1">
      <alignment horizontal="center" vertical="center" wrapText="1"/>
    </xf>
    <xf numFmtId="43" fontId="8" fillId="10" borderId="6" xfId="2" applyFont="1" applyFill="1" applyBorder="1" applyAlignment="1">
      <alignment horizontal="center" vertical="center" wrapText="1"/>
    </xf>
    <xf numFmtId="43" fontId="8" fillId="8" borderId="5" xfId="2" applyFont="1" applyFill="1" applyBorder="1" applyAlignment="1">
      <alignment horizontal="center" vertical="center" wrapText="1"/>
    </xf>
    <xf numFmtId="43" fontId="8" fillId="8" borderId="6" xfId="2" applyFont="1" applyFill="1" applyBorder="1" applyAlignment="1">
      <alignment horizontal="center" vertical="center" wrapText="1"/>
    </xf>
    <xf numFmtId="0" fontId="16" fillId="7" borderId="10" xfId="0" applyFont="1" applyFill="1" applyBorder="1" applyAlignment="1">
      <alignment horizontal="center" vertical="center"/>
    </xf>
    <xf numFmtId="0" fontId="16" fillId="7" borderId="11" xfId="0" applyFont="1" applyFill="1" applyBorder="1" applyAlignment="1">
      <alignment horizontal="center" vertical="center"/>
    </xf>
    <xf numFmtId="0" fontId="16" fillId="7" borderId="10" xfId="0" applyFont="1" applyFill="1" applyBorder="1" applyAlignment="1">
      <alignment horizontal="center" vertical="top"/>
    </xf>
    <xf numFmtId="0" fontId="16" fillId="7" borderId="11" xfId="0" applyFont="1" applyFill="1" applyBorder="1" applyAlignment="1">
      <alignment horizontal="center" vertical="top"/>
    </xf>
    <xf numFmtId="43" fontId="8" fillId="8" borderId="5" xfId="2" applyFont="1" applyFill="1" applyBorder="1" applyAlignment="1">
      <alignment horizontal="center" vertical="top" wrapText="1"/>
    </xf>
    <xf numFmtId="43" fontId="8" fillId="8" borderId="6" xfId="2" applyFont="1" applyFill="1" applyBorder="1" applyAlignment="1">
      <alignment horizontal="center" vertical="top" wrapText="1"/>
    </xf>
    <xf numFmtId="43" fontId="8" fillId="9" borderId="5" xfId="2" applyFont="1" applyFill="1" applyBorder="1" applyAlignment="1">
      <alignment horizontal="center" vertical="top" wrapText="1"/>
    </xf>
    <xf numFmtId="43" fontId="8" fillId="9" borderId="6" xfId="2" applyFont="1" applyFill="1" applyBorder="1" applyAlignment="1">
      <alignment horizontal="center" vertical="top" wrapText="1"/>
    </xf>
    <xf numFmtId="43" fontId="8" fillId="10" borderId="5" xfId="2" applyFont="1" applyFill="1" applyBorder="1" applyAlignment="1">
      <alignment horizontal="center" vertical="top" wrapText="1"/>
    </xf>
    <xf numFmtId="43" fontId="8" fillId="10" borderId="6" xfId="2" applyFont="1" applyFill="1" applyBorder="1" applyAlignment="1">
      <alignment horizontal="center" vertical="top" wrapText="1"/>
    </xf>
    <xf numFmtId="43" fontId="8" fillId="9" borderId="5" xfId="2" applyFont="1" applyFill="1" applyBorder="1" applyAlignment="1">
      <alignment horizontal="center" vertical="center" wrapText="1"/>
    </xf>
    <xf numFmtId="43" fontId="8" fillId="9" borderId="6" xfId="2" applyFont="1" applyFill="1" applyBorder="1" applyAlignment="1">
      <alignment horizontal="center" vertical="center" wrapText="1"/>
    </xf>
    <xf numFmtId="0" fontId="8" fillId="9" borderId="5" xfId="0" applyFont="1" applyFill="1" applyBorder="1" applyAlignment="1">
      <alignment horizontal="center" vertical="top" wrapText="1"/>
    </xf>
    <xf numFmtId="0" fontId="8" fillId="9" borderId="6" xfId="0" applyFont="1" applyFill="1" applyBorder="1" applyAlignment="1">
      <alignment horizontal="center" vertical="top" wrapText="1"/>
    </xf>
    <xf numFmtId="165" fontId="8" fillId="8" borderId="5" xfId="2" applyNumberFormat="1" applyFont="1" applyFill="1" applyBorder="1" applyAlignment="1">
      <alignment horizontal="center" vertical="center" wrapText="1"/>
    </xf>
    <xf numFmtId="165" fontId="8" fillId="8" borderId="6" xfId="2" applyNumberFormat="1" applyFont="1" applyFill="1" applyBorder="1" applyAlignment="1">
      <alignment horizontal="center" vertical="center" wrapText="1"/>
    </xf>
    <xf numFmtId="0" fontId="8" fillId="9" borderId="5" xfId="0" applyFont="1" applyFill="1" applyBorder="1" applyAlignment="1">
      <alignment horizontal="center" vertical="center" wrapText="1"/>
    </xf>
    <xf numFmtId="0" fontId="8" fillId="9" borderId="6" xfId="0" applyFont="1" applyFill="1" applyBorder="1" applyAlignment="1">
      <alignment horizontal="center" vertical="center" wrapText="1"/>
    </xf>
    <xf numFmtId="165" fontId="8" fillId="8" borderId="5" xfId="2" applyNumberFormat="1" applyFont="1" applyFill="1" applyBorder="1" applyAlignment="1">
      <alignment horizontal="center" vertical="top" wrapText="1"/>
    </xf>
    <xf numFmtId="165" fontId="8" fillId="8" borderId="6" xfId="2" applyNumberFormat="1" applyFont="1" applyFill="1" applyBorder="1" applyAlignment="1">
      <alignment horizontal="center" vertical="top" wrapText="1"/>
    </xf>
    <xf numFmtId="0" fontId="11" fillId="0" borderId="0" xfId="0" applyNumberFormat="1" applyFont="1" applyAlignment="1">
      <alignment vertical="top" wrapText="1"/>
    </xf>
  </cellXfs>
  <cellStyles count="6">
    <cellStyle name="Comma" xfId="2" builtinId="3"/>
    <cellStyle name="Normal" xfId="0" builtinId="0"/>
    <cellStyle name="Normal 2" xfId="1" xr:uid="{1BA1332F-417B-445F-8632-F2FAFE0546B9}"/>
    <cellStyle name="Normal 3" xfId="3" xr:uid="{2034A75C-06AB-4877-ADE4-A8362674382E}"/>
    <cellStyle name="Normal 4" xfId="4" xr:uid="{F3E717B7-0E7D-4878-A093-084050F8FF4F}"/>
    <cellStyle name="Percent" xfId="5" builtinId="5"/>
  </cellStyles>
  <dxfs count="157">
    <dxf>
      <numFmt numFmtId="4" formatCode="#,##0.00"/>
      <alignment horizontal="right" vertical="top" textRotation="0" wrapText="0" indent="0" justifyLastLine="0" shrinkToFit="0" readingOrder="0"/>
    </dxf>
    <dxf>
      <numFmt numFmtId="19" formatCode="m/d/yyyy"/>
      <alignment horizontal="right" vertical="top" textRotation="0" wrapText="0" indent="0" justifyLastLine="0" shrinkToFit="0" readingOrder="0"/>
    </dxf>
    <dxf>
      <numFmt numFmtId="19" formatCode="m/d/yyyy"/>
      <alignment horizontal="right" vertical="top" textRotation="0" wrapText="0" indent="0" justifyLastLine="0" shrinkToFit="0" readingOrder="0"/>
    </dxf>
    <dxf>
      <numFmt numFmtId="3" formatCode="#,##0"/>
      <alignment horizontal="right" vertical="top" textRotation="0" wrapText="0" indent="0" justifyLastLine="0" shrinkToFit="0" readingOrder="0"/>
    </dxf>
    <dxf>
      <numFmt numFmtId="3" formatCode="#,##0"/>
      <alignment horizontal="right" vertical="top" textRotation="0" wrapText="0" indent="0" justifyLastLine="0" shrinkToFit="0" readingOrder="0"/>
    </dxf>
    <dxf>
      <numFmt numFmtId="164" formatCode="[$-F400]h:mm:ss\ AM/PM"/>
      <alignment horizontal="right" vertical="top" textRotation="0" wrapText="0" indent="0" justifyLastLine="0" shrinkToFit="0" readingOrder="0"/>
    </dxf>
    <dxf>
      <numFmt numFmtId="19" formatCode="m/d/yyyy"/>
      <alignment horizontal="right" vertical="top" textRotation="0" wrapText="0" indent="0" justifyLastLine="0" shrinkToFit="0" readingOrder="0"/>
    </dxf>
    <dxf>
      <border outline="0">
        <top style="thin">
          <color indexed="64"/>
        </top>
      </border>
    </dxf>
    <dxf>
      <border outline="0">
        <bottom style="thin">
          <color indexed="64"/>
        </bottom>
      </border>
    </dxf>
    <dxf>
      <fill>
        <patternFill patternType="solid">
          <fgColor indexed="64"/>
          <bgColor indexed="22"/>
        </patternFill>
      </fill>
      <alignment horizontal="general" vertical="top" textRotation="0" wrapText="0" indent="0" justifyLastLine="0" shrinkToFit="0" readingOrder="0"/>
      <border diagonalUp="0" diagonalDown="0" outline="0">
        <left style="thin">
          <color indexed="64"/>
        </left>
        <right style="thin">
          <color indexed="64"/>
        </right>
        <top/>
        <bottom/>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font>
        <strike val="0"/>
        <outline val="0"/>
        <shadow val="0"/>
        <u val="none"/>
        <vertAlign val="baseline"/>
        <sz val="11"/>
        <color theme="0"/>
        <name val="Calibri"/>
        <family val="2"/>
        <scheme val="minor"/>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Calibri"/>
        <family val="2"/>
      </font>
    </dxf>
    <dxf>
      <font>
        <name val="Calibri"/>
        <family val="2"/>
      </font>
    </dxf>
    <dxf>
      <font>
        <name val="Calibri"/>
        <family val="2"/>
      </font>
    </dxf>
    <dxf>
      <font>
        <name val="Calibri"/>
        <family val="2"/>
      </font>
    </dxf>
    <dxf>
      <font>
        <name val="Calibri"/>
        <family val="2"/>
      </font>
    </dxf>
    <dxf>
      <font>
        <name val="Calibri"/>
        <family val="2"/>
      </font>
    </dxf>
    <dxf>
      <font>
        <name val="Calibri"/>
        <family val="2"/>
      </font>
    </dxf>
    <dxf>
      <font>
        <name val="Calibri"/>
        <family val="2"/>
      </font>
    </dxf>
    <dxf>
      <font>
        <name val="Calibri"/>
        <family val="2"/>
      </font>
    </dxf>
    <dxf>
      <font>
        <name val="Calibri"/>
        <family val="2"/>
      </font>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35" formatCode="_(* #,##0.00_);_(* \(#,##0.00\);_(* &quot;-&quot;??_);_(@_)"/>
    </dxf>
    <dxf>
      <numFmt numFmtId="4" formatCode="#,##0.00"/>
      <alignment horizontal="right" vertical="top" textRotation="0" wrapText="0" indent="0" justifyLastLine="0" shrinkToFit="0" readingOrder="0"/>
    </dxf>
    <dxf>
      <numFmt numFmtId="19" formatCode="m/d/yyyy"/>
      <alignment horizontal="right" vertical="top" textRotation="0" wrapText="0" indent="0" justifyLastLine="0" shrinkToFit="0" readingOrder="0"/>
    </dxf>
    <dxf>
      <numFmt numFmtId="19" formatCode="m/d/yyyy"/>
      <alignment horizontal="right" vertical="top" textRotation="0" wrapText="0" indent="0" justifyLastLine="0" shrinkToFit="0" readingOrder="0"/>
    </dxf>
    <dxf>
      <font>
        <b val="0"/>
        <i val="0"/>
        <strike val="0"/>
        <condense val="0"/>
        <extend val="0"/>
        <outline val="0"/>
        <shadow val="0"/>
        <u val="none"/>
        <vertAlign val="baseline"/>
        <sz val="10"/>
        <color auto="1"/>
        <name val="Arial"/>
        <scheme val="none"/>
      </font>
      <numFmt numFmtId="35" formatCode="_(* #,##0.00_);_(* \(#,##0.00\);_(* &quot;-&quot;??_);_(@_)"/>
      <alignment horizontal="righ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right" vertical="top" textRotation="0" wrapText="0" indent="0" justifyLastLine="0" shrinkToFit="0" readingOrder="0"/>
    </dxf>
    <dxf>
      <alignment horizontal="right" vertical="top" textRotation="0" wrapText="0" indent="0" justifyLastLine="0" shrinkToFit="0" readingOrder="0"/>
    </dxf>
    <dxf>
      <numFmt numFmtId="35" formatCode="_(* #,##0.00_);_(* \(#,##0.00\);_(* &quot;-&quot;??_);_(@_)"/>
      <alignment horizontal="right" vertical="top" textRotation="0" wrapText="0" indent="0" justifyLastLine="0" shrinkToFit="0" readingOrder="0"/>
    </dxf>
    <dxf>
      <numFmt numFmtId="164" formatCode="[$-F400]h:mm:ss\ AM/PM"/>
      <alignment horizontal="right" vertical="top" textRotation="0" wrapText="0" indent="0" justifyLastLine="0" shrinkToFit="0" readingOrder="0"/>
    </dxf>
    <dxf>
      <numFmt numFmtId="19" formatCode="m/d/yyyy"/>
      <alignment horizontal="right" vertical="top" textRotation="0" wrapText="0" indent="0" justifyLastLine="0" shrinkToFit="0" readingOrder="0"/>
    </dxf>
    <dxf>
      <numFmt numFmtId="0" formatCode="General"/>
    </dxf>
    <dxf>
      <fill>
        <patternFill patternType="solid">
          <fgColor indexed="64"/>
          <bgColor indexed="22"/>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sz val="11"/>
        <name val="Calibri"/>
        <family val="2"/>
        <scheme val="minor"/>
      </font>
    </dxf>
    <dxf>
      <font>
        <sz val="11"/>
        <name val="Calibri"/>
        <family val="2"/>
        <scheme val="minor"/>
      </font>
    </dxf>
    <dxf>
      <font>
        <sz val="11"/>
        <name val="Calibri"/>
        <family val="2"/>
        <scheme val="minor"/>
      </font>
    </dxf>
  </dxfs>
  <tableStyles count="3" defaultTableStyle="TableStyleMedium2" defaultPivotStyle="PivotStyleLight16">
    <tableStyle name="Adjustment Report" pivot="0" table="0" count="9" xr9:uid="{EA92D50A-0308-47E7-834C-63EFE17196ED}">
      <tableStyleElement type="headerRow" dxfId="156"/>
    </tableStyle>
    <tableStyle name="Slicer Style 1" pivot="0" table="0" count="1" xr9:uid="{5C97F6B2-34CC-47B9-AC07-418631C80BAD}">
      <tableStyleElement type="wholeTable" dxfId="155"/>
    </tableStyle>
    <tableStyle name="Slicer Style 2" pivot="0" table="0" count="6" xr9:uid="{4ED82BA3-632C-40A2-8626-F8AB393EE597}">
      <tableStyleElement type="headerRow" dxfId="154"/>
    </tableStyle>
  </tableStyles>
  <extLst>
    <ext xmlns:x14="http://schemas.microsoft.com/office/spreadsheetml/2009/9/main" uri="{46F421CA-312F-682f-3DD2-61675219B42D}">
      <x14:dxfs count="13">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dxf>
          <font>
            <sz val="11"/>
            <name val="Calibri"/>
            <family val="2"/>
            <scheme val="minor"/>
          </font>
        </dxf>
      </x14:dxfs>
    </ext>
    <ext xmlns:x14="http://schemas.microsoft.com/office/spreadsheetml/2009/9/main" uri="{EB79DEF2-80B8-43e5-95BD-54CBDDF9020C}">
      <x14:slicerStyles defaultSlicerStyle="Adjustment Report">
        <x14:slicerStyle name="Adjustment Report">
          <x14:slicerStyleElements>
            <x14:slicerStyleElement type="unselectedItemWithData" dxfId="12"/>
            <x14:slicerStyleElement type="unselectedItemWithNoData" dxfId="11"/>
            <x14:slicerStyleElement type="selectedItemWithData" dxfId="10"/>
            <x14:slicerStyleElement type="selectedItemWithNoData" dxfId="9"/>
            <x14:slicerStyleElement type="hoveredUnselectedItemWithData" dxfId="8"/>
            <x14:slicerStyleElement type="hoveredSelectedItemWithData" dxfId="7"/>
            <x14:slicerStyleElement type="hoveredUnselectedItemWithNoData" dxfId="6"/>
            <x14:slicerStyleElement type="hoveredSelectedItemWithNoData" dxfId="5"/>
          </x14:slicerStyleElements>
        </x14:slicerStyle>
        <x14:slicerStyle name="Slicer Style 1"/>
        <x14:slicerStyle name="Slicer Style 2">
          <x14:slicerStyleElements>
            <x14:slicerStyleElement type="unselectedItemWithData" dxfId="4"/>
            <x14:slicerStyleElement type="unselectedItemWithNo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haredStrings" Target="sharedStrings.xml"/><Relationship Id="rId10" Type="http://schemas.openxmlformats.org/officeDocument/2006/relationships/externalLink" Target="externalLinks/externalLink1.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'Volume Analysis'!$F$93</c:f>
              <c:strCache>
                <c:ptCount val="1"/>
                <c:pt idx="0">
                  <c:v>Loss Value</c:v>
                </c:pt>
              </c:strCache>
            </c:strRef>
          </c:tx>
          <c:spPr>
            <a:solidFill>
              <a:schemeClr val="accent1"/>
            </a:solidFill>
            <a:ln>
              <a:noFill/>
            </a:ln>
            <a:effectLst/>
          </c:spPr>
          <c:invertIfNegative val="0"/>
          <c:dLbls>
            <c:dLbl>
              <c:idx val="2"/>
              <c:layout>
                <c:manualLayout>
                  <c:x val="-3.5304064854137736E-2"/>
                  <c:y val="5.58704158292387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790-4591-A938-95C4563D593C}"/>
                </c:ext>
              </c:extLst>
            </c:dLbl>
            <c:dLbl>
              <c:idx val="4"/>
              <c:layout>
                <c:manualLayout>
                  <c:x val="0"/>
                  <c:y val="5.05494238455018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90-4591-A938-95C4563D593C}"/>
                </c:ext>
              </c:extLst>
            </c:dLbl>
            <c:numFmt formatCode="#,##0.00,,&quot;M&quot;;\(#,##0.00,,&quot;M&quot;\)" sourceLinked="0"/>
            <c:spPr>
              <a:solidFill>
                <a:schemeClr val="tx2">
                  <a:lumMod val="20000"/>
                  <a:lumOff val="80000"/>
                  <a:alpha val="36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'Volume Analysis'!$E$94:$E$100</c:f>
              <c:strCache>
                <c:ptCount val="7"/>
                <c:pt idx="0">
                  <c:v>Imported Shipments Discharge Losses</c:v>
                </c:pt>
                <c:pt idx="1">
                  <c:v>Imported Shipments Shortages &amp; Rejections</c:v>
                </c:pt>
                <c:pt idx="2">
                  <c:v>Imported Vessels Overlanding</c:v>
                </c:pt>
                <c:pt idx="3">
                  <c:v>Non Conformity</c:v>
                </c:pt>
                <c:pt idx="4">
                  <c:v>Repacking/Reprocessing</c:v>
                </c:pt>
                <c:pt idx="5">
                  <c:v>Stock Variance - Transport Excess</c:v>
                </c:pt>
                <c:pt idx="6">
                  <c:v>Transport Losses</c:v>
                </c:pt>
              </c:strCache>
            </c:strRef>
          </c:cat>
          <c:val>
            <c:numRef>
              <c:f>'Volume Analysis'!$F$94:$F$100</c:f>
              <c:numCache>
                <c:formatCode>#,##0.00</c:formatCode>
                <c:ptCount val="7"/>
                <c:pt idx="0">
                  <c:v>-5973426</c:v>
                </c:pt>
                <c:pt idx="1">
                  <c:v>-20610692</c:v>
                </c:pt>
                <c:pt idx="2">
                  <c:v>53073584.240000002</c:v>
                </c:pt>
                <c:pt idx="3">
                  <c:v>-36848165.32</c:v>
                </c:pt>
                <c:pt idx="4">
                  <c:v>-53625684.120000005</c:v>
                </c:pt>
                <c:pt idx="5">
                  <c:v>1622765.57</c:v>
                </c:pt>
                <c:pt idx="6">
                  <c:v>-39042</c:v>
                </c:pt>
              </c:numCache>
            </c:numRef>
          </c:val>
          <c:extLst>
            <c:ext xmlns:c16="http://schemas.microsoft.com/office/drawing/2014/chart" uri="{C3380CC4-5D6E-409C-BE32-E72D297353CC}">
              <c16:uniqueId val="{00000000-6790-4591-A938-95C4563D593C}"/>
            </c:ext>
          </c:extLst>
        </c:ser>
        <c:ser>
          <c:idx val="1"/>
          <c:order val="1"/>
          <c:tx>
            <c:strRef>
              <c:f>'Volume Analysis'!$G$93</c:f>
              <c:strCache>
                <c:ptCount val="1"/>
                <c:pt idx="0">
                  <c:v>Compensation - SDG</c:v>
                </c:pt>
              </c:strCache>
            </c:strRef>
          </c:tx>
          <c:spPr>
            <a:solidFill>
              <a:schemeClr val="accent2"/>
            </a:solidFill>
            <a:ln>
              <a:noFill/>
            </a:ln>
            <a:effectLst/>
          </c:spPr>
          <c:invertIfNegative val="0"/>
          <c:dLbls>
            <c:numFmt formatCode="#,##0.00,,&quot;M&quot;;\(#,##0.00,,&quot;M&quot;\)" sourceLinked="0"/>
            <c:spPr>
              <a:solidFill>
                <a:schemeClr val="tx2">
                  <a:lumMod val="20000"/>
                  <a:lumOff val="80000"/>
                  <a:alpha val="38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'Volume Analysis'!$E$94:$E$100</c:f>
              <c:strCache>
                <c:ptCount val="7"/>
                <c:pt idx="0">
                  <c:v>Imported Shipments Discharge Losses</c:v>
                </c:pt>
                <c:pt idx="1">
                  <c:v>Imported Shipments Shortages &amp; Rejections</c:v>
                </c:pt>
                <c:pt idx="2">
                  <c:v>Imported Vessels Overlanding</c:v>
                </c:pt>
                <c:pt idx="3">
                  <c:v>Non Conformity</c:v>
                </c:pt>
                <c:pt idx="4">
                  <c:v>Repacking/Reprocessing</c:v>
                </c:pt>
                <c:pt idx="5">
                  <c:v>Stock Variance - Transport Excess</c:v>
                </c:pt>
                <c:pt idx="6">
                  <c:v>Transport Losses</c:v>
                </c:pt>
              </c:strCache>
            </c:strRef>
          </c:cat>
          <c:val>
            <c:numRef>
              <c:f>'Volume Analysis'!$G$94:$G$100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6790-4591-A938-95C4563D593C}"/>
            </c:ext>
          </c:extLst>
        </c:ser>
        <c:dLbls>
          <c:showLegendKey val="0"/>
          <c:showVal val="0"/>
          <c:showCatName val="0"/>
          <c:showSerName val="0"/>
          <c:showPercent val="0"/>
          <c:showBubbleSize val="0"/>
        </c:dLbls>
        <c:gapWidth val="182"/>
        <c:axId val="588715328"/>
        <c:axId val="588709568"/>
      </c:barChart>
      <c:catAx>
        <c:axId val="588715328"/>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588709568"/>
        <c:crosses val="autoZero"/>
        <c:auto val="1"/>
        <c:lblAlgn val="ctr"/>
        <c:lblOffset val="100"/>
        <c:noMultiLvlLbl val="0"/>
      </c:catAx>
      <c:valAx>
        <c:axId val="588709568"/>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8871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'Volume Analysis'!$F$73</c:f>
              <c:strCache>
                <c:ptCount val="1"/>
                <c:pt idx="0">
                  <c:v>Loss Value</c:v>
                </c:pt>
              </c:strCache>
            </c:strRef>
          </c:tx>
          <c:spPr>
            <a:solidFill>
              <a:schemeClr val="accent1"/>
            </a:solidFill>
            <a:ln>
              <a:noFill/>
            </a:ln>
            <a:effectLst/>
          </c:spPr>
          <c:invertIfNegative val="0"/>
          <c:dLbls>
            <c:numFmt formatCode="#,##0.00,,&quot;M&quot;;\(#,##0.00,,&quot;M&quot;\)" sourceLinked="0"/>
            <c:spPr>
              <a:solidFill>
                <a:schemeClr val="tx2">
                  <a:lumMod val="20000"/>
                  <a:lumOff val="80000"/>
                  <a:alpha val="36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'Volume Analysis'!$E$74</c:f>
              <c:strCache>
                <c:ptCount val="1"/>
                <c:pt idx="0">
                  <c:v>Accumulative WH Variance</c:v>
                </c:pt>
              </c:strCache>
            </c:strRef>
          </c:cat>
          <c:val>
            <c:numRef>
              <c:f>'Volume Analysis'!$F$74</c:f>
              <c:numCache>
                <c:formatCode>#,##0.00</c:formatCode>
                <c:ptCount val="1"/>
                <c:pt idx="0">
                  <c:v>-6484854.4100000001</c:v>
                </c:pt>
              </c:numCache>
            </c:numRef>
          </c:val>
          <c:extLst>
            <c:ext xmlns:c16="http://schemas.microsoft.com/office/drawing/2014/chart" uri="{C3380CC4-5D6E-409C-BE32-E72D297353CC}">
              <c16:uniqueId val="{00000000-64C5-49EE-85F1-B04620FD3DA7}"/>
            </c:ext>
          </c:extLst>
        </c:ser>
        <c:ser>
          <c:idx val="1"/>
          <c:order val="1"/>
          <c:tx>
            <c:strRef>
              <c:f>'Volume Analysis'!$G$73</c:f>
              <c:strCache>
                <c:ptCount val="1"/>
                <c:pt idx="0">
                  <c:v>Compensation - SDG</c:v>
                </c:pt>
              </c:strCache>
            </c:strRef>
          </c:tx>
          <c:spPr>
            <a:solidFill>
              <a:schemeClr val="accent2"/>
            </a:solidFill>
            <a:ln>
              <a:noFill/>
            </a:ln>
            <a:effectLst/>
          </c:spPr>
          <c:invertIfNegative val="0"/>
          <c:dLbls>
            <c:numFmt formatCode="#,##0.00,,&quot;M&quot;;\(#,##0.00,,&quot;M&quot;\)" sourceLinked="0"/>
            <c:spPr>
              <a:solidFill>
                <a:schemeClr val="tx2">
                  <a:lumMod val="20000"/>
                  <a:lumOff val="80000"/>
                  <a:alpha val="38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'Volume Analysis'!$E$74</c:f>
              <c:strCache>
                <c:ptCount val="1"/>
                <c:pt idx="0">
                  <c:v>Accumulative WH Variance</c:v>
                </c:pt>
              </c:strCache>
            </c:strRef>
          </c:cat>
          <c:val>
            <c:numRef>
              <c:f>'Volume Analysis'!$G$74</c:f>
              <c:numCache>
                <c:formatCode>General</c:formatCode>
                <c:ptCount val="1"/>
                <c:pt idx="0">
                  <c:v>0</c:v>
                </c:pt>
              </c:numCache>
            </c:numRef>
          </c:val>
          <c:extLst>
            <c:ext xmlns:c16="http://schemas.microsoft.com/office/drawing/2014/chart" uri="{C3380CC4-5D6E-409C-BE32-E72D297353CC}">
              <c16:uniqueId val="{00000001-64C5-49EE-85F1-B04620FD3DA7}"/>
            </c:ext>
          </c:extLst>
        </c:ser>
        <c:dLbls>
          <c:showLegendKey val="0"/>
          <c:showVal val="0"/>
          <c:showCatName val="0"/>
          <c:showSerName val="0"/>
          <c:showPercent val="0"/>
          <c:showBubbleSize val="0"/>
        </c:dLbls>
        <c:gapWidth val="182"/>
        <c:axId val="588715328"/>
        <c:axId val="588709568"/>
      </c:barChart>
      <c:catAx>
        <c:axId val="588715328"/>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588709568"/>
        <c:crosses val="autoZero"/>
        <c:auto val="1"/>
        <c:lblAlgn val="ctr"/>
        <c:lblOffset val="100"/>
        <c:noMultiLvlLbl val="0"/>
      </c:catAx>
      <c:valAx>
        <c:axId val="588709568"/>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8871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1945822</xdr:colOff>
      <xdr:row>103</xdr:row>
      <xdr:rowOff>95250</xdr:rowOff>
    </xdr:from>
    <xdr:to>
      <xdr:col>19</xdr:col>
      <xdr:colOff>40141</xdr:colOff>
      <xdr:row>134</xdr:row>
      <xdr:rowOff>5443</xdr:rowOff>
    </xdr:to>
    <xdr:graphicFrame macro="">
      <xdr:nvGraphicFramePr>
        <xdr:cNvPr id="2" name="Chart 1">
          <a:extLst>
            <a:ext uri="{FF2B5EF4-FFF2-40B4-BE49-F238E27FC236}">
              <a16:creationId xmlns:a16="http://schemas.microsoft.com/office/drawing/2014/main" id="{067B6BD9-B4DB-4195-93B0-8F258B438E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2095500</xdr:colOff>
      <xdr:row>70</xdr:row>
      <xdr:rowOff>95250</xdr:rowOff>
    </xdr:from>
    <xdr:to>
      <xdr:col>20</xdr:col>
      <xdr:colOff>53747</xdr:colOff>
      <xdr:row>100</xdr:row>
      <xdr:rowOff>52219</xdr:rowOff>
    </xdr:to>
    <xdr:graphicFrame macro="">
      <xdr:nvGraphicFramePr>
        <xdr:cNvPr id="3" name="Chart 2">
          <a:extLst>
            <a:ext uri="{FF2B5EF4-FFF2-40B4-BE49-F238E27FC236}">
              <a16:creationId xmlns:a16="http://schemas.microsoft.com/office/drawing/2014/main" id="{31CA8CFD-C6F4-411A-9C82-C0EBFFCE6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104775</xdr:rowOff>
    </xdr:from>
    <xdr:to>
      <xdr:col>1</xdr:col>
      <xdr:colOff>1828800</xdr:colOff>
      <xdr:row>2</xdr:row>
      <xdr:rowOff>178858</xdr:rowOff>
    </xdr:to>
    <mc:AlternateContent xmlns:mc="http://schemas.openxmlformats.org/markup-compatibility/2006" xmlns:a14="http://schemas.microsoft.com/office/drawing/2010/main">
      <mc:Choice Requires="a14">
        <xdr:graphicFrame macro="">
          <xdr:nvGraphicFramePr>
            <xdr:cNvPr id="8" name="Stream 1">
              <a:extLst>
                <a:ext uri="{FF2B5EF4-FFF2-40B4-BE49-F238E27FC236}">
                  <a16:creationId xmlns:a16="http://schemas.microsoft.com/office/drawing/2014/main" id="{7CBD79CD-F3A6-BCC2-7B0A-04A1E3933E89}"/>
                </a:ext>
              </a:extLst>
            </xdr:cNvPr>
            <xdr:cNvGraphicFramePr/>
          </xdr:nvGraphicFramePr>
          <xdr:xfrm>
            <a:off x="0" y="0"/>
            <a:ext cx="0" cy="0"/>
          </xdr:xfrm>
          <a:graphic>
            <a:graphicData uri="http://schemas.microsoft.com/office/drawing/2010/slicer">
              <sle:slicer xmlns:sle="http://schemas.microsoft.com/office/drawing/2010/slicer" name="Stream 1"/>
            </a:graphicData>
          </a:graphic>
        </xdr:graphicFrame>
      </mc:Choice>
      <mc:Fallback xmlns="">
        <xdr:sp macro="" textlink="">
          <xdr:nvSpPr>
            <xdr:cNvPr id="0" name=""/>
            <xdr:cNvSpPr>
              <a:spLocks noTextEdit="1"/>
            </xdr:cNvSpPr>
          </xdr:nvSpPr>
          <xdr:spPr>
            <a:xfrm>
              <a:off x="314325" y="104775"/>
              <a:ext cx="1828800" cy="600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2019298</xdr:colOff>
      <xdr:row>0</xdr:row>
      <xdr:rowOff>114301</xdr:rowOff>
    </xdr:from>
    <xdr:to>
      <xdr:col>6</xdr:col>
      <xdr:colOff>591320</xdr:colOff>
      <xdr:row>2</xdr:row>
      <xdr:rowOff>197908</xdr:rowOff>
    </xdr:to>
    <mc:AlternateContent xmlns:mc="http://schemas.openxmlformats.org/markup-compatibility/2006" xmlns:a14="http://schemas.microsoft.com/office/drawing/2010/main">
      <mc:Choice Requires="a14">
        <xdr:graphicFrame macro="">
          <xdr:nvGraphicFramePr>
            <xdr:cNvPr id="9" name="Compensation status">
              <a:extLst>
                <a:ext uri="{FF2B5EF4-FFF2-40B4-BE49-F238E27FC236}">
                  <a16:creationId xmlns:a16="http://schemas.microsoft.com/office/drawing/2014/main" id="{B459631C-E7D8-B7EA-7160-9DD157ADB7A9}"/>
                </a:ext>
              </a:extLst>
            </xdr:cNvPr>
            <xdr:cNvGraphicFramePr/>
          </xdr:nvGraphicFramePr>
          <xdr:xfrm>
            <a:off x="0" y="0"/>
            <a:ext cx="0" cy="0"/>
          </xdr:xfrm>
          <a:graphic>
            <a:graphicData uri="http://schemas.microsoft.com/office/drawing/2010/slicer">
              <sle:slicer xmlns:sle="http://schemas.microsoft.com/office/drawing/2010/slicer" name="Compensation status"/>
            </a:graphicData>
          </a:graphic>
        </xdr:graphicFrame>
      </mc:Choice>
      <mc:Fallback xmlns="">
        <xdr:sp macro="" textlink="">
          <xdr:nvSpPr>
            <xdr:cNvPr id="0" name=""/>
            <xdr:cNvSpPr>
              <a:spLocks noTextEdit="1"/>
            </xdr:cNvSpPr>
          </xdr:nvSpPr>
          <xdr:spPr>
            <a:xfrm>
              <a:off x="2333623" y="114301"/>
              <a:ext cx="7591427" cy="60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352425</xdr:colOff>
      <xdr:row>3</xdr:row>
      <xdr:rowOff>57150</xdr:rowOff>
    </xdr:from>
    <xdr:to>
      <xdr:col>9</xdr:col>
      <xdr:colOff>352425</xdr:colOff>
      <xdr:row>16</xdr:row>
      <xdr:rowOff>104775</xdr:rowOff>
    </xdr:to>
    <mc:AlternateContent xmlns:mc="http://schemas.openxmlformats.org/markup-compatibility/2006" xmlns:a14="http://schemas.microsoft.com/office/drawing/2010/main">
      <mc:Choice Requires="a14">
        <xdr:graphicFrame macro="">
          <xdr:nvGraphicFramePr>
            <xdr:cNvPr id="11" name="Product Type">
              <a:extLst>
                <a:ext uri="{FF2B5EF4-FFF2-40B4-BE49-F238E27FC236}">
                  <a16:creationId xmlns:a16="http://schemas.microsoft.com/office/drawing/2014/main" id="{848E29CC-2522-FEE6-9FA6-A166083079F5}"/>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9544050" y="838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199806</xdr:colOff>
      <xdr:row>6</xdr:row>
      <xdr:rowOff>31421</xdr:rowOff>
    </xdr:from>
    <xdr:to>
      <xdr:col>10</xdr:col>
      <xdr:colOff>189296</xdr:colOff>
      <xdr:row>19</xdr:row>
      <xdr:rowOff>135977</xdr:rowOff>
    </xdr:to>
    <mc:AlternateContent xmlns:mc="http://schemas.openxmlformats.org/markup-compatibility/2006" xmlns:a14="http://schemas.microsoft.com/office/drawing/2010/main">
      <mc:Choice Requires="a14">
        <xdr:graphicFrame macro="">
          <xdr:nvGraphicFramePr>
            <xdr:cNvPr id="2" name="Product Type 1">
              <a:extLst>
                <a:ext uri="{FF2B5EF4-FFF2-40B4-BE49-F238E27FC236}">
                  <a16:creationId xmlns:a16="http://schemas.microsoft.com/office/drawing/2014/main" id="{AA39DC78-07C7-5B12-EDFE-32A3E60284F4}"/>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11682723" y="1576588"/>
              <a:ext cx="1830990" cy="25810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90323</xdr:colOff>
      <xdr:row>0</xdr:row>
      <xdr:rowOff>173749</xdr:rowOff>
    </xdr:from>
    <xdr:to>
      <xdr:col>1</xdr:col>
      <xdr:colOff>1915108</xdr:colOff>
      <xdr:row>2</xdr:row>
      <xdr:rowOff>229914</xdr:rowOff>
    </xdr:to>
    <mc:AlternateContent xmlns:mc="http://schemas.openxmlformats.org/markup-compatibility/2006" xmlns:a14="http://schemas.microsoft.com/office/drawing/2010/main">
      <mc:Choice Requires="a14">
        <xdr:graphicFrame macro="">
          <xdr:nvGraphicFramePr>
            <xdr:cNvPr id="3" name="Stream 2">
              <a:extLst>
                <a:ext uri="{FF2B5EF4-FFF2-40B4-BE49-F238E27FC236}">
                  <a16:creationId xmlns:a16="http://schemas.microsoft.com/office/drawing/2014/main" id="{947F2B45-6C06-4FBC-7965-A2BCF147FEA5}"/>
                </a:ext>
              </a:extLst>
            </xdr:cNvPr>
            <xdr:cNvGraphicFramePr/>
          </xdr:nvGraphicFramePr>
          <xdr:xfrm>
            <a:off x="0" y="0"/>
            <a:ext cx="0" cy="0"/>
          </xdr:xfrm>
          <a:graphic>
            <a:graphicData uri="http://schemas.microsoft.com/office/drawing/2010/slicer">
              <sle:slicer xmlns:sle="http://schemas.microsoft.com/office/drawing/2010/slicer" name="Stream 2"/>
            </a:graphicData>
          </a:graphic>
        </xdr:graphicFrame>
      </mc:Choice>
      <mc:Fallback xmlns="">
        <xdr:sp macro="" textlink="">
          <xdr:nvSpPr>
            <xdr:cNvPr id="0" name=""/>
            <xdr:cNvSpPr>
              <a:spLocks noTextEdit="1"/>
            </xdr:cNvSpPr>
          </xdr:nvSpPr>
          <xdr:spPr>
            <a:xfrm>
              <a:off x="428990" y="173749"/>
              <a:ext cx="1824785" cy="6276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568544</xdr:colOff>
      <xdr:row>0</xdr:row>
      <xdr:rowOff>173385</xdr:rowOff>
    </xdr:from>
    <xdr:to>
      <xdr:col>8</xdr:col>
      <xdr:colOff>155780</xdr:colOff>
      <xdr:row>2</xdr:row>
      <xdr:rowOff>229549</xdr:rowOff>
    </xdr:to>
    <mc:AlternateContent xmlns:mc="http://schemas.openxmlformats.org/markup-compatibility/2006" xmlns:a14="http://schemas.microsoft.com/office/drawing/2010/main">
      <mc:Choice Requires="a14">
        <xdr:graphicFrame macro="">
          <xdr:nvGraphicFramePr>
            <xdr:cNvPr id="4" name="Compensation status 1">
              <a:extLst>
                <a:ext uri="{FF2B5EF4-FFF2-40B4-BE49-F238E27FC236}">
                  <a16:creationId xmlns:a16="http://schemas.microsoft.com/office/drawing/2014/main" id="{736E6424-D357-49A3-368F-85E9952D7625}"/>
                </a:ext>
              </a:extLst>
            </xdr:cNvPr>
            <xdr:cNvGraphicFramePr/>
          </xdr:nvGraphicFramePr>
          <xdr:xfrm>
            <a:off x="0" y="0"/>
            <a:ext cx="0" cy="0"/>
          </xdr:xfrm>
          <a:graphic>
            <a:graphicData uri="http://schemas.microsoft.com/office/drawing/2010/slicer">
              <sle:slicer xmlns:sle="http://schemas.microsoft.com/office/drawing/2010/slicer" name="Compensation status 1"/>
            </a:graphicData>
          </a:graphic>
        </xdr:graphicFrame>
      </mc:Choice>
      <mc:Fallback xmlns="">
        <xdr:sp macro="" textlink="">
          <xdr:nvSpPr>
            <xdr:cNvPr id="0" name=""/>
            <xdr:cNvSpPr>
              <a:spLocks noTextEdit="1"/>
            </xdr:cNvSpPr>
          </xdr:nvSpPr>
          <xdr:spPr>
            <a:xfrm>
              <a:off x="2473544" y="173385"/>
              <a:ext cx="9769941" cy="6276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423332</xdr:colOff>
      <xdr:row>0</xdr:row>
      <xdr:rowOff>12699</xdr:rowOff>
    </xdr:from>
    <xdr:to>
      <xdr:col>12</xdr:col>
      <xdr:colOff>550333</xdr:colOff>
      <xdr:row>4</xdr:row>
      <xdr:rowOff>237067</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7288B288-6CF2-30C5-BC74-04E5A67080E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920132" y="12699"/>
              <a:ext cx="1346201" cy="13396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352425</xdr:colOff>
      <xdr:row>0</xdr:row>
      <xdr:rowOff>86783</xdr:rowOff>
    </xdr:from>
    <xdr:to>
      <xdr:col>7</xdr:col>
      <xdr:colOff>611392</xdr:colOff>
      <xdr:row>3</xdr:row>
      <xdr:rowOff>92528</xdr:rowOff>
    </xdr:to>
    <mc:AlternateContent xmlns:mc="http://schemas.openxmlformats.org/markup-compatibility/2006" xmlns:a14="http://schemas.microsoft.com/office/drawing/2010/main">
      <mc:Choice Requires="a14">
        <xdr:graphicFrame macro="">
          <xdr:nvGraphicFramePr>
            <xdr:cNvPr id="3" name="Adjustment Type">
              <a:extLst>
                <a:ext uri="{FF2B5EF4-FFF2-40B4-BE49-F238E27FC236}">
                  <a16:creationId xmlns:a16="http://schemas.microsoft.com/office/drawing/2014/main" id="{AE8B947B-B673-5C18-E63E-744464478981}"/>
                </a:ext>
              </a:extLst>
            </xdr:cNvPr>
            <xdr:cNvGraphicFramePr/>
          </xdr:nvGraphicFramePr>
          <xdr:xfrm>
            <a:off x="0" y="0"/>
            <a:ext cx="0" cy="0"/>
          </xdr:xfrm>
          <a:graphic>
            <a:graphicData uri="http://schemas.microsoft.com/office/drawing/2010/slicer">
              <sle:slicer xmlns:sle="http://schemas.microsoft.com/office/drawing/2010/slicer" name="Adjustment Type"/>
            </a:graphicData>
          </a:graphic>
        </xdr:graphicFrame>
      </mc:Choice>
      <mc:Fallback xmlns="">
        <xdr:sp macro="" textlink="">
          <xdr:nvSpPr>
            <xdr:cNvPr id="0" name=""/>
            <xdr:cNvSpPr>
              <a:spLocks noTextEdit="1"/>
            </xdr:cNvSpPr>
          </xdr:nvSpPr>
          <xdr:spPr>
            <a:xfrm>
              <a:off x="1696508" y="86783"/>
              <a:ext cx="8135409" cy="903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15240</xdr:colOff>
      <xdr:row>0</xdr:row>
      <xdr:rowOff>86784</xdr:rowOff>
    </xdr:from>
    <xdr:to>
      <xdr:col>2</xdr:col>
      <xdr:colOff>216323</xdr:colOff>
      <xdr:row>3</xdr:row>
      <xdr:rowOff>86783</xdr:rowOff>
    </xdr:to>
    <mc:AlternateContent xmlns:mc="http://schemas.openxmlformats.org/markup-compatibility/2006" xmlns:a14="http://schemas.microsoft.com/office/drawing/2010/main">
      <mc:Choice Requires="a14">
        <xdr:graphicFrame macro="">
          <xdr:nvGraphicFramePr>
            <xdr:cNvPr id="4" name="Stream">
              <a:extLst>
                <a:ext uri="{FF2B5EF4-FFF2-40B4-BE49-F238E27FC236}">
                  <a16:creationId xmlns:a16="http://schemas.microsoft.com/office/drawing/2014/main" id="{486DDD44-1867-88FB-EB50-0E928D4498EF}"/>
                </a:ext>
              </a:extLst>
            </xdr:cNvPr>
            <xdr:cNvGraphicFramePr/>
          </xdr:nvGraphicFramePr>
          <xdr:xfrm>
            <a:off x="0" y="0"/>
            <a:ext cx="0" cy="0"/>
          </xdr:xfrm>
          <a:graphic>
            <a:graphicData uri="http://schemas.microsoft.com/office/drawing/2010/slicer">
              <sle:slicer xmlns:sle="http://schemas.microsoft.com/office/drawing/2010/slicer" name="Stream"/>
            </a:graphicData>
          </a:graphic>
        </xdr:graphicFrame>
      </mc:Choice>
      <mc:Fallback xmlns="">
        <xdr:sp macro="" textlink="">
          <xdr:nvSpPr>
            <xdr:cNvPr id="0" name=""/>
            <xdr:cNvSpPr>
              <a:spLocks noTextEdit="1"/>
            </xdr:cNvSpPr>
          </xdr:nvSpPr>
          <xdr:spPr>
            <a:xfrm>
              <a:off x="343323" y="86784"/>
              <a:ext cx="1111250" cy="8466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awaz.kabeir/Desktop/All%20Product%20Codes.xlsx" TargetMode="External"/><Relationship Id="rId1" Type="http://schemas.openxmlformats.org/officeDocument/2006/relationships/externalLinkPath" Target="/Users/fawaz.kabeir/Desktop/All%20Product%20Cod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efine "/>
      <sheetName val="All Products"/>
    </sheetNames>
    <sheetDataSet>
      <sheetData sheetId="0" refreshError="1">
        <row r="1">
          <cell r="A1" t="str">
            <v>warehouse</v>
          </cell>
          <cell r="B1" t="str">
            <v>Location</v>
          </cell>
        </row>
        <row r="2">
          <cell r="A2" t="str">
            <v>AG</v>
          </cell>
          <cell r="B2" t="str">
            <v>Gadarif Warehouse</v>
          </cell>
        </row>
        <row r="3">
          <cell r="A3" t="str">
            <v>CA</v>
          </cell>
          <cell r="B3" t="str">
            <v>Crusher KHA- Other</v>
          </cell>
        </row>
        <row r="4">
          <cell r="A4" t="str">
            <v>CB</v>
          </cell>
          <cell r="B4" t="str">
            <v>Crusher KHN Bitar</v>
          </cell>
        </row>
        <row r="5">
          <cell r="A5" t="str">
            <v>CC</v>
          </cell>
          <cell r="B5" t="str">
            <v>Crusher PZU</v>
          </cell>
        </row>
        <row r="6">
          <cell r="A6" t="str">
            <v>CH</v>
          </cell>
          <cell r="B6" t="str">
            <v>Crusher KHN -ASVOC</v>
          </cell>
        </row>
        <row r="7">
          <cell r="A7" t="str">
            <v>CK</v>
          </cell>
          <cell r="B7" t="str">
            <v>Crusher KHA- SMA</v>
          </cell>
        </row>
        <row r="8">
          <cell r="A8" t="str">
            <v>CM</v>
          </cell>
          <cell r="B8" t="str">
            <v>Crusher OMD -Kambal</v>
          </cell>
        </row>
        <row r="9">
          <cell r="A9" t="str">
            <v>CO</v>
          </cell>
          <cell r="B9" t="str">
            <v>Crusher - OMD -ADEEB</v>
          </cell>
        </row>
        <row r="10">
          <cell r="A10" t="str">
            <v>PA</v>
          </cell>
          <cell r="B10" t="str">
            <v>Packing KHA</v>
          </cell>
        </row>
        <row r="11">
          <cell r="A11" t="str">
            <v>PC</v>
          </cell>
          <cell r="B11" t="str">
            <v>Packing PZU</v>
          </cell>
        </row>
        <row r="12">
          <cell r="A12" t="str">
            <v>SA</v>
          </cell>
          <cell r="B12" t="str">
            <v>Sifter KHA -Alsoug Almahly</v>
          </cell>
        </row>
        <row r="13">
          <cell r="A13" t="str">
            <v>SB</v>
          </cell>
          <cell r="B13" t="str">
            <v>Sifter OMD-ALGOMIA</v>
          </cell>
        </row>
        <row r="14">
          <cell r="A14" t="str">
            <v>SC</v>
          </cell>
          <cell r="B14" t="str">
            <v xml:space="preserve">Sifter PZU - Tabil </v>
          </cell>
        </row>
        <row r="15">
          <cell r="A15" t="str">
            <v>SD</v>
          </cell>
          <cell r="B15" t="str">
            <v>Sifter OMD -Tayba</v>
          </cell>
        </row>
        <row r="16">
          <cell r="A16" t="str">
            <v>SE</v>
          </cell>
          <cell r="B16" t="str">
            <v xml:space="preserve">Sifter PZU ELKHBIER </v>
          </cell>
        </row>
        <row r="17">
          <cell r="A17" t="str">
            <v>SF</v>
          </cell>
          <cell r="B17" t="str">
            <v>Sifter OMD- Khalid</v>
          </cell>
        </row>
        <row r="18">
          <cell r="A18" t="str">
            <v>SG</v>
          </cell>
          <cell r="B18" t="str">
            <v>Sifter Gadarif -Copen</v>
          </cell>
        </row>
        <row r="19">
          <cell r="A19" t="str">
            <v>SK</v>
          </cell>
          <cell r="B19" t="str">
            <v>Sifter KHA -CHU</v>
          </cell>
        </row>
        <row r="20">
          <cell r="A20" t="str">
            <v>SL</v>
          </cell>
          <cell r="B20" t="str">
            <v>Sifter OMD-ALShaikh</v>
          </cell>
        </row>
        <row r="21">
          <cell r="A21" t="str">
            <v>SM</v>
          </cell>
          <cell r="B21" t="str">
            <v xml:space="preserve">Sifter OMD -Alshafie </v>
          </cell>
        </row>
        <row r="22">
          <cell r="A22" t="str">
            <v>SN</v>
          </cell>
          <cell r="B22" t="str">
            <v>Sifter OMD - Alhelaly</v>
          </cell>
        </row>
        <row r="23">
          <cell r="A23" t="str">
            <v>SO</v>
          </cell>
          <cell r="B23" t="str">
            <v>Sifter OMD - Yara</v>
          </cell>
        </row>
        <row r="24">
          <cell r="A24" t="str">
            <v>SP</v>
          </cell>
          <cell r="B24" t="str">
            <v>Sifter PZU-Al Jawhra</v>
          </cell>
        </row>
        <row r="25">
          <cell r="A25" t="str">
            <v>SQ</v>
          </cell>
          <cell r="B25" t="str">
            <v>Sifting OMD - YAGOUB</v>
          </cell>
        </row>
        <row r="26">
          <cell r="A26" t="str">
            <v>SR</v>
          </cell>
          <cell r="B26" t="str">
            <v>Sifter KHA - Globals</v>
          </cell>
        </row>
        <row r="27">
          <cell r="A27" t="str">
            <v>TA</v>
          </cell>
          <cell r="B27" t="str">
            <v>Khartoum In transit</v>
          </cell>
        </row>
        <row r="28">
          <cell r="A28" t="str">
            <v>TC</v>
          </cell>
          <cell r="B28" t="str">
            <v xml:space="preserve">PZU In Transit </v>
          </cell>
        </row>
        <row r="29">
          <cell r="A29" t="str">
            <v>TG</v>
          </cell>
          <cell r="B29" t="str">
            <v xml:space="preserve">Gadarif In Transit </v>
          </cell>
        </row>
        <row r="30">
          <cell r="A30" t="str">
            <v>XF</v>
          </cell>
          <cell r="B30" t="str">
            <v xml:space="preserve">PZU Stuffing Warehouse </v>
          </cell>
        </row>
        <row r="31">
          <cell r="A31" t="str">
            <v>XP</v>
          </cell>
          <cell r="B31" t="str">
            <v>PZU Main Warehouse</v>
          </cell>
        </row>
        <row r="32">
          <cell r="A32" t="str">
            <v>AA</v>
          </cell>
          <cell r="B32" t="str">
            <v xml:space="preserve">Khartoum Main Warehouse </v>
          </cell>
        </row>
        <row r="33">
          <cell r="A33" t="str">
            <v>AC</v>
          </cell>
          <cell r="B33" t="str">
            <v xml:space="preserve">Port Sudan Main Store </v>
          </cell>
        </row>
        <row r="34">
          <cell r="A34" t="str">
            <v>GB</v>
          </cell>
          <cell r="B34" t="str">
            <v>Ginning Bagair</v>
          </cell>
        </row>
        <row r="35">
          <cell r="A35" t="str">
            <v>GH</v>
          </cell>
          <cell r="B35" t="str">
            <v>Ginning Hashisa</v>
          </cell>
        </row>
        <row r="36">
          <cell r="A36" t="str">
            <v>GM</v>
          </cell>
          <cell r="B36" t="str">
            <v>Ginning Madni</v>
          </cell>
        </row>
        <row r="37">
          <cell r="A37" t="str">
            <v>SH</v>
          </cell>
          <cell r="B37" t="str">
            <v xml:space="preserve">Sifter -KHA Mahasilna </v>
          </cell>
        </row>
        <row r="38">
          <cell r="A38" t="str">
            <v>SI</v>
          </cell>
          <cell r="B38" t="str">
            <v>Sifter Bahri-Libyan</v>
          </cell>
        </row>
        <row r="39">
          <cell r="A39" t="str">
            <v>JA</v>
          </cell>
          <cell r="B39" t="str">
            <v xml:space="preserve">W/H Row Khartoum - JV </v>
          </cell>
        </row>
        <row r="40">
          <cell r="A40" t="str">
            <v>JC</v>
          </cell>
          <cell r="B40" t="str">
            <v xml:space="preserve">W/H Row PZU - JV </v>
          </cell>
        </row>
        <row r="41">
          <cell r="A41" t="str">
            <v>JG</v>
          </cell>
          <cell r="B41" t="str">
            <v xml:space="preserve">W/H Row Gadarif - JV </v>
          </cell>
        </row>
        <row r="42">
          <cell r="A42" t="str">
            <v>JN</v>
          </cell>
          <cell r="B42" t="str">
            <v xml:space="preserve">W/H Row Nayala - JV </v>
          </cell>
        </row>
        <row r="43">
          <cell r="A43" t="str">
            <v>A1</v>
          </cell>
          <cell r="B43" t="str">
            <v>Khartoum In Transit PPBags</v>
          </cell>
        </row>
        <row r="44">
          <cell r="A44" t="str">
            <v>G1</v>
          </cell>
          <cell r="B44" t="str">
            <v>Gadarif In Transit PPBags</v>
          </cell>
        </row>
        <row r="45">
          <cell r="A45" t="str">
            <v>C1</v>
          </cell>
          <cell r="B45" t="str">
            <v>Port Sudan Intransit PPBags</v>
          </cell>
        </row>
        <row r="46">
          <cell r="A46" t="str">
            <v>A4</v>
          </cell>
          <cell r="B46" t="str">
            <v xml:space="preserve">Inter Segment Warehouse </v>
          </cell>
        </row>
        <row r="47">
          <cell r="A47" t="str">
            <v>NC</v>
          </cell>
          <cell r="B47" t="str">
            <v xml:space="preserve">NON Conforming </v>
          </cell>
        </row>
        <row r="48">
          <cell r="A48" t="str">
            <v>CT</v>
          </cell>
          <cell r="B48" t="str">
            <v xml:space="preserve">Crusher -KHN-  Al-Teital </v>
          </cell>
        </row>
        <row r="49">
          <cell r="A49" t="str">
            <v>SY</v>
          </cell>
          <cell r="B49" t="str">
            <v xml:space="preserve">Sifter Bayader- OMD </v>
          </cell>
        </row>
        <row r="50">
          <cell r="A50" t="str">
            <v>SZ</v>
          </cell>
          <cell r="B50" t="str">
            <v>Sifter Almarkzi-OMD</v>
          </cell>
        </row>
        <row r="51">
          <cell r="A51" t="str">
            <v>SS</v>
          </cell>
          <cell r="B51" t="str">
            <v>Sifter -Gadrif Organica</v>
          </cell>
        </row>
        <row r="52">
          <cell r="A52" t="str">
            <v>EG</v>
          </cell>
          <cell r="B52" t="str">
            <v>Export Yellow Beans</v>
          </cell>
        </row>
        <row r="53">
          <cell r="A53" t="str">
            <v>SJ</v>
          </cell>
          <cell r="B53" t="str">
            <v xml:space="preserve">New Sifter </v>
          </cell>
        </row>
        <row r="54">
          <cell r="A54" t="str">
            <v>ST</v>
          </cell>
          <cell r="B54" t="str">
            <v xml:space="preserve">Sifter -OMD - KARAR </v>
          </cell>
        </row>
        <row r="55">
          <cell r="A55" t="str">
            <v>CU</v>
          </cell>
          <cell r="B55" t="str">
            <v>Crusher -OMA- Elbalola</v>
          </cell>
        </row>
        <row r="56">
          <cell r="A56" t="str">
            <v>SW</v>
          </cell>
          <cell r="B56" t="str">
            <v>Sifter -KHA Hassabo</v>
          </cell>
        </row>
      </sheetData>
      <sheetData sheetId="1" refreshError="1"/>
    </sheetDataSet>
  </externalBook>
</externalLink>
</file>

<file path=xl/persons/person.xml><?xml version="1.0" encoding="utf-8"?>
<personList xmlns="http://schemas.microsoft.com/office/spreadsheetml/2018/threadedcomments" xmlns:x="http://schemas.openxmlformats.org/spreadsheetml/2006/main">
  <person displayName="Abdelrahman Khalid Abdelrahman" id="{25330D50-0100-4921-949C-2B3DBDCF3A7E}" userId="S-1-5-21-1761434112-3299324657-3318246949-2763"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ra Muhammed Muhammed Alamin" refreshedDate="46258.440823726851" missingItemsLimit="0" createdVersion="8" refreshedVersion="8" minRefreshableVersion="3" recordCount="69" xr:uid="{DF0558F2-1392-4530-B999-0B693E6E4B35}">
  <cacheSource type="worksheet">
    <worksheetSource name="SAPData"/>
  </cacheSource>
  <cacheFields count="50">
    <cacheField name="Month" numFmtId="0">
      <sharedItems count="7">
        <s v="Mar"/>
        <s v="Jul"/>
        <s v="Apr"/>
        <s v="Jun"/>
        <s v="May"/>
        <s v="Feb"/>
        <s v="Jan"/>
      </sharedItems>
    </cacheField>
    <cacheField name="Adjustment Type" numFmtId="0">
      <sharedItems count="9">
        <s v="Accumulative WH Variance"/>
        <s v="Imported Shipments Shortages &amp; Rejections"/>
        <s v="Imported Vessels Overlanding"/>
        <s v="Non Conformity"/>
        <s v="Repacking/Reprocessing"/>
        <s v="Stock Correction"/>
        <s v="Stock Discrepancy - Transport Excess"/>
        <s v="Transport Losses"/>
        <s v="Transporter Compensation Value"/>
      </sharedItems>
    </cacheField>
    <cacheField name="Remarks" numFmtId="0">
      <sharedItems count="26" longText="1">
        <s v="Weight variance of White sesame GDP RM shown in Gadarif warehouse (GD08). Total received Qty in warehouse is 851.680 MT, Variance is 1.420 MT Percentage 0.17%. The physical loaded qty is 850.260  MT has been transported to PZU-Balaji sifter. This variance might be a result of weighbridges records variation, the commodity was received and delivered using Agricultural bank &amp; Five stars weighbridges"/>
        <s v="Total received QTY of sorghum in Metallic silo (SGME) is 17,926.158 MT - delivered is 17,908.33 MT - system remaining QTY is 17.828 MT. After loading all remaining the confirmed loaded quantity was 18.100 MT. The excess variance is 0.272 MT (0.0015% of the total received quantity) and it might be due moisture gain and weighbridge record variations - ABS weighbridge (used in receiving and delivering the product across several years)"/>
        <s v="MV Shiba -Lentil Shipment BL 8900 QTY 25,000 bags - Received =24,955 bags- Sound=24,821 bags -Torn= 39 bags -wet/damage =95 bags- short landed=45 bags. Shortlanded, wet and torn had been reported to Invictus."/>
        <s v="MV Shiba -Lentil Shipment BL 8902 QTY 10,000 bags - Received =9,957 bags- Sound=9,928 bags -Torn= 22 bags -wet =7 bags- short landed=43 bags. Shortlanded, wet and torn had been reported to Invictus."/>
        <s v="MV Summit Xiamen -Lentil Shipment BL 3700 QTY 25,000 bags - Received =25,069 bags- Sound=25,036 bags -Torn=32 bags- Wet= 1 bags- overlanded=69 bags."/>
        <s v="MV Summit Xiamen -Lentil Shipment BL 3701 QTY 25,000 bags - Received =25,084 bags- Sound=25,045 bags -Torn=38 bags- Wet= 1 bags- overlanded=84 bags."/>
        <s v="MV Summit Xiamen -Lentil Shipment BL 3702 QTY 25,000 bags - Received =25,078 bags- Sound=25,017 bags -Torn=61 bags- overlanded=78 bags."/>
        <s v="MV Summit Xiamen -Lentil Shipment BL 4200 QTY 25,000 bags - Received =25,080 bags- Sound=25,020 bags -Torn=60 bags- overlanded=80 bags - Empty bags=195 PC. Torn bags had not been reported to Invictus because they were not identified if they are coming from containers or torn during offloading."/>
        <s v="MV Summit Xiamen -Lentil Shipment BL 4201 QTY 25,000 bags - Received =25,055 bags- Sound=25,002 bags -Torn=40 bags- Wet=13 bags - overlanded=55 bags. Empty bags=189 PC, Wet and torn had been reported to Invictus."/>
        <s v="MV Summit Xiamen -Lentil Shipment BL 4202 QTY 25,000 bags - Received =25,074 bags- Sound=25,045 bags -Torn=29 bags- overlanded=74 bags. Empty bags=184 PC, Wet and torn had been reported to Invictus."/>
        <s v="MV Summit Xiamen -Lentil Shipment BL 4203 QTY 25,000 bags - Received =25,027 bags- Sound=24,935 bags -Torn=90 bags- Wet= 2 bags - overlanded=27 bags. Empty bags=185 PC, Wet and torn had been reported to Invictus."/>
        <s v="MV Summit Xiamen -Lentil Shipment BL 4204 QTY 25,000 bags - Received =25,048 bags- Sound=24,930 bags -Torn=79 bags- Wet= 39 bags - overlanded=48 bags. Empty bags=206 PC, Wet and torn had been reported to Invictus."/>
        <s v="MV Summit Xiamen -Lentil Shipment BL 4205 QTY 25,000 bags - Received =25,046 bags- Sound=24,956 bags -Torn=90 bags- overlanded=46 bags - Empty bags=144 PC. Torn bags had not been reported to Invictus because they were not identified if they are coming from containers or torn during offloading."/>
        <s v="265 bags of rice were classified as wet and bad odder and the quality decision was to be eliminated. The adjustment was done without CIM approval."/>
        <s v="492 bags of flour classified as damaged in Rabak WH, 162 bags from local produced flour and 330 bags from imported flour. The damage bags represent 0.26% from total received quantity in the WH. 444 bags were damaged by insects due to long storage and 48 bags were torn during loading and offloading operations and became caked because of moisture exposure. The proposed action was to eliminate them. NC 91, 92, 110, &amp; 111"/>
        <s v="4 bags of flour from local production were classified as damaged in Kosti WH, they represent 0.0014% from total received quantity in the WH. they were damaged by insects and expired due to long storage. The proposed action was to eliminate them. NC 131"/>
        <s v="A quantity of 241 SET of Oil Flex Tank in Bilal WH was remaining unused for long until it was expired and damaged, the decision was to sell it in local market as damaged. 12 SET out of this quantity were defected after loading to stuffing and issuing it on the system, then it was returned from stuffing yard to WH resulting in 241 SET as physical stock. They were sold for total amount of (160,000 SDG/SET) 38,560,000 SDG"/>
        <s v="Out of 5,000 bags (2 trucks) of Rice loaded to customer in Dabba there were 20 bags received defected, according to QA investigation these bags were considered caked at the time of loading and must be returned to CIM WH to be sold as animal feed. They were stored in customer WH due to lack of WH space in Dabba and sold for total amount (5,000 SDG/bag) of 100,000 SDG"/>
        <s v="Out of 123,100 lentil bags received from containers, there were 320 defected bags transported to E2 &amp; Textile warehouse at PZU (represent 0.259% from total received) and the corrective action was to be repacked. Repacking result: sound= 238 bags, loss=58 bags, wet=23 bags, &amp; high polish= 1 bag. The wet and  had been sold (20,000SDG/bag) for total amount of 460,000 SDG. Nc 69, 95, 96, 97, 98, 99, 102, 103,&amp; 109"/>
        <s v="Out of 136,300 rice bags received from containers in Textile warehouse at PZU, there were 426 bags found defected (represent 0.312% from total received) and the proposed action was to be repacked. Repacking result: sound= 350 bags, loss=66 bags, damage=3 bags, &amp; wet=7 bags. The wet and damage bags had been sold (20,000SDG/bag) for total amount of 200,000 SDG. Nc 121, 122, 123, 124, &amp; 125"/>
        <s v="Out of 5,700 bags of sesame GDP FG stored in Emarat 3 WH, there were 67 bags found torn during loading &amp; offloading NC 106. The result of repacking is: sound 63 bags - loss 3 bags - waste 1 bag (will be sold in locally)"/>
        <s v="Out of 8,600 bags of Gum Arabic Talha Cleaned 50KG stored in PZU Gum clean WH (MPGC), there were 671 bags found torn because of long storing period NC 133. The result of repacking is: sound 647 bags - loss 24 bags. Loss percentage from total quantity (8,600 bags): 0.28%"/>
        <s v="Transportation excess bags received as per waybill"/>
        <s v="Transportation losses as per waybill"/>
        <s v="Weight variance of truck delivered from Gadarif  using ABS weighbridge and received at PZU using Abo-hashish weighbridge, there were 4 bags (0.360 MT) reported missing in truck no. 14541-WB 5510 and the loss was sent to AP to create debit note."/>
        <s v="The compensation value for export commodities transportation loss"/>
      </sharedItems>
    </cacheField>
    <cacheField name="Plant" numFmtId="0">
      <sharedItems containsMixedTypes="1" containsNumber="1" containsInteger="1" minValue="2123" maxValue="2123"/>
    </cacheField>
    <cacheField name="Name 1" numFmtId="0">
      <sharedItems/>
    </cacheField>
    <cacheField name="Storage location" numFmtId="0">
      <sharedItems/>
    </cacheField>
    <cacheField name="Material" numFmtId="0">
      <sharedItems containsMixedTypes="1" containsNumber="1" containsInteger="1" minValue="7000000035" maxValue="7000000035"/>
    </cacheField>
    <cacheField name="Material description" numFmtId="0">
      <sharedItems containsMixedTypes="1" containsNumber="1" containsInteger="1" minValue="0" maxValue="0"/>
    </cacheField>
    <cacheField name="Short Description" numFmtId="0">
      <sharedItems count="17">
        <s v="Gadarif Sesame Raw"/>
        <s v="Sorghum Raw"/>
        <s v="Lentils"/>
        <s v="Rice Short Grain"/>
        <s v="Rice Long Grain"/>
        <s v="Rice - Damaged"/>
        <s v="Flour Al-Nagm (Mill)"/>
        <s v="Flour Al-Nagm (Imported)"/>
        <s v="Tank Flexi Oil"/>
        <s v="Flexi Tank - Damaged"/>
        <s v="Lentil - Damaged"/>
        <s v="Gadarif Sesame - FG"/>
        <s v="White Sesame Gadarif - Damage"/>
        <s v="Gum Talha Cleaned"/>
        <s v="Pigeon Peas FG"/>
        <s v="White Sesame Non Gadarif - FG "/>
        <s v="Transport Loss Compensation Value"/>
      </sharedItems>
    </cacheField>
    <cacheField name="Product Type" numFmtId="0">
      <sharedItems count="10">
        <s v="Sesame Gadarif"/>
        <s v="Sorghum"/>
        <s v="Lentil"/>
        <s v="Rice"/>
        <s v="Flour"/>
        <s v="Packaging"/>
        <s v="Gum Arabic Talha"/>
        <s v="Pigeon Peas"/>
        <s v="Sesame Non Gadarif"/>
        <s v="Value"/>
      </sharedItems>
    </cacheField>
    <cacheField name="Stream" numFmtId="0">
      <sharedItems count="2">
        <s v="Export"/>
        <s v="Import"/>
      </sharedItems>
    </cacheField>
    <cacheField name="Variance Classification" numFmtId="0">
      <sharedItems count="2">
        <s v="Stock Adjustments"/>
        <s v="Stock Losses/Gains"/>
      </sharedItems>
    </cacheField>
    <cacheField name="Compensation status" numFmtId="0">
      <sharedItems count="7">
        <s v="Reviewed Variance"/>
        <s v="Pending"/>
        <s v="Gain"/>
        <s v="Non Recoverable"/>
        <s v="Loss"/>
        <s v="Compensated"/>
        <s v="-"/>
      </sharedItems>
    </cacheField>
    <cacheField name="Compensation process" numFmtId="0">
      <sharedItems count="3">
        <s v="-"/>
        <s v="Waiting Invictus feedback"/>
        <s v="Waiting Transportation/Finance feedback"/>
      </sharedItems>
    </cacheField>
    <cacheField name="Material Document" numFmtId="0">
      <sharedItems/>
    </cacheField>
    <cacheField name="Posting Date" numFmtId="0">
      <sharedItems containsNonDate="0" containsDate="1" containsString="0" containsBlank="1" minDate="2026-02-17T00:00:00" maxDate="2026-07-20T00:00:00"/>
    </cacheField>
    <cacheField name="Time of Entry" numFmtId="0">
      <sharedItems containsDate="1" containsMixedTypes="1" minDate="1899-12-30T08:55:05" maxDate="1899-12-30T20:17:55"/>
    </cacheField>
    <cacheField name="Movement Type Text" numFmtId="0">
      <sharedItems/>
    </cacheField>
    <cacheField name="Movement type" numFmtId="0">
      <sharedItems/>
    </cacheField>
    <cacheField name="Qty in unit of entry" numFmtId="0">
      <sharedItems containsMixedTypes="1" containsNumber="1" minValue="-312" maxValue="229"/>
    </cacheField>
    <cacheField name="Unit of Entry" numFmtId="0">
      <sharedItems/>
    </cacheField>
    <cacheField name="Base Unit of Measure" numFmtId="0">
      <sharedItems count="4">
        <s v="MT"/>
        <s v="BAG"/>
        <s v="SET"/>
        <s v="-"/>
      </sharedItems>
    </cacheField>
    <cacheField name="Quantity" numFmtId="0">
      <sharedItems containsSemiMixedTypes="0" containsString="0" containsNumber="1" minValue="-312" maxValue="229"/>
    </cacheField>
    <cacheField name="QTY -MT" numFmtId="0">
      <sharedItems containsMixedTypes="1" containsNumber="1" minValue="-7.8" maxValue="1.68"/>
    </cacheField>
    <cacheField name="Adj. Type" numFmtId="0">
      <sharedItems/>
    </cacheField>
    <cacheField name="Batch" numFmtId="0">
      <sharedItems containsBlank="1"/>
    </cacheField>
    <cacheField name="Document Date" numFmtId="0">
      <sharedItems containsNonDate="0" containsDate="1" containsString="0" containsBlank="1" minDate="2026-02-17T00:00:00" maxDate="2026-07-20T00:00:00"/>
    </cacheField>
    <cacheField name="Entry Date" numFmtId="0">
      <sharedItems containsNonDate="0" containsDate="1" containsString="0" containsBlank="1" minDate="2026-02-17T00:00:00" maxDate="2026-07-20T00:00:00"/>
    </cacheField>
    <cacheField name="Amt.in Loc.Cur." numFmtId="4">
      <sharedItems containsSemiMixedTypes="0" containsString="0" containsNumber="1" minValue="-230697219.75999999" maxValue="38560000"/>
    </cacheField>
    <cacheField name="Document Header Text" numFmtId="0">
      <sharedItems containsBlank="1"/>
    </cacheField>
    <cacheField name="Bill of Lading" numFmtId="0">
      <sharedItems containsBlank="1"/>
    </cacheField>
    <cacheField name="Special Stock" numFmtId="0">
      <sharedItems containsBlank="1"/>
    </cacheField>
    <cacheField name="Material Doc.Item" numFmtId="0">
      <sharedItems containsBlank="1"/>
    </cacheField>
    <cacheField name="Text" numFmtId="0">
      <sharedItems containsBlank="1"/>
    </cacheField>
    <cacheField name="Reference" numFmtId="0">
      <sharedItems containsBlank="1" containsMixedTypes="1" containsNumber="1" containsInteger="1" minValue="77002872" maxValue="77002872"/>
    </cacheField>
    <cacheField name="Username Full Name" numFmtId="0">
      <sharedItems/>
    </cacheField>
    <cacheField name="Order" numFmtId="0">
      <sharedItems containsBlank="1"/>
    </cacheField>
    <cacheField name="Reservation" numFmtId="0">
      <sharedItems containsBlank="1"/>
    </cacheField>
    <cacheField name="Purchase order" numFmtId="0">
      <sharedItems containsBlank="1"/>
    </cacheField>
    <cacheField name="Company Code" numFmtId="0">
      <sharedItems containsBlank="1"/>
    </cacheField>
    <cacheField name="Item" numFmtId="0">
      <sharedItems containsBlank="1"/>
    </cacheField>
    <cacheField name="Sales Order" numFmtId="0">
      <sharedItems containsBlank="1"/>
    </cacheField>
    <cacheField name="Cost Center" numFmtId="0">
      <sharedItems containsBlank="1"/>
    </cacheField>
    <cacheField name="Customer" numFmtId="0">
      <sharedItems containsBlank="1"/>
    </cacheField>
    <cacheField name="Movement indicator" numFmtId="0">
      <sharedItems containsBlank="1"/>
    </cacheField>
    <cacheField name="Receipt Indicator" numFmtId="0">
      <sharedItems containsBlank="1"/>
    </cacheField>
    <cacheField name="Supplier" numFmtId="0">
      <sharedItems containsBlank="1"/>
    </cacheField>
    <cacheField name="Sales order2" numFmtId="0">
      <sharedItems containsBlank="1"/>
    </cacheField>
    <cacheField name="Material Doc. Year" numFmtId="0">
      <sharedItems containsBlank="1"/>
    </cacheField>
    <cacheField name="User Name" numFmtId="0">
      <sharedItems/>
    </cacheField>
  </cacheFields>
  <extLst>
    <ext xmlns:x14="http://schemas.microsoft.com/office/spreadsheetml/2009/9/main" uri="{725AE2AE-9491-48be-B2B4-4EB974FC3084}">
      <x14:pivotCacheDefinition pivotCacheId="16862691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x v="0"/>
    <x v="0"/>
    <s v="2123"/>
    <s v="CIM"/>
    <s v="GD08"/>
    <s v="1000000040"/>
    <s v="Sesame White Gadarif Raw"/>
    <x v="0"/>
    <x v="0"/>
    <x v="0"/>
    <x v="0"/>
    <x v="0"/>
    <x v="0"/>
    <s v="4900089186"/>
    <d v="2026-03-11T00:00:00"/>
    <d v="1899-12-30T14:15:43"/>
    <s v="GI scrapping"/>
    <s v="551"/>
    <n v="-1.42"/>
    <s v="MT"/>
    <x v="0"/>
    <n v="-1.42"/>
    <n v="-1.42"/>
    <s v="Loss"/>
    <s v="25/26"/>
    <d v="2026-03-11T00:00:00"/>
    <d v="2026-03-11T00:00:00"/>
    <n v="-6484854.4100000001"/>
    <s v=""/>
    <s v=""/>
    <s v=""/>
    <s v="1"/>
    <s v=""/>
    <s v=""/>
    <s v="Ahmed Bakri Abasaied Ata"/>
    <s v=""/>
    <s v="0"/>
    <s v=""/>
    <s v="2100"/>
    <s v="0"/>
    <s v=""/>
    <s v="21011101"/>
    <s v=""/>
    <s v=""/>
    <s v=""/>
    <s v=""/>
    <s v=""/>
    <s v="2026"/>
    <s v="ABBAKRI"/>
  </r>
  <r>
    <x v="1"/>
    <x v="0"/>
    <x v="1"/>
    <s v="2123"/>
    <s v="CIM"/>
    <s v="SGME"/>
    <s v="1000000037"/>
    <s v="Sorghum Raw"/>
    <x v="1"/>
    <x v="1"/>
    <x v="0"/>
    <x v="0"/>
    <x v="0"/>
    <x v="0"/>
    <s v="4900159856"/>
    <d v="2026-07-02T00:00:00"/>
    <d v="1899-12-30T13:09:57"/>
    <s v="RE scrapping"/>
    <s v="552"/>
    <n v="0.27200000000000002"/>
    <s v="MT"/>
    <x v="0"/>
    <n v="0.27200000000000002"/>
    <n v="0.27200000000000002"/>
    <s v="Gain"/>
    <s v="2026"/>
    <d v="2026-07-02T00:00:00"/>
    <d v="2026-07-02T00:00:00"/>
    <n v="268408.44"/>
    <s v="Scale difference - 2021"/>
    <s v=""/>
    <s v=""/>
    <s v="1"/>
    <s v=""/>
    <s v=""/>
    <s v="Ahmed Bakri Abasaied Ata"/>
    <s v=""/>
    <s v="0"/>
    <s v=""/>
    <s v="2100"/>
    <s v="0"/>
    <s v=""/>
    <s v="21011101"/>
    <s v=""/>
    <s v=""/>
    <s v=""/>
    <s v=""/>
    <s v=""/>
    <s v="2026"/>
    <s v="ABBAKRI"/>
  </r>
  <r>
    <x v="2"/>
    <x v="1"/>
    <x v="2"/>
    <s v="2123"/>
    <s v="CIM"/>
    <s v="IMPT"/>
    <s v="4000000058"/>
    <s v="TAT Lentil Red Split 20KG"/>
    <x v="2"/>
    <x v="2"/>
    <x v="1"/>
    <x v="1"/>
    <x v="1"/>
    <x v="1"/>
    <s v="4900109136"/>
    <d v="2026-04-15T00:00:00"/>
    <d v="1899-12-30T10:40:47"/>
    <s v="GI scrapping"/>
    <s v="551"/>
    <n v="-45"/>
    <s v="BAG"/>
    <x v="1"/>
    <n v="-45"/>
    <n v="-0.9"/>
    <s v="Loss"/>
    <s v="0000002386"/>
    <d v="2026-04-15T00:00:00"/>
    <d v="2026-04-15T00:00:00"/>
    <n v="-2853720"/>
    <s v=""/>
    <s v=""/>
    <s v=""/>
    <s v="1"/>
    <s v=""/>
    <s v=""/>
    <s v="Ahmed Bakri Abasaied Ata"/>
    <s v=""/>
    <s v="0"/>
    <s v=""/>
    <s v="2100"/>
    <s v="0"/>
    <s v=""/>
    <s v="21011101"/>
    <s v=""/>
    <s v=""/>
    <s v=""/>
    <s v=""/>
    <s v=""/>
    <s v="2026"/>
    <s v="ABBAKRI"/>
  </r>
  <r>
    <x v="2"/>
    <x v="1"/>
    <x v="3"/>
    <s v="2123"/>
    <s v="CIM"/>
    <s v="IMPT"/>
    <s v="4000000058"/>
    <s v="TAT Lentil Red Split 20KG"/>
    <x v="2"/>
    <x v="2"/>
    <x v="1"/>
    <x v="1"/>
    <x v="1"/>
    <x v="1"/>
    <s v="4900109141"/>
    <d v="2026-04-15T00:00:00"/>
    <d v="1899-12-30T10:43:49"/>
    <s v="GI scrapping"/>
    <s v="551"/>
    <n v="-43"/>
    <s v="BAG"/>
    <x v="1"/>
    <n v="-43"/>
    <n v="-0.86"/>
    <s v="Loss"/>
    <s v="0000001187"/>
    <d v="2026-04-15T00:00:00"/>
    <d v="2026-04-15T00:00:00"/>
    <n v="-2726888"/>
    <s v="MV SHIBA"/>
    <s v=""/>
    <s v=""/>
    <s v="1"/>
    <s v=""/>
    <s v=""/>
    <s v="Ahmed Bakri Abasaied Ata"/>
    <s v=""/>
    <s v="0"/>
    <s v=""/>
    <s v="2100"/>
    <s v="0"/>
    <s v=""/>
    <s v="21011101"/>
    <s v=""/>
    <s v=""/>
    <s v=""/>
    <s v=""/>
    <s v=""/>
    <s v="2026"/>
    <s v="ABBAKRI"/>
  </r>
  <r>
    <x v="3"/>
    <x v="2"/>
    <x v="4"/>
    <s v="2123"/>
    <s v="CIM"/>
    <s v="IMPT"/>
    <s v="4000000058"/>
    <s v="TAT Lentil Red Split 20KG"/>
    <x v="2"/>
    <x v="2"/>
    <x v="1"/>
    <x v="1"/>
    <x v="2"/>
    <x v="0"/>
    <s v="4900155341"/>
    <d v="2026-06-24T00:00:00"/>
    <d v="1899-12-30T17:05:57"/>
    <s v="RE scrapping"/>
    <s v="552"/>
    <n v="69"/>
    <s v="BAG"/>
    <x v="1"/>
    <n v="69"/>
    <n v="1.38"/>
    <s v="Gain"/>
    <s v="0000002974"/>
    <d v="2026-06-24T00:00:00"/>
    <d v="2026-06-24T00:00:00"/>
    <n v="4818700.5599999996"/>
    <s v="MVSummit Xiamen-3700 Over"/>
    <s v=""/>
    <s v=""/>
    <s v="1"/>
    <s v=""/>
    <s v=""/>
    <s v="Ahmed Bakri Abasaied Ata"/>
    <s v=""/>
    <s v="0"/>
    <s v=""/>
    <s v="2100"/>
    <s v="0"/>
    <s v=""/>
    <s v="21011101"/>
    <s v=""/>
    <s v=""/>
    <s v=""/>
    <s v=""/>
    <s v=""/>
    <s v="2026"/>
    <s v="ABBAKRI"/>
  </r>
  <r>
    <x v="3"/>
    <x v="2"/>
    <x v="5"/>
    <s v="2123"/>
    <s v="CIM"/>
    <s v="IMPT"/>
    <s v="4000000058"/>
    <s v="TAT Lentil Red Split 20KG"/>
    <x v="2"/>
    <x v="2"/>
    <x v="1"/>
    <x v="1"/>
    <x v="2"/>
    <x v="0"/>
    <s v="4900155347"/>
    <d v="2026-06-24T00:00:00"/>
    <d v="1899-12-30T17:07:47"/>
    <s v="RE scrapping"/>
    <s v="552"/>
    <n v="84"/>
    <s v="BAG"/>
    <x v="1"/>
    <n v="84"/>
    <n v="1.68"/>
    <s v="Gain"/>
    <s v="0000002974"/>
    <d v="2026-06-24T00:00:00"/>
    <d v="2026-06-24T00:00:00"/>
    <n v="5866244.1600000001"/>
    <s v="MVSummit Xiamen-3701 Over"/>
    <s v=""/>
    <s v=""/>
    <s v="1"/>
    <s v=""/>
    <s v=""/>
    <s v="Ahmed Bakri Abasaied Ata"/>
    <s v=""/>
    <s v="0"/>
    <s v=""/>
    <s v="2100"/>
    <s v="0"/>
    <s v=""/>
    <s v="21011101"/>
    <s v=""/>
    <s v=""/>
    <s v=""/>
    <s v=""/>
    <s v=""/>
    <s v="2026"/>
    <s v="ABBAKRI"/>
  </r>
  <r>
    <x v="3"/>
    <x v="2"/>
    <x v="6"/>
    <s v="2123"/>
    <s v="CIM"/>
    <s v="IMPT"/>
    <s v="4000000058"/>
    <s v="TAT Lentil Red Split 20KG"/>
    <x v="2"/>
    <x v="2"/>
    <x v="1"/>
    <x v="1"/>
    <x v="2"/>
    <x v="0"/>
    <s v="4900155350"/>
    <d v="2026-06-24T00:00:00"/>
    <d v="1899-12-30T17:09:13"/>
    <s v="RE scrapping"/>
    <s v="552"/>
    <n v="78"/>
    <s v="BAG"/>
    <x v="1"/>
    <n v="78"/>
    <n v="1.56"/>
    <s v="Gain"/>
    <s v="0000002974"/>
    <d v="2026-06-24T00:00:00"/>
    <d v="2026-06-24T00:00:00"/>
    <n v="5447226.7199999997"/>
    <s v="MVSummit Xiamen 3702 Over"/>
    <s v=""/>
    <s v=""/>
    <s v="1"/>
    <s v=""/>
    <s v=""/>
    <s v="Ahmed Bakri Abasaied Ata"/>
    <s v=""/>
    <s v="0"/>
    <s v=""/>
    <s v="2100"/>
    <s v="0"/>
    <s v=""/>
    <s v="21011101"/>
    <s v=""/>
    <s v=""/>
    <s v=""/>
    <s v=""/>
    <s v=""/>
    <s v="2026"/>
    <s v="ABBAKRI"/>
  </r>
  <r>
    <x v="3"/>
    <x v="2"/>
    <x v="7"/>
    <s v="2123"/>
    <s v="CIM"/>
    <s v="IMPT"/>
    <s v="4000000058"/>
    <s v="TAT Lentil Red Split 20KG"/>
    <x v="2"/>
    <x v="2"/>
    <x v="1"/>
    <x v="1"/>
    <x v="2"/>
    <x v="0"/>
    <s v="4900158836"/>
    <d v="2026-06-30T00:00:00"/>
    <d v="1899-12-30T16:02:05"/>
    <s v="RE scrapping"/>
    <s v="552"/>
    <n v="80"/>
    <s v="BAG"/>
    <x v="1"/>
    <n v="80"/>
    <n v="1.6"/>
    <s v="Gain"/>
    <s v="2026"/>
    <d v="2026-06-30T00:00:00"/>
    <d v="2026-06-30T00:00:00"/>
    <n v="5586899.2000000002"/>
    <s v="MVSummit Xiamen 4200 Over"/>
    <s v=""/>
    <s v=""/>
    <s v="1"/>
    <s v=""/>
    <s v=""/>
    <s v="Ahmed Bakri Abasaied Ata"/>
    <s v=""/>
    <s v="0"/>
    <s v=""/>
    <s v="2100"/>
    <s v="0"/>
    <s v=""/>
    <s v="21011101"/>
    <s v=""/>
    <s v=""/>
    <s v=""/>
    <s v=""/>
    <s v=""/>
    <s v="2026"/>
    <s v="ABBAKRI"/>
  </r>
  <r>
    <x v="3"/>
    <x v="2"/>
    <x v="8"/>
    <s v="2123"/>
    <s v="CIM"/>
    <s v="IMPT"/>
    <s v="4000000058"/>
    <s v="TAT Lentil Red Split 20KG"/>
    <x v="2"/>
    <x v="2"/>
    <x v="1"/>
    <x v="1"/>
    <x v="2"/>
    <x v="0"/>
    <s v="4900158837"/>
    <d v="2026-06-30T00:00:00"/>
    <d v="1899-12-30T16:02:52"/>
    <s v="RE scrapping"/>
    <s v="552"/>
    <n v="55"/>
    <s v="BAG"/>
    <x v="1"/>
    <n v="55"/>
    <n v="1.1000000000000001"/>
    <s v="Gain"/>
    <s v="2026"/>
    <d v="2026-06-30T00:00:00"/>
    <d v="2026-06-30T00:00:00"/>
    <n v="3840993.2"/>
    <s v="MVSummit Xiamen 4201 Over"/>
    <s v=""/>
    <s v=""/>
    <s v="1"/>
    <s v=""/>
    <s v=""/>
    <s v="Ahmed Bakri Abasaied Ata"/>
    <s v=""/>
    <s v="0"/>
    <s v=""/>
    <s v="2100"/>
    <s v="0"/>
    <s v=""/>
    <s v="21011101"/>
    <s v=""/>
    <s v=""/>
    <s v=""/>
    <s v=""/>
    <s v=""/>
    <s v="2026"/>
    <s v="ABBAKRI"/>
  </r>
  <r>
    <x v="3"/>
    <x v="2"/>
    <x v="9"/>
    <s v="2123"/>
    <s v="CIM"/>
    <s v="IMPT"/>
    <s v="4000000058"/>
    <s v="TAT Lentil Red Split 20KG"/>
    <x v="2"/>
    <x v="2"/>
    <x v="1"/>
    <x v="1"/>
    <x v="2"/>
    <x v="0"/>
    <s v="4900158838"/>
    <d v="2026-06-30T00:00:00"/>
    <d v="1899-12-30T16:03:41"/>
    <s v="RE scrapping"/>
    <s v="552"/>
    <n v="74"/>
    <s v="BAG"/>
    <x v="1"/>
    <n v="74"/>
    <n v="1.48"/>
    <s v="Gain"/>
    <s v="2026"/>
    <d v="2026-06-30T00:00:00"/>
    <d v="2026-06-30T00:00:00"/>
    <n v="5167881.76"/>
    <s v="MVSummit Xiamen 4202 Over"/>
    <s v=""/>
    <s v=""/>
    <s v="1"/>
    <s v=""/>
    <s v=""/>
    <s v="Ahmed Bakri Abasaied Ata"/>
    <s v=""/>
    <s v="0"/>
    <s v=""/>
    <s v="2100"/>
    <s v="0"/>
    <s v=""/>
    <s v="21011101"/>
    <s v=""/>
    <s v=""/>
    <s v=""/>
    <s v=""/>
    <s v=""/>
    <s v="2026"/>
    <s v="ABBAKRI"/>
  </r>
  <r>
    <x v="3"/>
    <x v="2"/>
    <x v="10"/>
    <s v="2123"/>
    <s v="CIM"/>
    <s v="IMPT"/>
    <s v="4000000058"/>
    <s v="TAT Lentil Red Split 20KG"/>
    <x v="2"/>
    <x v="2"/>
    <x v="1"/>
    <x v="1"/>
    <x v="2"/>
    <x v="0"/>
    <s v="4900158839"/>
    <d v="2026-06-30T00:00:00"/>
    <d v="1899-12-30T16:04:38"/>
    <s v="RE scrapping"/>
    <s v="552"/>
    <n v="27"/>
    <s v="BAG"/>
    <x v="1"/>
    <n v="27"/>
    <n v="0.54"/>
    <s v="Gain"/>
    <s v="2026"/>
    <d v="2026-06-30T00:00:00"/>
    <d v="2026-06-30T00:00:00"/>
    <n v="1885578.48"/>
    <s v="MVSummit Xiamen 4203 Over"/>
    <s v=""/>
    <s v=""/>
    <s v="1"/>
    <s v=""/>
    <s v=""/>
    <s v="Ahmed Bakri Abasaied Ata"/>
    <s v=""/>
    <s v="0"/>
    <s v=""/>
    <s v="2100"/>
    <s v="0"/>
    <s v=""/>
    <s v="21011101"/>
    <s v=""/>
    <s v=""/>
    <s v=""/>
    <s v=""/>
    <s v=""/>
    <s v="2026"/>
    <s v="ABBAKRI"/>
  </r>
  <r>
    <x v="3"/>
    <x v="2"/>
    <x v="11"/>
    <s v="2123"/>
    <s v="CIM"/>
    <s v="IMPT"/>
    <s v="4000000058"/>
    <s v="TAT Lentil Red Split 20KG"/>
    <x v="2"/>
    <x v="2"/>
    <x v="1"/>
    <x v="1"/>
    <x v="2"/>
    <x v="0"/>
    <s v="4900158840"/>
    <d v="2026-06-30T00:00:00"/>
    <d v="1899-12-30T16:05:37"/>
    <s v="RE scrapping"/>
    <s v="552"/>
    <n v="48"/>
    <s v="BAG"/>
    <x v="1"/>
    <n v="48"/>
    <n v="0.96"/>
    <s v="Gain"/>
    <s v="2026"/>
    <d v="2026-06-30T00:00:00"/>
    <d v="2026-06-30T00:00:00"/>
    <n v="3352139.52"/>
    <s v="MVSummit Xiamen 4204 Over"/>
    <s v=""/>
    <s v=""/>
    <s v="1"/>
    <s v=""/>
    <s v=""/>
    <s v="Ahmed Bakri Abasaied Ata"/>
    <s v=""/>
    <s v="0"/>
    <s v=""/>
    <s v="2100"/>
    <s v="0"/>
    <s v=""/>
    <s v="21011101"/>
    <s v=""/>
    <s v=""/>
    <s v=""/>
    <s v=""/>
    <s v=""/>
    <s v="2026"/>
    <s v="ABBAKRI"/>
  </r>
  <r>
    <x v="3"/>
    <x v="2"/>
    <x v="12"/>
    <s v="2123"/>
    <s v="CIM"/>
    <s v="IMPT"/>
    <s v="4000000058"/>
    <s v="TAT Lentil Red Split 20KG"/>
    <x v="2"/>
    <x v="2"/>
    <x v="1"/>
    <x v="1"/>
    <x v="2"/>
    <x v="0"/>
    <s v="4900158841"/>
    <d v="2026-06-30T00:00:00"/>
    <d v="1899-12-30T16:06:35"/>
    <s v="RE scrapping"/>
    <s v="552"/>
    <n v="46"/>
    <s v="BAG"/>
    <x v="1"/>
    <n v="46"/>
    <n v="0.92"/>
    <s v="Gain"/>
    <s v="2026"/>
    <d v="2026-06-30T00:00:00"/>
    <d v="2026-06-30T00:00:00"/>
    <n v="3212467.04"/>
    <s v="MVSummit Xiamen 4205 Over"/>
    <s v=""/>
    <s v=""/>
    <s v="1"/>
    <s v=""/>
    <s v=""/>
    <s v="Ahmed Bakri Abasaied Ata"/>
    <s v=""/>
    <s v="0"/>
    <s v=""/>
    <s v="2100"/>
    <s v="0"/>
    <s v=""/>
    <s v="21011101"/>
    <s v=""/>
    <s v=""/>
    <s v=""/>
    <s v=""/>
    <s v=""/>
    <s v="2026"/>
    <s v="ABBAKRI"/>
  </r>
  <r>
    <x v="0"/>
    <x v="3"/>
    <x v="13"/>
    <s v="2123"/>
    <s v="CIM"/>
    <s v="E002"/>
    <s v="4000000060"/>
    <s v="Dalian Rice Short Grain 25KG"/>
    <x v="3"/>
    <x v="3"/>
    <x v="1"/>
    <x v="1"/>
    <x v="3"/>
    <x v="0"/>
    <s v="4900100159"/>
    <d v="2026-03-31T00:00:00"/>
    <d v="1899-12-30T08:55:05"/>
    <s v="GI scrapping"/>
    <s v="551"/>
    <n v="-213"/>
    <s v="BAG"/>
    <x v="1"/>
    <n v="-213"/>
    <n v="-5.3250000000000002"/>
    <s v="Loss"/>
    <s v="CUTOVER"/>
    <d v="2026-03-31T00:00:00"/>
    <d v="2026-03-31T00:00:00"/>
    <n v="-15498229.32"/>
    <s v="Elimination"/>
    <s v=""/>
    <s v=""/>
    <s v="2"/>
    <s v=""/>
    <s v=""/>
    <s v="Ahmed Bakri Abasaied Ata"/>
    <s v=""/>
    <s v="0"/>
    <s v=""/>
    <s v="2100"/>
    <s v="0"/>
    <s v=""/>
    <s v="21011101"/>
    <s v=""/>
    <s v=""/>
    <s v=""/>
    <s v=""/>
    <s v=""/>
    <s v="2026"/>
    <s v="ABBAKRI"/>
  </r>
  <r>
    <x v="0"/>
    <x v="3"/>
    <x v="13"/>
    <s v="2123"/>
    <s v="CIM"/>
    <s v="E002"/>
    <s v="4000000063"/>
    <s v="Tabagna Rice Long Grain 20KG"/>
    <x v="4"/>
    <x v="3"/>
    <x v="1"/>
    <x v="1"/>
    <x v="3"/>
    <x v="0"/>
    <s v="4900100159"/>
    <d v="2026-03-31T00:00:00"/>
    <d v="1899-12-30T08:55:05"/>
    <s v="GI scrapping"/>
    <s v="551"/>
    <n v="-2"/>
    <s v="BAG"/>
    <x v="1"/>
    <n v="-2"/>
    <n v="-0.04"/>
    <s v="Loss"/>
    <s v="CUTOVER"/>
    <d v="2026-03-31T00:00:00"/>
    <d v="2026-03-31T00:00:00"/>
    <n v="-69272.72"/>
    <s v="Elimination"/>
    <s v=""/>
    <s v=""/>
    <s v="4"/>
    <s v=""/>
    <s v=""/>
    <s v="Ahmed Bakri Abasaied Ata"/>
    <s v=""/>
    <s v="0"/>
    <s v=""/>
    <s v="2100"/>
    <s v="0"/>
    <s v=""/>
    <s v="21011101"/>
    <s v=""/>
    <s v=""/>
    <s v=""/>
    <s v=""/>
    <s v=""/>
    <s v="2026"/>
    <s v="ABBAKRI"/>
  </r>
  <r>
    <x v="0"/>
    <x v="3"/>
    <x v="13"/>
    <s v="2123"/>
    <s v="CIM"/>
    <s v="E002"/>
    <s v="7000000025"/>
    <s v="Damaged NC Rice Short Grain 25Kg"/>
    <x v="5"/>
    <x v="3"/>
    <x v="1"/>
    <x v="1"/>
    <x v="3"/>
    <x v="0"/>
    <s v="4900100159"/>
    <d v="2026-03-31T00:00:00"/>
    <d v="1899-12-30T08:55:05"/>
    <s v="GI scrapping"/>
    <s v="551"/>
    <n v="-50"/>
    <s v="BAG"/>
    <x v="1"/>
    <n v="-50"/>
    <n v="-1.25"/>
    <s v="Loss"/>
    <s v=""/>
    <d v="2026-03-31T00:00:00"/>
    <d v="2026-03-31T00:00:00"/>
    <n v="-50"/>
    <s v="Elimination"/>
    <s v=""/>
    <s v=""/>
    <s v="3"/>
    <s v=""/>
    <s v=""/>
    <s v="Ahmed Bakri Abasaied Ata"/>
    <s v=""/>
    <s v="0"/>
    <s v=""/>
    <s v="2100"/>
    <s v="0"/>
    <s v=""/>
    <s v="21011101"/>
    <s v=""/>
    <s v=""/>
    <s v=""/>
    <s v=""/>
    <s v=""/>
    <s v="2026"/>
    <s v="ABBAKRI"/>
  </r>
  <r>
    <x v="2"/>
    <x v="3"/>
    <x v="14"/>
    <s v="2123"/>
    <s v="CIM"/>
    <s v="RK02"/>
    <s v="4000000008"/>
    <s v="Alnajm Flour 25Kg"/>
    <x v="6"/>
    <x v="4"/>
    <x v="1"/>
    <x v="1"/>
    <x v="3"/>
    <x v="0"/>
    <s v="4900118417"/>
    <d v="2026-04-29T00:00:00"/>
    <d v="1899-12-30T12:32:17"/>
    <s v="GI scrapping"/>
    <s v="551"/>
    <n v="-132"/>
    <s v="BAG"/>
    <x v="1"/>
    <n v="-132"/>
    <n v="-3.3"/>
    <s v="Loss"/>
    <s v="CUTOVER"/>
    <d v="2026-04-29T00:00:00"/>
    <d v="2026-04-29T00:00:00"/>
    <n v="-4969323.4800000004"/>
    <s v="NCR"/>
    <s v=""/>
    <s v=""/>
    <s v="5"/>
    <s v=""/>
    <s v=""/>
    <s v="Ahmed Bakri Abasaied Ata"/>
    <s v=""/>
    <s v="0"/>
    <s v=""/>
    <s v="2100"/>
    <s v="0"/>
    <s v=""/>
    <s v="21011101"/>
    <s v=""/>
    <s v=""/>
    <s v=""/>
    <s v=""/>
    <s v=""/>
    <s v="2026"/>
    <s v="ABBAKRI"/>
  </r>
  <r>
    <x v="2"/>
    <x v="3"/>
    <x v="14"/>
    <s v="2123"/>
    <s v="CIM"/>
    <s v="RK02"/>
    <s v="4000000008"/>
    <s v="Alnajm Flour 25Kg"/>
    <x v="6"/>
    <x v="4"/>
    <x v="1"/>
    <x v="1"/>
    <x v="3"/>
    <x v="0"/>
    <s v="4900118417"/>
    <d v="2026-04-29T00:00:00"/>
    <d v="1899-12-30T12:32:17"/>
    <s v="GI scrapping"/>
    <s v="551"/>
    <n v="-30"/>
    <s v="BAG"/>
    <x v="1"/>
    <n v="-30"/>
    <n v="-0.75"/>
    <s v="Loss"/>
    <s v="CUTOVER"/>
    <d v="2026-04-29T00:00:00"/>
    <d v="2026-04-29T00:00:00"/>
    <n v="-1129391.7"/>
    <s v="NCR"/>
    <s v=""/>
    <s v=""/>
    <s v="4"/>
    <s v=""/>
    <s v=""/>
    <s v="Ahmed Bakri Abasaied Ata"/>
    <s v=""/>
    <s v="0"/>
    <s v=""/>
    <s v="2100"/>
    <s v="0"/>
    <s v=""/>
    <s v="21011101"/>
    <s v=""/>
    <s v=""/>
    <s v=""/>
    <s v=""/>
    <s v=""/>
    <s v="2026"/>
    <s v="ABBAKRI"/>
  </r>
  <r>
    <x v="2"/>
    <x v="3"/>
    <x v="15"/>
    <s v="2123"/>
    <s v="CIM"/>
    <s v="KO02"/>
    <s v="4000000008"/>
    <s v="Alnajm Flour 25Kg"/>
    <x v="6"/>
    <x v="4"/>
    <x v="1"/>
    <x v="1"/>
    <x v="3"/>
    <x v="0"/>
    <s v="4900118417"/>
    <d v="2026-04-29T00:00:00"/>
    <d v="1899-12-30T12:32:17"/>
    <s v="GI scrapping"/>
    <s v="551"/>
    <n v="-4"/>
    <s v="BAG"/>
    <x v="1"/>
    <n v="-4"/>
    <n v="-0.1"/>
    <s v="Loss"/>
    <s v="CUTOVER"/>
    <d v="2026-04-29T00:00:00"/>
    <d v="2026-04-29T00:00:00"/>
    <n v="-150585.56"/>
    <s v="NCR"/>
    <s v=""/>
    <s v=""/>
    <s v="1"/>
    <s v=""/>
    <s v=""/>
    <s v="Ahmed Bakri Abasaied Ata"/>
    <s v=""/>
    <s v="0"/>
    <s v=""/>
    <s v="2100"/>
    <s v="0"/>
    <s v=""/>
    <s v="21011101"/>
    <s v=""/>
    <s v=""/>
    <s v=""/>
    <s v=""/>
    <s v=""/>
    <s v="2026"/>
    <s v="ABBAKRI"/>
  </r>
  <r>
    <x v="2"/>
    <x v="3"/>
    <x v="14"/>
    <s v="2123"/>
    <s v="CIM"/>
    <s v="RK02"/>
    <s v="4000000082"/>
    <s v="Alnajm Wheat Flour 25Kg Imp"/>
    <x v="7"/>
    <x v="4"/>
    <x v="1"/>
    <x v="1"/>
    <x v="3"/>
    <x v="0"/>
    <s v="4900118417"/>
    <d v="2026-04-29T00:00:00"/>
    <d v="1899-12-30T12:32:17"/>
    <s v="GI scrapping"/>
    <s v="551"/>
    <n v="-312"/>
    <s v="BAG"/>
    <x v="1"/>
    <n v="-312"/>
    <n v="-7.8"/>
    <s v="Loss"/>
    <s v="CUTOVER"/>
    <d v="2026-04-29T00:00:00"/>
    <d v="2026-04-29T00:00:00"/>
    <n v="-11901240"/>
    <s v="NCR"/>
    <s v=""/>
    <s v=""/>
    <s v="3"/>
    <s v=""/>
    <s v=""/>
    <s v="Ahmed Bakri Abasaied Ata"/>
    <s v=""/>
    <s v="0"/>
    <s v=""/>
    <s v="2100"/>
    <s v="0"/>
    <s v=""/>
    <s v="21011101"/>
    <s v=""/>
    <s v=""/>
    <s v=""/>
    <s v=""/>
    <s v=""/>
    <s v="2026"/>
    <s v="ABBAKRI"/>
  </r>
  <r>
    <x v="2"/>
    <x v="3"/>
    <x v="14"/>
    <s v="2123"/>
    <s v="CIM"/>
    <s v="RK02"/>
    <s v="4000000082"/>
    <s v="Alnajm Wheat Flour 25Kg Imp"/>
    <x v="7"/>
    <x v="4"/>
    <x v="1"/>
    <x v="1"/>
    <x v="3"/>
    <x v="0"/>
    <s v="4900118417"/>
    <d v="2026-04-29T00:00:00"/>
    <d v="1899-12-30T12:32:17"/>
    <s v="GI scrapping"/>
    <s v="551"/>
    <n v="-18"/>
    <s v="BAG"/>
    <x v="1"/>
    <n v="-18"/>
    <n v="-0.45"/>
    <s v="Loss"/>
    <s v="CUTOVER"/>
    <d v="2026-04-29T00:00:00"/>
    <d v="2026-04-29T00:00:00"/>
    <n v="-686610"/>
    <s v="NCR"/>
    <s v=""/>
    <s v=""/>
    <s v="2"/>
    <s v=""/>
    <s v=""/>
    <s v="Ahmed Bakri Abasaied Ata"/>
    <s v=""/>
    <s v="0"/>
    <s v=""/>
    <s v="2100"/>
    <s v="0"/>
    <s v=""/>
    <s v="21011101"/>
    <s v=""/>
    <s v=""/>
    <s v=""/>
    <s v=""/>
    <s v=""/>
    <s v="2026"/>
    <s v="ABBAKRI"/>
  </r>
  <r>
    <x v="3"/>
    <x v="3"/>
    <x v="16"/>
    <s v="2123"/>
    <s v="CIM"/>
    <s v="BL01"/>
    <s v="3000000065"/>
    <s v="Tank Flexi Oil"/>
    <x v="8"/>
    <x v="5"/>
    <x v="0"/>
    <x v="1"/>
    <x v="3"/>
    <x v="0"/>
    <s v="4900146384"/>
    <d v="2026-06-10T00:00:00"/>
    <d v="1899-12-30T15:57:20"/>
    <s v="TF tfr ps.mat.to mat"/>
    <s v="309"/>
    <n v="-229"/>
    <s v="SET"/>
    <x v="2"/>
    <n v="-229"/>
    <s v="-"/>
    <s v="Loss"/>
    <s v="CUTOVER"/>
    <d v="2026-06-10T00:00:00"/>
    <d v="2026-06-10T00:00:00"/>
    <n v="-230697219.75999999"/>
    <s v="NC 140 RECLASSIFICATION"/>
    <s v=""/>
    <s v=""/>
    <s v="1"/>
    <s v=""/>
    <s v=""/>
    <s v="Ahmed Bakri Abasaied Ata"/>
    <s v=""/>
    <s v="0"/>
    <s v=""/>
    <s v="2100"/>
    <s v="0"/>
    <s v=""/>
    <s v=""/>
    <s v=""/>
    <s v=""/>
    <s v=""/>
    <s v=""/>
    <s v=""/>
    <s v="2026"/>
    <s v="ABBAKRI"/>
  </r>
  <r>
    <x v="3"/>
    <x v="3"/>
    <x v="16"/>
    <s v="2123"/>
    <s v="CIM"/>
    <s v="BL01"/>
    <s v="7000000092"/>
    <s v="Damaged NC Flexi Tank"/>
    <x v="9"/>
    <x v="5"/>
    <x v="0"/>
    <x v="1"/>
    <x v="3"/>
    <x v="0"/>
    <s v="4900146384"/>
    <d v="2026-06-10T00:00:00"/>
    <d v="1899-12-30T15:57:20"/>
    <s v="TF tfr ps.mat.to mat"/>
    <s v="309"/>
    <n v="229"/>
    <s v="SET"/>
    <x v="2"/>
    <n v="229"/>
    <s v="-"/>
    <s v="Gain"/>
    <s v=""/>
    <d v="2026-06-10T00:00:00"/>
    <d v="2026-06-10T00:00:00"/>
    <n v="38560000"/>
    <s v="NC 140 RECLASSIFICATION"/>
    <s v=""/>
    <s v=""/>
    <s v="2"/>
    <s v=""/>
    <s v=""/>
    <s v="Ahmed Bakri Abasaied Ata"/>
    <s v=""/>
    <s v="0"/>
    <s v=""/>
    <s v="2100"/>
    <s v="0"/>
    <s v=""/>
    <s v=""/>
    <s v=""/>
    <s v=""/>
    <s v=""/>
    <s v=""/>
    <s v=""/>
    <s v="2026"/>
    <s v="ABBAKRI"/>
  </r>
  <r>
    <x v="1"/>
    <x v="3"/>
    <x v="17"/>
    <s v="2123"/>
    <s v="CIM"/>
    <s v="ISIM"/>
    <s v="4000000062"/>
    <s v="Alnajm Rice Long Grain Parboiled G2 20KG"/>
    <x v="4"/>
    <x v="3"/>
    <x v="1"/>
    <x v="1"/>
    <x v="3"/>
    <x v="0"/>
    <s v="4900163023"/>
    <d v="2026-07-08T00:00:00"/>
    <d v="1899-12-30T11:06:40"/>
    <s v="GI scrapping"/>
    <s v="551"/>
    <n v="-20"/>
    <s v="BAG"/>
    <x v="1"/>
    <n v="-20"/>
    <n v="-0.4"/>
    <s v="Loss"/>
    <s v="CUTOVER"/>
    <d v="2026-07-08T00:00:00"/>
    <d v="2026-07-08T00:00:00"/>
    <n v="-947906"/>
    <s v="NC (DBA-IR-FP-01)"/>
    <s v=""/>
    <s v=""/>
    <s v="1"/>
    <s v=""/>
    <s v=""/>
    <s v="Ahmed Bakri Abasaied Ata"/>
    <s v=""/>
    <s v="0"/>
    <s v=""/>
    <s v="2100"/>
    <s v="0"/>
    <s v=""/>
    <s v="21011101"/>
    <s v=""/>
    <s v=""/>
    <s v=""/>
    <s v=""/>
    <s v=""/>
    <s v="2026"/>
    <s v="ABBAKRI"/>
  </r>
  <r>
    <x v="1"/>
    <x v="3"/>
    <x v="17"/>
    <s v="2123"/>
    <s v="CIM"/>
    <s v="ISIM"/>
    <s v="7000000084"/>
    <s v="Damaged NC Rice Long Grain 20Kg"/>
    <x v="5"/>
    <x v="3"/>
    <x v="1"/>
    <x v="1"/>
    <x v="3"/>
    <x v="0"/>
    <s v="4900163023"/>
    <d v="2026-07-08T00:00:00"/>
    <d v="1899-12-30T11:06:40"/>
    <s v="RE scrapping"/>
    <s v="552"/>
    <n v="20"/>
    <s v="BAG"/>
    <x v="1"/>
    <n v="20"/>
    <n v="0.4"/>
    <s v="Gain"/>
    <s v=""/>
    <d v="2026-07-08T00:00:00"/>
    <d v="2026-07-08T00:00:00"/>
    <n v="100000"/>
    <s v="NC (DBA-IR-FP-01)"/>
    <s v=""/>
    <s v=""/>
    <s v="2"/>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24"/>
    <s v="BAG"/>
    <x v="1"/>
    <n v="-24"/>
    <n v="-0.48"/>
    <s v="Loss"/>
    <s v="CUTOVER"/>
    <d v="2026-05-11T00:00:00"/>
    <d v="2026-05-11T00:00:00"/>
    <n v="-1662672"/>
    <s v="NCR"/>
    <s v=""/>
    <s v=""/>
    <s v="1"/>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5"/>
    <s v="BAG"/>
    <x v="1"/>
    <n v="-5"/>
    <n v="-0.1"/>
    <s v="Loss"/>
    <s v="CUTOVER"/>
    <d v="2026-05-11T00:00:00"/>
    <d v="2026-05-11T00:00:00"/>
    <n v="-346390"/>
    <s v="NCR"/>
    <s v=""/>
    <s v=""/>
    <s v="2"/>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7"/>
    <s v="BAG"/>
    <x v="1"/>
    <n v="-7"/>
    <n v="-0.14000000000000001"/>
    <s v="Loss"/>
    <s v="CUTOVER"/>
    <d v="2026-05-11T00:00:00"/>
    <d v="2026-05-11T00:00:00"/>
    <n v="-484946"/>
    <s v="NCR"/>
    <s v=""/>
    <s v=""/>
    <s v="3"/>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1"/>
    <s v="BAG"/>
    <x v="1"/>
    <n v="-1"/>
    <n v="-0.02"/>
    <s v="Loss"/>
    <s v="CUTOVER"/>
    <d v="2026-05-11T00:00:00"/>
    <d v="2026-05-11T00:00:00"/>
    <n v="-69278"/>
    <s v="NCR"/>
    <s v=""/>
    <s v=""/>
    <s v="4"/>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1"/>
    <s v="BAG"/>
    <x v="1"/>
    <n v="-1"/>
    <n v="-0.02"/>
    <s v="Loss"/>
    <s v="CUTOVER"/>
    <d v="2026-05-11T00:00:00"/>
    <d v="2026-05-11T00:00:00"/>
    <n v="-69278"/>
    <s v="NCR"/>
    <s v=""/>
    <s v=""/>
    <s v="5"/>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4"/>
    <s v="BAG"/>
    <x v="1"/>
    <n v="-4"/>
    <n v="-0.08"/>
    <s v="Loss"/>
    <s v="CUTOVER"/>
    <d v="2026-05-11T00:00:00"/>
    <d v="2026-05-11T00:00:00"/>
    <n v="-277112"/>
    <s v="NCR"/>
    <s v=""/>
    <s v=""/>
    <s v="6"/>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8"/>
    <s v="BAG"/>
    <x v="1"/>
    <n v="-8"/>
    <n v="-0.16"/>
    <s v="Loss"/>
    <s v="CUTOVER"/>
    <d v="2026-05-11T00:00:00"/>
    <d v="2026-05-11T00:00:00"/>
    <n v="-554224"/>
    <s v="NCR"/>
    <s v=""/>
    <s v=""/>
    <s v="7"/>
    <s v=""/>
    <s v=""/>
    <s v="Ahmed Bakri Abasaied Ata"/>
    <s v=""/>
    <s v="0"/>
    <s v=""/>
    <s v="2100"/>
    <s v="0"/>
    <s v=""/>
    <s v="21011101"/>
    <s v=""/>
    <s v=""/>
    <s v=""/>
    <s v=""/>
    <s v=""/>
    <s v="2026"/>
    <s v="ABBAKRI"/>
  </r>
  <r>
    <x v="4"/>
    <x v="4"/>
    <x v="18"/>
    <s v="2123"/>
    <s v="CIM"/>
    <s v="E002"/>
    <s v="4000000058"/>
    <s v="TAT Lentil Red Split 20KG"/>
    <x v="2"/>
    <x v="2"/>
    <x v="1"/>
    <x v="1"/>
    <x v="3"/>
    <x v="0"/>
    <s v="4900126665"/>
    <d v="2026-05-11T00:00:00"/>
    <d v="1899-12-30T11:19:50"/>
    <s v="GI scrapping"/>
    <s v="551"/>
    <n v="-27"/>
    <s v="BAG"/>
    <x v="1"/>
    <n v="-27"/>
    <n v="-0.54"/>
    <s v="Loss"/>
    <s v="CUTOVER"/>
    <d v="2026-05-11T00:00:00"/>
    <d v="2026-05-11T00:00:00"/>
    <n v="-1870506"/>
    <s v="NCR"/>
    <s v=""/>
    <s v=""/>
    <s v="8"/>
    <s v=""/>
    <s v=""/>
    <s v="Ahmed Bakri Abasaied Ata"/>
    <s v=""/>
    <s v="0"/>
    <s v=""/>
    <s v="2100"/>
    <s v="0"/>
    <s v=""/>
    <s v="21011101"/>
    <s v=""/>
    <s v=""/>
    <s v=""/>
    <s v=""/>
    <s v=""/>
    <s v="2026"/>
    <s v="ABBAKRI"/>
  </r>
  <r>
    <x v="4"/>
    <x v="4"/>
    <x v="18"/>
    <s v="2123"/>
    <s v="CIM"/>
    <s v="TX01"/>
    <s v="4000000058"/>
    <s v="TAT Lentil Red Split 20KG"/>
    <x v="2"/>
    <x v="2"/>
    <x v="1"/>
    <x v="1"/>
    <x v="3"/>
    <x v="0"/>
    <s v="4900126665"/>
    <d v="2026-05-11T00:00:00"/>
    <d v="1899-12-30T11:19:50"/>
    <s v="GI scrapping"/>
    <s v="551"/>
    <n v="-4"/>
    <s v="BAG"/>
    <x v="1"/>
    <n v="-4"/>
    <n v="-0.08"/>
    <s v="Loss"/>
    <s v="0000001187"/>
    <d v="2026-05-11T00:00:00"/>
    <d v="2026-05-11T00:00:00"/>
    <n v="-277112"/>
    <s v="NCR"/>
    <s v=""/>
    <s v=""/>
    <s v="9"/>
    <s v=""/>
    <s v=""/>
    <s v="Ahmed Bakri Abasaied Ata"/>
    <s v=""/>
    <s v="0"/>
    <s v=""/>
    <s v="2100"/>
    <s v="0"/>
    <s v=""/>
    <s v="21011101"/>
    <s v=""/>
    <s v=""/>
    <s v=""/>
    <s v=""/>
    <s v=""/>
    <s v="2026"/>
    <s v="ABBAKRI"/>
  </r>
  <r>
    <x v="4"/>
    <x v="4"/>
    <x v="19"/>
    <s v="2123"/>
    <s v="CIM"/>
    <s v="TX01"/>
    <s v="4000000088"/>
    <s v="Alnajm Rice Long Grain Parboiled G1 20KG"/>
    <x v="4"/>
    <x v="3"/>
    <x v="1"/>
    <x v="1"/>
    <x v="3"/>
    <x v="0"/>
    <s v="4900126482"/>
    <d v="2026-05-11T00:00:00"/>
    <d v="1899-12-30T10:17:08"/>
    <s v="GI scrapping"/>
    <s v="551"/>
    <n v="-13"/>
    <s v="BAG"/>
    <x v="1"/>
    <n v="-13"/>
    <n v="-0.26"/>
    <s v="Loss"/>
    <s v="0000002680"/>
    <d v="2026-05-11T00:00:00"/>
    <d v="2026-05-11T00:00:00"/>
    <n v="-1636622"/>
    <s v="NCR"/>
    <s v=""/>
    <s v=""/>
    <s v="5"/>
    <s v=""/>
    <s v=""/>
    <s v="Ahmed Bakri Abasaied Ata"/>
    <s v=""/>
    <s v="0"/>
    <s v=""/>
    <s v="2100"/>
    <s v="0"/>
    <s v=""/>
    <s v="21011101"/>
    <s v=""/>
    <s v=""/>
    <s v=""/>
    <s v=""/>
    <s v=""/>
    <s v="2026"/>
    <s v="ABBAKRI"/>
  </r>
  <r>
    <x v="4"/>
    <x v="4"/>
    <x v="19"/>
    <s v="2123"/>
    <s v="CIM"/>
    <s v="TX01"/>
    <s v="4000000088"/>
    <s v="Alnajm Rice Long Grain Parboiled G1 20KG"/>
    <x v="4"/>
    <x v="3"/>
    <x v="1"/>
    <x v="1"/>
    <x v="3"/>
    <x v="0"/>
    <s v="4900126482"/>
    <d v="2026-05-11T00:00:00"/>
    <d v="1899-12-30T10:17:08"/>
    <s v="GI scrapping"/>
    <s v="551"/>
    <n v="-26"/>
    <s v="BAG"/>
    <x v="1"/>
    <n v="-26"/>
    <n v="-0.52"/>
    <s v="Loss"/>
    <s v="0000002680"/>
    <d v="2026-05-11T00:00:00"/>
    <d v="2026-05-11T00:00:00"/>
    <n v="-3273244"/>
    <s v="NCR"/>
    <s v=""/>
    <s v=""/>
    <s v="4"/>
    <s v=""/>
    <s v=""/>
    <s v="Ahmed Bakri Abasaied Ata"/>
    <s v=""/>
    <s v="0"/>
    <s v=""/>
    <s v="2100"/>
    <s v="0"/>
    <s v=""/>
    <s v="21011101"/>
    <s v=""/>
    <s v=""/>
    <s v=""/>
    <s v=""/>
    <s v=""/>
    <s v="2026"/>
    <s v="ABBAKRI"/>
  </r>
  <r>
    <x v="4"/>
    <x v="4"/>
    <x v="19"/>
    <s v="2123"/>
    <s v="CIM"/>
    <s v="TX01"/>
    <s v="4000000088"/>
    <s v="Alnajm Rice Long Grain Parboiled G1 20KG"/>
    <x v="4"/>
    <x v="3"/>
    <x v="1"/>
    <x v="1"/>
    <x v="3"/>
    <x v="0"/>
    <s v="4900126482"/>
    <d v="2026-05-11T00:00:00"/>
    <d v="1899-12-30T10:17:08"/>
    <s v="GI scrapping"/>
    <s v="551"/>
    <n v="-15"/>
    <s v="BAG"/>
    <x v="1"/>
    <n v="-15"/>
    <n v="-0.3"/>
    <s v="Loss"/>
    <s v="0000002680"/>
    <d v="2026-05-11T00:00:00"/>
    <d v="2026-05-11T00:00:00"/>
    <n v="-1888410"/>
    <s v="NCR"/>
    <s v=""/>
    <s v=""/>
    <s v="3"/>
    <s v=""/>
    <s v=""/>
    <s v="Ahmed Bakri Abasaied Ata"/>
    <s v=""/>
    <s v="0"/>
    <s v=""/>
    <s v="2100"/>
    <s v="0"/>
    <s v=""/>
    <s v="21011101"/>
    <s v=""/>
    <s v=""/>
    <s v=""/>
    <s v=""/>
    <s v=""/>
    <s v="2026"/>
    <s v="ABBAKRI"/>
  </r>
  <r>
    <x v="4"/>
    <x v="4"/>
    <x v="19"/>
    <s v="2123"/>
    <s v="CIM"/>
    <s v="TX01"/>
    <s v="4000000088"/>
    <s v="Alnajm Rice Long Grain Parboiled G1 20KG"/>
    <x v="4"/>
    <x v="3"/>
    <x v="1"/>
    <x v="1"/>
    <x v="3"/>
    <x v="0"/>
    <s v="4900126482"/>
    <d v="2026-05-11T00:00:00"/>
    <d v="1899-12-30T10:17:08"/>
    <s v="GI scrapping"/>
    <s v="551"/>
    <n v="-18"/>
    <s v="BAG"/>
    <x v="1"/>
    <n v="-18"/>
    <n v="-0.36"/>
    <s v="Loss"/>
    <s v="0000002680"/>
    <d v="2026-05-11T00:00:00"/>
    <d v="2026-05-11T00:00:00"/>
    <n v="-2266092"/>
    <s v="NCR"/>
    <s v=""/>
    <s v=""/>
    <s v="2"/>
    <s v=""/>
    <s v=""/>
    <s v="Ahmed Bakri Abasaied Ata"/>
    <s v=""/>
    <s v="0"/>
    <s v=""/>
    <s v="2100"/>
    <s v="0"/>
    <s v=""/>
    <s v="21011101"/>
    <s v=""/>
    <s v=""/>
    <s v=""/>
    <s v=""/>
    <s v=""/>
    <s v="2026"/>
    <s v="ABBAKRI"/>
  </r>
  <r>
    <x v="4"/>
    <x v="4"/>
    <x v="19"/>
    <s v="2123"/>
    <s v="CIM"/>
    <s v="TX01"/>
    <s v="4000000088"/>
    <s v="Alnajm Rice Long Grain Parboiled G1 20KG"/>
    <x v="4"/>
    <x v="3"/>
    <x v="1"/>
    <x v="1"/>
    <x v="3"/>
    <x v="0"/>
    <s v="4900126482"/>
    <d v="2026-05-11T00:00:00"/>
    <d v="1899-12-30T10:17:08"/>
    <s v="GI scrapping"/>
    <s v="551"/>
    <n v="-4"/>
    <s v="BAG"/>
    <x v="1"/>
    <n v="-4"/>
    <n v="-0.08"/>
    <s v="Loss"/>
    <s v="0000002680"/>
    <d v="2026-05-11T00:00:00"/>
    <d v="2026-05-11T00:00:00"/>
    <n v="-503576"/>
    <s v="NCR"/>
    <s v=""/>
    <s v=""/>
    <s v="1"/>
    <s v=""/>
    <s v=""/>
    <s v="Ahmed Bakri Abasaied Ata"/>
    <s v=""/>
    <s v="0"/>
    <s v=""/>
    <s v="2100"/>
    <s v="0"/>
    <s v=""/>
    <s v="21011101"/>
    <s v=""/>
    <s v=""/>
    <s v=""/>
    <s v=""/>
    <s v=""/>
    <s v="2026"/>
    <s v="ABBAKRI"/>
  </r>
  <r>
    <x v="4"/>
    <x v="4"/>
    <x v="18"/>
    <s v="2123"/>
    <s v="CIM"/>
    <s v="TX01"/>
    <s v="7000000023"/>
    <s v="Damaged NC Lentil 20KG"/>
    <x v="10"/>
    <x v="2"/>
    <x v="1"/>
    <x v="1"/>
    <x v="3"/>
    <x v="0"/>
    <s v="4900126665"/>
    <d v="2026-05-11T00:00:00"/>
    <d v="1899-12-30T11:19:50"/>
    <s v="RE scrapping"/>
    <s v="552"/>
    <n v="2"/>
    <s v="BAG"/>
    <x v="1"/>
    <n v="2"/>
    <n v="0.04"/>
    <s v="Gain"/>
    <s v=""/>
    <d v="2026-05-11T00:00:00"/>
    <d v="2026-05-11T00:00:00"/>
    <n v="40000"/>
    <s v="NCR"/>
    <s v=""/>
    <s v=""/>
    <s v="13"/>
    <s v=""/>
    <s v=""/>
    <s v="Ahmed Bakri Abasaied Ata"/>
    <s v=""/>
    <s v="0"/>
    <s v=""/>
    <s v="2100"/>
    <s v="0"/>
    <s v=""/>
    <s v="21011101"/>
    <s v=""/>
    <s v=""/>
    <s v=""/>
    <s v=""/>
    <s v=""/>
    <s v="2026"/>
    <s v="ABBAKRI"/>
  </r>
  <r>
    <x v="4"/>
    <x v="4"/>
    <x v="18"/>
    <s v="2123"/>
    <s v="CIM"/>
    <s v="E002"/>
    <s v="7000000023"/>
    <s v="Damaged NC Lentil 20KG"/>
    <x v="10"/>
    <x v="2"/>
    <x v="1"/>
    <x v="1"/>
    <x v="3"/>
    <x v="0"/>
    <s v="4900126665"/>
    <d v="2026-05-11T00:00:00"/>
    <d v="1899-12-30T11:19:50"/>
    <s v="RE scrapping"/>
    <s v="552"/>
    <n v="13"/>
    <s v="BAG"/>
    <x v="1"/>
    <n v="13"/>
    <n v="0.26"/>
    <s v="Gain"/>
    <s v=""/>
    <d v="2026-05-11T00:00:00"/>
    <d v="2026-05-11T00:00:00"/>
    <n v="260000"/>
    <s v="NCR"/>
    <s v=""/>
    <s v=""/>
    <s v="12"/>
    <s v=""/>
    <s v=""/>
    <s v="Ahmed Bakri Abasaied Ata"/>
    <s v=""/>
    <s v="0"/>
    <s v=""/>
    <s v="2100"/>
    <s v="0"/>
    <s v=""/>
    <s v="21011101"/>
    <s v=""/>
    <s v=""/>
    <s v=""/>
    <s v=""/>
    <s v=""/>
    <s v="2026"/>
    <s v="ABBAKRI"/>
  </r>
  <r>
    <x v="4"/>
    <x v="4"/>
    <x v="18"/>
    <s v="2123"/>
    <s v="CIM"/>
    <s v="E002"/>
    <s v="7000000023"/>
    <s v="Damaged NC Lentil 20KG"/>
    <x v="10"/>
    <x v="2"/>
    <x v="1"/>
    <x v="1"/>
    <x v="3"/>
    <x v="0"/>
    <s v="4900126665"/>
    <d v="2026-05-11T00:00:00"/>
    <d v="1899-12-30T11:19:50"/>
    <s v="RE scrapping"/>
    <s v="552"/>
    <n v="4"/>
    <s v="BAG"/>
    <x v="1"/>
    <n v="4"/>
    <n v="0.08"/>
    <s v="Gain"/>
    <s v=""/>
    <d v="2026-05-11T00:00:00"/>
    <d v="2026-05-11T00:00:00"/>
    <n v="80000"/>
    <s v="NCR"/>
    <s v=""/>
    <s v=""/>
    <s v="11"/>
    <s v=""/>
    <s v=""/>
    <s v="Ahmed Bakri Abasaied Ata"/>
    <s v=""/>
    <s v="0"/>
    <s v=""/>
    <s v="2100"/>
    <s v="0"/>
    <s v=""/>
    <s v="21011101"/>
    <s v=""/>
    <s v=""/>
    <s v=""/>
    <s v=""/>
    <s v=""/>
    <s v="2026"/>
    <s v="ABBAKRI"/>
  </r>
  <r>
    <x v="4"/>
    <x v="4"/>
    <x v="18"/>
    <s v="2123"/>
    <s v="CIM"/>
    <s v="E002"/>
    <s v="7000000023"/>
    <s v="Damaged NC Lentil 20KG"/>
    <x v="10"/>
    <x v="2"/>
    <x v="1"/>
    <x v="1"/>
    <x v="3"/>
    <x v="0"/>
    <s v="4900126665"/>
    <d v="2026-05-11T00:00:00"/>
    <d v="1899-12-30T11:19:50"/>
    <s v="RE scrapping"/>
    <s v="552"/>
    <n v="4"/>
    <s v="BAG"/>
    <x v="1"/>
    <n v="4"/>
    <n v="0.08"/>
    <s v="Gain"/>
    <s v=""/>
    <d v="2026-05-11T00:00:00"/>
    <d v="2026-05-11T00:00:00"/>
    <n v="80000"/>
    <s v="NCR"/>
    <s v=""/>
    <s v=""/>
    <s v="10"/>
    <s v=""/>
    <s v=""/>
    <s v="Ahmed Bakri Abasaied Ata"/>
    <s v=""/>
    <s v="0"/>
    <s v=""/>
    <s v="2100"/>
    <s v="0"/>
    <s v=""/>
    <s v="21011101"/>
    <s v=""/>
    <s v=""/>
    <s v=""/>
    <s v=""/>
    <s v=""/>
    <s v="2026"/>
    <s v="ABBAKRI"/>
  </r>
  <r>
    <x v="4"/>
    <x v="4"/>
    <x v="19"/>
    <s v="2123"/>
    <s v="CIM"/>
    <s v="TX01"/>
    <s v="7000000084"/>
    <s v="Damaged NC Rice Long Grain 20Kg"/>
    <x v="5"/>
    <x v="3"/>
    <x v="1"/>
    <x v="1"/>
    <x v="3"/>
    <x v="0"/>
    <s v="4900126482"/>
    <d v="2026-05-11T00:00:00"/>
    <d v="1899-12-30T10:17:08"/>
    <s v="RE scrapping"/>
    <s v="552"/>
    <n v="10"/>
    <s v="BAG"/>
    <x v="1"/>
    <n v="10"/>
    <n v="0.2"/>
    <s v="Gain"/>
    <s v=""/>
    <d v="2026-05-11T00:00:00"/>
    <d v="2026-05-11T00:00:00"/>
    <n v="200000"/>
    <s v="NCR"/>
    <s v=""/>
    <s v=""/>
    <s v="6"/>
    <s v=""/>
    <s v=""/>
    <s v="Ahmed Bakri Abasaied Ata"/>
    <s v=""/>
    <s v="0"/>
    <s v=""/>
    <s v="2100"/>
    <s v="0"/>
    <s v=""/>
    <s v="21011101"/>
    <s v=""/>
    <s v=""/>
    <s v=""/>
    <s v=""/>
    <s v=""/>
    <s v="2026"/>
    <s v="ABBAKRI"/>
  </r>
  <r>
    <x v="4"/>
    <x v="4"/>
    <x v="20"/>
    <s v="2123"/>
    <s v="CIM"/>
    <s v="E003"/>
    <s v="4000000066"/>
    <s v="Sesame White Gadarif Cleaned 50KG"/>
    <x v="11"/>
    <x v="0"/>
    <x v="0"/>
    <x v="1"/>
    <x v="3"/>
    <x v="0"/>
    <s v="4900138865"/>
    <d v="2026-05-31T00:00:00"/>
    <d v="1899-12-30T13:54:42"/>
    <s v="GI scrapping"/>
    <s v="551"/>
    <n v="-4"/>
    <s v="BAG"/>
    <x v="1"/>
    <n v="-4"/>
    <n v="-0.2"/>
    <s v="Loss"/>
    <s v="25-26"/>
    <d v="2026-05-31T00:00:00"/>
    <d v="2026-05-31T00:00:00"/>
    <n v="-1031554.68"/>
    <s v="NC 106"/>
    <s v=""/>
    <s v=""/>
    <s v="1"/>
    <s v=""/>
    <s v=""/>
    <s v="Ahmed Bakri Abasaied Ata"/>
    <s v=""/>
    <s v="0"/>
    <s v=""/>
    <s v="2100"/>
    <s v="0"/>
    <s v=""/>
    <s v="21011101"/>
    <s v=""/>
    <s v=""/>
    <s v=""/>
    <s v=""/>
    <s v=""/>
    <s v="2026"/>
    <s v="ABBAKRI"/>
  </r>
  <r>
    <x v="4"/>
    <x v="4"/>
    <x v="20"/>
    <s v="2123"/>
    <s v="CIM"/>
    <s v="E003"/>
    <n v="7000000035"/>
    <s v="Damaged NC Sesame White Gadarif 50KG"/>
    <x v="12"/>
    <x v="0"/>
    <x v="0"/>
    <x v="1"/>
    <x v="3"/>
    <x v="0"/>
    <s v="4900138865"/>
    <d v="2026-05-31T00:00:00"/>
    <d v="1899-12-30T13:54:42"/>
    <s v="RE scrapping"/>
    <s v="552"/>
    <n v="1"/>
    <s v="BAG"/>
    <x v="1"/>
    <n v="1"/>
    <n v="0.05"/>
    <s v="Gain"/>
    <s v=""/>
    <d v="2026-05-31T00:00:00"/>
    <d v="2026-05-31T00:00:00"/>
    <n v="100"/>
    <s v="NC 106"/>
    <s v=""/>
    <s v=""/>
    <s v="2"/>
    <s v=""/>
    <s v=""/>
    <s v="Ahmed Bakri Abasaied Ata"/>
    <s v=""/>
    <s v="0"/>
    <s v=""/>
    <s v="2100"/>
    <s v="0"/>
    <s v=""/>
    <s v="21011101"/>
    <s v=""/>
    <s v=""/>
    <s v=""/>
    <s v=""/>
    <s v=""/>
    <s v="2026"/>
    <s v="ABBAKRI"/>
  </r>
  <r>
    <x v="1"/>
    <x v="4"/>
    <x v="21"/>
    <s v="2123"/>
    <s v="CIM"/>
    <s v="MPGC"/>
    <s v="4000000053"/>
    <s v="Gum Arabic Talha Cleaned 50KG"/>
    <x v="13"/>
    <x v="6"/>
    <x v="0"/>
    <x v="1"/>
    <x v="3"/>
    <x v="0"/>
    <s v="4900168089"/>
    <d v="2026-07-16T00:00:00"/>
    <d v="1899-12-30T12:27:46"/>
    <s v="GI scrapping"/>
    <s v="551"/>
    <n v="-24"/>
    <s v="BAG"/>
    <x v="1"/>
    <n v="-24"/>
    <n v="-1.2"/>
    <s v="Loss"/>
    <s v="SMASR12326"/>
    <d v="2026-07-16T00:00:00"/>
    <d v="2026-07-16T00:00:00"/>
    <n v="-5222888.88"/>
    <s v="Processing Loss-NC 133"/>
    <s v=""/>
    <s v=""/>
    <s v="1"/>
    <s v=""/>
    <s v=""/>
    <s v="Mohammed Hussein Mohammed Elmahi"/>
    <s v=""/>
    <s v="0"/>
    <s v=""/>
    <s v="2100"/>
    <s v="0"/>
    <s v=""/>
    <s v="21011101"/>
    <s v=""/>
    <s v=""/>
    <s v=""/>
    <s v=""/>
    <s v=""/>
    <s v="2026"/>
    <s v="MEELMAHI"/>
  </r>
  <r>
    <x v="3"/>
    <x v="5"/>
    <x v="16"/>
    <s v="2123"/>
    <s v="CIM"/>
    <s v="BL01"/>
    <s v="7000000092"/>
    <s v="Damaged NC Flexi Tank"/>
    <x v="9"/>
    <x v="5"/>
    <x v="0"/>
    <x v="1"/>
    <x v="4"/>
    <x v="0"/>
    <s v="4900146388"/>
    <d v="2026-06-10T00:00:00"/>
    <d v="1899-12-30T16:03:04"/>
    <s v="RE scrapping"/>
    <s v="552"/>
    <n v="12"/>
    <s v="SET"/>
    <x v="2"/>
    <n v="12"/>
    <s v="-"/>
    <s v="Gain"/>
    <s v=""/>
    <d v="2026-06-10T00:00:00"/>
    <d v="2026-06-10T00:00:00"/>
    <n v="0"/>
    <s v="NC 140 RECLASSIFICATION"/>
    <s v=""/>
    <s v=""/>
    <s v="1"/>
    <s v=""/>
    <s v=""/>
    <s v="Ahmed Bakri Abasaied Ata"/>
    <s v=""/>
    <s v="0"/>
    <s v=""/>
    <s v="2100"/>
    <s v="0"/>
    <s v=""/>
    <s v="21011101"/>
    <s v=""/>
    <s v=""/>
    <s v=""/>
    <s v=""/>
    <s v=""/>
    <s v="2026"/>
    <s v="ABBAKRI"/>
  </r>
  <r>
    <x v="4"/>
    <x v="6"/>
    <x v="22"/>
    <s v="2123"/>
    <s v="CIM"/>
    <s v="ITKH"/>
    <s v="4000000008"/>
    <s v="Alnajm Flour 25Kg"/>
    <x v="6"/>
    <x v="4"/>
    <x v="1"/>
    <x v="1"/>
    <x v="2"/>
    <x v="0"/>
    <s v="4900128833"/>
    <d v="2026-05-14T00:00:00"/>
    <d v="1899-12-30T09:13:51"/>
    <s v="RE scrapping"/>
    <s v="552"/>
    <n v="4"/>
    <s v="BAG"/>
    <x v="1"/>
    <n v="4"/>
    <n v="0.1"/>
    <s v="Gain"/>
    <s v="0000004097"/>
    <d v="2026-05-14T00:00:00"/>
    <d v="2026-05-14T00:00:00"/>
    <n v="166017.35999999999"/>
    <s v="Excess - OBD 80010457"/>
    <s v=""/>
    <s v=""/>
    <s v="1"/>
    <s v=""/>
    <s v=""/>
    <s v="Ahmed Bakri Abasaied Ata"/>
    <s v=""/>
    <s v="0"/>
    <s v=""/>
    <s v="2100"/>
    <s v="0"/>
    <s v=""/>
    <s v="21011101"/>
    <s v=""/>
    <s v=""/>
    <s v=""/>
    <s v=""/>
    <s v=""/>
    <s v="2026"/>
    <s v="ABBAKRI"/>
  </r>
  <r>
    <x v="1"/>
    <x v="6"/>
    <x v="22"/>
    <s v="2123"/>
    <s v="CIM"/>
    <s v="ISIM"/>
    <s v="4000000058"/>
    <s v="TAT Lentil Red Split 20KG"/>
    <x v="2"/>
    <x v="2"/>
    <x v="1"/>
    <x v="1"/>
    <x v="2"/>
    <x v="0"/>
    <s v="4900169974"/>
    <d v="2026-07-19T00:00:00"/>
    <d v="1899-12-30T14:06:26"/>
    <s v="RE scrapping"/>
    <s v="552"/>
    <n v="2"/>
    <s v="BAG"/>
    <x v="1"/>
    <n v="2"/>
    <n v="0.04"/>
    <s v="Gain"/>
    <s v="0000005082"/>
    <d v="2026-07-19T00:00:00"/>
    <d v="2026-07-19T00:00:00"/>
    <n v="168515.96"/>
    <s v="Stock Exess 99100/99150/9"/>
    <s v=""/>
    <s v=""/>
    <s v="1"/>
    <s v=""/>
    <s v=""/>
    <s v="Mohammed Hussein Mohammed Elmahi"/>
    <s v=""/>
    <s v="0"/>
    <s v=""/>
    <s v="2100"/>
    <s v="0"/>
    <s v=""/>
    <s v="21011101"/>
    <s v=""/>
    <s v=""/>
    <s v=""/>
    <s v=""/>
    <s v=""/>
    <s v="2026"/>
    <s v="MEELMAHI"/>
  </r>
  <r>
    <x v="1"/>
    <x v="6"/>
    <x v="22"/>
    <s v="2123"/>
    <s v="CIM"/>
    <s v="ICMA"/>
    <s v="4000000058"/>
    <s v="TAT Lentil Red Split 20KG"/>
    <x v="2"/>
    <x v="2"/>
    <x v="1"/>
    <x v="1"/>
    <x v="2"/>
    <x v="0"/>
    <s v="4900169971"/>
    <d v="2026-07-19T00:00:00"/>
    <d v="1899-12-30T14:05:06"/>
    <s v="RE scrapping"/>
    <s v="552"/>
    <n v="2"/>
    <s v="BAG"/>
    <x v="1"/>
    <n v="2"/>
    <n v="0.04"/>
    <s v="Gain"/>
    <s v="0000005081"/>
    <d v="2026-07-19T00:00:00"/>
    <d v="2026-07-19T00:00:00"/>
    <n v="168515.96"/>
    <s v="Stock Exess 99100/99150/9"/>
    <s v=""/>
    <s v=""/>
    <s v="1"/>
    <s v=""/>
    <s v=""/>
    <s v="Mohammed Hussein Mohammed Elmahi"/>
    <s v=""/>
    <s v="0"/>
    <s v=""/>
    <s v="2100"/>
    <s v="0"/>
    <s v=""/>
    <s v="21011101"/>
    <s v=""/>
    <s v=""/>
    <s v=""/>
    <s v=""/>
    <s v=""/>
    <s v="2026"/>
    <s v="MEELMAHI"/>
  </r>
  <r>
    <x v="1"/>
    <x v="6"/>
    <x v="22"/>
    <s v="2123"/>
    <s v="CIM"/>
    <s v="ISIM"/>
    <s v="4000000058"/>
    <s v="TAT Lentil Red Split 20KG"/>
    <x v="2"/>
    <x v="2"/>
    <x v="1"/>
    <x v="1"/>
    <x v="2"/>
    <x v="0"/>
    <s v="4900169965"/>
    <d v="2026-07-19T00:00:00"/>
    <d v="1899-12-30T14:03:24"/>
    <s v="RE scrapping"/>
    <s v="552"/>
    <n v="1"/>
    <s v="BAG"/>
    <x v="1"/>
    <n v="1"/>
    <n v="0.02"/>
    <s v="Gain"/>
    <s v="0000005080"/>
    <d v="2026-07-19T00:00:00"/>
    <d v="2026-07-19T00:00:00"/>
    <n v="84257.98"/>
    <s v="Stock Exess 99100/99150/9"/>
    <s v=""/>
    <s v=""/>
    <s v="1"/>
    <s v=""/>
    <s v=""/>
    <s v="Mohammed Hussein Mohammed Elmahi"/>
    <s v=""/>
    <s v="0"/>
    <s v=""/>
    <s v="2100"/>
    <s v="0"/>
    <s v=""/>
    <s v="21011101"/>
    <s v=""/>
    <s v=""/>
    <s v=""/>
    <s v=""/>
    <s v=""/>
    <s v="2026"/>
    <s v="MEELMAHI"/>
  </r>
  <r>
    <x v="5"/>
    <x v="7"/>
    <x v="23"/>
    <s v="2123"/>
    <s v="CIM"/>
    <s v="ISIM"/>
    <s v="4000000008"/>
    <s v="Alnajm Flour 25Kg"/>
    <x v="6"/>
    <x v="4"/>
    <x v="1"/>
    <x v="1"/>
    <x v="1"/>
    <x v="2"/>
    <s v="4900072074"/>
    <d v="2026-02-17T00:00:00"/>
    <d v="1899-12-30T09:37:38"/>
    <s v="GI scrapping"/>
    <s v="551"/>
    <n v="-1"/>
    <s v="BAG"/>
    <x v="1"/>
    <n v="-1"/>
    <n v="-2.5000000000000001E-2"/>
    <s v="Loss"/>
    <s v="CUTOVER"/>
    <d v="2026-02-17T00:00:00"/>
    <d v="2026-02-17T00:00:00"/>
    <n v="-39042"/>
    <s v=""/>
    <s v=""/>
    <s v=""/>
    <s v="1"/>
    <s v=""/>
    <s v=""/>
    <s v="Ahmed Bakri Abasaied Ata"/>
    <s v=""/>
    <s v="0"/>
    <s v=""/>
    <s v="2100"/>
    <s v="0"/>
    <s v=""/>
    <s v="21011101"/>
    <s v=""/>
    <s v=""/>
    <s v=""/>
    <s v=""/>
    <s v=""/>
    <s v="2026"/>
    <s v="ABBAKRI"/>
  </r>
  <r>
    <x v="4"/>
    <x v="7"/>
    <x v="23"/>
    <s v="2123"/>
    <s v="CIM"/>
    <s v="GD04"/>
    <s v="4000000008"/>
    <s v="Alnajm Flour 25Kg"/>
    <x v="6"/>
    <x v="4"/>
    <x v="1"/>
    <x v="1"/>
    <x v="1"/>
    <x v="2"/>
    <s v="4900140809"/>
    <d v="2026-05-31T00:00:00"/>
    <d v="1899-12-30T17:42:07"/>
    <s v="GI scrapping"/>
    <s v="551"/>
    <n v="-1"/>
    <s v="BAG"/>
    <x v="1"/>
    <n v="-1"/>
    <n v="-2.5000000000000001E-2"/>
    <s v="Loss"/>
    <s v="441"/>
    <d v="2026-05-31T00:00:00"/>
    <d v="2026-06-02T00:00:00"/>
    <n v="-41504.339999999997"/>
    <s v="TRANSPORTER LOSS"/>
    <s v="LOSSINTRANSIT"/>
    <s v=""/>
    <s v="1"/>
    <s v=""/>
    <s v="0077003018"/>
    <s v="Mohammed Hussein Mohammed Elmahi"/>
    <s v=""/>
    <s v="0"/>
    <s v="7500000780"/>
    <s v="2100"/>
    <s v="10"/>
    <s v=""/>
    <s v="21300102"/>
    <s v=""/>
    <s v=""/>
    <s v=""/>
    <s v=""/>
    <s v=""/>
    <s v="2026"/>
    <s v="MEELMAHI"/>
  </r>
  <r>
    <x v="4"/>
    <x v="7"/>
    <x v="23"/>
    <s v="2123"/>
    <s v="CIM"/>
    <s v="KS05"/>
    <s v="4000000008"/>
    <s v="Alnajm Flour 25Kg"/>
    <x v="6"/>
    <x v="4"/>
    <x v="1"/>
    <x v="1"/>
    <x v="1"/>
    <x v="2"/>
    <s v="4900140799"/>
    <d v="2026-05-31T00:00:00"/>
    <d v="1899-12-30T17:42:02"/>
    <s v="GI scrapping"/>
    <s v="551"/>
    <n v="-1"/>
    <s v="BAG"/>
    <x v="1"/>
    <n v="-1"/>
    <n v="-2.5000000000000001E-2"/>
    <s v="Loss"/>
    <s v="438"/>
    <d v="2026-05-31T00:00:00"/>
    <d v="2026-06-02T00:00:00"/>
    <n v="-41504.339999999997"/>
    <s v="TRANSPORTER LOSS"/>
    <s v="LOSSINTRANSIT"/>
    <s v=""/>
    <s v="1"/>
    <s v=""/>
    <n v="77002872"/>
    <s v="Mohammed Hussein Mohammed Elmahi"/>
    <s v=""/>
    <s v="0"/>
    <s v="7500000628"/>
    <s v="2100"/>
    <s v="20"/>
    <s v=""/>
    <s v="21300102"/>
    <s v=""/>
    <s v=""/>
    <s v=""/>
    <s v=""/>
    <s v=""/>
    <s v="2026"/>
    <s v="MEELMAHI"/>
  </r>
  <r>
    <x v="4"/>
    <x v="7"/>
    <x v="23"/>
    <s v="2123"/>
    <s v="CIM"/>
    <s v="ICGA"/>
    <s v="4000000058"/>
    <s v="TAT Lentil Red Split 20KG"/>
    <x v="2"/>
    <x v="2"/>
    <x v="1"/>
    <x v="1"/>
    <x v="1"/>
    <x v="2"/>
    <s v="4900140629"/>
    <d v="2026-05-31T00:00:00"/>
    <d v="1899-12-30T17:40:29"/>
    <s v="GI scrapping"/>
    <s v="551"/>
    <n v="-2"/>
    <s v="BAG"/>
    <x v="1"/>
    <n v="-2"/>
    <n v="-0.04"/>
    <s v="Loss"/>
    <s v="0000002386"/>
    <d v="2026-05-31T00:00:00"/>
    <d v="2026-06-02T00:00:00"/>
    <n v="-138556"/>
    <s v="TRANSPORTER LOSS"/>
    <s v="LOSSINTRANSIT"/>
    <s v=""/>
    <s v="1"/>
    <s v=""/>
    <s v="0080004616"/>
    <s v="Mohammed Hussein Mohammed Elmahi"/>
    <s v=""/>
    <s v="0"/>
    <s v="7500000426"/>
    <s v="2100"/>
    <s v="20"/>
    <s v=""/>
    <s v="21300102"/>
    <s v=""/>
    <s v=""/>
    <s v=""/>
    <s v=""/>
    <s v=""/>
    <s v="2026"/>
    <s v="MEELMAHI"/>
  </r>
  <r>
    <x v="4"/>
    <x v="7"/>
    <x v="23"/>
    <s v="2123"/>
    <s v="CIM"/>
    <s v="MD05"/>
    <s v="4000000058"/>
    <s v="TAT Lentil Red Split 20KG"/>
    <x v="2"/>
    <x v="2"/>
    <x v="1"/>
    <x v="1"/>
    <x v="1"/>
    <x v="2"/>
    <s v="4900140630"/>
    <d v="2026-05-31T00:00:00"/>
    <d v="1899-12-30T17:40:30"/>
    <s v="GI scrapping"/>
    <s v="551"/>
    <n v="-3"/>
    <s v="BAG"/>
    <x v="1"/>
    <n v="-3"/>
    <n v="-0.06"/>
    <s v="Loss"/>
    <s v="0000002386"/>
    <d v="2026-05-31T00:00:00"/>
    <d v="2026-06-02T00:00:00"/>
    <n v="-207834"/>
    <s v="TRANSPORTER LOSS"/>
    <s v="LOSSINTRANSIT"/>
    <s v=""/>
    <s v="1"/>
    <s v=""/>
    <s v="0080004623"/>
    <s v="Mohammed Hussein Mohammed Elmahi"/>
    <s v=""/>
    <s v="0"/>
    <s v="7500000426"/>
    <s v="2100"/>
    <s v="10"/>
    <s v=""/>
    <s v="21300102"/>
    <s v=""/>
    <s v=""/>
    <s v=""/>
    <s v=""/>
    <s v=""/>
    <s v="2026"/>
    <s v="MEELMAHI"/>
  </r>
  <r>
    <x v="4"/>
    <x v="7"/>
    <x v="24"/>
    <s v="2123"/>
    <s v="CIM"/>
    <s v="SPB1"/>
    <s v="1000000040"/>
    <s v="Sesame White Gadarif Raw"/>
    <x v="0"/>
    <x v="0"/>
    <x v="0"/>
    <x v="1"/>
    <x v="1"/>
    <x v="2"/>
    <s v="4900140734"/>
    <d v="2026-05-31T00:00:00"/>
    <d v="1899-12-30T17:41:26"/>
    <s v="GI scrapping"/>
    <s v="551"/>
    <n v="-0.36"/>
    <s v="MT"/>
    <x v="0"/>
    <n v="-0.36"/>
    <n v="-0.36"/>
    <s v="Loss"/>
    <s v="25/26"/>
    <d v="2026-05-31T00:00:00"/>
    <d v="2026-06-02T00:00:00"/>
    <n v="-1776618"/>
    <s v="TRANSPORTER LOSS"/>
    <s v="LOSSINTRANSIT"/>
    <s v=""/>
    <s v="1"/>
    <s v=""/>
    <s v="0080005692"/>
    <s v="Mohammed Hussein Mohammed Elmahi"/>
    <s v=""/>
    <s v="0"/>
    <s v="7500000338"/>
    <s v="2100"/>
    <s v="10"/>
    <s v=""/>
    <s v="21300102"/>
    <s v=""/>
    <s v=""/>
    <s v=""/>
    <s v=""/>
    <s v=""/>
    <s v="2026"/>
    <s v="MEELMAHI"/>
  </r>
  <r>
    <x v="3"/>
    <x v="7"/>
    <x v="23"/>
    <s v="2123"/>
    <s v="CIM"/>
    <s v="GD04"/>
    <s v="4000000008"/>
    <s v="Alnajm Flour 25Kg"/>
    <x v="6"/>
    <x v="4"/>
    <x v="1"/>
    <x v="1"/>
    <x v="1"/>
    <x v="2"/>
    <s v="4900152547"/>
    <d v="2026-06-21T00:00:00"/>
    <d v="1899-12-30T09:51:07"/>
    <s v="GI scrapping"/>
    <s v="551"/>
    <n v="-1"/>
    <s v="BAG"/>
    <x v="1"/>
    <n v="-1"/>
    <n v="-2.5000000000000001E-2"/>
    <s v="Loss"/>
    <s v="405"/>
    <d v="2026-06-21T00:00:00"/>
    <d v="2026-06-21T00:00:00"/>
    <n v="-46823.19"/>
    <s v="TRANSPORTER LOSS"/>
    <s v="LOSSINTRANSIT"/>
    <s v=""/>
    <s v="1"/>
    <s v=""/>
    <s v="0077003614"/>
    <s v="Mohammed Hussein Mohammed Elmahi"/>
    <s v=""/>
    <s v="0"/>
    <s v="7500000907"/>
    <s v="2100"/>
    <s v="10"/>
    <s v=""/>
    <s v="21300102"/>
    <s v=""/>
    <s v=""/>
    <s v=""/>
    <s v=""/>
    <s v=""/>
    <s v="2026"/>
    <s v="MEELMAHI"/>
  </r>
  <r>
    <x v="3"/>
    <x v="7"/>
    <x v="23"/>
    <s v="2123"/>
    <s v="CIM"/>
    <s v="GD04"/>
    <s v="4000000008"/>
    <s v="Alnajm Flour 25Kg"/>
    <x v="6"/>
    <x v="4"/>
    <x v="1"/>
    <x v="1"/>
    <x v="1"/>
    <x v="2"/>
    <s v="4900152533"/>
    <d v="2026-06-21T00:00:00"/>
    <d v="1899-12-30T09:47:15"/>
    <s v="GI scrapping"/>
    <s v="551"/>
    <n v="-8"/>
    <s v="BAG"/>
    <x v="1"/>
    <n v="-8"/>
    <n v="-0.2"/>
    <s v="Loss"/>
    <s v="407"/>
    <d v="2026-06-21T00:00:00"/>
    <d v="2026-06-21T00:00:00"/>
    <n v="-374585.52"/>
    <s v="TRANSPORTER LOSS"/>
    <s v="LOSSINTRANSIT"/>
    <s v=""/>
    <s v="1"/>
    <s v=""/>
    <s v="0077003616"/>
    <s v="Mohammed Hussein Mohammed Elmahi"/>
    <s v=""/>
    <s v="0"/>
    <s v="7500000907"/>
    <s v="2100"/>
    <s v="10"/>
    <s v=""/>
    <s v="21300102"/>
    <s v=""/>
    <s v=""/>
    <s v=""/>
    <s v=""/>
    <s v=""/>
    <s v="2026"/>
    <s v="MEELMAHI"/>
  </r>
  <r>
    <x v="3"/>
    <x v="7"/>
    <x v="23"/>
    <s v="2123"/>
    <s v="CIM"/>
    <s v="MD05"/>
    <s v="4000000008"/>
    <s v="Alnajm Flour 25Kg"/>
    <x v="6"/>
    <x v="4"/>
    <x v="1"/>
    <x v="1"/>
    <x v="1"/>
    <x v="2"/>
    <s v="4900152529"/>
    <d v="2026-06-21T00:00:00"/>
    <d v="1899-12-30T09:44:44"/>
    <s v="GI scrapping"/>
    <s v="551"/>
    <n v="-2"/>
    <s v="BAG"/>
    <x v="1"/>
    <n v="-2"/>
    <n v="-0.05"/>
    <s v="Loss"/>
    <s v="442"/>
    <d v="2026-06-21T00:00:00"/>
    <d v="2026-06-21T00:00:00"/>
    <n v="-93646.38"/>
    <s v="TRANSPORTER LOSS"/>
    <s v="LOSSINTRANSIT"/>
    <s v=""/>
    <s v="1"/>
    <s v=""/>
    <s v="0077003290"/>
    <s v="Mohammed Hussein Mohammed Elmahi"/>
    <s v=""/>
    <s v="0"/>
    <s v="7500000843"/>
    <s v="2100"/>
    <s v="10"/>
    <s v=""/>
    <s v="21300102"/>
    <s v=""/>
    <s v=""/>
    <s v=""/>
    <s v=""/>
    <s v=""/>
    <s v="2026"/>
    <s v="MEELMAHI"/>
  </r>
  <r>
    <x v="3"/>
    <x v="7"/>
    <x v="23"/>
    <s v="2123"/>
    <s v="CIM"/>
    <s v="MD05"/>
    <s v="4000000008"/>
    <s v="Alnajm Flour 25Kg"/>
    <x v="6"/>
    <x v="4"/>
    <x v="1"/>
    <x v="1"/>
    <x v="1"/>
    <x v="2"/>
    <s v="4900152528"/>
    <d v="2026-06-21T00:00:00"/>
    <d v="1899-12-30T09:44:39"/>
    <s v="GI scrapping"/>
    <s v="551"/>
    <n v="-1"/>
    <s v="BAG"/>
    <x v="1"/>
    <n v="-1"/>
    <n v="-2.5000000000000001E-2"/>
    <s v="Loss"/>
    <s v="402"/>
    <d v="2026-06-21T00:00:00"/>
    <d v="2026-06-21T00:00:00"/>
    <n v="-46823.19"/>
    <s v="TRANSPORTER LOSS"/>
    <s v="LOSSINTRANSIT"/>
    <s v=""/>
    <s v="1"/>
    <s v=""/>
    <s v="0077003289"/>
    <s v="Mohammed Hussein Mohammed Elmahi"/>
    <s v=""/>
    <s v="0"/>
    <s v="7500000843"/>
    <s v="2100"/>
    <s v="10"/>
    <s v=""/>
    <s v="21300102"/>
    <s v=""/>
    <s v=""/>
    <s v=""/>
    <s v=""/>
    <s v=""/>
    <s v="2026"/>
    <s v="MEELMAHI"/>
  </r>
  <r>
    <x v="3"/>
    <x v="7"/>
    <x v="23"/>
    <s v="2123"/>
    <s v="CIM"/>
    <s v="GD04"/>
    <s v="4000000008"/>
    <s v="Alnajm Flour 25Kg"/>
    <x v="6"/>
    <x v="4"/>
    <x v="1"/>
    <x v="1"/>
    <x v="1"/>
    <x v="2"/>
    <s v="4900156643"/>
    <d v="2026-06-27T00:00:00"/>
    <d v="1899-12-30T17:07:19"/>
    <s v="GI scrapping"/>
    <s v="551"/>
    <n v="-1"/>
    <s v="BAG"/>
    <x v="1"/>
    <n v="-1"/>
    <n v="-2.5000000000000001E-2"/>
    <s v="Loss"/>
    <s v="399"/>
    <d v="2026-06-27T00:00:00"/>
    <d v="2026-06-27T00:00:00"/>
    <n v="-46823.19"/>
    <s v="TRANSPORTER LOSS"/>
    <s v="LOSSINTRANSIT"/>
    <s v=""/>
    <s v="1"/>
    <s v=""/>
    <s v="0077003016"/>
    <s v="Mohammed Hussein Mohammed Elmahi"/>
    <s v=""/>
    <s v="0"/>
    <s v="7500000780"/>
    <s v="2100"/>
    <s v="10"/>
    <s v=""/>
    <s v="21300102"/>
    <s v=""/>
    <s v=""/>
    <s v=""/>
    <s v=""/>
    <s v=""/>
    <s v="2026"/>
    <s v="MEELMAHI"/>
  </r>
  <r>
    <x v="3"/>
    <x v="7"/>
    <x v="23"/>
    <s v="2123"/>
    <s v="CIM"/>
    <s v="GD04"/>
    <s v="4000000008"/>
    <s v="Alnajm Flour 25Kg"/>
    <x v="6"/>
    <x v="4"/>
    <x v="1"/>
    <x v="1"/>
    <x v="1"/>
    <x v="2"/>
    <s v="4900158999"/>
    <d v="2026-06-30T00:00:00"/>
    <d v="1899-12-30T20:17:55"/>
    <s v="GI scrapping"/>
    <s v="551"/>
    <n v="-1"/>
    <s v="BAG"/>
    <x v="1"/>
    <n v="-1"/>
    <n v="-2.5000000000000001E-2"/>
    <s v="Loss"/>
    <s v="7760"/>
    <d v="2026-06-30T00:00:00"/>
    <d v="2026-06-30T00:00:00"/>
    <n v="-46823.19"/>
    <s v="TRANSPORTER LOSS"/>
    <s v="LOSSINTRANSIT"/>
    <s v=""/>
    <s v="1"/>
    <s v=""/>
    <s v="0077002993"/>
    <s v="Mohammed Hussein Mohammed Elmahi"/>
    <s v=""/>
    <s v="0"/>
    <s v="7500000780"/>
    <s v="2100"/>
    <s v="10"/>
    <s v=""/>
    <s v="21300102"/>
    <s v=""/>
    <s v=""/>
    <s v=""/>
    <s v=""/>
    <s v=""/>
    <s v="2026"/>
    <s v="MEELMAHI"/>
  </r>
  <r>
    <x v="1"/>
    <x v="7"/>
    <x v="23"/>
    <s v="2123"/>
    <s v="CIM"/>
    <s v="GD04"/>
    <s v="4000000008"/>
    <s v="Alnajm Flour 25Kg"/>
    <x v="6"/>
    <x v="4"/>
    <x v="1"/>
    <x v="1"/>
    <x v="1"/>
    <x v="2"/>
    <s v="4900165107"/>
    <d v="2026-07-12T00:00:00"/>
    <d v="1899-12-30T09:48:46"/>
    <s v="GI scrapping"/>
    <s v="551"/>
    <n v="-17"/>
    <s v="BAG"/>
    <x v="1"/>
    <n v="-17"/>
    <n v="-0.42499999999999999"/>
    <s v="Loss"/>
    <s v="8496"/>
    <d v="2026-07-12T00:00:00"/>
    <d v="2026-07-12T00:00:00"/>
    <n v="-806249.48"/>
    <s v="TRANSPORTER LOSS"/>
    <s v="LOSSINTRANSIT"/>
    <s v=""/>
    <s v="1"/>
    <s v=""/>
    <s v="0077004469"/>
    <s v="Mohammed Hussein Mohammed Elmahi"/>
    <s v=""/>
    <s v="0"/>
    <s v="7500001071"/>
    <s v="2100"/>
    <s v="10"/>
    <s v=""/>
    <s v="21300102"/>
    <s v=""/>
    <s v=""/>
    <s v=""/>
    <s v=""/>
    <s v=""/>
    <s v="2026"/>
    <s v="MEELMAHI"/>
  </r>
  <r>
    <x v="1"/>
    <x v="7"/>
    <x v="23"/>
    <s v="2123"/>
    <s v="CIM"/>
    <s v="A013"/>
    <s v="4000000059"/>
    <s v="Pigeon Peas 50KG"/>
    <x v="14"/>
    <x v="7"/>
    <x v="0"/>
    <x v="1"/>
    <x v="5"/>
    <x v="0"/>
    <s v="4900165355"/>
    <d v="2026-07-12T00:00:00"/>
    <d v="1899-12-30T13:32:36"/>
    <s v="GI scrapping"/>
    <s v="551"/>
    <n v="-7"/>
    <s v="BAG"/>
    <x v="1"/>
    <n v="-7"/>
    <n v="-0.35"/>
    <s v="Loss"/>
    <s v="25-26"/>
    <d v="2026-07-12T00:00:00"/>
    <d v="2026-07-12T00:00:00"/>
    <n v="-1360177.56"/>
    <s v="LOCAL SHUNTING LOSS"/>
    <s v=""/>
    <s v=""/>
    <s v="1"/>
    <s v=""/>
    <s v=""/>
    <s v="Mohammed Hussein Mohammed Elmahi"/>
    <s v=""/>
    <s v="0"/>
    <s v=""/>
    <s v="2100"/>
    <s v="0"/>
    <s v=""/>
    <s v="21011101"/>
    <s v=""/>
    <s v=""/>
    <s v=""/>
    <s v=""/>
    <s v=""/>
    <s v="2026"/>
    <s v="MEELMAHI"/>
  </r>
  <r>
    <x v="1"/>
    <x v="7"/>
    <x v="23"/>
    <s v="2123"/>
    <s v="CIM"/>
    <s v="SPB1"/>
    <s v="4000000066"/>
    <s v="Sesame White Gadarif Cleaned 50KG"/>
    <x v="11"/>
    <x v="0"/>
    <x v="0"/>
    <x v="1"/>
    <x v="5"/>
    <x v="0"/>
    <s v="4900165352"/>
    <d v="2026-07-12T00:00:00"/>
    <d v="1899-12-30T13:29:28"/>
    <s v="GI scrapping"/>
    <s v="551"/>
    <n v="-15"/>
    <s v="BAG"/>
    <x v="1"/>
    <n v="-15"/>
    <n v="-0.75"/>
    <s v="Loss"/>
    <s v="25-26"/>
    <d v="2026-07-12T00:00:00"/>
    <d v="2026-07-12T00:00:00"/>
    <n v="-4112259.15"/>
    <s v="LOCAL SHUNTING LOSS"/>
    <s v=""/>
    <s v=""/>
    <s v="1"/>
    <s v=""/>
    <s v=""/>
    <s v="Mohammed Hussein Mohammed Elmahi"/>
    <s v=""/>
    <s v="0"/>
    <s v=""/>
    <s v="2100"/>
    <s v="0"/>
    <s v=""/>
    <s v="21011101"/>
    <s v=""/>
    <s v=""/>
    <s v=""/>
    <s v=""/>
    <s v=""/>
    <s v="2026"/>
    <s v="MEELMAHI"/>
  </r>
  <r>
    <x v="1"/>
    <x v="7"/>
    <x v="23"/>
    <s v="2123"/>
    <s v="CIM"/>
    <s v="SPB1"/>
    <s v="4000000067"/>
    <s v="Sesame White Non Gadarif Cleaned 50KG"/>
    <x v="15"/>
    <x v="8"/>
    <x v="0"/>
    <x v="1"/>
    <x v="5"/>
    <x v="0"/>
    <s v="4900165360"/>
    <d v="2026-07-12T00:00:00"/>
    <d v="1899-12-30T13:35:39"/>
    <s v="GI scrapping"/>
    <s v="551"/>
    <n v="-5"/>
    <s v="BAG"/>
    <x v="1"/>
    <n v="-5"/>
    <n v="-0.25"/>
    <s v="Loss"/>
    <s v="25/26"/>
    <d v="2026-07-12T00:00:00"/>
    <d v="2026-07-12T00:00:00"/>
    <n v="-26966.19"/>
    <s v="LOCAL SHUNTING LOSS"/>
    <s v=""/>
    <s v=""/>
    <s v="1"/>
    <s v=""/>
    <s v=""/>
    <s v="Mohammed Hussein Mohammed Elmahi"/>
    <s v=""/>
    <s v="0"/>
    <s v=""/>
    <s v="2100"/>
    <s v="0"/>
    <s v=""/>
    <s v="21011101"/>
    <s v=""/>
    <s v=""/>
    <s v=""/>
    <s v=""/>
    <s v=""/>
    <s v="2026"/>
    <s v="MEELMAHI"/>
  </r>
  <r>
    <x v="6"/>
    <x v="8"/>
    <x v="25"/>
    <n v="2123"/>
    <s v="CIM"/>
    <s v="CIM"/>
    <s v="E-T-Value"/>
    <n v="0"/>
    <x v="16"/>
    <x v="9"/>
    <x v="0"/>
    <x v="1"/>
    <x v="6"/>
    <x v="0"/>
    <s v="-"/>
    <m/>
    <s v="-"/>
    <s v="-"/>
    <s v="-"/>
    <s v="-"/>
    <s v="-"/>
    <x v="3"/>
    <n v="0"/>
    <n v="0"/>
    <s v="Loss"/>
    <m/>
    <m/>
    <m/>
    <n v="7445245"/>
    <m/>
    <m/>
    <m/>
    <m/>
    <m/>
    <m/>
    <s v="_report_modif."/>
    <m/>
    <m/>
    <m/>
    <m/>
    <m/>
    <m/>
    <m/>
    <m/>
    <m/>
    <m/>
    <m/>
    <m/>
    <m/>
    <s v="_report_modif."/>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231CB2-0B19-450E-84EC-A9B32CA2625B}" name="PivotTable3"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73:C80" firstHeaderRow="1" firstDataRow="1" firstDataCol="1" rowPageCount="1" colPageCount="1"/>
  <pivotFields count="50">
    <pivotField showAll="0"/>
    <pivotField axis="axisRow" showAll="0">
      <items count="10">
        <item x="0"/>
        <item x="1"/>
        <item x="2"/>
        <item x="3"/>
        <item x="4"/>
        <item x="7"/>
        <item x="5"/>
        <item x="6"/>
        <item x="8"/>
        <item t="default"/>
      </items>
    </pivotField>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showAll="0"/>
    <pivotField showAll="0"/>
    <pivotField showAll="0"/>
    <pivotField numFmtId="14" showAll="0"/>
    <pivotField numFmtId="164" showAll="0"/>
    <pivotField showAll="0"/>
    <pivotField showAll="0"/>
    <pivotField showAll="0"/>
    <pivotField showAll="0"/>
    <pivotField showAll="0"/>
    <pivotField showAll="0"/>
    <pivotField numFmtId="43" showAll="0"/>
    <pivotField showAll="0"/>
    <pivotField showAll="0"/>
    <pivotField numFmtId="14" showAll="0"/>
    <pivotField numFmtId="14"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7">
    <i>
      <x/>
    </i>
    <i>
      <x v="3"/>
    </i>
    <i>
      <x v="4"/>
    </i>
    <i>
      <x v="5"/>
    </i>
    <i>
      <x v="6"/>
    </i>
    <i>
      <x v="8"/>
    </i>
    <i t="grand">
      <x/>
    </i>
  </rowItems>
  <colItems count="1">
    <i/>
  </colItems>
  <pageFields count="1">
    <pageField fld="10" hier="-1"/>
  </pageFields>
  <dataFields count="1">
    <dataField name="Sum of Amt.in Loc.Cur." fld="28" baseField="0" baseItem="0" numFmtId="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7616CB-A952-4089-B809-F9D20DBF8712}" name="PivotTable2"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3:C100" firstHeaderRow="1" firstDataRow="1" firstDataCol="1" rowPageCount="1" colPageCount="1"/>
  <pivotFields count="50">
    <pivotField showAll="0"/>
    <pivotField axis="axisRow" showAll="0">
      <items count="10">
        <item x="0"/>
        <item x="1"/>
        <item x="2"/>
        <item x="3"/>
        <item x="4"/>
        <item x="7"/>
        <item x="5"/>
        <item x="6"/>
        <item x="8"/>
        <item t="default"/>
      </items>
    </pivotField>
    <pivotField showAll="0"/>
    <pivotField showAll="0"/>
    <pivotField showAll="0"/>
    <pivotField showAll="0"/>
    <pivotField showAll="0"/>
    <pivotField showAll="0"/>
    <pivotField showAll="0"/>
    <pivotField showAll="0"/>
    <pivotField axis="axisPage" multipleItemSelectionAllowed="1" showAll="0">
      <items count="3">
        <item h="1" x="0"/>
        <item x="1"/>
        <item t="default"/>
      </items>
    </pivotField>
    <pivotField showAll="0"/>
    <pivotField showAll="0"/>
    <pivotField showAll="0"/>
    <pivotField showAll="0"/>
    <pivotField numFmtId="14" showAll="0"/>
    <pivotField numFmtId="164" showAll="0"/>
    <pivotField showAll="0"/>
    <pivotField showAll="0"/>
    <pivotField showAll="0"/>
    <pivotField showAll="0"/>
    <pivotField showAll="0"/>
    <pivotField showAll="0"/>
    <pivotField numFmtId="43" showAll="0"/>
    <pivotField showAll="0"/>
    <pivotField showAll="0"/>
    <pivotField numFmtId="14" showAll="0"/>
    <pivotField numFmtId="14"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7">
    <i>
      <x v="1"/>
    </i>
    <i>
      <x v="2"/>
    </i>
    <i>
      <x v="3"/>
    </i>
    <i>
      <x v="4"/>
    </i>
    <i>
      <x v="5"/>
    </i>
    <i>
      <x v="7"/>
    </i>
    <i t="grand">
      <x/>
    </i>
  </rowItems>
  <colItems count="1">
    <i/>
  </colItems>
  <pageFields count="1">
    <pageField fld="10" hier="-1"/>
  </pageFields>
  <dataFields count="1">
    <dataField name="Sum of Amt.in Loc.Cur." fld="28"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FDC273-3F95-4221-A908-2B9D429F2D58}" name="Analysis"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olHeaderCaption="Adjustment type">
  <location ref="B32:L44" firstHeaderRow="1" firstDataRow="2" firstDataCol="1"/>
  <pivotFields count="50">
    <pivotField showAll="0"/>
    <pivotField axis="axisCol" showAll="0">
      <items count="10">
        <item x="0"/>
        <item x="1"/>
        <item x="2"/>
        <item x="3"/>
        <item x="4"/>
        <item x="7"/>
        <item x="5"/>
        <item x="6"/>
        <item x="8"/>
        <item t="default"/>
      </items>
    </pivotField>
    <pivotField showAll="0"/>
    <pivotField showAll="0"/>
    <pivotField showAll="0"/>
    <pivotField showAll="0"/>
    <pivotField showAll="0"/>
    <pivotField showAll="0"/>
    <pivotField showAll="0"/>
    <pivotField axis="axisRow" showAll="0">
      <items count="11">
        <item x="4"/>
        <item x="2"/>
        <item x="3"/>
        <item x="0"/>
        <item x="5"/>
        <item x="1"/>
        <item x="7"/>
        <item x="8"/>
        <item x="6"/>
        <item x="9"/>
        <item t="default"/>
      </items>
    </pivotField>
    <pivotField showAll="0"/>
    <pivotField showAll="0"/>
    <pivotField showAll="0"/>
    <pivotField showAll="0"/>
    <pivotField showAll="0"/>
    <pivotField numFmtId="14" showAll="0"/>
    <pivotField numFmtId="164" showAll="0"/>
    <pivotField showAll="0"/>
    <pivotField showAll="0"/>
    <pivotField showAll="0"/>
    <pivotField showAll="0"/>
    <pivotField showAll="0"/>
    <pivotField showAll="0"/>
    <pivotField dataField="1" numFmtId="43" showAll="0"/>
    <pivotField showAll="0"/>
    <pivotField showAll="0"/>
    <pivotField numFmtId="14" showAll="0"/>
    <pivotField numFmtId="14" showAll="0"/>
    <pivotField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1">
    <i>
      <x/>
    </i>
    <i>
      <x v="1"/>
    </i>
    <i>
      <x v="2"/>
    </i>
    <i>
      <x v="3"/>
    </i>
    <i>
      <x v="4"/>
    </i>
    <i>
      <x v="5"/>
    </i>
    <i>
      <x v="6"/>
    </i>
    <i>
      <x v="7"/>
    </i>
    <i>
      <x v="8"/>
    </i>
    <i>
      <x v="9"/>
    </i>
    <i t="grand">
      <x/>
    </i>
  </rowItems>
  <colFields count="1">
    <field x="1"/>
  </colFields>
  <colItems count="10">
    <i>
      <x/>
    </i>
    <i>
      <x v="1"/>
    </i>
    <i>
      <x v="2"/>
    </i>
    <i>
      <x v="3"/>
    </i>
    <i>
      <x v="4"/>
    </i>
    <i>
      <x v="5"/>
    </i>
    <i>
      <x v="6"/>
    </i>
    <i>
      <x v="7"/>
    </i>
    <i>
      <x v="8"/>
    </i>
    <i t="grand">
      <x/>
    </i>
  </colItems>
  <dataFields count="1">
    <dataField name="Sum of QTY -MT" fld="23" baseField="0" baseItem="0" numFmtId="4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938945-7E65-4B47-8BC1-CC469D1D2F9B}" name="Summary" cacheId="39"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B4:F17" firstHeaderRow="0" firstDataRow="1" firstDataCol="3"/>
  <pivotFields count="50">
    <pivotField compact="0" outline="0" showAll="0" defaultSubtotal="0"/>
    <pivotField axis="axisRow" compact="0" outline="0" showAll="0" defaultSubtotal="0">
      <items count="9">
        <item x="0"/>
        <item x="1"/>
        <item x="2"/>
        <item x="3"/>
        <item x="4"/>
        <item x="7"/>
        <item x="5"/>
        <item x="6"/>
        <item x="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0">
        <item x="4"/>
        <item x="6"/>
        <item x="2"/>
        <item x="5"/>
        <item x="7"/>
        <item x="3"/>
        <item x="0"/>
        <item x="8"/>
        <item x="1"/>
        <item x="9"/>
      </items>
    </pivotField>
    <pivotField compact="0" outline="0" showAll="0" defaultSubtotal="0">
      <items count="2">
        <item x="0"/>
        <item x="1"/>
      </items>
    </pivotField>
    <pivotField axis="axisRow" compact="0" outline="0" showAll="0">
      <items count="3">
        <item x="0"/>
        <item x="1"/>
        <item t="default"/>
      </items>
    </pivotField>
    <pivotField axis="axisRow" compact="0" outline="0" showAll="0" defaultSubtotal="0">
      <items count="7">
        <item x="2"/>
        <item x="4"/>
        <item x="3"/>
        <item x="1"/>
        <item x="0"/>
        <item x="5"/>
        <item x="6"/>
      </items>
    </pivotField>
    <pivotField compact="0" outline="0" showAll="0" defaultSubtotal="0"/>
    <pivotField compact="0" outline="0" showAll="0" defaultSubtotal="0"/>
    <pivotField compact="0" numFmtId="14" outline="0" showAll="0" defaultSubtotal="0"/>
    <pivotField compact="0" numFmtId="16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numFmtId="43" outline="0" showAll="0" defaultSubtotal="0"/>
    <pivotField compact="0" outline="0" subtotalTop="0" showAll="0" defaultSubtotal="0"/>
    <pivotField compact="0" outline="0" showAll="0" defaultSubtotal="0"/>
    <pivotField compact="0" numFmtId="14" outline="0" showAll="0" defaultSubtotal="0"/>
    <pivotField compact="0" numFmtId="14" outline="0" showAll="0" defaultSubtotal="0"/>
    <pivotField dataField="1" compact="0" numFmtId="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1"/>
    <field x="1"/>
    <field x="12"/>
  </rowFields>
  <rowItems count="13">
    <i>
      <x/>
      <x/>
      <x v="4"/>
    </i>
    <i t="default">
      <x/>
    </i>
    <i>
      <x v="1"/>
      <x v="1"/>
      <x v="3"/>
    </i>
    <i r="1">
      <x v="2"/>
      <x/>
    </i>
    <i r="1">
      <x v="3"/>
      <x v="2"/>
    </i>
    <i r="1">
      <x v="4"/>
      <x v="2"/>
    </i>
    <i r="1">
      <x v="5"/>
      <x v="3"/>
    </i>
    <i r="2">
      <x v="5"/>
    </i>
    <i r="1">
      <x v="6"/>
      <x v="1"/>
    </i>
    <i r="1">
      <x v="7"/>
      <x/>
    </i>
    <i r="1">
      <x v="8"/>
      <x v="6"/>
    </i>
    <i t="default">
      <x v="1"/>
    </i>
    <i t="grand">
      <x/>
    </i>
  </rowItems>
  <colFields count="1">
    <field x="-2"/>
  </colFields>
  <colItems count="2">
    <i>
      <x/>
    </i>
    <i i="1">
      <x v="1"/>
    </i>
  </colItems>
  <dataFields count="2">
    <dataField name="QTY - MT" fld="23" baseField="12" baseItem="4" numFmtId="43"/>
    <dataField name="Value SDG" fld="28" baseField="0" baseItem="0" numFmtId="4"/>
  </dataFields>
  <formats count="35">
    <format dxfId="142">
      <pivotArea outline="0" fieldPosition="0">
        <references count="4">
          <reference field="4294967294" count="1" selected="0">
            <x v="1"/>
          </reference>
          <reference field="1" count="0" selected="0"/>
          <reference field="11" count="0" selected="0"/>
          <reference field="12" count="0" selected="0"/>
        </references>
      </pivotArea>
    </format>
    <format dxfId="141">
      <pivotArea type="all" dataOnly="0" outline="0" fieldPosition="0"/>
    </format>
    <format dxfId="140">
      <pivotArea outline="0" collapsedLevelsAreSubtotals="1" fieldPosition="0"/>
    </format>
    <format dxfId="139">
      <pivotArea field="11" type="button" dataOnly="0" labelOnly="1" outline="0" axis="axisRow" fieldPosition="0"/>
    </format>
    <format dxfId="138">
      <pivotArea field="1" type="button" dataOnly="0" labelOnly="1" outline="0" axis="axisRow" fieldPosition="1"/>
    </format>
    <format dxfId="137">
      <pivotArea field="12" type="button" dataOnly="0" labelOnly="1" outline="0" axis="axisRow" fieldPosition="2"/>
    </format>
    <format dxfId="136">
      <pivotArea dataOnly="0" labelOnly="1" outline="0" fieldPosition="0">
        <references count="1">
          <reference field="11" count="0"/>
        </references>
      </pivotArea>
    </format>
    <format dxfId="135">
      <pivotArea dataOnly="0" labelOnly="1" outline="0" fieldPosition="0">
        <references count="1">
          <reference field="11" count="0" defaultSubtotal="1"/>
        </references>
      </pivotArea>
    </format>
    <format dxfId="134">
      <pivotArea dataOnly="0" labelOnly="1" grandRow="1" outline="0" fieldPosition="0"/>
    </format>
    <format dxfId="133">
      <pivotArea dataOnly="0" labelOnly="1" outline="0" fieldPosition="0">
        <references count="2">
          <reference field="1" count="1">
            <x v="0"/>
          </reference>
          <reference field="11" count="1" selected="0">
            <x v="0"/>
          </reference>
        </references>
      </pivotArea>
    </format>
    <format dxfId="132">
      <pivotArea dataOnly="0" labelOnly="1" outline="0" fieldPosition="0">
        <references count="2">
          <reference field="1" count="5">
            <x v="1"/>
            <x v="2"/>
            <x v="3"/>
            <x v="4"/>
            <x v="5"/>
          </reference>
          <reference field="11" count="1" selected="0">
            <x v="1"/>
          </reference>
        </references>
      </pivotArea>
    </format>
    <format dxfId="131">
      <pivotArea dataOnly="0" labelOnly="1" outline="0" fieldPosition="0">
        <references count="3">
          <reference field="1" count="1" selected="0">
            <x v="0"/>
          </reference>
          <reference field="11" count="1" selected="0">
            <x v="0"/>
          </reference>
          <reference field="12" count="1">
            <x v="4"/>
          </reference>
        </references>
      </pivotArea>
    </format>
    <format dxfId="130">
      <pivotArea dataOnly="0" labelOnly="1" outline="0" fieldPosition="0">
        <references count="3">
          <reference field="1" count="1" selected="0">
            <x v="1"/>
          </reference>
          <reference field="11" count="1" selected="0">
            <x v="1"/>
          </reference>
          <reference field="12" count="2">
            <x v="1"/>
            <x v="3"/>
          </reference>
        </references>
      </pivotArea>
    </format>
    <format dxfId="129">
      <pivotArea dataOnly="0" labelOnly="1" outline="0" fieldPosition="0">
        <references count="3">
          <reference field="1" count="1" selected="0">
            <x v="2"/>
          </reference>
          <reference field="11" count="1" selected="0">
            <x v="1"/>
          </reference>
          <reference field="12" count="1">
            <x v="0"/>
          </reference>
        </references>
      </pivotArea>
    </format>
    <format dxfId="128">
      <pivotArea dataOnly="0" labelOnly="1" outline="0" fieldPosition="0">
        <references count="3">
          <reference field="1" count="1" selected="0">
            <x v="3"/>
          </reference>
          <reference field="11" count="1" selected="0">
            <x v="1"/>
          </reference>
          <reference field="12" count="1">
            <x v="2"/>
          </reference>
        </references>
      </pivotArea>
    </format>
    <format dxfId="127">
      <pivotArea dataOnly="0" labelOnly="1" outline="0" fieldPosition="0">
        <references count="3">
          <reference field="1" count="1" selected="0">
            <x v="4"/>
          </reference>
          <reference field="11" count="1" selected="0">
            <x v="1"/>
          </reference>
          <reference field="12" count="1">
            <x v="2"/>
          </reference>
        </references>
      </pivotArea>
    </format>
    <format dxfId="126">
      <pivotArea dataOnly="0" labelOnly="1" outline="0" fieldPosition="0">
        <references count="3">
          <reference field="1" count="1" selected="0">
            <x v="5"/>
          </reference>
          <reference field="11" count="1" selected="0">
            <x v="1"/>
          </reference>
          <reference field="12" count="1">
            <x v="3"/>
          </reference>
        </references>
      </pivotArea>
    </format>
    <format dxfId="125">
      <pivotArea dataOnly="0" labelOnly="1" outline="0" fieldPosition="0">
        <references count="1">
          <reference field="4294967294" count="1">
            <x v="1"/>
          </reference>
        </references>
      </pivotArea>
    </format>
    <format dxfId="124">
      <pivotArea type="all" dataOnly="0" outline="0" fieldPosition="0"/>
    </format>
    <format dxfId="123">
      <pivotArea outline="0" collapsedLevelsAreSubtotals="1" fieldPosition="0"/>
    </format>
    <format dxfId="122">
      <pivotArea field="11" type="button" dataOnly="0" labelOnly="1" outline="0" axis="axisRow" fieldPosition="0"/>
    </format>
    <format dxfId="121">
      <pivotArea field="1" type="button" dataOnly="0" labelOnly="1" outline="0" axis="axisRow" fieldPosition="1"/>
    </format>
    <format dxfId="120">
      <pivotArea field="12" type="button" dataOnly="0" labelOnly="1" outline="0" axis="axisRow" fieldPosition="2"/>
    </format>
    <format dxfId="119">
      <pivotArea dataOnly="0" labelOnly="1" outline="0" fieldPosition="0">
        <references count="1">
          <reference field="11" count="0"/>
        </references>
      </pivotArea>
    </format>
    <format dxfId="118">
      <pivotArea dataOnly="0" labelOnly="1" outline="0" fieldPosition="0">
        <references count="1">
          <reference field="11" count="0" defaultSubtotal="1"/>
        </references>
      </pivotArea>
    </format>
    <format dxfId="117">
      <pivotArea dataOnly="0" labelOnly="1" grandRow="1" outline="0" fieldPosition="0"/>
    </format>
    <format dxfId="116">
      <pivotArea dataOnly="0" labelOnly="1" outline="0" fieldPosition="0">
        <references count="2">
          <reference field="1" count="1">
            <x v="0"/>
          </reference>
          <reference field="11" count="1" selected="0">
            <x v="0"/>
          </reference>
        </references>
      </pivotArea>
    </format>
    <format dxfId="115">
      <pivotArea dataOnly="0" labelOnly="1" outline="0" fieldPosition="0">
        <references count="2">
          <reference field="1" count="5">
            <x v="1"/>
            <x v="2"/>
            <x v="3"/>
            <x v="4"/>
            <x v="5"/>
          </reference>
          <reference field="11" count="1" selected="0">
            <x v="1"/>
          </reference>
        </references>
      </pivotArea>
    </format>
    <format dxfId="114">
      <pivotArea dataOnly="0" labelOnly="1" outline="0" fieldPosition="0">
        <references count="3">
          <reference field="1" count="1" selected="0">
            <x v="0"/>
          </reference>
          <reference field="11" count="1" selected="0">
            <x v="0"/>
          </reference>
          <reference field="12" count="1">
            <x v="4"/>
          </reference>
        </references>
      </pivotArea>
    </format>
    <format dxfId="113">
      <pivotArea dataOnly="0" labelOnly="1" outline="0" fieldPosition="0">
        <references count="3">
          <reference field="1" count="1" selected="0">
            <x v="1"/>
          </reference>
          <reference field="11" count="1" selected="0">
            <x v="1"/>
          </reference>
          <reference field="12" count="2">
            <x v="1"/>
            <x v="3"/>
          </reference>
        </references>
      </pivotArea>
    </format>
    <format dxfId="112">
      <pivotArea dataOnly="0" labelOnly="1" outline="0" fieldPosition="0">
        <references count="3">
          <reference field="1" count="1" selected="0">
            <x v="2"/>
          </reference>
          <reference field="11" count="1" selected="0">
            <x v="1"/>
          </reference>
          <reference field="12" count="1">
            <x v="0"/>
          </reference>
        </references>
      </pivotArea>
    </format>
    <format dxfId="111">
      <pivotArea dataOnly="0" labelOnly="1" outline="0" fieldPosition="0">
        <references count="3">
          <reference field="1" count="1" selected="0">
            <x v="3"/>
          </reference>
          <reference field="11" count="1" selected="0">
            <x v="1"/>
          </reference>
          <reference field="12" count="1">
            <x v="2"/>
          </reference>
        </references>
      </pivotArea>
    </format>
    <format dxfId="110">
      <pivotArea dataOnly="0" labelOnly="1" outline="0" fieldPosition="0">
        <references count="3">
          <reference field="1" count="1" selected="0">
            <x v="4"/>
          </reference>
          <reference field="11" count="1" selected="0">
            <x v="1"/>
          </reference>
          <reference field="12" count="1">
            <x v="2"/>
          </reference>
        </references>
      </pivotArea>
    </format>
    <format dxfId="109">
      <pivotArea dataOnly="0" labelOnly="1" outline="0" fieldPosition="0">
        <references count="3">
          <reference field="1" count="1" selected="0">
            <x v="5"/>
          </reference>
          <reference field="11" count="1" selected="0">
            <x v="1"/>
          </reference>
          <reference field="12" count="1">
            <x v="3"/>
          </reference>
        </references>
      </pivotArea>
    </format>
    <format dxfId="108">
      <pivotArea dataOnly="0" labelOnly="1" outline="0" fieldPosition="0">
        <references count="1">
          <reference field="4294967294" count="1">
            <x v="1"/>
          </reference>
        </references>
      </pivotArea>
    </format>
  </formats>
  <pivotTableStyleInfo name="PivotStyleMedium20"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AD4911-CDA9-4080-83EC-3A512F20C8D2}" name="PivotTable1" cacheId="39"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B4:G26" firstHeaderRow="0" firstDataRow="1" firstDataCol="4"/>
  <pivotFields count="50">
    <pivotField compact="0" outline="0" showAll="0"/>
    <pivotField axis="axisRow" compact="0" outline="0" showAll="0">
      <items count="10">
        <item x="0"/>
        <item x="1"/>
        <item x="2"/>
        <item x="3"/>
        <item x="4"/>
        <item x="7"/>
        <item x="5"/>
        <item x="6"/>
        <item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1">
        <item x="4"/>
        <item x="6"/>
        <item x="2"/>
        <item x="5"/>
        <item x="7"/>
        <item x="3"/>
        <item x="0"/>
        <item x="8"/>
        <item x="1"/>
        <item x="9"/>
        <item t="default"/>
      </items>
    </pivotField>
    <pivotField compact="0" outline="0" showAll="0">
      <items count="3">
        <item x="0"/>
        <item x="1"/>
        <item t="default"/>
      </items>
    </pivotField>
    <pivotField axis="axisRow" compact="0" outline="0" showAll="0">
      <items count="3">
        <item x="0"/>
        <item x="1"/>
        <item t="default"/>
      </items>
    </pivotField>
    <pivotField axis="axisRow" compact="0" outline="0" showAll="0" defaultSubtotal="0">
      <items count="7">
        <item x="2"/>
        <item x="4"/>
        <item x="3"/>
        <item x="1"/>
        <item x="0"/>
        <item x="5"/>
        <item x="6"/>
      </items>
    </pivotField>
    <pivotField axis="axisRow" compact="0" outline="0" showAll="0">
      <items count="4">
        <item x="0"/>
        <item x="2"/>
        <item x="1"/>
        <item t="default"/>
      </items>
    </pivotField>
    <pivotField compact="0" outline="0" showAll="0"/>
    <pivotField compact="0" numFmtId="14"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43" outline="0" showAll="0"/>
    <pivotField compact="0" outline="0" showAll="0"/>
    <pivotField compact="0" outline="0" showAll="0"/>
    <pivotField compact="0" numFmtId="14" outline="0" showAll="0"/>
    <pivotField compact="0" numFmtId="14" outline="0" showAll="0"/>
    <pivotField dataField="1" compact="0" numFmtId="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1"/>
    <field x="1"/>
    <field x="12"/>
    <field x="13"/>
  </rowFields>
  <rowItems count="22">
    <i>
      <x/>
      <x/>
      <x v="4"/>
      <x/>
    </i>
    <i t="default" r="1">
      <x/>
    </i>
    <i t="default">
      <x/>
    </i>
    <i>
      <x v="1"/>
      <x v="1"/>
      <x v="3"/>
      <x v="2"/>
    </i>
    <i t="default" r="1">
      <x v="1"/>
    </i>
    <i r="1">
      <x v="2"/>
      <x/>
      <x/>
    </i>
    <i t="default" r="1">
      <x v="2"/>
    </i>
    <i r="1">
      <x v="3"/>
      <x v="2"/>
      <x/>
    </i>
    <i t="default" r="1">
      <x v="3"/>
    </i>
    <i r="1">
      <x v="4"/>
      <x v="2"/>
      <x/>
    </i>
    <i t="default" r="1">
      <x v="4"/>
    </i>
    <i r="1">
      <x v="5"/>
      <x v="3"/>
      <x v="1"/>
    </i>
    <i r="2">
      <x v="5"/>
      <x/>
    </i>
    <i t="default" r="1">
      <x v="5"/>
    </i>
    <i r="1">
      <x v="6"/>
      <x v="1"/>
      <x/>
    </i>
    <i t="default" r="1">
      <x v="6"/>
    </i>
    <i r="1">
      <x v="7"/>
      <x/>
      <x/>
    </i>
    <i t="default" r="1">
      <x v="7"/>
    </i>
    <i r="1">
      <x v="8"/>
      <x v="6"/>
      <x/>
    </i>
    <i t="default" r="1">
      <x v="8"/>
    </i>
    <i t="default">
      <x v="1"/>
    </i>
    <i t="grand">
      <x/>
    </i>
  </rowItems>
  <colFields count="1">
    <field x="-2"/>
  </colFields>
  <colItems count="2">
    <i>
      <x/>
    </i>
    <i i="1">
      <x v="1"/>
    </i>
  </colItems>
  <dataFields count="2">
    <dataField name="Sum of QTY -MT" fld="23" baseField="0" baseItem="0" numFmtId="43"/>
    <dataField name="Sum of Amt.in Loc.Cur." fld="28" baseField="0" baseItem="0" numFmtId="4"/>
  </dataFields>
  <formats count="54">
    <format dxfId="107">
      <pivotArea type="all" dataOnly="0" outline="0" fieldPosition="0"/>
    </format>
    <format dxfId="106">
      <pivotArea outline="0" collapsedLevelsAreSubtotals="1" fieldPosition="0"/>
    </format>
    <format dxfId="105">
      <pivotArea field="11" type="button" dataOnly="0" labelOnly="1" outline="0" axis="axisRow" fieldPosition="0"/>
    </format>
    <format dxfId="104">
      <pivotArea field="1" type="button" dataOnly="0" labelOnly="1" outline="0" axis="axisRow" fieldPosition="1"/>
    </format>
    <format dxfId="103">
      <pivotArea field="12" type="button" dataOnly="0" labelOnly="1" outline="0" axis="axisRow" fieldPosition="2"/>
    </format>
    <format dxfId="102">
      <pivotArea field="13" type="button" dataOnly="0" labelOnly="1" outline="0" axis="axisRow" fieldPosition="3"/>
    </format>
    <format dxfId="101">
      <pivotArea dataOnly="0" labelOnly="1" outline="0" fieldPosition="0">
        <references count="1">
          <reference field="11" count="0"/>
        </references>
      </pivotArea>
    </format>
    <format dxfId="100">
      <pivotArea dataOnly="0" labelOnly="1" outline="0" fieldPosition="0">
        <references count="1">
          <reference field="11" count="0" defaultSubtotal="1"/>
        </references>
      </pivotArea>
    </format>
    <format dxfId="99">
      <pivotArea dataOnly="0" labelOnly="1" grandRow="1" outline="0" fieldPosition="0"/>
    </format>
    <format dxfId="98">
      <pivotArea dataOnly="0" labelOnly="1" outline="0" fieldPosition="0">
        <references count="2">
          <reference field="1" count="1">
            <x v="0"/>
          </reference>
          <reference field="11" count="1" selected="0">
            <x v="0"/>
          </reference>
        </references>
      </pivotArea>
    </format>
    <format dxfId="97">
      <pivotArea dataOnly="0" labelOnly="1" outline="0" fieldPosition="0">
        <references count="2">
          <reference field="1" count="1" defaultSubtotal="1">
            <x v="0"/>
          </reference>
          <reference field="11" count="1" selected="0">
            <x v="0"/>
          </reference>
        </references>
      </pivotArea>
    </format>
    <format dxfId="96">
      <pivotArea dataOnly="0" labelOnly="1" outline="0" fieldPosition="0">
        <references count="2">
          <reference field="1" count="5">
            <x v="1"/>
            <x v="2"/>
            <x v="3"/>
            <x v="4"/>
            <x v="5"/>
          </reference>
          <reference field="11" count="1" selected="0">
            <x v="1"/>
          </reference>
        </references>
      </pivotArea>
    </format>
    <format dxfId="95">
      <pivotArea dataOnly="0" labelOnly="1" outline="0" fieldPosition="0">
        <references count="2">
          <reference field="1" count="5" defaultSubtotal="1">
            <x v="1"/>
            <x v="2"/>
            <x v="3"/>
            <x v="4"/>
            <x v="5"/>
          </reference>
          <reference field="11" count="1" selected="0">
            <x v="1"/>
          </reference>
        </references>
      </pivotArea>
    </format>
    <format dxfId="94">
      <pivotArea dataOnly="0" labelOnly="1" outline="0" fieldPosition="0">
        <references count="3">
          <reference field="1" count="1" selected="0">
            <x v="0"/>
          </reference>
          <reference field="11" count="1" selected="0">
            <x v="0"/>
          </reference>
          <reference field="12" count="1">
            <x v="4"/>
          </reference>
        </references>
      </pivotArea>
    </format>
    <format dxfId="93">
      <pivotArea dataOnly="0" labelOnly="1" outline="0" fieldPosition="0">
        <references count="3">
          <reference field="1" count="1" selected="0">
            <x v="1"/>
          </reference>
          <reference field="11" count="1" selected="0">
            <x v="1"/>
          </reference>
          <reference field="12" count="3">
            <x v="1"/>
            <x v="2"/>
            <x v="3"/>
          </reference>
        </references>
      </pivotArea>
    </format>
    <format dxfId="92">
      <pivotArea dataOnly="0" labelOnly="1" outline="0" fieldPosition="0">
        <references count="3">
          <reference field="1" count="1" selected="0">
            <x v="2"/>
          </reference>
          <reference field="11" count="1" selected="0">
            <x v="1"/>
          </reference>
          <reference field="12" count="1">
            <x v="0"/>
          </reference>
        </references>
      </pivotArea>
    </format>
    <format dxfId="91">
      <pivotArea dataOnly="0" labelOnly="1" outline="0" fieldPosition="0">
        <references count="3">
          <reference field="1" count="1" selected="0">
            <x v="3"/>
          </reference>
          <reference field="11" count="1" selected="0">
            <x v="1"/>
          </reference>
          <reference field="12" count="1">
            <x v="2"/>
          </reference>
        </references>
      </pivotArea>
    </format>
    <format dxfId="90">
      <pivotArea dataOnly="0" labelOnly="1" outline="0" fieldPosition="0">
        <references count="3">
          <reference field="1" count="1" selected="0">
            <x v="4"/>
          </reference>
          <reference field="11" count="1" selected="0">
            <x v="1"/>
          </reference>
          <reference field="12" count="1">
            <x v="2"/>
          </reference>
        </references>
      </pivotArea>
    </format>
    <format dxfId="89">
      <pivotArea dataOnly="0" labelOnly="1" outline="0" fieldPosition="0">
        <references count="3">
          <reference field="1" count="1" selected="0">
            <x v="5"/>
          </reference>
          <reference field="11" count="1" selected="0">
            <x v="1"/>
          </reference>
          <reference field="12" count="1">
            <x v="3"/>
          </reference>
        </references>
      </pivotArea>
    </format>
    <format dxfId="88">
      <pivotArea dataOnly="0" labelOnly="1" outline="0" fieldPosition="0">
        <references count="4">
          <reference field="1" count="1" selected="0">
            <x v="0"/>
          </reference>
          <reference field="11" count="1" selected="0">
            <x v="0"/>
          </reference>
          <reference field="12" count="1" selected="0">
            <x v="4"/>
          </reference>
          <reference field="13" count="1">
            <x v="0"/>
          </reference>
        </references>
      </pivotArea>
    </format>
    <format dxfId="87">
      <pivotArea dataOnly="0" labelOnly="1" outline="0" fieldPosition="0">
        <references count="4">
          <reference field="1" count="1" selected="0">
            <x v="1"/>
          </reference>
          <reference field="11" count="1" selected="0">
            <x v="1"/>
          </reference>
          <reference field="12" count="1" selected="0">
            <x v="1"/>
          </reference>
          <reference field="13" count="1">
            <x v="0"/>
          </reference>
        </references>
      </pivotArea>
    </format>
    <format dxfId="86">
      <pivotArea dataOnly="0" labelOnly="1" outline="0" fieldPosition="0">
        <references count="4">
          <reference field="1" count="1" selected="0">
            <x v="1"/>
          </reference>
          <reference field="11" count="1" selected="0">
            <x v="1"/>
          </reference>
          <reference field="12" count="1" selected="0">
            <x v="2"/>
          </reference>
          <reference field="13" count="1">
            <x v="0"/>
          </reference>
        </references>
      </pivotArea>
    </format>
    <format dxfId="85">
      <pivotArea dataOnly="0" labelOnly="1" outline="0" fieldPosition="0">
        <references count="4">
          <reference field="1" count="1" selected="0">
            <x v="2"/>
          </reference>
          <reference field="11" count="1" selected="0">
            <x v="1"/>
          </reference>
          <reference field="12" count="1" selected="0">
            <x v="0"/>
          </reference>
          <reference field="13" count="1">
            <x v="0"/>
          </reference>
        </references>
      </pivotArea>
    </format>
    <format dxfId="84">
      <pivotArea dataOnly="0" labelOnly="1" outline="0" fieldPosition="0">
        <references count="4">
          <reference field="1" count="1" selected="0">
            <x v="3"/>
          </reference>
          <reference field="11" count="1" selected="0">
            <x v="1"/>
          </reference>
          <reference field="12" count="1" selected="0">
            <x v="2"/>
          </reference>
          <reference field="13" count="1">
            <x v="0"/>
          </reference>
        </references>
      </pivotArea>
    </format>
    <format dxfId="83">
      <pivotArea dataOnly="0" labelOnly="1" outline="0" fieldPosition="0">
        <references count="4">
          <reference field="1" count="1" selected="0">
            <x v="4"/>
          </reference>
          <reference field="11" count="1" selected="0">
            <x v="1"/>
          </reference>
          <reference field="12" count="1" selected="0">
            <x v="2"/>
          </reference>
          <reference field="13" count="1">
            <x v="0"/>
          </reference>
        </references>
      </pivotArea>
    </format>
    <format dxfId="82">
      <pivotArea dataOnly="0" labelOnly="1" outline="0" fieldPosition="0">
        <references count="4">
          <reference field="1" count="1" selected="0">
            <x v="5"/>
          </reference>
          <reference field="11" count="1" selected="0">
            <x v="1"/>
          </reference>
          <reference field="12" count="1" selected="0">
            <x v="3"/>
          </reference>
          <reference field="13" count="1">
            <x v="1"/>
          </reference>
        </references>
      </pivotArea>
    </format>
    <format dxfId="81">
      <pivotArea dataOnly="0" labelOnly="1" outline="0" fieldPosition="0">
        <references count="1">
          <reference field="4294967294" count="2">
            <x v="0"/>
            <x v="1"/>
          </reference>
        </references>
      </pivotArea>
    </format>
    <format dxfId="80">
      <pivotArea type="all" dataOnly="0" outline="0" fieldPosition="0"/>
    </format>
    <format dxfId="79">
      <pivotArea outline="0" collapsedLevelsAreSubtotals="1" fieldPosition="0"/>
    </format>
    <format dxfId="78">
      <pivotArea field="11" type="button" dataOnly="0" labelOnly="1" outline="0" axis="axisRow" fieldPosition="0"/>
    </format>
    <format dxfId="77">
      <pivotArea field="1" type="button" dataOnly="0" labelOnly="1" outline="0" axis="axisRow" fieldPosition="1"/>
    </format>
    <format dxfId="76">
      <pivotArea field="12" type="button" dataOnly="0" labelOnly="1" outline="0" axis="axisRow" fieldPosition="2"/>
    </format>
    <format dxfId="75">
      <pivotArea field="13" type="button" dataOnly="0" labelOnly="1" outline="0" axis="axisRow" fieldPosition="3"/>
    </format>
    <format dxfId="74">
      <pivotArea dataOnly="0" labelOnly="1" outline="0" fieldPosition="0">
        <references count="1">
          <reference field="11" count="0"/>
        </references>
      </pivotArea>
    </format>
    <format dxfId="73">
      <pivotArea dataOnly="0" labelOnly="1" outline="0" fieldPosition="0">
        <references count="1">
          <reference field="11" count="0" defaultSubtotal="1"/>
        </references>
      </pivotArea>
    </format>
    <format dxfId="72">
      <pivotArea dataOnly="0" labelOnly="1" grandRow="1" outline="0" fieldPosition="0"/>
    </format>
    <format dxfId="71">
      <pivotArea dataOnly="0" labelOnly="1" outline="0" fieldPosition="0">
        <references count="2">
          <reference field="1" count="1">
            <x v="0"/>
          </reference>
          <reference field="11" count="1" selected="0">
            <x v="0"/>
          </reference>
        </references>
      </pivotArea>
    </format>
    <format dxfId="70">
      <pivotArea dataOnly="0" labelOnly="1" outline="0" fieldPosition="0">
        <references count="2">
          <reference field="1" count="1" defaultSubtotal="1">
            <x v="0"/>
          </reference>
          <reference field="11" count="1" selected="0">
            <x v="0"/>
          </reference>
        </references>
      </pivotArea>
    </format>
    <format dxfId="69">
      <pivotArea dataOnly="0" labelOnly="1" outline="0" fieldPosition="0">
        <references count="2">
          <reference field="1" count="5">
            <x v="1"/>
            <x v="2"/>
            <x v="3"/>
            <x v="4"/>
            <x v="5"/>
          </reference>
          <reference field="11" count="1" selected="0">
            <x v="1"/>
          </reference>
        </references>
      </pivotArea>
    </format>
    <format dxfId="68">
      <pivotArea dataOnly="0" labelOnly="1" outline="0" fieldPosition="0">
        <references count="2">
          <reference field="1" count="5" defaultSubtotal="1">
            <x v="1"/>
            <x v="2"/>
            <x v="3"/>
            <x v="4"/>
            <x v="5"/>
          </reference>
          <reference field="11" count="1" selected="0">
            <x v="1"/>
          </reference>
        </references>
      </pivotArea>
    </format>
    <format dxfId="67">
      <pivotArea dataOnly="0" labelOnly="1" outline="0" fieldPosition="0">
        <references count="3">
          <reference field="1" count="1" selected="0">
            <x v="0"/>
          </reference>
          <reference field="11" count="1" selected="0">
            <x v="0"/>
          </reference>
          <reference field="12" count="1">
            <x v="4"/>
          </reference>
        </references>
      </pivotArea>
    </format>
    <format dxfId="66">
      <pivotArea dataOnly="0" labelOnly="1" outline="0" fieldPosition="0">
        <references count="3">
          <reference field="1" count="1" selected="0">
            <x v="1"/>
          </reference>
          <reference field="11" count="1" selected="0">
            <x v="1"/>
          </reference>
          <reference field="12" count="3">
            <x v="1"/>
            <x v="2"/>
            <x v="3"/>
          </reference>
        </references>
      </pivotArea>
    </format>
    <format dxfId="65">
      <pivotArea dataOnly="0" labelOnly="1" outline="0" fieldPosition="0">
        <references count="3">
          <reference field="1" count="1" selected="0">
            <x v="2"/>
          </reference>
          <reference field="11" count="1" selected="0">
            <x v="1"/>
          </reference>
          <reference field="12" count="1">
            <x v="0"/>
          </reference>
        </references>
      </pivotArea>
    </format>
    <format dxfId="64">
      <pivotArea dataOnly="0" labelOnly="1" outline="0" fieldPosition="0">
        <references count="3">
          <reference field="1" count="1" selected="0">
            <x v="3"/>
          </reference>
          <reference field="11" count="1" selected="0">
            <x v="1"/>
          </reference>
          <reference field="12" count="1">
            <x v="2"/>
          </reference>
        </references>
      </pivotArea>
    </format>
    <format dxfId="63">
      <pivotArea dataOnly="0" labelOnly="1" outline="0" fieldPosition="0">
        <references count="3">
          <reference field="1" count="1" selected="0">
            <x v="4"/>
          </reference>
          <reference field="11" count="1" selected="0">
            <x v="1"/>
          </reference>
          <reference field="12" count="1">
            <x v="2"/>
          </reference>
        </references>
      </pivotArea>
    </format>
    <format dxfId="62">
      <pivotArea dataOnly="0" labelOnly="1" outline="0" fieldPosition="0">
        <references count="3">
          <reference field="1" count="1" selected="0">
            <x v="5"/>
          </reference>
          <reference field="11" count="1" selected="0">
            <x v="1"/>
          </reference>
          <reference field="12" count="1">
            <x v="3"/>
          </reference>
        </references>
      </pivotArea>
    </format>
    <format dxfId="61">
      <pivotArea dataOnly="0" labelOnly="1" outline="0" fieldPosition="0">
        <references count="4">
          <reference field="1" count="1" selected="0">
            <x v="0"/>
          </reference>
          <reference field="11" count="1" selected="0">
            <x v="0"/>
          </reference>
          <reference field="12" count="1" selected="0">
            <x v="4"/>
          </reference>
          <reference field="13" count="1">
            <x v="0"/>
          </reference>
        </references>
      </pivotArea>
    </format>
    <format dxfId="60">
      <pivotArea dataOnly="0" labelOnly="1" outline="0" fieldPosition="0">
        <references count="4">
          <reference field="1" count="1" selected="0">
            <x v="1"/>
          </reference>
          <reference field="11" count="1" selected="0">
            <x v="1"/>
          </reference>
          <reference field="12" count="1" selected="0">
            <x v="1"/>
          </reference>
          <reference field="13" count="1">
            <x v="0"/>
          </reference>
        </references>
      </pivotArea>
    </format>
    <format dxfId="59">
      <pivotArea dataOnly="0" labelOnly="1" outline="0" fieldPosition="0">
        <references count="4">
          <reference field="1" count="1" selected="0">
            <x v="1"/>
          </reference>
          <reference field="11" count="1" selected="0">
            <x v="1"/>
          </reference>
          <reference field="12" count="1" selected="0">
            <x v="2"/>
          </reference>
          <reference field="13" count="1">
            <x v="0"/>
          </reference>
        </references>
      </pivotArea>
    </format>
    <format dxfId="58">
      <pivotArea dataOnly="0" labelOnly="1" outline="0" fieldPosition="0">
        <references count="4">
          <reference field="1" count="1" selected="0">
            <x v="2"/>
          </reference>
          <reference field="11" count="1" selected="0">
            <x v="1"/>
          </reference>
          <reference field="12" count="1" selected="0">
            <x v="0"/>
          </reference>
          <reference field="13" count="1">
            <x v="0"/>
          </reference>
        </references>
      </pivotArea>
    </format>
    <format dxfId="57">
      <pivotArea dataOnly="0" labelOnly="1" outline="0" fieldPosition="0">
        <references count="4">
          <reference field="1" count="1" selected="0">
            <x v="3"/>
          </reference>
          <reference field="11" count="1" selected="0">
            <x v="1"/>
          </reference>
          <reference field="12" count="1" selected="0">
            <x v="2"/>
          </reference>
          <reference field="13" count="1">
            <x v="0"/>
          </reference>
        </references>
      </pivotArea>
    </format>
    <format dxfId="56">
      <pivotArea dataOnly="0" labelOnly="1" outline="0" fieldPosition="0">
        <references count="4">
          <reference field="1" count="1" selected="0">
            <x v="4"/>
          </reference>
          <reference field="11" count="1" selected="0">
            <x v="1"/>
          </reference>
          <reference field="12" count="1" selected="0">
            <x v="2"/>
          </reference>
          <reference field="13" count="1">
            <x v="0"/>
          </reference>
        </references>
      </pivotArea>
    </format>
    <format dxfId="55">
      <pivotArea dataOnly="0" labelOnly="1" outline="0" fieldPosition="0">
        <references count="4">
          <reference field="1" count="1" selected="0">
            <x v="5"/>
          </reference>
          <reference field="11" count="1" selected="0">
            <x v="1"/>
          </reference>
          <reference field="12" count="1" selected="0">
            <x v="3"/>
          </reference>
          <reference field="13" count="1">
            <x v="1"/>
          </reference>
        </references>
      </pivotArea>
    </format>
    <format dxfId="54">
      <pivotArea dataOnly="0" labelOnly="1" outline="0" fieldPosition="0">
        <references count="1">
          <reference field="4294967294" count="2">
            <x v="0"/>
            <x v="1"/>
          </reference>
        </references>
      </pivotArea>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96EB532-46C9-4297-AA81-28D3F59DC4D1}" name="PivotTable1" cacheId="39" applyNumberFormats="0" applyBorderFormats="0" applyFontFormats="0" applyPatternFormats="0" applyAlignmentFormats="0" applyWidthHeightFormats="1" dataCaption="Values" updatedVersion="8" minRefreshableVersion="3" showDrill="0" itemPrintTitles="1" createdVersion="8" indent="0" compact="0" compactData="0" multipleFieldFilters="0">
  <location ref="B5:J106" firstHeaderRow="0" firstDataRow="1" firstDataCol="6"/>
  <pivotFields count="50">
    <pivotField compact="0" outline="0" showAll="0" insertBlankRow="1" defaultSubtotal="0">
      <items count="7">
        <item x="6"/>
        <item x="5"/>
        <item x="0"/>
        <item x="2"/>
        <item x="4"/>
        <item x="3"/>
        <item x="1"/>
      </items>
    </pivotField>
    <pivotField compact="0" outline="0" showAll="0" insertBlankRow="1" defaultSubtotal="0">
      <items count="9">
        <item x="0"/>
        <item x="1"/>
        <item x="2"/>
        <item x="3"/>
        <item x="4"/>
        <item x="5"/>
        <item x="6"/>
        <item x="7"/>
        <item x="8"/>
      </items>
    </pivotField>
    <pivotField axis="axisRow" compact="0" outline="0" showAll="0" insertBlankRow="1" defaultSubtotal="0">
      <items count="26">
        <item x="22"/>
        <item x="0"/>
        <item x="20"/>
        <item x="4"/>
        <item x="5"/>
        <item x="6"/>
        <item x="8"/>
        <item x="9"/>
        <item x="10"/>
        <item x="11"/>
        <item x="7"/>
        <item x="12"/>
        <item x="2"/>
        <item x="3"/>
        <item x="13"/>
        <item x="14"/>
        <item x="15"/>
        <item x="16"/>
        <item x="18"/>
        <item x="19"/>
        <item x="23"/>
        <item x="21"/>
        <item x="25"/>
        <item x="24"/>
        <item x="1"/>
        <item x="17"/>
      </items>
    </pivotField>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axis="axisRow" compact="0" outline="0" showAll="0" insertBlankRow="1" defaultSubtotal="0">
      <items count="17">
        <item x="7"/>
        <item x="6"/>
        <item x="0"/>
        <item x="2"/>
        <item x="5"/>
        <item x="4"/>
        <item x="3"/>
        <item x="10"/>
        <item x="11"/>
        <item x="12"/>
        <item x="9"/>
        <item x="8"/>
        <item x="1"/>
        <item x="14"/>
        <item x="15"/>
        <item x="13"/>
        <item x="16"/>
      </items>
    </pivotField>
    <pivotField axis="axisRow" compact="0" outline="0" showAll="0" insertBlankRow="1">
      <items count="11">
        <item x="4"/>
        <item x="2"/>
        <item x="3"/>
        <item x="0"/>
        <item x="5"/>
        <item x="1"/>
        <item x="7"/>
        <item x="8"/>
        <item x="6"/>
        <item x="9"/>
        <item t="default"/>
      </items>
    </pivotField>
    <pivotField compact="0" outline="0" showAll="0" insertBlankRow="1" defaultSubtotal="0">
      <items count="2">
        <item x="0"/>
        <item x="1"/>
      </items>
    </pivotField>
    <pivotField compact="0" outline="0" subtotalTop="0" showAll="0" insertBlankRow="1" defaultSubtotal="0"/>
    <pivotField axis="axisRow" compact="0" outline="0" subtotalTop="0" showAll="0" insertBlankRow="1" defaultSubtotal="0">
      <items count="7">
        <item x="2"/>
        <item x="4"/>
        <item x="3"/>
        <item x="1"/>
        <item x="0"/>
        <item x="5"/>
        <item x="6"/>
      </items>
    </pivotField>
    <pivotField axis="axisRow" compact="0" outline="0" subtotalTop="0" showAll="0" insertBlankRow="1" defaultSubtotal="0">
      <items count="3">
        <item x="0"/>
        <item x="2"/>
        <item x="1"/>
      </items>
    </pivotField>
    <pivotField compact="0" outline="0" showAll="0" insertBlankRow="1" defaultSubtotal="0"/>
    <pivotField compact="0" numFmtId="14" outline="0" showAll="0" insertBlankRow="1" defaultSubtotal="0"/>
    <pivotField compact="0" numFmtId="164"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axis="axisRow" compact="0" outline="0" showAll="0" insertBlankRow="1" defaultSubtotal="0">
      <items count="4">
        <item x="1"/>
        <item x="0"/>
        <item x="2"/>
        <item x="3"/>
      </items>
    </pivotField>
    <pivotField dataField="1" compact="0" outline="0" showAll="0" insertBlankRow="1" defaultSubtotal="0"/>
    <pivotField dataField="1" compact="0" numFmtId="43" outline="0" showAll="0" insertBlankRow="1" defaultSubtotal="0"/>
    <pivotField compact="0" outline="0" subtotalTop="0" showAll="0" insertBlankRow="1" defaultSubtotal="0"/>
    <pivotField compact="0" outline="0" showAll="0" insertBlankRow="1" defaultSubtotal="0"/>
    <pivotField compact="0" numFmtId="14" outline="0" showAll="0" insertBlankRow="1" defaultSubtotal="0"/>
    <pivotField compact="0" numFmtId="14" outline="0" showAll="0" insertBlankRow="1" defaultSubtotal="0"/>
    <pivotField dataField="1" compact="0" numFmtId="4"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s>
  <rowFields count="6">
    <field x="9"/>
    <field x="2"/>
    <field x="12"/>
    <field x="13"/>
    <field x="8"/>
    <field x="21"/>
  </rowFields>
  <rowItems count="101">
    <i>
      <x/>
      <x/>
      <x/>
      <x/>
      <x v="1"/>
      <x/>
    </i>
    <i t="blank" r="4">
      <x v="1"/>
    </i>
    <i r="1">
      <x v="15"/>
      <x v="2"/>
      <x/>
      <x/>
      <x/>
    </i>
    <i t="blank" r="4">
      <x/>
    </i>
    <i r="4">
      <x v="1"/>
      <x/>
    </i>
    <i t="blank" r="4">
      <x v="1"/>
    </i>
    <i r="1">
      <x v="16"/>
      <x v="2"/>
      <x/>
      <x v="1"/>
      <x/>
    </i>
    <i t="blank" r="4">
      <x v="1"/>
    </i>
    <i r="1">
      <x v="20"/>
      <x v="3"/>
      <x v="1"/>
      <x v="1"/>
      <x/>
    </i>
    <i t="blank" r="4">
      <x v="1"/>
    </i>
    <i t="default">
      <x/>
    </i>
    <i t="blank">
      <x/>
    </i>
    <i>
      <x v="1"/>
      <x/>
      <x/>
      <x/>
      <x v="3"/>
      <x/>
    </i>
    <i t="blank" r="4">
      <x v="3"/>
    </i>
    <i r="1">
      <x v="3"/>
      <x/>
      <x/>
      <x v="3"/>
      <x/>
    </i>
    <i t="blank" r="4">
      <x v="3"/>
    </i>
    <i r="1">
      <x v="4"/>
      <x/>
      <x/>
      <x v="3"/>
      <x/>
    </i>
    <i t="blank" r="4">
      <x v="3"/>
    </i>
    <i r="1">
      <x v="5"/>
      <x/>
      <x/>
      <x v="3"/>
      <x/>
    </i>
    <i t="blank" r="4">
      <x v="3"/>
    </i>
    <i r="1">
      <x v="6"/>
      <x/>
      <x/>
      <x v="3"/>
      <x/>
    </i>
    <i t="blank" r="4">
      <x v="3"/>
    </i>
    <i r="1">
      <x v="7"/>
      <x/>
      <x/>
      <x v="3"/>
      <x/>
    </i>
    <i t="blank" r="4">
      <x v="3"/>
    </i>
    <i r="1">
      <x v="8"/>
      <x/>
      <x/>
      <x v="3"/>
      <x/>
    </i>
    <i t="blank" r="4">
      <x v="3"/>
    </i>
    <i r="1">
      <x v="9"/>
      <x/>
      <x/>
      <x v="3"/>
      <x/>
    </i>
    <i t="blank" r="4">
      <x v="3"/>
    </i>
    <i r="1">
      <x v="10"/>
      <x/>
      <x/>
      <x v="3"/>
      <x/>
    </i>
    <i t="blank" r="4">
      <x v="3"/>
    </i>
    <i r="1">
      <x v="11"/>
      <x/>
      <x/>
      <x v="3"/>
      <x/>
    </i>
    <i t="blank" r="4">
      <x v="3"/>
    </i>
    <i r="1">
      <x v="12"/>
      <x v="3"/>
      <x v="2"/>
      <x v="3"/>
      <x/>
    </i>
    <i t="blank" r="4">
      <x v="3"/>
    </i>
    <i r="1">
      <x v="13"/>
      <x v="3"/>
      <x v="2"/>
      <x v="3"/>
      <x/>
    </i>
    <i t="blank" r="4">
      <x v="3"/>
    </i>
    <i r="1">
      <x v="18"/>
      <x v="2"/>
      <x/>
      <x v="3"/>
      <x/>
    </i>
    <i t="blank" r="4">
      <x v="3"/>
    </i>
    <i r="4">
      <x v="7"/>
      <x/>
    </i>
    <i t="blank" r="4">
      <x v="7"/>
    </i>
    <i r="1">
      <x v="20"/>
      <x v="3"/>
      <x v="1"/>
      <x v="3"/>
      <x/>
    </i>
    <i t="blank" r="4">
      <x v="3"/>
    </i>
    <i t="default">
      <x v="1"/>
    </i>
    <i t="blank">
      <x v="1"/>
    </i>
    <i>
      <x v="2"/>
      <x v="14"/>
      <x v="2"/>
      <x/>
      <x v="4"/>
      <x/>
    </i>
    <i t="blank" r="4">
      <x v="4"/>
    </i>
    <i r="4">
      <x v="5"/>
      <x/>
    </i>
    <i t="blank" r="4">
      <x v="5"/>
    </i>
    <i r="4">
      <x v="6"/>
      <x/>
    </i>
    <i t="blank" r="4">
      <x v="6"/>
    </i>
    <i r="1">
      <x v="19"/>
      <x v="2"/>
      <x/>
      <x v="4"/>
      <x/>
    </i>
    <i t="blank" r="4">
      <x v="4"/>
    </i>
    <i r="4">
      <x v="5"/>
      <x/>
    </i>
    <i t="blank" r="4">
      <x v="5"/>
    </i>
    <i r="1">
      <x v="25"/>
      <x v="2"/>
      <x/>
      <x v="4"/>
      <x/>
    </i>
    <i t="blank" r="4">
      <x v="4"/>
    </i>
    <i r="4">
      <x v="5"/>
      <x/>
    </i>
    <i t="blank" r="4">
      <x v="5"/>
    </i>
    <i t="default">
      <x v="2"/>
    </i>
    <i t="blank">
      <x v="2"/>
    </i>
    <i>
      <x v="3"/>
      <x v="1"/>
      <x v="4"/>
      <x/>
      <x v="2"/>
      <x v="1"/>
    </i>
    <i t="blank" r="4">
      <x v="2"/>
    </i>
    <i r="1">
      <x v="2"/>
      <x v="2"/>
      <x/>
      <x v="8"/>
      <x/>
    </i>
    <i t="blank" r="4">
      <x v="8"/>
    </i>
    <i r="4">
      <x v="9"/>
      <x/>
    </i>
    <i t="blank" r="4">
      <x v="9"/>
    </i>
    <i r="1">
      <x v="20"/>
      <x v="5"/>
      <x/>
      <x v="8"/>
      <x/>
    </i>
    <i t="blank" r="4">
      <x v="8"/>
    </i>
    <i r="1">
      <x v="23"/>
      <x v="3"/>
      <x v="1"/>
      <x v="2"/>
      <x v="1"/>
    </i>
    <i t="blank" r="4">
      <x v="2"/>
    </i>
    <i t="default">
      <x v="3"/>
    </i>
    <i t="blank">
      <x v="3"/>
    </i>
    <i>
      <x v="4"/>
      <x v="17"/>
      <x v="1"/>
      <x/>
      <x v="10"/>
      <x v="2"/>
    </i>
    <i t="blank" r="4">
      <x v="10"/>
    </i>
    <i r="2">
      <x v="2"/>
      <x/>
      <x v="10"/>
      <x v="2"/>
    </i>
    <i t="blank" r="4">
      <x v="10"/>
    </i>
    <i r="4">
      <x v="11"/>
      <x v="2"/>
    </i>
    <i t="blank" r="4">
      <x v="11"/>
    </i>
    <i t="default">
      <x v="4"/>
    </i>
    <i t="blank">
      <x v="4"/>
    </i>
    <i>
      <x v="5"/>
      <x v="24"/>
      <x v="4"/>
      <x/>
      <x v="12"/>
      <x v="1"/>
    </i>
    <i t="blank" r="4">
      <x v="12"/>
    </i>
    <i t="default">
      <x v="5"/>
    </i>
    <i t="blank">
      <x v="5"/>
    </i>
    <i>
      <x v="6"/>
      <x v="20"/>
      <x v="5"/>
      <x/>
      <x v="13"/>
      <x/>
    </i>
    <i t="blank" r="4">
      <x v="13"/>
    </i>
    <i t="default">
      <x v="6"/>
    </i>
    <i t="blank">
      <x v="6"/>
    </i>
    <i>
      <x v="7"/>
      <x v="20"/>
      <x v="5"/>
      <x/>
      <x v="14"/>
      <x/>
    </i>
    <i t="blank" r="4">
      <x v="14"/>
    </i>
    <i t="default">
      <x v="7"/>
    </i>
    <i t="blank">
      <x v="7"/>
    </i>
    <i>
      <x v="8"/>
      <x v="21"/>
      <x v="2"/>
      <x/>
      <x v="15"/>
      <x/>
    </i>
    <i t="blank" r="4">
      <x v="15"/>
    </i>
    <i t="default">
      <x v="8"/>
    </i>
    <i t="blank">
      <x v="8"/>
    </i>
    <i>
      <x v="9"/>
      <x v="22"/>
      <x v="6"/>
      <x/>
      <x v="16"/>
      <x v="3"/>
    </i>
    <i t="blank" r="4">
      <x v="16"/>
    </i>
    <i t="default">
      <x v="9"/>
    </i>
    <i t="blank">
      <x v="9"/>
    </i>
    <i t="grand">
      <x/>
    </i>
  </rowItems>
  <colFields count="1">
    <field x="-2"/>
  </colFields>
  <colItems count="3">
    <i>
      <x/>
    </i>
    <i i="1">
      <x v="1"/>
    </i>
    <i i="2">
      <x v="2"/>
    </i>
  </colItems>
  <dataFields count="3">
    <dataField name="Sum of Quantity" fld="22" baseField="0" baseItem="0"/>
    <dataField name="Sum of QTY -MT" fld="23" baseField="21" baseItem="0" numFmtId="43"/>
    <dataField name="Sum of Amt.in Loc.Cur." fld="28" baseField="0" baseItem="0" numFmtId="4"/>
  </dataFields>
  <formats count="30">
    <format dxfId="53">
      <pivotArea type="all" dataOnly="0" outline="0" fieldPosition="0"/>
    </format>
    <format dxfId="52">
      <pivotArea outline="0" collapsedLevelsAreSubtotals="1" fieldPosition="0"/>
    </format>
    <format dxfId="51">
      <pivotArea field="9" type="button" dataOnly="0" labelOnly="1" outline="0" axis="axisRow" fieldPosition="0"/>
    </format>
    <format dxfId="50">
      <pivotArea field="2" type="button" dataOnly="0" labelOnly="1" outline="0" axis="axisRow" fieldPosition="1"/>
    </format>
    <format dxfId="49">
      <pivotArea field="8" type="button" dataOnly="0" labelOnly="1" outline="0" axis="axisRow" fieldPosition="4"/>
    </format>
    <format dxfId="48">
      <pivotArea field="21" type="button" dataOnly="0" labelOnly="1" outline="0" axis="axisRow" fieldPosition="5"/>
    </format>
    <format dxfId="47">
      <pivotArea dataOnly="0" labelOnly="1" outline="0" fieldPosition="0">
        <references count="1">
          <reference field="9" count="0"/>
        </references>
      </pivotArea>
    </format>
    <format dxfId="46">
      <pivotArea dataOnly="0" labelOnly="1" outline="0" fieldPosition="0">
        <references count="1">
          <reference field="9" count="0" defaultSubtotal="1"/>
        </references>
      </pivotArea>
    </format>
    <format dxfId="45">
      <pivotArea dataOnly="0" labelOnly="1" grandRow="1" outline="0" fieldPosition="0"/>
    </format>
    <format dxfId="44">
      <pivotArea dataOnly="0" labelOnly="1" outline="0" fieldPosition="0">
        <references count="1">
          <reference field="4294967294" count="1">
            <x v="2"/>
          </reference>
        </references>
      </pivotArea>
    </format>
    <format dxfId="43">
      <pivotArea type="all" dataOnly="0" outline="0" fieldPosition="0"/>
    </format>
    <format dxfId="42">
      <pivotArea outline="0" collapsedLevelsAreSubtotals="1" fieldPosition="0"/>
    </format>
    <format dxfId="41">
      <pivotArea field="9" type="button" dataOnly="0" labelOnly="1" outline="0" axis="axisRow" fieldPosition="0"/>
    </format>
    <format dxfId="40">
      <pivotArea field="2" type="button" dataOnly="0" labelOnly="1" outline="0" axis="axisRow" fieldPosition="1"/>
    </format>
    <format dxfId="39">
      <pivotArea field="8" type="button" dataOnly="0" labelOnly="1" outline="0" axis="axisRow" fieldPosition="4"/>
    </format>
    <format dxfId="38">
      <pivotArea field="21" type="button" dataOnly="0" labelOnly="1" outline="0" axis="axisRow" fieldPosition="5"/>
    </format>
    <format dxfId="37">
      <pivotArea dataOnly="0" labelOnly="1" outline="0" fieldPosition="0">
        <references count="1">
          <reference field="9" count="0"/>
        </references>
      </pivotArea>
    </format>
    <format dxfId="36">
      <pivotArea dataOnly="0" labelOnly="1" outline="0" fieldPosition="0">
        <references count="1">
          <reference field="9" count="0" defaultSubtotal="1"/>
        </references>
      </pivotArea>
    </format>
    <format dxfId="35">
      <pivotArea dataOnly="0" labelOnly="1" grandRow="1" outline="0" fieldPosition="0"/>
    </format>
    <format dxfId="34">
      <pivotArea dataOnly="0" labelOnly="1" outline="0" fieldPosition="0">
        <references count="1">
          <reference field="4294967294" count="1">
            <x v="2"/>
          </reference>
        </references>
      </pivotArea>
    </format>
    <format dxfId="33">
      <pivotArea type="all" dataOnly="0" outline="0" fieldPosition="0"/>
    </format>
    <format dxfId="32">
      <pivotArea outline="0" collapsedLevelsAreSubtotals="1" fieldPosition="0"/>
    </format>
    <format dxfId="31">
      <pivotArea field="9" type="button" dataOnly="0" labelOnly="1" outline="0" axis="axisRow" fieldPosition="0"/>
    </format>
    <format dxfId="30">
      <pivotArea field="2" type="button" dataOnly="0" labelOnly="1" outline="0" axis="axisRow" fieldPosition="1"/>
    </format>
    <format dxfId="29">
      <pivotArea field="8" type="button" dataOnly="0" labelOnly="1" outline="0" axis="axisRow" fieldPosition="4"/>
    </format>
    <format dxfId="28">
      <pivotArea field="21" type="button" dataOnly="0" labelOnly="1" outline="0" axis="axisRow" fieldPosition="5"/>
    </format>
    <format dxfId="27">
      <pivotArea dataOnly="0" labelOnly="1" outline="0" fieldPosition="0">
        <references count="1">
          <reference field="9" count="0"/>
        </references>
      </pivotArea>
    </format>
    <format dxfId="26">
      <pivotArea dataOnly="0" labelOnly="1" outline="0" fieldPosition="0">
        <references count="1">
          <reference field="9" count="0" defaultSubtotal="1"/>
        </references>
      </pivotArea>
    </format>
    <format dxfId="25">
      <pivotArea dataOnly="0" labelOnly="1" grandRow="1" outline="0" fieldPosition="0"/>
    </format>
    <format dxfId="24">
      <pivotArea dataOnly="0" labelOnly="1" outline="0" fieldPosition="0">
        <references count="1">
          <reference field="4294967294" count="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InsertBlankRowDefault="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14CEB2B-90BD-4D2C-B30A-6B6F95064054}" sourceName="Month">
  <pivotTables>
    <pivotTable tabId="4" name="PivotTable1"/>
  </pivotTables>
  <data>
    <tabular pivotCacheId="1686269178">
      <items count="7">
        <i x="6" s="1"/>
        <i x="5" s="1"/>
        <i x="0" s="1"/>
        <i x="2" s="1"/>
        <i x="4"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justment_Type" xr10:uid="{B21CEE0B-E56E-4C07-A6B4-E60E7C2B692D}" sourceName="Adjustment Type">
  <pivotTables>
    <pivotTable tabId="4" name="PivotTable1"/>
  </pivotTables>
  <data>
    <tabular pivotCacheId="1686269178">
      <items count="9">
        <i x="0" s="1"/>
        <i x="1" s="1"/>
        <i x="2" s="1"/>
        <i x="3" s="1"/>
        <i x="4" s="1"/>
        <i x="5" s="1"/>
        <i x="6" s="1"/>
        <i x="7"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 xr10:uid="{A2BAED0F-78DE-4F8E-A7B4-0E56B2A9BB19}" sourceName="Stream">
  <pivotTables>
    <pivotTable tabId="4" name="PivotTable1"/>
  </pivotTables>
  <data>
    <tabular pivotCacheId="168626917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1" xr10:uid="{4B6DDC56-277D-4F53-8D73-4BDC9E4C71F8}" sourceName="Stream">
  <pivotTables>
    <pivotTable tabId="10" name="Summary"/>
  </pivotTables>
  <data>
    <tabular pivotCacheId="1686269178">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nsation_status" xr10:uid="{6834305B-BE56-4B07-B292-8E829DA50262}" sourceName="Compensation status">
  <pivotTables>
    <pivotTable tabId="10" name="Summary"/>
  </pivotTables>
  <data>
    <tabular pivotCacheId="1686269178">
      <items count="7">
        <i x="6" s="1"/>
        <i x="5" s="1"/>
        <i x="2" s="1"/>
        <i x="4" s="1"/>
        <i x="3"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00296016-ABDF-46C9-A74C-E64EBA95F7D0}" sourceName="Product Type">
  <pivotTables>
    <pivotTable tabId="10" name="Summary"/>
  </pivotTables>
  <data>
    <tabular pivotCacheId="1686269178" showMissing="0">
      <items count="10">
        <i x="4" s="1"/>
        <i x="6" s="1"/>
        <i x="2" s="1"/>
        <i x="5" s="1"/>
        <i x="7" s="1"/>
        <i x="3" s="1"/>
        <i x="0" s="1"/>
        <i x="8" s="1"/>
        <i x="1" s="1"/>
        <i x="9"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1" xr10:uid="{AB487060-3A16-4305-996C-F5A1EA42045D}" sourceName="Product Type">
  <pivotTables>
    <pivotTable tabId="11" name="PivotTable1"/>
  </pivotTables>
  <data>
    <tabular pivotCacheId="1686269178">
      <items count="10">
        <i x="4" s="1"/>
        <i x="6" s="1"/>
        <i x="2" s="1"/>
        <i x="5" s="1"/>
        <i x="7" s="1"/>
        <i x="3" s="1"/>
        <i x="0" s="1"/>
        <i x="8" s="1"/>
        <i x="1" s="1"/>
        <i x="9"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2" xr10:uid="{1017F438-C8EE-45FC-BE59-983E155168BF}" sourceName="Stream">
  <pivotTables>
    <pivotTable tabId="11" name="PivotTable1"/>
  </pivotTables>
  <data>
    <tabular pivotCacheId="1686269178">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nsation_status1" xr10:uid="{BFBF4DA5-5EAF-4B1F-89FF-85CA889213F1}" sourceName="Compensation status">
  <pivotTables>
    <pivotTable tabId="11" name="PivotTable1"/>
  </pivotTables>
  <data>
    <tabular pivotCacheId="1686269178">
      <items count="7">
        <i x="6" s="1"/>
        <i x="5" s="1"/>
        <i x="2" s="1"/>
        <i x="4"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eam 1" xr10:uid="{4F92DFBC-A0DF-4DD8-8ABF-5185FD83CC18}" cache="Slicer_Stream1" caption="Stream" columnCount="2" style="SlicerStyleOther2" rowHeight="241300"/>
  <slicer name="Compensation status" xr10:uid="{1506040E-4314-4135-877C-9AA8BF57608D}" cache="Slicer_Compensation_status" caption="Compensation status" columnCount="6" style="SlicerStyleOther2" rowHeight="241300"/>
  <slicer name="Product Type" xr10:uid="{7A3E69E8-3425-4171-8325-143BAE67256F}" cache="Slicer_Product_Type" caption="Product Type"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Type 1" xr10:uid="{ECE7992E-B35E-4E6A-8D70-2360C0CC6393}" cache="Slicer_Product_Type1" caption="Product Type" style="SlicerStyleOther2" rowHeight="241300"/>
  <slicer name="Stream 2" xr10:uid="{BB0FB767-8D80-4B2D-AA83-0CB8BA052872}" cache="Slicer_Stream2" caption="Stream" columnCount="2" style="SlicerStyleOther2" rowHeight="241300"/>
  <slicer name="Compensation status 1" xr10:uid="{48D1150A-BE25-4928-88C4-F77A888C1269}" cache="Slicer_Compensation_status1" caption="Compensation status" columnCount="7" style="SlicerStyleOther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609A57A5-3D93-4BB6-934A-16BAD2C70ABB}" cache="Slicer_Month" caption="Month" columnCount="2" style="SlicerStyleOther2" rowHeight="225425"/>
  <slicer name="Adjustment Type" xr10:uid="{DE535017-E80C-4B1E-A114-656388D45F28}" cache="Slicer_Adjustment_Type" caption="Adjustment Type" columnCount="3" style="SlicerStyleOther2" rowHeight="225425"/>
  <slicer name="Stream" xr10:uid="{EDCC66B3-73EA-442B-8BAA-A15B872F0B43}" cache="Slicer_Stream" caption="Stream" style="SlicerStyleOther2" rowHeight="20116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46B213-738D-4201-BD92-D0885FEAFE75}" name="SAPData" displayName="SAPData" ref="A1:AX70" totalsRowShown="0" headerRowDxfId="153">
  <autoFilter ref="A1:AX70" xr:uid="{E246B213-738D-4201-BD92-D0885FEAFE75}"/>
  <sortState xmlns:xlrd2="http://schemas.microsoft.com/office/spreadsheetml/2017/richdata2" ref="A2:AX70">
    <sortCondition ref="B1:B70"/>
  </sortState>
  <tableColumns count="50">
    <tableColumn id="1" xr3:uid="{946591C1-E15D-4066-BBE5-28A3F725FC93}" name="Month">
      <calculatedColumnFormula>TEXT(P2,"mmm")</calculatedColumnFormula>
    </tableColumn>
    <tableColumn id="2" xr3:uid="{8878EF11-F997-4496-A064-F6BB801DE79C}" name="Adjustment Type"/>
    <tableColumn id="3" xr3:uid="{0C8DEA6A-58ED-478B-A848-CBA6180A5ED9}" name="Remarks"/>
    <tableColumn id="4" xr3:uid="{4F79C51B-FB37-4770-8BD5-3C32133E6B38}" name="Plant"/>
    <tableColumn id="5" xr3:uid="{DF972798-D96D-41E3-8333-2FBE3EA02DD4}" name="Name 1"/>
    <tableColumn id="6" xr3:uid="{70AA962C-4B10-4A37-8068-A8A1F6278233}" name="Storage location"/>
    <tableColumn id="7" xr3:uid="{C6C8C35E-4BE6-43F9-A96D-5FA24F2FE654}" name="Material"/>
    <tableColumn id="8" xr3:uid="{E7DB2192-6165-460E-8ABE-FCC4A8C0DB11}" name="Material description"/>
    <tableColumn id="9" xr3:uid="{722D95A6-63E0-4D0B-BA50-35486DE03CC7}" name="Short Description">
      <calculatedColumnFormula>VLOOKUP(G2,N_ref[#All],5,0)</calculatedColumnFormula>
    </tableColumn>
    <tableColumn id="46" xr3:uid="{16ECBB99-FB4E-462F-ABD2-5CEC094389E9}" name="Product Type" dataDxfId="152">
      <calculatedColumnFormula>VLOOKUP(SAPData[[#This Row],[Material]],N_ref[#All],10,FALSE)</calculatedColumnFormula>
    </tableColumn>
    <tableColumn id="10" xr3:uid="{083BC130-A8E7-4899-A84F-CB6BE9909818}" name="Stream">
      <calculatedColumnFormula>VLOOKUP(G2,N_ref[#All],6,0)</calculatedColumnFormula>
    </tableColumn>
    <tableColumn id="49" xr3:uid="{4BE99BF0-32B3-47C6-A891-25565DC58450}" name="Variance Classification">
      <calculatedColumnFormula>VLOOKUP(SAPData[[#This Row],[Adjustment Type]],Notes!$B$13:$D$36,3,FALSE)</calculatedColumnFormula>
    </tableColumn>
    <tableColumn id="48" xr3:uid="{DCABBE40-D4EA-4088-93E7-782518E183FF}" name="Compensation status"/>
    <tableColumn id="47" xr3:uid="{E72596EA-5F21-4567-B4B4-990BC3A1B3B8}" name="Compensation process"/>
    <tableColumn id="11" xr3:uid="{B46E0FA7-A3F6-4BB3-9EBF-13B035A02595}" name="Material Document"/>
    <tableColumn id="12" xr3:uid="{CBAEAF4C-BB85-428C-BDF2-94800987BC90}" name="Posting Date" dataDxfId="151"/>
    <tableColumn id="13" xr3:uid="{8D8019C1-4C81-4B5C-A14B-A8A29D1BF845}" name="Time of Entry" dataDxfId="150"/>
    <tableColumn id="14" xr3:uid="{3EA5CF5E-7F50-4DF8-91CB-1898603B53F0}" name="Movement Type Text"/>
    <tableColumn id="15" xr3:uid="{A9CF3A9A-159B-492F-B40E-7DA155A58FA8}" name="Movement type"/>
    <tableColumn id="16" xr3:uid="{3280D1BC-6EC8-45A3-AC2C-EC585D7B17E3}" name="Qty in unit of entry" dataDxfId="149" dataCellStyle="Comma"/>
    <tableColumn id="17" xr3:uid="{D52B0069-E792-4220-84A4-A190C7D1C93D}" name="Unit of Entry"/>
    <tableColumn id="18" xr3:uid="{94C02C19-3201-4481-8337-3315CCB25733}" name="Base Unit of Measure"/>
    <tableColumn id="19" xr3:uid="{36E57D04-B362-486F-BF1E-8F8EF834ECAA}" name="Quantity" dataDxfId="148" dataCellStyle="Comma"/>
    <tableColumn id="20" xr3:uid="{E803246D-B7FD-494B-B6D9-27E8226CA661}" name="QTY -MT" dataDxfId="147" dataCellStyle="Comma">
      <calculatedColumnFormula>W2/VLOOKUP(G2,N_ref[#All],7,0)</calculatedColumnFormula>
    </tableColumn>
    <tableColumn id="51" xr3:uid="{32055C7D-0C08-4BC7-B12A-68BCBF643FF4}" name="Adj. Type" dataDxfId="146" dataCellStyle="Comma">
      <calculatedColumnFormula>IF(SAPData[[#This Row],[Quantity]]&gt;0,"Gain","Loss")</calculatedColumnFormula>
    </tableColumn>
    <tableColumn id="21" xr3:uid="{00AF4A7D-DD23-49A1-976D-A4C5F659A589}" name="Batch"/>
    <tableColumn id="22" xr3:uid="{EBA1B873-AD34-4AE2-85A0-0D96D04CB1F4}" name="Document Date" dataDxfId="145"/>
    <tableColumn id="23" xr3:uid="{9F4DFB0F-46A4-4E7A-9344-4C25FD2057CC}" name="Entry Date" dataDxfId="144"/>
    <tableColumn id="24" xr3:uid="{D1B0858D-8952-44EA-8CA5-CF52B266691D}" name="Amt.in Loc.Cur." dataDxfId="143"/>
    <tableColumn id="25" xr3:uid="{F2B703B3-BD55-4773-BBE8-C58BE384B46D}" name="Document Header Text"/>
    <tableColumn id="26" xr3:uid="{A87ECA6D-FCBB-444E-B624-9B728B862E64}" name="Bill of Lading"/>
    <tableColumn id="27" xr3:uid="{BAF1ECB4-B1AC-4773-97DC-A942CC74F0CF}" name="Special Stock"/>
    <tableColumn id="28" xr3:uid="{CCC9BF66-2011-4F7D-A9BD-33503C0C5238}" name="Material Doc.Item"/>
    <tableColumn id="29" xr3:uid="{179C72C5-2B0F-4D66-9E68-0A398E063E89}" name="Text"/>
    <tableColumn id="30" xr3:uid="{39F12807-9C4B-4356-A70D-A36CFFC8F80D}" name="Reference"/>
    <tableColumn id="31" xr3:uid="{B3706E83-12FA-4269-91B4-074C0282C822}" name="Username Full Name"/>
    <tableColumn id="32" xr3:uid="{DA4301AA-FD98-49E8-B4EE-64454595A359}" name="Order"/>
    <tableColumn id="33" xr3:uid="{715FC43E-DFE4-4DCB-9B98-09A50ECE1811}" name="Reservation"/>
    <tableColumn id="34" xr3:uid="{D94A11CA-51BF-474A-8358-B96CEDF4F949}" name="Purchase order"/>
    <tableColumn id="35" xr3:uid="{C10F8E29-A00F-4E1D-8398-30113A6AE0AE}" name="Company Code"/>
    <tableColumn id="36" xr3:uid="{5500A55E-C9CB-4D85-90FC-53B929CC5841}" name="Item"/>
    <tableColumn id="37" xr3:uid="{78A21DB7-4392-4D8D-A504-8215017D071F}" name="Sales Order"/>
    <tableColumn id="38" xr3:uid="{FC46CA3A-F3FE-4FF8-A778-73B5CAB7A7A6}" name="Cost Center"/>
    <tableColumn id="39" xr3:uid="{6AA67417-FF30-4944-BB4B-EFD9B1C6A751}" name="Customer"/>
    <tableColumn id="40" xr3:uid="{CBC67745-059C-450D-BEB2-AC481F90C7EB}" name="Movement indicator"/>
    <tableColumn id="41" xr3:uid="{FAEF627C-678D-48D4-9717-ABE0636CEABA}" name="Receipt Indicator"/>
    <tableColumn id="42" xr3:uid="{008E87BD-902A-410A-BEDF-C63BB9B46137}" name="Supplier"/>
    <tableColumn id="43" xr3:uid="{25E59FAB-C1B1-46F2-98B6-15FD2E0B3C6A}" name="Sales order2"/>
    <tableColumn id="44" xr3:uid="{C24D2CC5-C0CE-4542-AC69-1CC67A1C951B}" name="Material Doc. Year"/>
    <tableColumn id="45" xr3:uid="{62E9F4C5-FD93-49F3-8BFF-381113F78D25}" name="User Nam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57ED95-2F04-458F-B181-0B2E63F2248B}" name="N_ref" displayName="N_ref" ref="A1:J158" totalsRowShown="0" headerRowDxfId="23">
  <autoFilter ref="A1:J158" xr:uid="{3592A654-FFC7-42AD-BD01-B7513C7CEEFE}"/>
  <tableColumns count="10">
    <tableColumn id="2" xr3:uid="{A7A4F161-8C44-49AE-B7A3-25C7CF15DF93}" name="SAP code"/>
    <tableColumn id="1" xr3:uid="{ED872856-7B7B-420A-B7C5-AF0B905E96B4}" name="Product" dataCellStyle="Normal 3"/>
    <tableColumn id="11" xr3:uid="{CF061A2C-291B-4243-91FE-080E9EB00AA6}" name="SAP Description" dataDxfId="22"/>
    <tableColumn id="3" xr3:uid="{3084B0B6-DD74-446B-A54B-9C2E203E88DB}" name="Product Description"/>
    <tableColumn id="4" xr3:uid="{5E0F49FC-772F-486B-A21C-2BF8C5A769C2}" name="Short Description" dataDxfId="21"/>
    <tableColumn id="5" xr3:uid="{4403FD09-0C85-4C89-8A26-ADC866324C4B}" name="Stream"/>
    <tableColumn id="6" xr3:uid="{B4CCC7B8-E7A2-4A45-8417-5D0C088CA7D9}" name="Conversion"/>
    <tableColumn id="7" xr3:uid="{E52642D1-B998-465B-AA88-277250D3EE69}" name="Sage Unit"/>
    <tableColumn id="8" xr3:uid="{833EB5A6-83D0-4723-9615-1C4B7B825BC5}" name="SAP Unit"/>
    <tableColumn id="9" xr3:uid="{9BCF9709-6C04-4CDE-89CC-9DD86F2CA34B}" name="Product Type" dataDxfId="2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6C196C-0337-4A17-BF79-804170DC898D}" name="SAP_Master" displayName="SAP_Master" ref="A1:J157" totalsRowShown="0" headerRowDxfId="19" dataDxfId="18">
  <autoFilter ref="A1:J157" xr:uid="{CAAD85C4-8323-48DE-BCFB-242702036D8D}"/>
  <tableColumns count="10">
    <tableColumn id="1" xr3:uid="{66B0F01F-C32E-4142-A42D-EFD933DB6C31}" name="Material" dataDxfId="17"/>
    <tableColumn id="2" xr3:uid="{BFE96C6F-5334-47D2-8B30-0162423F2695}" name="Material description" dataDxfId="16"/>
    <tableColumn id="3" xr3:uid="{F7E73655-BD21-481A-8642-889DF538C3AB}" name="Plant" dataDxfId="15"/>
    <tableColumn id="4" xr3:uid="{D1942AF0-0E71-4C96-8DEB-DE6410046B2F}" name="Base Unit of Measure" dataDxfId="14"/>
    <tableColumn id="5" xr3:uid="{EE2E351D-8F52-4120-BAA9-8D29DA790BEC}" name="Sage Code"/>
    <tableColumn id="6" xr3:uid="{2C32C5C9-D671-4D29-806F-7EB01F544FA9}" name="Stream" dataDxfId="13"/>
    <tableColumn id="7" xr3:uid="{FB3B177A-588B-41CD-8D2E-D35018F2416B}" name="Short Description" dataDxfId="12"/>
    <tableColumn id="8" xr3:uid="{2FAA5446-B884-41DF-B3ED-366BEBEAF43A}" name="Conversion" dataDxfId="11"/>
    <tableColumn id="9" xr3:uid="{4013B605-5EAC-426B-9C05-6A3A0D3C501C}" name="Product Type"/>
    <tableColumn id="10" xr3:uid="{30E005BF-4D5A-41A1-BBB9-2CAB23DE8D9C}" name="Found" dataDxfId="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2362A9-C772-4867-8C2E-BC417AACBD5C}" name="Table4" displayName="Table4" ref="A1:AM31" totalsRowShown="0" headerRowDxfId="9" headerRowBorderDxfId="8" tableBorderDxfId="7">
  <autoFilter ref="A1:AM31" xr:uid="{0B2362A9-C772-4867-8C2E-BC417AACBD5C}"/>
  <sortState xmlns:xlrd2="http://schemas.microsoft.com/office/spreadsheetml/2017/richdata2" ref="A2:AM31">
    <sortCondition ref="G1:G31"/>
  </sortState>
  <tableColumns count="39">
    <tableColumn id="1" xr3:uid="{35BF398C-4191-4BA5-921D-42F5BADB4203}" name="Plant"/>
    <tableColumn id="2" xr3:uid="{231B0471-72DE-40A2-8694-DBBB8B3218B1}" name="Name 1"/>
    <tableColumn id="3" xr3:uid="{FCA6938A-0B89-4AA9-B0B0-7696FFE43907}" name="Storage location"/>
    <tableColumn id="4" xr3:uid="{F3D6802E-362F-452A-A402-8236E0A3EC9B}" name="Material"/>
    <tableColumn id="5" xr3:uid="{743880F4-50AF-4A90-AF2D-92EA275FFE9C}" name="Material description"/>
    <tableColumn id="6" xr3:uid="{0747F7B6-43C7-479C-ADFD-DF8800F9F291}" name="Material Document"/>
    <tableColumn id="7" xr3:uid="{F2D7E3B4-FC46-4790-8E81-C1FEBA446B1E}" name="Posting Date" dataDxfId="6"/>
    <tableColumn id="8" xr3:uid="{55C02842-E657-41B8-9350-6BBF9BF68D92}" name="Time of Entry" dataDxfId="5"/>
    <tableColumn id="9" xr3:uid="{A700DF18-7EB1-42AE-9463-1F905600D081}" name="Movement Type Text"/>
    <tableColumn id="10" xr3:uid="{81D0793D-1A86-4D36-B5EC-79A0DA695B2B}" name="Movement type"/>
    <tableColumn id="11" xr3:uid="{41C642CA-E64B-4CD9-B64C-CAFFA03A5C52}" name="Qty in unit of entry" dataDxfId="4"/>
    <tableColumn id="12" xr3:uid="{6D5562D0-E42B-455E-87C0-6F84EB1FB63B}" name="Unit of Entry"/>
    <tableColumn id="13" xr3:uid="{D1D13FB7-149A-4D35-94F3-4D8FB904FB2A}" name="Base Unit of Measure"/>
    <tableColumn id="14" xr3:uid="{FC08E0F1-0EC7-4EAE-B817-DD3AFB82DFD0}" name="Quantity" dataDxfId="3"/>
    <tableColumn id="15" xr3:uid="{7AE3689E-36DD-498B-B7D7-2F944C969D94}" name="Batch"/>
    <tableColumn id="16" xr3:uid="{D51DFADB-6307-40BC-BB9B-67C20F8300E4}" name="Document Date" dataDxfId="2"/>
    <tableColumn id="17" xr3:uid="{2484C8CA-F6EB-498B-9AE9-401EDE69E7F9}" name="Entry Date" dataDxfId="1"/>
    <tableColumn id="18" xr3:uid="{AB26C3AB-FEA4-4444-8D12-AFA9E07A8834}" name="Amt.in Loc.Cur." dataDxfId="0"/>
    <tableColumn id="19" xr3:uid="{8CB5DF36-993E-4766-B66F-637CDEDA1F41}" name="Document Header Text"/>
    <tableColumn id="20" xr3:uid="{F002E546-86E9-4B5A-A03E-0D4A69EC3BDB}" name="Bill of Lading"/>
    <tableColumn id="21" xr3:uid="{086B5F4C-2E93-4F41-8564-70DE35A56E63}" name="Special Stock"/>
    <tableColumn id="22" xr3:uid="{97460F37-D4B6-41D6-A3FD-CE01A7920DED}" name="Material Doc.Item"/>
    <tableColumn id="23" xr3:uid="{DF9092FA-7365-4A53-BDAE-6C4BA325F267}" name="Text"/>
    <tableColumn id="24" xr3:uid="{CAA932B3-DE2D-40C5-B0F2-73C5A4855F69}" name="Reference"/>
    <tableColumn id="25" xr3:uid="{B4555EB6-6B70-4915-80E4-5A407FBAB89E}" name="Username Full Name"/>
    <tableColumn id="26" xr3:uid="{AEC1FB01-39BC-4ED4-994B-EE3A0CB8B1E3}" name="Order"/>
    <tableColumn id="27" xr3:uid="{F9295D90-4DD8-4910-A77B-E36AAF62C9DD}" name="Reservation"/>
    <tableColumn id="28" xr3:uid="{9B2BCEA8-B57B-4317-A53B-18DB5DA97398}" name="Purchase order"/>
    <tableColumn id="29" xr3:uid="{C83156D1-7C36-47E3-9FB3-B69626378D95}" name="Company Code"/>
    <tableColumn id="30" xr3:uid="{F0CF35B8-05E7-44D9-B40E-30FA702FDA55}" name="Item"/>
    <tableColumn id="31" xr3:uid="{B4DD29D0-94C6-43B3-9A90-5AF3D55A7DC0}" name="Sales Order"/>
    <tableColumn id="32" xr3:uid="{2CA2DDBA-6382-420C-83C5-82417E046EA4}" name="Cost Center"/>
    <tableColumn id="33" xr3:uid="{643365DB-C6FC-4332-8453-ACA30E1E4C43}" name="Customer"/>
    <tableColumn id="34" xr3:uid="{FB893594-2D38-47B7-BA79-FA82253083E0}" name="Movement indicator"/>
    <tableColumn id="35" xr3:uid="{57942B54-4A0D-4ED1-962F-0B78361B5380}" name="Receipt Indicator"/>
    <tableColumn id="36" xr3:uid="{6F53690A-C436-4D16-AA12-15812B4485CC}" name="Supplier"/>
    <tableColumn id="37" xr3:uid="{BFEB41E9-C167-49DB-A9DA-3C1CC4B116D9}" name="Sales order2"/>
    <tableColumn id="38" xr3:uid="{31A3E86A-C5FD-4A36-B1E6-BC4A4AD47573}" name="Material Doc. Year"/>
    <tableColumn id="39" xr3:uid="{8DE80E51-B55C-4B9E-AE63-ED6099B3D525}" name="User Name"/>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58" dT="2026-07-06T07:11:52.06" personId="{25330D50-0100-4921-949C-2B3DBDCF3A7E}" id="{5B07BC00-6804-42B2-9B2D-9886D50081BA}">
    <text>Added</text>
  </threadedComment>
</ThreadedComment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93AC7-61D9-488B-9EE1-21ED6665F32D}">
  <sheetPr codeName="Sheet4"/>
  <dimension ref="B1:E25"/>
  <sheetViews>
    <sheetView showGridLines="0" zoomScale="90" zoomScaleNormal="90" workbookViewId="0">
      <pane ySplit="11" topLeftCell="A12" activePane="bottomLeft" state="frozen"/>
      <selection pane="bottomLeft" activeCell="C23" sqref="C23"/>
    </sheetView>
  </sheetViews>
  <sheetFormatPr defaultColWidth="9.140625" defaultRowHeight="15" x14ac:dyDescent="0.25"/>
  <cols>
    <col min="1" max="1" width="9.140625" style="35"/>
    <col min="2" max="2" width="27" style="34" customWidth="1"/>
    <col min="3" max="3" width="92.28515625" style="34" customWidth="1"/>
    <col min="4" max="4" width="23.85546875" style="34" customWidth="1"/>
    <col min="5" max="5" width="38.28515625" style="35" customWidth="1"/>
    <col min="6" max="16384" width="9.140625" style="35"/>
  </cols>
  <sheetData>
    <row r="1" spans="2:5" x14ac:dyDescent="0.25">
      <c r="B1" s="33"/>
    </row>
    <row r="2" spans="2:5" x14ac:dyDescent="0.25">
      <c r="B2" s="99" t="s">
        <v>948</v>
      </c>
      <c r="C2" s="99"/>
      <c r="D2" s="99"/>
    </row>
    <row r="3" spans="2:5" x14ac:dyDescent="0.25">
      <c r="B3" s="99" t="s">
        <v>949</v>
      </c>
      <c r="C3" s="99"/>
      <c r="D3" s="99"/>
    </row>
    <row r="4" spans="2:5" x14ac:dyDescent="0.25">
      <c r="B4" s="99" t="s">
        <v>950</v>
      </c>
      <c r="C4" s="99"/>
      <c r="D4" s="99"/>
    </row>
    <row r="5" spans="2:5" x14ac:dyDescent="0.25">
      <c r="B5" s="99" t="s">
        <v>951</v>
      </c>
      <c r="C5" s="99"/>
      <c r="D5" s="99"/>
    </row>
    <row r="6" spans="2:5" x14ac:dyDescent="0.25">
      <c r="B6" s="99"/>
      <c r="C6" s="99"/>
      <c r="D6" s="99"/>
    </row>
    <row r="7" spans="2:5" x14ac:dyDescent="0.25">
      <c r="B7" s="99" t="s">
        <v>946</v>
      </c>
    </row>
    <row r="8" spans="2:5" x14ac:dyDescent="0.25">
      <c r="B8" s="35"/>
    </row>
    <row r="9" spans="2:5" x14ac:dyDescent="0.25">
      <c r="B9" s="99" t="s">
        <v>947</v>
      </c>
    </row>
    <row r="11" spans="2:5" ht="15.75" thickBot="1" x14ac:dyDescent="0.3">
      <c r="B11" s="36" t="s">
        <v>114</v>
      </c>
      <c r="C11" s="36" t="s">
        <v>775</v>
      </c>
      <c r="D11" s="36" t="s">
        <v>774</v>
      </c>
      <c r="E11" s="36" t="s">
        <v>776</v>
      </c>
    </row>
    <row r="12" spans="2:5" ht="15.75" thickTop="1" x14ac:dyDescent="0.25"/>
    <row r="13" spans="2:5" ht="60" x14ac:dyDescent="0.25">
      <c r="B13" s="37" t="s">
        <v>777</v>
      </c>
      <c r="C13" s="38" t="s">
        <v>778</v>
      </c>
      <c r="D13" s="38" t="s">
        <v>807</v>
      </c>
      <c r="E13" s="38" t="s">
        <v>779</v>
      </c>
    </row>
    <row r="14" spans="2:5" ht="105" x14ac:dyDescent="0.25">
      <c r="B14" s="37" t="s">
        <v>780</v>
      </c>
      <c r="C14" s="38" t="s">
        <v>781</v>
      </c>
      <c r="D14" s="38" t="s">
        <v>806</v>
      </c>
      <c r="E14" s="38" t="s">
        <v>782</v>
      </c>
    </row>
    <row r="15" spans="2:5" ht="60" x14ac:dyDescent="0.25">
      <c r="B15" s="37" t="s">
        <v>119</v>
      </c>
      <c r="C15" s="38" t="s">
        <v>783</v>
      </c>
      <c r="D15" s="38" t="s">
        <v>807</v>
      </c>
      <c r="E15" s="38" t="s">
        <v>779</v>
      </c>
    </row>
    <row r="16" spans="2:5" ht="45" x14ac:dyDescent="0.25">
      <c r="B16" s="37" t="s">
        <v>823</v>
      </c>
      <c r="C16" s="38" t="s">
        <v>784</v>
      </c>
      <c r="D16" s="38" t="s">
        <v>807</v>
      </c>
      <c r="E16" s="38" t="s">
        <v>785</v>
      </c>
    </row>
    <row r="17" spans="2:5" ht="54.6" customHeight="1" x14ac:dyDescent="0.25">
      <c r="B17" s="37" t="s">
        <v>786</v>
      </c>
      <c r="C17" s="38" t="s">
        <v>787</v>
      </c>
      <c r="D17" s="97" t="s">
        <v>806</v>
      </c>
      <c r="E17" s="38" t="s">
        <v>788</v>
      </c>
    </row>
    <row r="18" spans="2:5" ht="66" customHeight="1" x14ac:dyDescent="0.25">
      <c r="B18" s="37" t="s">
        <v>939</v>
      </c>
      <c r="C18" s="98" t="s">
        <v>945</v>
      </c>
      <c r="D18" s="98" t="s">
        <v>152</v>
      </c>
      <c r="E18" s="98" t="s">
        <v>952</v>
      </c>
    </row>
    <row r="19" spans="2:5" ht="66" customHeight="1" x14ac:dyDescent="0.25">
      <c r="B19" s="37" t="s">
        <v>942</v>
      </c>
      <c r="C19" s="38" t="s">
        <v>789</v>
      </c>
      <c r="D19" s="38" t="s">
        <v>807</v>
      </c>
      <c r="E19" s="38" t="s">
        <v>790</v>
      </c>
    </row>
    <row r="20" spans="2:5" ht="75" x14ac:dyDescent="0.25">
      <c r="B20" s="37" t="s">
        <v>118</v>
      </c>
      <c r="C20" s="38" t="s">
        <v>791</v>
      </c>
      <c r="D20" s="38" t="s">
        <v>806</v>
      </c>
      <c r="E20" s="38" t="s">
        <v>792</v>
      </c>
    </row>
    <row r="21" spans="2:5" ht="75" x14ac:dyDescent="0.25">
      <c r="B21" s="37" t="s">
        <v>793</v>
      </c>
      <c r="C21" s="38" t="s">
        <v>794</v>
      </c>
      <c r="D21" s="38" t="s">
        <v>807</v>
      </c>
      <c r="E21" s="38" t="s">
        <v>795</v>
      </c>
    </row>
    <row r="22" spans="2:5" ht="60" x14ac:dyDescent="0.25">
      <c r="B22" s="37" t="s">
        <v>796</v>
      </c>
      <c r="C22" s="38" t="s">
        <v>797</v>
      </c>
      <c r="D22" s="38" t="s">
        <v>807</v>
      </c>
      <c r="E22" s="38" t="s">
        <v>798</v>
      </c>
    </row>
    <row r="23" spans="2:5" ht="60" x14ac:dyDescent="0.25">
      <c r="B23" s="37" t="s">
        <v>117</v>
      </c>
      <c r="C23" s="38" t="s">
        <v>799</v>
      </c>
      <c r="D23" s="38" t="s">
        <v>807</v>
      </c>
      <c r="E23" s="38" t="s">
        <v>800</v>
      </c>
    </row>
    <row r="24" spans="2:5" ht="39.6" customHeight="1" x14ac:dyDescent="0.25">
      <c r="B24" s="37" t="s">
        <v>801</v>
      </c>
      <c r="C24" s="38" t="s">
        <v>802</v>
      </c>
      <c r="D24" s="38" t="s">
        <v>807</v>
      </c>
      <c r="E24" s="38" t="s">
        <v>790</v>
      </c>
    </row>
    <row r="25" spans="2:5" ht="30" x14ac:dyDescent="0.25">
      <c r="B25" s="37" t="s">
        <v>803</v>
      </c>
      <c r="C25" s="38" t="s">
        <v>804</v>
      </c>
      <c r="D25" s="38" t="s">
        <v>807</v>
      </c>
      <c r="E25" s="38" t="s">
        <v>805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FB0A-C066-4742-8E6B-27727339FFE3}">
  <sheetPr codeName="Sheet5" filterMode="1"/>
  <dimension ref="B3:S100"/>
  <sheetViews>
    <sheetView zoomScale="85" zoomScaleNormal="85" workbookViewId="0">
      <selection activeCell="E66" sqref="E66"/>
    </sheetView>
  </sheetViews>
  <sheetFormatPr defaultRowHeight="12.75" x14ac:dyDescent="0.2"/>
  <cols>
    <col min="2" max="2" width="18.42578125" bestFit="1" customWidth="1"/>
    <col min="3" max="3" width="26.28515625" bestFit="1" customWidth="1"/>
    <col min="4" max="4" width="43.85546875" bestFit="1" customWidth="1"/>
    <col min="5" max="5" width="30.42578125" bestFit="1" customWidth="1"/>
    <col min="6" max="6" width="15.7109375" bestFit="1" customWidth="1"/>
    <col min="7" max="7" width="24.7109375" bestFit="1" customWidth="1"/>
    <col min="8" max="8" width="18.28515625" bestFit="1" customWidth="1"/>
    <col min="9" max="9" width="17" bestFit="1" customWidth="1"/>
    <col min="10" max="10" width="37.140625" bestFit="1" customWidth="1"/>
    <col min="11" max="11" width="33.140625" bestFit="1" customWidth="1"/>
    <col min="12" max="13" width="11.7109375" bestFit="1" customWidth="1"/>
    <col min="14" max="14" width="11.42578125" bestFit="1" customWidth="1"/>
    <col min="15" max="15" width="7.7109375" bestFit="1" customWidth="1"/>
    <col min="16" max="16" width="6.7109375" bestFit="1" customWidth="1"/>
    <col min="17" max="17" width="10.140625" customWidth="1"/>
    <col min="18" max="18" width="7.7109375" bestFit="1" customWidth="1"/>
    <col min="19" max="19" width="10.42578125" customWidth="1"/>
    <col min="20" max="20" width="3.85546875" bestFit="1" customWidth="1"/>
    <col min="21" max="21" width="2.5703125" bestFit="1" customWidth="1"/>
  </cols>
  <sheetData>
    <row r="3" spans="3:6" ht="15" x14ac:dyDescent="0.2">
      <c r="C3" s="61" t="s">
        <v>682</v>
      </c>
      <c r="D3" s="62" t="s">
        <v>832</v>
      </c>
      <c r="E3" s="62" t="s">
        <v>833</v>
      </c>
      <c r="F3" s="63" t="s">
        <v>830</v>
      </c>
    </row>
    <row r="4" spans="3:6" ht="15" x14ac:dyDescent="0.2">
      <c r="C4" s="64" t="s">
        <v>365</v>
      </c>
      <c r="D4" s="65">
        <f>52005/40</f>
        <v>1300.125</v>
      </c>
      <c r="E4" s="70">
        <f>(584806+1090600)/40</f>
        <v>41885.15</v>
      </c>
      <c r="F4" s="66">
        <f>+E4+D4</f>
        <v>43185.275000000001</v>
      </c>
    </row>
    <row r="5" spans="3:6" ht="15" x14ac:dyDescent="0.2">
      <c r="C5" s="64" t="s">
        <v>831</v>
      </c>
      <c r="D5" s="65">
        <f>64599/50</f>
        <v>1291.98</v>
      </c>
      <c r="E5" s="65">
        <f>383750/50</f>
        <v>7675</v>
      </c>
      <c r="F5" s="66">
        <f>D5+E5</f>
        <v>8966.98</v>
      </c>
    </row>
    <row r="6" spans="3:6" ht="15" x14ac:dyDescent="0.2">
      <c r="C6" s="64" t="s">
        <v>233</v>
      </c>
      <c r="D6" s="65">
        <f>(9246/50)+(777/40)</f>
        <v>204.345</v>
      </c>
      <c r="E6" s="65">
        <f>135000/50</f>
        <v>2700</v>
      </c>
      <c r="F6" s="66">
        <f>D6+E6</f>
        <v>2904.3449999999998</v>
      </c>
    </row>
    <row r="7" spans="3:6" ht="12.75" customHeight="1" x14ac:dyDescent="0.2">
      <c r="C7" s="69" t="s">
        <v>331</v>
      </c>
      <c r="D7" s="67">
        <f>384/20</f>
        <v>19.2</v>
      </c>
      <c r="E7" s="67">
        <v>0</v>
      </c>
      <c r="F7" s="68">
        <f>D7+E7</f>
        <v>19.2</v>
      </c>
    </row>
    <row r="30" spans="2:4" x14ac:dyDescent="0.2">
      <c r="D30" t="s">
        <v>829</v>
      </c>
    </row>
    <row r="32" spans="2:4" x14ac:dyDescent="0.2">
      <c r="B32" s="41" t="s">
        <v>680</v>
      </c>
      <c r="C32" s="41" t="s">
        <v>822</v>
      </c>
    </row>
    <row r="33" spans="2:19" x14ac:dyDescent="0.2">
      <c r="B33" s="41" t="s">
        <v>815</v>
      </c>
      <c r="C33" t="s">
        <v>118</v>
      </c>
      <c r="D33" t="s">
        <v>796</v>
      </c>
      <c r="E33" t="s">
        <v>801</v>
      </c>
      <c r="F33" t="s">
        <v>119</v>
      </c>
      <c r="G33" t="s">
        <v>777</v>
      </c>
      <c r="H33" t="s">
        <v>823</v>
      </c>
      <c r="I33" t="s">
        <v>803</v>
      </c>
      <c r="J33" t="s">
        <v>942</v>
      </c>
      <c r="K33" t="s">
        <v>1024</v>
      </c>
      <c r="L33" t="s">
        <v>677</v>
      </c>
    </row>
    <row r="34" spans="2:19" x14ac:dyDescent="0.2">
      <c r="B34" s="43" t="s">
        <v>365</v>
      </c>
      <c r="C34" s="42"/>
      <c r="D34" s="42"/>
      <c r="E34" s="42"/>
      <c r="F34" s="42">
        <v>-12.399999999999999</v>
      </c>
      <c r="G34" s="42"/>
      <c r="H34" s="42">
        <v>-0.85000000000000009</v>
      </c>
      <c r="I34" s="42"/>
      <c r="J34" s="42">
        <v>0.1</v>
      </c>
      <c r="K34" s="42"/>
      <c r="L34" s="42">
        <v>-13.149999999999999</v>
      </c>
    </row>
    <row r="35" spans="2:19" x14ac:dyDescent="0.2">
      <c r="B35" s="43" t="s">
        <v>148</v>
      </c>
      <c r="C35" s="42"/>
      <c r="D35" s="42">
        <v>-1.76</v>
      </c>
      <c r="E35" s="42">
        <v>11.22</v>
      </c>
      <c r="F35" s="42"/>
      <c r="G35" s="42">
        <v>-1.1599999999999999</v>
      </c>
      <c r="H35" s="42">
        <v>-0.1</v>
      </c>
      <c r="I35" s="42"/>
      <c r="J35" s="42">
        <v>0.1</v>
      </c>
      <c r="K35" s="42"/>
      <c r="L35" s="42">
        <v>8.3000000000000007</v>
      </c>
    </row>
    <row r="36" spans="2:19" x14ac:dyDescent="0.2">
      <c r="B36" s="43" t="s">
        <v>233</v>
      </c>
      <c r="C36" s="42"/>
      <c r="D36" s="42"/>
      <c r="E36" s="42"/>
      <c r="F36" s="42">
        <v>-6.6150000000000002</v>
      </c>
      <c r="G36" s="42">
        <v>-1.32</v>
      </c>
      <c r="H36" s="42"/>
      <c r="I36" s="42"/>
      <c r="J36" s="42"/>
      <c r="K36" s="42"/>
      <c r="L36" s="42">
        <v>-7.9350000000000005</v>
      </c>
    </row>
    <row r="37" spans="2:19" x14ac:dyDescent="0.2">
      <c r="B37" s="43" t="s">
        <v>186</v>
      </c>
      <c r="C37" s="42">
        <v>-1.42</v>
      </c>
      <c r="D37" s="42"/>
      <c r="E37" s="42"/>
      <c r="F37" s="42"/>
      <c r="G37" s="42">
        <v>-0.15000000000000002</v>
      </c>
      <c r="H37" s="42">
        <v>-1.1099999999999999</v>
      </c>
      <c r="I37" s="42"/>
      <c r="J37" s="42"/>
      <c r="K37" s="42"/>
      <c r="L37" s="42">
        <v>-2.6799999999999997</v>
      </c>
    </row>
    <row r="38" spans="2:19" x14ac:dyDescent="0.2">
      <c r="B38" s="43" t="s">
        <v>191</v>
      </c>
      <c r="C38" s="42"/>
      <c r="D38" s="42"/>
      <c r="E38" s="42"/>
      <c r="F38" s="42">
        <v>0</v>
      </c>
      <c r="G38" s="42"/>
      <c r="H38" s="42"/>
      <c r="I38" s="42">
        <v>0</v>
      </c>
      <c r="J38" s="42"/>
      <c r="K38" s="42"/>
      <c r="L38" s="42">
        <v>0</v>
      </c>
    </row>
    <row r="39" spans="2:19" x14ac:dyDescent="0.2">
      <c r="B39" s="43" t="s">
        <v>179</v>
      </c>
      <c r="C39" s="42">
        <v>0.27200000000000002</v>
      </c>
      <c r="D39" s="42"/>
      <c r="E39" s="42"/>
      <c r="F39" s="42"/>
      <c r="G39" s="42"/>
      <c r="H39" s="42"/>
      <c r="I39" s="42"/>
      <c r="J39" s="42"/>
      <c r="K39" s="42"/>
      <c r="L39" s="42">
        <v>0.27200000000000002</v>
      </c>
    </row>
    <row r="40" spans="2:19" x14ac:dyDescent="0.2">
      <c r="B40" s="43" t="s">
        <v>175</v>
      </c>
      <c r="C40" s="42"/>
      <c r="D40" s="42"/>
      <c r="E40" s="42"/>
      <c r="F40" s="42"/>
      <c r="G40" s="42"/>
      <c r="H40" s="42">
        <v>-0.35</v>
      </c>
      <c r="I40" s="42"/>
      <c r="J40" s="42"/>
      <c r="K40" s="42"/>
      <c r="L40" s="42">
        <v>-0.35</v>
      </c>
    </row>
    <row r="41" spans="2:19" x14ac:dyDescent="0.2">
      <c r="B41" s="43" t="s">
        <v>136</v>
      </c>
      <c r="C41" s="42"/>
      <c r="D41" s="42"/>
      <c r="E41" s="42"/>
      <c r="F41" s="42"/>
      <c r="G41" s="42"/>
      <c r="H41" s="42">
        <v>-0.25</v>
      </c>
      <c r="I41" s="42"/>
      <c r="J41" s="42"/>
      <c r="K41" s="42"/>
      <c r="L41" s="42">
        <v>-0.25</v>
      </c>
    </row>
    <row r="42" spans="2:19" x14ac:dyDescent="0.2">
      <c r="B42" s="43" t="s">
        <v>279</v>
      </c>
      <c r="C42" s="42"/>
      <c r="D42" s="42"/>
      <c r="E42" s="42"/>
      <c r="F42" s="42"/>
      <c r="G42" s="42">
        <v>-1.2</v>
      </c>
      <c r="H42" s="42"/>
      <c r="I42" s="42"/>
      <c r="J42" s="42"/>
      <c r="K42" s="42"/>
      <c r="L42" s="42">
        <v>-1.2</v>
      </c>
    </row>
    <row r="43" spans="2:19" x14ac:dyDescent="0.2">
      <c r="B43" s="43" t="s">
        <v>1028</v>
      </c>
      <c r="C43" s="42"/>
      <c r="D43" s="42"/>
      <c r="E43" s="42"/>
      <c r="F43" s="42"/>
      <c r="G43" s="42"/>
      <c r="H43" s="42"/>
      <c r="I43" s="42"/>
      <c r="J43" s="42"/>
      <c r="K43" s="42">
        <v>0</v>
      </c>
      <c r="L43" s="42">
        <v>0</v>
      </c>
    </row>
    <row r="44" spans="2:19" x14ac:dyDescent="0.2">
      <c r="B44" s="43" t="s">
        <v>677</v>
      </c>
      <c r="C44" s="42">
        <v>-1.1479999999999999</v>
      </c>
      <c r="D44" s="42">
        <v>-1.76</v>
      </c>
      <c r="E44" s="42">
        <v>11.22</v>
      </c>
      <c r="F44" s="42">
        <v>-19.015000000000001</v>
      </c>
      <c r="G44" s="42">
        <v>-3.83</v>
      </c>
      <c r="H44" s="42">
        <v>-2.66</v>
      </c>
      <c r="I44" s="42">
        <v>0</v>
      </c>
      <c r="J44" s="42">
        <v>0.2</v>
      </c>
      <c r="K44" s="42">
        <v>0</v>
      </c>
      <c r="L44" s="42">
        <v>-16.992999999999999</v>
      </c>
    </row>
    <row r="46" spans="2:19" ht="15.75" x14ac:dyDescent="0.2">
      <c r="B46" s="113" t="s">
        <v>824</v>
      </c>
      <c r="C46" s="114"/>
      <c r="D46" s="115" t="s">
        <v>118</v>
      </c>
      <c r="E46" s="116"/>
      <c r="F46" s="117" t="s">
        <v>119</v>
      </c>
      <c r="G46" s="118"/>
      <c r="H46" s="119" t="s">
        <v>817</v>
      </c>
      <c r="I46" s="120"/>
      <c r="J46" s="119" t="s">
        <v>116</v>
      </c>
      <c r="K46" s="120"/>
      <c r="L46" s="115" t="s">
        <v>780</v>
      </c>
      <c r="M46" s="116"/>
      <c r="N46" s="129" t="s">
        <v>818</v>
      </c>
      <c r="O46" s="130"/>
      <c r="P46" s="115" t="s">
        <v>786</v>
      </c>
      <c r="Q46" s="116"/>
      <c r="R46" s="123" t="s">
        <v>819</v>
      </c>
      <c r="S46" s="124"/>
    </row>
    <row r="47" spans="2:19" ht="15" x14ac:dyDescent="0.2">
      <c r="B47" s="84" t="s">
        <v>682</v>
      </c>
      <c r="C47" s="85" t="s">
        <v>820</v>
      </c>
      <c r="D47" s="86" t="s">
        <v>43</v>
      </c>
      <c r="E47" s="86" t="s">
        <v>821</v>
      </c>
      <c r="F47" s="87" t="s">
        <v>43</v>
      </c>
      <c r="G47" s="88" t="s">
        <v>821</v>
      </c>
      <c r="H47" s="89" t="s">
        <v>43</v>
      </c>
      <c r="I47" s="89" t="s">
        <v>821</v>
      </c>
      <c r="J47" s="89" t="s">
        <v>43</v>
      </c>
      <c r="K47" s="89" t="s">
        <v>821</v>
      </c>
      <c r="L47" s="86" t="s">
        <v>43</v>
      </c>
      <c r="M47" s="86" t="s">
        <v>821</v>
      </c>
      <c r="N47" s="90" t="s">
        <v>43</v>
      </c>
      <c r="O47" s="91" t="s">
        <v>821</v>
      </c>
      <c r="P47" s="86" t="s">
        <v>43</v>
      </c>
      <c r="Q47" s="86" t="s">
        <v>821</v>
      </c>
      <c r="R47" s="92" t="s">
        <v>43</v>
      </c>
      <c r="S47" s="92" t="s">
        <v>821</v>
      </c>
    </row>
    <row r="48" spans="2:19" ht="15" hidden="1" x14ac:dyDescent="0.25">
      <c r="B48" s="52" t="s">
        <v>175</v>
      </c>
      <c r="C48" s="54"/>
      <c r="D48" s="53">
        <v>0</v>
      </c>
      <c r="E48" s="53">
        <v>0</v>
      </c>
      <c r="F48" s="53">
        <v>0</v>
      </c>
      <c r="G48" s="53">
        <v>0</v>
      </c>
      <c r="H48" s="53">
        <v>0</v>
      </c>
      <c r="I48" s="53">
        <v>0</v>
      </c>
      <c r="J48" s="53">
        <v>0</v>
      </c>
      <c r="K48" s="53">
        <v>0</v>
      </c>
      <c r="L48" s="53">
        <v>0</v>
      </c>
      <c r="M48" s="53">
        <v>0</v>
      </c>
      <c r="N48" s="53">
        <v>0</v>
      </c>
      <c r="O48" s="53">
        <v>0</v>
      </c>
      <c r="P48" s="53">
        <v>0</v>
      </c>
      <c r="Q48" s="53">
        <v>0</v>
      </c>
      <c r="R48" s="74">
        <f>D48+F48+H48+J48+L48+N48</f>
        <v>0</v>
      </c>
      <c r="S48" s="74">
        <v>0</v>
      </c>
    </row>
    <row r="49" spans="2:19" ht="15" hidden="1" x14ac:dyDescent="0.25">
      <c r="B49" s="52" t="s">
        <v>183</v>
      </c>
      <c r="C49" s="54"/>
      <c r="D49" s="53">
        <v>0</v>
      </c>
      <c r="E49" s="53">
        <v>0</v>
      </c>
      <c r="F49" s="53">
        <v>0</v>
      </c>
      <c r="G49" s="53">
        <v>0</v>
      </c>
      <c r="H49" s="53">
        <v>0</v>
      </c>
      <c r="I49" s="53">
        <v>0</v>
      </c>
      <c r="J49" s="53">
        <v>0</v>
      </c>
      <c r="K49" s="53">
        <v>0</v>
      </c>
      <c r="L49" s="53">
        <v>0</v>
      </c>
      <c r="M49" s="53">
        <v>0</v>
      </c>
      <c r="N49" s="53">
        <v>0</v>
      </c>
      <c r="O49" s="53">
        <v>0</v>
      </c>
      <c r="P49" s="53">
        <v>0</v>
      </c>
      <c r="Q49" s="53">
        <v>0</v>
      </c>
      <c r="R49" s="74">
        <f t="shared" ref="R49:R53" si="0">D49+F49+H49+J49+L49+N49</f>
        <v>0</v>
      </c>
      <c r="S49" s="74">
        <v>0</v>
      </c>
    </row>
    <row r="50" spans="2:19" ht="15" x14ac:dyDescent="0.2">
      <c r="B50" s="52" t="s">
        <v>186</v>
      </c>
      <c r="C50" s="93">
        <v>8360.5400000000009</v>
      </c>
      <c r="D50" s="53">
        <f>GETPIVOTDATA("Qty -MT",$B$32,"adjustment type","Accumulative WH Variance","product type",B50)</f>
        <v>-1.42</v>
      </c>
      <c r="E50" s="55">
        <f>IF(D50&lt;&gt;0,D50/$C50,"-")</f>
        <v>-1.6984548844931066E-4</v>
      </c>
      <c r="F50" s="53">
        <v>0</v>
      </c>
      <c r="G50" s="53">
        <v>0</v>
      </c>
      <c r="H50" s="53">
        <v>0</v>
      </c>
      <c r="I50" s="53">
        <v>0</v>
      </c>
      <c r="J50" s="53">
        <v>0</v>
      </c>
      <c r="K50" s="53">
        <v>0</v>
      </c>
      <c r="L50" s="53">
        <v>0</v>
      </c>
      <c r="M50" s="53">
        <v>0</v>
      </c>
      <c r="N50" s="53">
        <v>0</v>
      </c>
      <c r="O50" s="53">
        <v>0</v>
      </c>
      <c r="P50" s="53">
        <v>0</v>
      </c>
      <c r="Q50" s="53">
        <v>0</v>
      </c>
      <c r="R50" s="74">
        <f t="shared" si="0"/>
        <v>-1.42</v>
      </c>
      <c r="S50" s="94">
        <f>IF(R50&lt;&gt;0,R50/$C50,"-")</f>
        <v>-1.6984548844931066E-4</v>
      </c>
    </row>
    <row r="51" spans="2:19" ht="15" hidden="1" x14ac:dyDescent="0.25">
      <c r="B51" s="52" t="s">
        <v>179</v>
      </c>
      <c r="C51" s="54"/>
      <c r="D51" s="53">
        <v>0</v>
      </c>
      <c r="E51" s="53">
        <v>0</v>
      </c>
      <c r="F51" s="53">
        <v>0</v>
      </c>
      <c r="G51" s="53">
        <v>0</v>
      </c>
      <c r="H51" s="53">
        <v>0</v>
      </c>
      <c r="I51" s="53">
        <v>0</v>
      </c>
      <c r="J51" s="53">
        <v>0</v>
      </c>
      <c r="K51" s="53">
        <v>0</v>
      </c>
      <c r="L51" s="53">
        <v>0</v>
      </c>
      <c r="M51" s="53">
        <v>0</v>
      </c>
      <c r="N51" s="53">
        <v>0</v>
      </c>
      <c r="O51" s="53">
        <v>0</v>
      </c>
      <c r="P51" s="53">
        <v>0</v>
      </c>
      <c r="Q51" s="53">
        <v>0</v>
      </c>
      <c r="R51" s="74">
        <f t="shared" si="0"/>
        <v>0</v>
      </c>
      <c r="S51" s="74">
        <v>0</v>
      </c>
    </row>
    <row r="52" spans="2:19" ht="15" hidden="1" x14ac:dyDescent="0.25">
      <c r="B52" s="52" t="s">
        <v>171</v>
      </c>
      <c r="C52" s="54"/>
      <c r="D52" s="53">
        <v>0</v>
      </c>
      <c r="E52" s="53">
        <v>0</v>
      </c>
      <c r="F52" s="53">
        <v>0</v>
      </c>
      <c r="G52" s="53">
        <v>0</v>
      </c>
      <c r="H52" s="53">
        <v>0</v>
      </c>
      <c r="I52" s="53">
        <v>0</v>
      </c>
      <c r="J52" s="53">
        <v>0</v>
      </c>
      <c r="K52" s="53">
        <v>0</v>
      </c>
      <c r="L52" s="53">
        <v>0</v>
      </c>
      <c r="M52" s="53">
        <v>0</v>
      </c>
      <c r="N52" s="53">
        <v>0</v>
      </c>
      <c r="O52" s="53">
        <v>0</v>
      </c>
      <c r="P52" s="53">
        <v>0</v>
      </c>
      <c r="Q52" s="53">
        <v>0</v>
      </c>
      <c r="R52" s="74">
        <f t="shared" si="0"/>
        <v>0</v>
      </c>
      <c r="S52" s="74">
        <v>0</v>
      </c>
    </row>
    <row r="53" spans="2:19" ht="15" hidden="1" x14ac:dyDescent="0.25">
      <c r="B53" s="52" t="s">
        <v>279</v>
      </c>
      <c r="C53" s="54"/>
      <c r="D53" s="53">
        <v>0</v>
      </c>
      <c r="E53" s="53">
        <v>0</v>
      </c>
      <c r="F53" s="53">
        <v>0</v>
      </c>
      <c r="G53" s="53">
        <v>0</v>
      </c>
      <c r="H53" s="53">
        <v>0</v>
      </c>
      <c r="I53" s="53">
        <v>0</v>
      </c>
      <c r="J53" s="53">
        <v>0</v>
      </c>
      <c r="K53" s="53">
        <v>0</v>
      </c>
      <c r="L53" s="53">
        <v>0</v>
      </c>
      <c r="M53" s="53">
        <v>0</v>
      </c>
      <c r="N53" s="53">
        <v>0</v>
      </c>
      <c r="O53" s="53">
        <v>0</v>
      </c>
      <c r="P53" s="53">
        <v>0</v>
      </c>
      <c r="Q53" s="53">
        <v>0</v>
      </c>
      <c r="R53" s="74">
        <f t="shared" si="0"/>
        <v>0</v>
      </c>
      <c r="S53" s="74">
        <v>0</v>
      </c>
    </row>
    <row r="62" spans="2:19" ht="49.5" customHeight="1" x14ac:dyDescent="0.2">
      <c r="B62" s="111" t="s">
        <v>816</v>
      </c>
      <c r="C62" s="112"/>
      <c r="D62" s="109" t="s">
        <v>117</v>
      </c>
      <c r="E62" s="110"/>
      <c r="F62" s="121" t="s">
        <v>796</v>
      </c>
      <c r="G62" s="122"/>
      <c r="H62" s="121" t="s">
        <v>801</v>
      </c>
      <c r="I62" s="122"/>
      <c r="J62" s="107" t="s">
        <v>119</v>
      </c>
      <c r="K62" s="108"/>
      <c r="L62" s="109" t="s">
        <v>777</v>
      </c>
      <c r="M62" s="110"/>
      <c r="N62" s="125" t="s">
        <v>116</v>
      </c>
      <c r="O62" s="126"/>
      <c r="P62" s="109" t="s">
        <v>823</v>
      </c>
      <c r="Q62" s="110"/>
      <c r="R62" s="127" t="s">
        <v>819</v>
      </c>
      <c r="S62" s="128"/>
    </row>
    <row r="63" spans="2:19" ht="15" x14ac:dyDescent="0.2">
      <c r="B63" s="51" t="s">
        <v>682</v>
      </c>
      <c r="C63" s="44" t="s">
        <v>820</v>
      </c>
      <c r="D63" s="45" t="s">
        <v>43</v>
      </c>
      <c r="E63" s="45" t="s">
        <v>821</v>
      </c>
      <c r="F63" s="46" t="s">
        <v>43</v>
      </c>
      <c r="G63" s="47" t="s">
        <v>821</v>
      </c>
      <c r="H63" s="46" t="s">
        <v>43</v>
      </c>
      <c r="I63" s="47" t="s">
        <v>821</v>
      </c>
      <c r="J63" s="48" t="s">
        <v>43</v>
      </c>
      <c r="K63" s="48" t="s">
        <v>821</v>
      </c>
      <c r="L63" s="45" t="s">
        <v>43</v>
      </c>
      <c r="M63" s="45" t="s">
        <v>821</v>
      </c>
      <c r="N63" s="49" t="s">
        <v>43</v>
      </c>
      <c r="O63" s="50" t="s">
        <v>821</v>
      </c>
      <c r="P63" s="45" t="s">
        <v>43</v>
      </c>
      <c r="Q63" s="45" t="s">
        <v>821</v>
      </c>
      <c r="R63" s="51" t="s">
        <v>43</v>
      </c>
      <c r="S63" s="51" t="s">
        <v>821</v>
      </c>
    </row>
    <row r="64" spans="2:19" ht="15" x14ac:dyDescent="0.2">
      <c r="B64" s="78" t="s">
        <v>331</v>
      </c>
      <c r="C64" s="79">
        <v>19</v>
      </c>
      <c r="D64" s="80" t="e">
        <f>GETPIVOTDATA("Qty -MT",$B$32,"adjustment type","Imported Shipments Discharge Losses","product type",B64)</f>
        <v>#REF!</v>
      </c>
      <c r="E64" s="81" t="e">
        <f>IF(D64&lt;&gt;0,D64/$C64,"-")</f>
        <v>#REF!</v>
      </c>
      <c r="F64" s="80" t="e">
        <f>GETPIVOTDATA("Qty -MT",$B$32,"adjustment type","Imported Shipments Shortages &amp; Rejections","product type",B64)</f>
        <v>#REF!</v>
      </c>
      <c r="G64" s="81" t="e">
        <f>IF(F64&lt;&gt;0,F64/$C64,"-")</f>
        <v>#REF!</v>
      </c>
      <c r="H64" s="80" t="e">
        <f>GETPIVOTDATA("Qty -MT",$B$32,"adjustment type","Imported Vessels Overlanding","product type",B64)</f>
        <v>#REF!</v>
      </c>
      <c r="I64" s="81" t="e">
        <f>IF(H64&lt;&gt;0,H64/$C64,"-")</f>
        <v>#REF!</v>
      </c>
      <c r="J64" s="80" t="e">
        <f>GETPIVOTDATA("Qty -MT",$B$32,"adjustment type","Non Conformity","product type",B64)</f>
        <v>#REF!</v>
      </c>
      <c r="K64" s="81" t="e">
        <f>IF(J64&lt;&gt;0,J64/$C64,"-")</f>
        <v>#REF!</v>
      </c>
      <c r="L64" s="80" t="e">
        <f>GETPIVOTDATA("Qty -MT",$B$32,"adjustment type","Repacking/Reprocessing","product type",B64)</f>
        <v>#REF!</v>
      </c>
      <c r="M64" s="81" t="e">
        <f>IF(L64&lt;&gt;0,L64/$C64,"-")</f>
        <v>#REF!</v>
      </c>
      <c r="N64" s="80" t="e">
        <f>GETPIVOTDATA("Qty -MT",$B$32,"adjustment type","Stock Variance - Transport Excess","product type",B64)</f>
        <v>#REF!</v>
      </c>
      <c r="O64" s="81" t="e">
        <f>IF(N64&lt;&gt;0,N64/$C64,"-")</f>
        <v>#REF!</v>
      </c>
      <c r="P64" s="80" t="e">
        <f>GETPIVOTDATA("Qty -MT",$B$32,"adjustment type","Transport Losses","product type",B64)</f>
        <v>#REF!</v>
      </c>
      <c r="Q64" s="80" t="e">
        <f>IF(P64&lt;&gt;0,P64/$C64,"-")</f>
        <v>#REF!</v>
      </c>
      <c r="R64" s="79" t="e">
        <f>D64+F64+H64+J64+L64+P64</f>
        <v>#REF!</v>
      </c>
      <c r="S64" s="82" t="e">
        <f>IF(R64&lt;&gt;0,R64/$C64,"-")</f>
        <v>#REF!</v>
      </c>
    </row>
    <row r="65" spans="2:19" ht="15" x14ac:dyDescent="0.2">
      <c r="B65" s="78" t="s">
        <v>365</v>
      </c>
      <c r="C65" s="79">
        <f>F4</f>
        <v>43185.275000000001</v>
      </c>
      <c r="D65" s="80" t="e">
        <f>GETPIVOTDATA("Qty -MT",$B$32,"adjustment type","Imported Shipments Discharge Losses","product type",B65)</f>
        <v>#REF!</v>
      </c>
      <c r="E65" s="81" t="e">
        <f>IF(D65&lt;&gt;0,D65/$C65,"-")</f>
        <v>#REF!</v>
      </c>
      <c r="F65" s="80">
        <f>GETPIVOTDATA("Qty -MT",$B$32,"adjustment type","Imported Shipments Shortages &amp; Rejections","product type",B65)</f>
        <v>0</v>
      </c>
      <c r="G65" s="81" t="str">
        <f>IF(F65&lt;&gt;0,F65/$C65,"-")</f>
        <v>-</v>
      </c>
      <c r="H65" s="80">
        <f>GETPIVOTDATA("Qty -MT",$B$32,"adjustment type","Imported Vessels Overlanding","product type",B65)</f>
        <v>0</v>
      </c>
      <c r="I65" s="81" t="str">
        <f>IF(H65&lt;&gt;0,H65/$C65,"-")</f>
        <v>-</v>
      </c>
      <c r="J65" s="80">
        <f>GETPIVOTDATA("Qty -MT",$B$32,"adjustment type","Non Conformity","product type",B65)</f>
        <v>-12.399999999999999</v>
      </c>
      <c r="K65" s="81">
        <f>IF(J65&lt;&gt;0,J65/$C65,"-")</f>
        <v>-2.8713490883177192E-4</v>
      </c>
      <c r="L65" s="80">
        <f>GETPIVOTDATA("Qty -MT",$B$32,"adjustment type","Repacking/Reprocessing","product type",B65)</f>
        <v>0</v>
      </c>
      <c r="M65" s="81" t="str">
        <f t="shared" ref="M65:M67" si="1">IF(L65&lt;&gt;0,L65/$C65,"-")</f>
        <v>-</v>
      </c>
      <c r="N65" s="80" t="e">
        <f>GETPIVOTDATA("Qty -MT",$B$32,"adjustment type","Stock Variance - Transport Excess","product type",B65)</f>
        <v>#REF!</v>
      </c>
      <c r="O65" s="81" t="e">
        <f>IF(N65&lt;&gt;0,N65/$C65,"-")</f>
        <v>#REF!</v>
      </c>
      <c r="P65" s="80">
        <f>GETPIVOTDATA("Qty -MT",$B$32,"adjustment type","Transport Losses","product type",B65)</f>
        <v>-0.85000000000000009</v>
      </c>
      <c r="Q65" s="81">
        <f>IF(P65&lt;&gt;0,P65/$C65,"-")</f>
        <v>-1.9682634879597271E-5</v>
      </c>
      <c r="R65" s="79" t="e">
        <f>D65+F65+H65+J65+L65+P65</f>
        <v>#REF!</v>
      </c>
      <c r="S65" s="82" t="e">
        <f>IF(R65&lt;&gt;0,R65/$C65,"-")</f>
        <v>#REF!</v>
      </c>
    </row>
    <row r="66" spans="2:19" ht="15" x14ac:dyDescent="0.2">
      <c r="B66" s="78" t="s">
        <v>148</v>
      </c>
      <c r="C66" s="79">
        <f>F5</f>
        <v>8966.98</v>
      </c>
      <c r="D66" s="80" t="e">
        <f>GETPIVOTDATA("Qty -MT",$B$32,"adjustment type","Imported Shipments Discharge Losses","product type",B66)</f>
        <v>#REF!</v>
      </c>
      <c r="E66" s="81" t="e">
        <f>IF(D66&lt;&gt;0,D66/$C66,"-")</f>
        <v>#REF!</v>
      </c>
      <c r="F66" s="80">
        <f>GETPIVOTDATA("Qty -MT",$B$32,"adjustment type","Imported Shipments Shortages &amp; Rejections","product type",B66)</f>
        <v>-1.76</v>
      </c>
      <c r="G66" s="81">
        <f>IF(F66&lt;&gt;0,F66/$C66,"-")</f>
        <v>-1.9627566917735962E-4</v>
      </c>
      <c r="H66" s="80">
        <f>GETPIVOTDATA("Qty -MT",$B$32,"adjustment type","Imported Vessels Overlanding","product type",B66)</f>
        <v>11.22</v>
      </c>
      <c r="I66" s="81">
        <f>IF(H66&lt;&gt;0,H66/$C66,"-")</f>
        <v>1.2512573910056675E-3</v>
      </c>
      <c r="J66" s="80">
        <f>GETPIVOTDATA("Qty -MT",$B$32,"adjustment type","Non Conformity","product type",B66)</f>
        <v>0</v>
      </c>
      <c r="K66" s="81" t="str">
        <f>IF(J66&lt;&gt;0,J66/$C66,"-")</f>
        <v>-</v>
      </c>
      <c r="L66" s="80">
        <f>GETPIVOTDATA("Qty -MT",$B$32,"adjustment type","Repacking/Reprocessing","product type",B66)</f>
        <v>-1.1599999999999999</v>
      </c>
      <c r="M66" s="81">
        <f>IF(L66&lt;&gt;0,L66/$C66,"-")</f>
        <v>-1.2936350923053246E-4</v>
      </c>
      <c r="N66" s="80" t="e">
        <f>GETPIVOTDATA("Qty -MT",$B$32,"adjustment type","Stock Variance - Transport Excess","product type",B66)</f>
        <v>#REF!</v>
      </c>
      <c r="O66" s="81" t="e">
        <f>IF(N66&lt;&gt;0,N66/$C66,"-")</f>
        <v>#REF!</v>
      </c>
      <c r="P66" s="80">
        <f>GETPIVOTDATA("Qty -MT",$B$32,"adjustment type","Transport Losses","product type",B66)</f>
        <v>-0.1</v>
      </c>
      <c r="Q66" s="81">
        <f>IF(P66&lt;&gt;0,P66/$C66,"-")</f>
        <v>-1.1152026657804523E-5</v>
      </c>
      <c r="R66" s="79" t="e">
        <f>D66+F66+H66+J66+L66+P66</f>
        <v>#REF!</v>
      </c>
      <c r="S66" s="82" t="e">
        <f>IF(R66&lt;&gt;0,R66/$C66,"-")</f>
        <v>#REF!</v>
      </c>
    </row>
    <row r="67" spans="2:19" ht="15" x14ac:dyDescent="0.2">
      <c r="B67" s="78" t="s">
        <v>233</v>
      </c>
      <c r="C67" s="79">
        <f>F6</f>
        <v>2904.3449999999998</v>
      </c>
      <c r="D67" s="80" t="e">
        <f>GETPIVOTDATA("Qty -MT",$B$32,"adjustment type","Imported Shipments Discharge Losses","product type",B67)</f>
        <v>#REF!</v>
      </c>
      <c r="E67" s="81" t="e">
        <f>IF(D67&lt;&gt;0,D67/$C67,"-")</f>
        <v>#REF!</v>
      </c>
      <c r="F67" s="80">
        <f>GETPIVOTDATA("Qty -MT",$B$32,"adjustment type","Imported Shipments Shortages &amp; Rejections","product type",B67)</f>
        <v>0</v>
      </c>
      <c r="G67" s="81" t="str">
        <f>IF(F67&lt;&gt;0,F67/$C67,"-")</f>
        <v>-</v>
      </c>
      <c r="H67" s="80">
        <f>GETPIVOTDATA("Qty -MT",$B$32,"adjustment type","Imported Vessels Overlanding","product type",B67)</f>
        <v>0</v>
      </c>
      <c r="I67" s="81" t="str">
        <f>IF(H67&lt;&gt;0,H67/$C67,"-")</f>
        <v>-</v>
      </c>
      <c r="J67" s="80">
        <f>GETPIVOTDATA("Qty -MT",$B$32,"adjustment type","Non Conformity","product type",B67)</f>
        <v>-6.6150000000000002</v>
      </c>
      <c r="K67" s="81">
        <f>IF(J67&lt;&gt;0,J67/$C67,"-")</f>
        <v>-2.2776219767279716E-3</v>
      </c>
      <c r="L67" s="80">
        <f>GETPIVOTDATA("Qty -MT",$B$32,"adjustment type","Repacking/Reprocessing","product type",B67)</f>
        <v>-1.32</v>
      </c>
      <c r="M67" s="81">
        <f t="shared" si="1"/>
        <v>-4.5449146020875626E-4</v>
      </c>
      <c r="N67" s="80" t="e">
        <f>GETPIVOTDATA("Qty -MT",$B$32,"adjustment type","Stock Variance - Transport Excess","product type",B67)</f>
        <v>#REF!</v>
      </c>
      <c r="O67" s="81" t="e">
        <f>IF(N67&lt;&gt;0,N67/$C67,"-")</f>
        <v>#REF!</v>
      </c>
      <c r="P67" s="80">
        <f>GETPIVOTDATA("Qty -MT",$B$32,"adjustment type","Transport Losses","product type",B67)</f>
        <v>0</v>
      </c>
      <c r="Q67" s="81" t="str">
        <f>IF(P67&lt;&gt;0,P67/$C67,"-")</f>
        <v>-</v>
      </c>
      <c r="R67" s="79" t="e">
        <f>D67+F67+H67+J67+L67+P67</f>
        <v>#REF!</v>
      </c>
      <c r="S67" s="82" t="e">
        <f>IF(R67&lt;&gt;0,R67/$C67,"-")</f>
        <v>#REF!</v>
      </c>
    </row>
    <row r="68" spans="2:19" ht="15" x14ac:dyDescent="0.2">
      <c r="B68" s="75" t="s">
        <v>819</v>
      </c>
      <c r="C68" s="56">
        <f>SUM(C64:C67)</f>
        <v>55075.600000000006</v>
      </c>
      <c r="D68" s="76" t="e">
        <f t="shared" ref="D68:R68" si="2">SUM(D64:D67)</f>
        <v>#REF!</v>
      </c>
      <c r="E68" s="83" t="e">
        <f>IF(D68&lt;&gt;0,D68/$C68,"-")</f>
        <v>#REF!</v>
      </c>
      <c r="F68" s="76" t="e">
        <f t="shared" si="2"/>
        <v>#REF!</v>
      </c>
      <c r="G68" s="77" t="e">
        <f>IF(F68&lt;&gt;0,F68/$C68,"-")</f>
        <v>#REF!</v>
      </c>
      <c r="H68" s="76" t="e">
        <f t="shared" si="2"/>
        <v>#REF!</v>
      </c>
      <c r="I68" s="77" t="e">
        <f>IF(H68&lt;&gt;0,H68/$C68,"-")</f>
        <v>#REF!</v>
      </c>
      <c r="J68" s="76" t="e">
        <f t="shared" si="2"/>
        <v>#REF!</v>
      </c>
      <c r="K68" s="77" t="e">
        <f>IF(J68&lt;&gt;0,J68/$C68,"-")</f>
        <v>#REF!</v>
      </c>
      <c r="L68" s="76" t="e">
        <f t="shared" si="2"/>
        <v>#REF!</v>
      </c>
      <c r="M68" s="77" t="e">
        <f>IF(L68&lt;&gt;0,L68/$C68,"-")</f>
        <v>#REF!</v>
      </c>
      <c r="N68" s="76" t="e">
        <f t="shared" si="2"/>
        <v>#REF!</v>
      </c>
      <c r="O68" s="77" t="e">
        <f>IF(N68&lt;&gt;0,N68/$C68,"-")</f>
        <v>#REF!</v>
      </c>
      <c r="P68" s="76" t="e">
        <f t="shared" si="2"/>
        <v>#REF!</v>
      </c>
      <c r="Q68" s="77" t="e">
        <f>IF(P68&lt;&gt;0,P68/$C68,"-")</f>
        <v>#REF!</v>
      </c>
      <c r="R68" s="76" t="e">
        <f t="shared" si="2"/>
        <v>#REF!</v>
      </c>
      <c r="S68" s="77" t="e">
        <f>IF(R68&lt;&gt;0,R68/$C68,"-")</f>
        <v>#REF!</v>
      </c>
    </row>
    <row r="71" spans="2:19" x14ac:dyDescent="0.2">
      <c r="B71" s="41" t="s">
        <v>123</v>
      </c>
      <c r="C71" t="s">
        <v>130</v>
      </c>
    </row>
    <row r="73" spans="2:19" x14ac:dyDescent="0.2">
      <c r="B73" s="41" t="s">
        <v>815</v>
      </c>
      <c r="C73" t="s">
        <v>681</v>
      </c>
      <c r="E73" s="73" t="s">
        <v>842</v>
      </c>
      <c r="F73" s="72" t="s">
        <v>843</v>
      </c>
      <c r="G73" s="72" t="s">
        <v>844</v>
      </c>
    </row>
    <row r="74" spans="2:19" x14ac:dyDescent="0.2">
      <c r="B74" s="43" t="s">
        <v>118</v>
      </c>
      <c r="C74" s="71">
        <v>-6216445.9699999997</v>
      </c>
      <c r="E74" s="43" t="s">
        <v>118</v>
      </c>
      <c r="F74" s="71">
        <v>-6484854.4100000001</v>
      </c>
      <c r="G74">
        <v>0</v>
      </c>
    </row>
    <row r="75" spans="2:19" x14ac:dyDescent="0.2">
      <c r="B75" s="43" t="s">
        <v>119</v>
      </c>
      <c r="C75" s="71">
        <v>-192137219.75999999</v>
      </c>
    </row>
    <row r="76" spans="2:19" x14ac:dyDescent="0.2">
      <c r="B76" s="43" t="s">
        <v>777</v>
      </c>
      <c r="C76" s="71">
        <v>-6254343.5599999996</v>
      </c>
    </row>
    <row r="77" spans="2:19" x14ac:dyDescent="0.2">
      <c r="B77" s="43" t="s">
        <v>823</v>
      </c>
      <c r="C77" s="71">
        <v>-7276020.9000000004</v>
      </c>
    </row>
    <row r="78" spans="2:19" x14ac:dyDescent="0.2">
      <c r="B78" s="43" t="s">
        <v>803</v>
      </c>
      <c r="C78" s="71">
        <v>0</v>
      </c>
    </row>
    <row r="79" spans="2:19" x14ac:dyDescent="0.2">
      <c r="B79" s="43" t="s">
        <v>1024</v>
      </c>
      <c r="C79" s="71">
        <v>7445245</v>
      </c>
    </row>
    <row r="80" spans="2:19" x14ac:dyDescent="0.2">
      <c r="B80" s="43" t="s">
        <v>677</v>
      </c>
      <c r="C80" s="71">
        <v>-204438785.19</v>
      </c>
    </row>
    <row r="91" spans="2:7" x14ac:dyDescent="0.2">
      <c r="B91" s="41" t="s">
        <v>123</v>
      </c>
      <c r="C91" t="s">
        <v>146</v>
      </c>
    </row>
    <row r="93" spans="2:7" x14ac:dyDescent="0.2">
      <c r="B93" s="41" t="s">
        <v>815</v>
      </c>
      <c r="C93" t="s">
        <v>681</v>
      </c>
      <c r="E93" s="73" t="s">
        <v>842</v>
      </c>
      <c r="F93" s="72" t="s">
        <v>843</v>
      </c>
      <c r="G93" s="72" t="s">
        <v>844</v>
      </c>
    </row>
    <row r="94" spans="2:7" x14ac:dyDescent="0.2">
      <c r="B94" s="43" t="s">
        <v>796</v>
      </c>
      <c r="C94" s="71">
        <v>-5580608</v>
      </c>
      <c r="E94" s="43" t="s">
        <v>117</v>
      </c>
      <c r="F94" s="71">
        <v>-5973426</v>
      </c>
      <c r="G94">
        <v>0</v>
      </c>
    </row>
    <row r="95" spans="2:7" x14ac:dyDescent="0.2">
      <c r="B95" s="43" t="s">
        <v>801</v>
      </c>
      <c r="C95" s="71">
        <v>39178130.639999993</v>
      </c>
      <c r="E95" s="43" t="s">
        <v>796</v>
      </c>
      <c r="F95" s="71">
        <v>-20610692</v>
      </c>
      <c r="G95">
        <v>0</v>
      </c>
    </row>
    <row r="96" spans="2:7" x14ac:dyDescent="0.2">
      <c r="B96" s="43" t="s">
        <v>119</v>
      </c>
      <c r="C96" s="71">
        <v>-35252608.780000001</v>
      </c>
      <c r="E96" s="43" t="s">
        <v>801</v>
      </c>
      <c r="F96" s="71">
        <v>53073584.240000002</v>
      </c>
      <c r="G96">
        <v>0</v>
      </c>
    </row>
    <row r="97" spans="2:7" x14ac:dyDescent="0.2">
      <c r="B97" s="43" t="s">
        <v>777</v>
      </c>
      <c r="C97" s="71">
        <v>-14519462</v>
      </c>
      <c r="E97" s="43" t="s">
        <v>119</v>
      </c>
      <c r="F97" s="71">
        <v>-36848165.32</v>
      </c>
      <c r="G97">
        <v>0</v>
      </c>
    </row>
    <row r="98" spans="2:7" x14ac:dyDescent="0.2">
      <c r="B98" s="43" t="s">
        <v>823</v>
      </c>
      <c r="C98" s="71">
        <v>-1930214.8199999998</v>
      </c>
      <c r="E98" s="43" t="s">
        <v>777</v>
      </c>
      <c r="F98" s="71">
        <v>-53625684.120000005</v>
      </c>
      <c r="G98">
        <v>0</v>
      </c>
    </row>
    <row r="99" spans="2:7" x14ac:dyDescent="0.2">
      <c r="B99" s="43" t="s">
        <v>942</v>
      </c>
      <c r="C99" s="71">
        <v>587307.25999999989</v>
      </c>
      <c r="E99" s="43" t="s">
        <v>116</v>
      </c>
      <c r="F99" s="71">
        <v>1622765.57</v>
      </c>
      <c r="G99">
        <v>0</v>
      </c>
    </row>
    <row r="100" spans="2:7" x14ac:dyDescent="0.2">
      <c r="B100" s="43" t="s">
        <v>677</v>
      </c>
      <c r="C100" s="71">
        <v>-17517455.700000007</v>
      </c>
      <c r="E100" s="43" t="s">
        <v>823</v>
      </c>
      <c r="F100" s="71">
        <v>-39042</v>
      </c>
      <c r="G100">
        <v>0</v>
      </c>
    </row>
  </sheetData>
  <autoFilter ref="B47:S53" xr:uid="{43DFFB0A-C066-4742-8E6B-27727339FFE3}">
    <filterColumn colId="1">
      <customFilters>
        <customFilter operator="notEqual" val=" "/>
      </customFilters>
    </filterColumn>
  </autoFilter>
  <mergeCells count="18">
    <mergeCell ref="R46:S46"/>
    <mergeCell ref="N62:O62"/>
    <mergeCell ref="P62:Q62"/>
    <mergeCell ref="R62:S62"/>
    <mergeCell ref="N46:O46"/>
    <mergeCell ref="J62:K62"/>
    <mergeCell ref="L62:M62"/>
    <mergeCell ref="B62:C62"/>
    <mergeCell ref="B46:C46"/>
    <mergeCell ref="P46:Q46"/>
    <mergeCell ref="D46:E46"/>
    <mergeCell ref="F46:G46"/>
    <mergeCell ref="H46:I46"/>
    <mergeCell ref="J46:K46"/>
    <mergeCell ref="L46:M46"/>
    <mergeCell ref="D62:E62"/>
    <mergeCell ref="F62:G62"/>
    <mergeCell ref="H62:I62"/>
  </mergeCells>
  <pageMargins left="0.7" right="0.7" top="0.75" bottom="0.75" header="0.3" footer="0.3"/>
  <ignoredErrors>
    <ignoredError sqref="G64:G67 I64:I67 K65:K67 Q64 K64 O64 M64 S64 Q66:Q67 S66:S67 O65:O67" evalError="1"/>
    <ignoredError sqref="F64:F67 H64:H67 J64:J67 P64:P67 N64 L64 R64 R66:R67 N65:N67 L65:L67" evalError="1" formula="1"/>
    <ignoredError sqref="I68:J68 R65 L68:N68 M65:M67 P68 R68 G68 E68" formula="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394BF-D153-4E76-A9F4-96D999DFB18A}">
  <sheetPr codeName="Sheet6"/>
  <dimension ref="B1:F22"/>
  <sheetViews>
    <sheetView showGridLines="0" tabSelected="1" zoomScale="90" zoomScaleNormal="90" workbookViewId="0">
      <pane ySplit="3" topLeftCell="A4" activePane="bottomLeft" state="frozen"/>
      <selection pane="bottomLeft" activeCell="C19" sqref="C19"/>
    </sheetView>
  </sheetViews>
  <sheetFormatPr defaultRowHeight="12.75" x14ac:dyDescent="0.2"/>
  <cols>
    <col min="1" max="1" width="4.7109375" customWidth="1"/>
    <col min="2" max="2" width="46.42578125" bestFit="1" customWidth="1"/>
    <col min="3" max="3" width="40.85546875" bestFit="1" customWidth="1"/>
    <col min="4" max="4" width="22.42578125" bestFit="1" customWidth="1"/>
    <col min="5" max="5" width="8.7109375" bestFit="1" customWidth="1"/>
    <col min="6" max="6" width="16.85546875" bestFit="1" customWidth="1"/>
  </cols>
  <sheetData>
    <row r="1" spans="2:6" ht="21.75" customHeight="1" x14ac:dyDescent="0.2"/>
    <row r="2" spans="2:6" ht="20.25" customHeight="1" x14ac:dyDescent="0.2"/>
    <row r="3" spans="2:6" ht="26.25" customHeight="1" x14ac:dyDescent="0.2"/>
    <row r="4" spans="2:6" ht="15" x14ac:dyDescent="0.2">
      <c r="B4" s="57" t="s">
        <v>774</v>
      </c>
      <c r="C4" s="57" t="s">
        <v>114</v>
      </c>
      <c r="D4" s="57" t="s">
        <v>808</v>
      </c>
      <c r="E4" s="58" t="s">
        <v>828</v>
      </c>
      <c r="F4" s="58" t="s">
        <v>827</v>
      </c>
    </row>
    <row r="5" spans="2:6" ht="15" x14ac:dyDescent="0.2">
      <c r="B5" s="58" t="s">
        <v>806</v>
      </c>
      <c r="C5" s="58" t="s">
        <v>118</v>
      </c>
      <c r="D5" s="58" t="s">
        <v>810</v>
      </c>
      <c r="E5" s="59">
        <v>-1.1479999999999999</v>
      </c>
      <c r="F5" s="59">
        <v>-6216445.9699999997</v>
      </c>
    </row>
    <row r="6" spans="2:6" ht="15" x14ac:dyDescent="0.2">
      <c r="B6" s="58" t="s">
        <v>825</v>
      </c>
      <c r="C6" s="58"/>
      <c r="D6" s="58"/>
      <c r="E6" s="59">
        <v>-1.1479999999999999</v>
      </c>
      <c r="F6" s="60">
        <v>-6216445.9699999997</v>
      </c>
    </row>
    <row r="7" spans="2:6" ht="15" x14ac:dyDescent="0.2">
      <c r="B7" s="58" t="s">
        <v>807</v>
      </c>
      <c r="C7" s="58" t="s">
        <v>796</v>
      </c>
      <c r="D7" s="58" t="s">
        <v>812</v>
      </c>
      <c r="E7" s="59">
        <v>-1.76</v>
      </c>
      <c r="F7" s="59">
        <v>-5580608</v>
      </c>
    </row>
    <row r="8" spans="2:6" ht="15" x14ac:dyDescent="0.2">
      <c r="B8" s="58"/>
      <c r="C8" s="58" t="s">
        <v>801</v>
      </c>
      <c r="D8" s="58" t="s">
        <v>790</v>
      </c>
      <c r="E8" s="59">
        <v>11.22</v>
      </c>
      <c r="F8" s="59">
        <v>39178130.639999993</v>
      </c>
    </row>
    <row r="9" spans="2:6" ht="15" x14ac:dyDescent="0.2">
      <c r="B9" s="58"/>
      <c r="C9" s="58" t="s">
        <v>119</v>
      </c>
      <c r="D9" s="58" t="s">
        <v>811</v>
      </c>
      <c r="E9" s="59">
        <v>-19.014999999999997</v>
      </c>
      <c r="F9" s="59">
        <v>-227389828.53999999</v>
      </c>
    </row>
    <row r="10" spans="2:6" ht="15" x14ac:dyDescent="0.2">
      <c r="B10" s="58"/>
      <c r="C10" s="58" t="s">
        <v>777</v>
      </c>
      <c r="D10" s="58" t="s">
        <v>811</v>
      </c>
      <c r="E10" s="59">
        <v>-3.83</v>
      </c>
      <c r="F10" s="59">
        <v>-20773805.559999999</v>
      </c>
    </row>
    <row r="11" spans="2:6" ht="15" x14ac:dyDescent="0.2">
      <c r="B11" s="58"/>
      <c r="C11" s="58" t="s">
        <v>823</v>
      </c>
      <c r="D11" s="58" t="s">
        <v>812</v>
      </c>
      <c r="E11" s="59">
        <v>-1.31</v>
      </c>
      <c r="F11" s="59">
        <v>-3706832.82</v>
      </c>
    </row>
    <row r="12" spans="2:6" ht="15" x14ac:dyDescent="0.2">
      <c r="B12" s="58"/>
      <c r="C12" s="58"/>
      <c r="D12" s="58" t="s">
        <v>1019</v>
      </c>
      <c r="E12" s="59">
        <v>-1.35</v>
      </c>
      <c r="F12" s="59">
        <v>-5499402.9000000004</v>
      </c>
    </row>
    <row r="13" spans="2:6" ht="15" x14ac:dyDescent="0.2">
      <c r="B13" s="58"/>
      <c r="C13" s="58" t="s">
        <v>803</v>
      </c>
      <c r="D13" s="58" t="s">
        <v>814</v>
      </c>
      <c r="E13" s="59">
        <v>0</v>
      </c>
      <c r="F13" s="59">
        <v>0</v>
      </c>
    </row>
    <row r="14" spans="2:6" ht="15" x14ac:dyDescent="0.2">
      <c r="B14" s="58"/>
      <c r="C14" s="58" t="s">
        <v>942</v>
      </c>
      <c r="D14" s="58" t="s">
        <v>790</v>
      </c>
      <c r="E14" s="59">
        <v>0.2</v>
      </c>
      <c r="F14" s="59">
        <v>587307.25999999989</v>
      </c>
    </row>
    <row r="15" spans="2:6" ht="15" x14ac:dyDescent="0.2">
      <c r="B15" s="58"/>
      <c r="C15" s="58" t="s">
        <v>1024</v>
      </c>
      <c r="D15" s="58" t="s">
        <v>152</v>
      </c>
      <c r="E15" s="59">
        <v>0</v>
      </c>
      <c r="F15" s="59">
        <v>7445245</v>
      </c>
    </row>
    <row r="16" spans="2:6" ht="15" x14ac:dyDescent="0.2">
      <c r="B16" s="58" t="s">
        <v>826</v>
      </c>
      <c r="C16" s="58"/>
      <c r="D16" s="58"/>
      <c r="E16" s="59">
        <v>-15.844999999999999</v>
      </c>
      <c r="F16" s="60">
        <v>-215739794.92000002</v>
      </c>
    </row>
    <row r="17" spans="2:6" ht="15" x14ac:dyDescent="0.2">
      <c r="B17" s="58" t="s">
        <v>677</v>
      </c>
      <c r="C17" s="58"/>
      <c r="D17" s="58"/>
      <c r="E17" s="59">
        <v>-16.992999999999999</v>
      </c>
      <c r="F17" s="60">
        <v>-221956240.89000002</v>
      </c>
    </row>
    <row r="18" spans="2:6" ht="15" x14ac:dyDescent="0.2"/>
    <row r="19" spans="2:6" ht="27" customHeight="1" x14ac:dyDescent="0.2"/>
    <row r="20" spans="2:6" ht="27" customHeight="1" x14ac:dyDescent="0.2"/>
    <row r="21" spans="2:6" ht="27" customHeight="1" x14ac:dyDescent="0.2"/>
    <row r="22" spans="2:6" ht="27" customHeight="1" x14ac:dyDescent="0.2"/>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8EBB1-9F22-4304-93BC-94E2B955A6CB}">
  <sheetPr codeName="Sheet7"/>
  <dimension ref="B1:G32"/>
  <sheetViews>
    <sheetView showGridLines="0" zoomScale="90" zoomScaleNormal="90" workbookViewId="0">
      <pane ySplit="3" topLeftCell="A21" activePane="bottomLeft" state="frozen"/>
      <selection pane="bottomLeft" activeCell="E20" sqref="E20"/>
    </sheetView>
  </sheetViews>
  <sheetFormatPr defaultRowHeight="12.75" x14ac:dyDescent="0.2"/>
  <cols>
    <col min="1" max="1" width="5.140625" customWidth="1"/>
    <col min="2" max="2" width="34" bestFit="1" customWidth="1"/>
    <col min="3" max="3" width="46" bestFit="1" customWidth="1"/>
    <col min="4" max="4" width="22.140625" bestFit="1" customWidth="1"/>
    <col min="5" max="5" width="38.7109375" bestFit="1" customWidth="1"/>
    <col min="6" max="6" width="15.28515625" bestFit="1" customWidth="1"/>
    <col min="7" max="7" width="21.42578125" bestFit="1" customWidth="1"/>
  </cols>
  <sheetData>
    <row r="1" spans="2:7" ht="22.5" customHeight="1" x14ac:dyDescent="0.2"/>
    <row r="2" spans="2:7" ht="22.5" customHeight="1" x14ac:dyDescent="0.2"/>
    <row r="3" spans="2:7" ht="31.5" customHeight="1" x14ac:dyDescent="0.2"/>
    <row r="4" spans="2:7" ht="15" x14ac:dyDescent="0.2">
      <c r="B4" s="57" t="s">
        <v>774</v>
      </c>
      <c r="C4" s="57" t="s">
        <v>114</v>
      </c>
      <c r="D4" s="57" t="s">
        <v>808</v>
      </c>
      <c r="E4" s="57" t="s">
        <v>809</v>
      </c>
      <c r="F4" s="58" t="s">
        <v>680</v>
      </c>
      <c r="G4" s="58" t="s">
        <v>681</v>
      </c>
    </row>
    <row r="5" spans="2:7" ht="15" x14ac:dyDescent="0.2">
      <c r="B5" s="58" t="s">
        <v>806</v>
      </c>
      <c r="C5" s="58" t="s">
        <v>118</v>
      </c>
      <c r="D5" s="58" t="s">
        <v>810</v>
      </c>
      <c r="E5" s="58" t="s">
        <v>152</v>
      </c>
      <c r="F5" s="59">
        <v>-1.1479999999999999</v>
      </c>
      <c r="G5" s="60">
        <v>-6216445.9699999997</v>
      </c>
    </row>
    <row r="6" spans="2:7" ht="15" x14ac:dyDescent="0.2">
      <c r="B6" s="58"/>
      <c r="C6" s="58" t="s">
        <v>836</v>
      </c>
      <c r="D6" s="58"/>
      <c r="E6" s="58"/>
      <c r="F6" s="59">
        <v>-1.1479999999999999</v>
      </c>
      <c r="G6" s="60">
        <v>-6216445.9699999997</v>
      </c>
    </row>
    <row r="7" spans="2:7" ht="15" x14ac:dyDescent="0.2">
      <c r="B7" s="58" t="s">
        <v>825</v>
      </c>
      <c r="C7" s="58"/>
      <c r="D7" s="58"/>
      <c r="E7" s="58"/>
      <c r="F7" s="59">
        <v>-1.1479999999999999</v>
      </c>
      <c r="G7" s="60">
        <v>-6216445.9699999997</v>
      </c>
    </row>
    <row r="8" spans="2:7" ht="15" x14ac:dyDescent="0.2">
      <c r="B8" s="58" t="s">
        <v>807</v>
      </c>
      <c r="C8" s="58" t="s">
        <v>796</v>
      </c>
      <c r="D8" s="58" t="s">
        <v>812</v>
      </c>
      <c r="E8" s="58" t="s">
        <v>955</v>
      </c>
      <c r="F8" s="59">
        <v>-1.76</v>
      </c>
      <c r="G8" s="60">
        <v>-5580608</v>
      </c>
    </row>
    <row r="9" spans="2:7" ht="15" x14ac:dyDescent="0.2">
      <c r="B9" s="58"/>
      <c r="C9" s="58" t="s">
        <v>837</v>
      </c>
      <c r="D9" s="58"/>
      <c r="E9" s="58"/>
      <c r="F9" s="59">
        <v>-1.76</v>
      </c>
      <c r="G9" s="60">
        <v>-5580608</v>
      </c>
    </row>
    <row r="10" spans="2:7" ht="15" x14ac:dyDescent="0.2">
      <c r="B10" s="58"/>
      <c r="C10" s="58" t="s">
        <v>801</v>
      </c>
      <c r="D10" s="58" t="s">
        <v>790</v>
      </c>
      <c r="E10" s="58" t="s">
        <v>152</v>
      </c>
      <c r="F10" s="59">
        <v>11.22</v>
      </c>
      <c r="G10" s="60">
        <v>39178130.639999993</v>
      </c>
    </row>
    <row r="11" spans="2:7" ht="15" x14ac:dyDescent="0.2">
      <c r="B11" s="58"/>
      <c r="C11" s="58" t="s">
        <v>838</v>
      </c>
      <c r="D11" s="58"/>
      <c r="E11" s="58"/>
      <c r="F11" s="59">
        <v>11.22</v>
      </c>
      <c r="G11" s="60">
        <v>39178130.639999993</v>
      </c>
    </row>
    <row r="12" spans="2:7" ht="15" x14ac:dyDescent="0.2">
      <c r="B12" s="58"/>
      <c r="C12" s="58" t="s">
        <v>119</v>
      </c>
      <c r="D12" s="58" t="s">
        <v>811</v>
      </c>
      <c r="E12" s="58" t="s">
        <v>152</v>
      </c>
      <c r="F12" s="59">
        <v>-19.014999999999997</v>
      </c>
      <c r="G12" s="60">
        <v>-227389828.53999999</v>
      </c>
    </row>
    <row r="13" spans="2:7" ht="15" x14ac:dyDescent="0.2">
      <c r="B13" s="58"/>
      <c r="C13" s="58" t="s">
        <v>839</v>
      </c>
      <c r="D13" s="58"/>
      <c r="E13" s="58"/>
      <c r="F13" s="59">
        <v>-19.014999999999997</v>
      </c>
      <c r="G13" s="60">
        <v>-227389828.53999999</v>
      </c>
    </row>
    <row r="14" spans="2:7" ht="15" x14ac:dyDescent="0.2">
      <c r="B14" s="58"/>
      <c r="C14" s="58" t="s">
        <v>777</v>
      </c>
      <c r="D14" s="58" t="s">
        <v>811</v>
      </c>
      <c r="E14" s="58" t="s">
        <v>152</v>
      </c>
      <c r="F14" s="59">
        <v>-3.83</v>
      </c>
      <c r="G14" s="60">
        <v>-20773805.559999999</v>
      </c>
    </row>
    <row r="15" spans="2:7" ht="15" x14ac:dyDescent="0.2">
      <c r="B15" s="58"/>
      <c r="C15" s="58" t="s">
        <v>840</v>
      </c>
      <c r="D15" s="58"/>
      <c r="E15" s="58"/>
      <c r="F15" s="59">
        <v>-3.83</v>
      </c>
      <c r="G15" s="60">
        <v>-20773805.559999999</v>
      </c>
    </row>
    <row r="16" spans="2:7" ht="15" x14ac:dyDescent="0.2">
      <c r="B16" s="58"/>
      <c r="C16" s="58" t="s">
        <v>823</v>
      </c>
      <c r="D16" s="58" t="s">
        <v>812</v>
      </c>
      <c r="E16" s="58" t="s">
        <v>813</v>
      </c>
      <c r="F16" s="59">
        <v>-1.31</v>
      </c>
      <c r="G16" s="60">
        <v>-3706832.82</v>
      </c>
    </row>
    <row r="17" spans="2:7" ht="15" x14ac:dyDescent="0.2">
      <c r="B17" s="58"/>
      <c r="C17" s="58"/>
      <c r="D17" s="58" t="s">
        <v>1019</v>
      </c>
      <c r="E17" s="58" t="s">
        <v>152</v>
      </c>
      <c r="F17" s="59">
        <v>-1.35</v>
      </c>
      <c r="G17" s="60">
        <v>-5499402.9000000004</v>
      </c>
    </row>
    <row r="18" spans="2:7" ht="15" x14ac:dyDescent="0.2">
      <c r="B18" s="58"/>
      <c r="C18" s="58" t="s">
        <v>841</v>
      </c>
      <c r="D18" s="58"/>
      <c r="E18" s="58"/>
      <c r="F18" s="59">
        <v>-2.66</v>
      </c>
      <c r="G18" s="60">
        <v>-9206235.7200000007</v>
      </c>
    </row>
    <row r="19" spans="2:7" ht="15" x14ac:dyDescent="0.2">
      <c r="B19" s="58"/>
      <c r="C19" s="58" t="s">
        <v>803</v>
      </c>
      <c r="D19" s="58" t="s">
        <v>814</v>
      </c>
      <c r="E19" s="58" t="s">
        <v>152</v>
      </c>
      <c r="F19" s="59">
        <v>0</v>
      </c>
      <c r="G19" s="60">
        <v>0</v>
      </c>
    </row>
    <row r="20" spans="2:7" ht="15" x14ac:dyDescent="0.2">
      <c r="B20" s="58"/>
      <c r="C20" s="58" t="s">
        <v>938</v>
      </c>
      <c r="D20" s="58"/>
      <c r="E20" s="58"/>
      <c r="F20" s="59">
        <v>0</v>
      </c>
      <c r="G20" s="60">
        <v>0</v>
      </c>
    </row>
    <row r="21" spans="2:7" ht="15" x14ac:dyDescent="0.2">
      <c r="B21" s="58"/>
      <c r="C21" s="58" t="s">
        <v>942</v>
      </c>
      <c r="D21" s="58" t="s">
        <v>790</v>
      </c>
      <c r="E21" s="58" t="s">
        <v>152</v>
      </c>
      <c r="F21" s="59">
        <v>0.2</v>
      </c>
      <c r="G21" s="60">
        <v>587307.25999999989</v>
      </c>
    </row>
    <row r="22" spans="2:7" ht="15" x14ac:dyDescent="0.2">
      <c r="B22" s="58"/>
      <c r="C22" s="58" t="s">
        <v>943</v>
      </c>
      <c r="D22" s="58"/>
      <c r="E22" s="58"/>
      <c r="F22" s="59">
        <v>0.2</v>
      </c>
      <c r="G22" s="60">
        <v>587307.25999999989</v>
      </c>
    </row>
    <row r="23" spans="2:7" ht="15" x14ac:dyDescent="0.2">
      <c r="B23" s="58"/>
      <c r="C23" s="58" t="s">
        <v>1024</v>
      </c>
      <c r="D23" s="58" t="s">
        <v>152</v>
      </c>
      <c r="E23" s="58" t="s">
        <v>152</v>
      </c>
      <c r="F23" s="59">
        <v>0</v>
      </c>
      <c r="G23" s="60">
        <v>7445245</v>
      </c>
    </row>
    <row r="24" spans="2:7" ht="15" x14ac:dyDescent="0.2">
      <c r="B24" s="58"/>
      <c r="C24" s="58" t="s">
        <v>1030</v>
      </c>
      <c r="D24" s="58"/>
      <c r="E24" s="58"/>
      <c r="F24" s="59">
        <v>0</v>
      </c>
      <c r="G24" s="60">
        <v>7445245</v>
      </c>
    </row>
    <row r="25" spans="2:7" ht="15" x14ac:dyDescent="0.2">
      <c r="B25" s="58" t="s">
        <v>826</v>
      </c>
      <c r="C25" s="58"/>
      <c r="D25" s="58"/>
      <c r="E25" s="58"/>
      <c r="F25" s="59">
        <v>-15.844999999999999</v>
      </c>
      <c r="G25" s="60">
        <v>-215739794.92000002</v>
      </c>
    </row>
    <row r="26" spans="2:7" ht="15" x14ac:dyDescent="0.2">
      <c r="B26" s="58" t="s">
        <v>677</v>
      </c>
      <c r="C26" s="58"/>
      <c r="D26" s="58"/>
      <c r="E26" s="58"/>
      <c r="F26" s="59">
        <v>-16.992999999999999</v>
      </c>
      <c r="G26" s="60">
        <v>-221956240.89000002</v>
      </c>
    </row>
    <row r="27" spans="2:7" ht="15" x14ac:dyDescent="0.2"/>
    <row r="28" spans="2:7" ht="15" x14ac:dyDescent="0.2"/>
    <row r="29" spans="2:7" ht="15" x14ac:dyDescent="0.2"/>
    <row r="30" spans="2:7" ht="15" x14ac:dyDescent="0.2"/>
    <row r="31" spans="2:7" ht="15" x14ac:dyDescent="0.2"/>
    <row r="32" spans="2:7" ht="15" x14ac:dyDescent="0.2"/>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D87D9-5DF1-4787-BD6F-9E8F15E17275}">
  <sheetPr codeName="Sheet1"/>
  <dimension ref="B2:J188"/>
  <sheetViews>
    <sheetView showGridLines="0" zoomScale="85" zoomScaleNormal="85" workbookViewId="0">
      <pane ySplit="5" topLeftCell="A6" activePane="bottomLeft" state="frozen"/>
      <selection pane="bottomLeft" activeCell="D7" sqref="D7"/>
    </sheetView>
  </sheetViews>
  <sheetFormatPr defaultRowHeight="15" x14ac:dyDescent="0.2"/>
  <cols>
    <col min="1" max="1" width="3.42578125" customWidth="1"/>
    <col min="2" max="2" width="13.5703125" style="22" customWidth="1"/>
    <col min="3" max="3" width="64.28515625" style="21" customWidth="1"/>
    <col min="4" max="4" width="18.7109375" style="22" customWidth="1"/>
    <col min="5" max="5" width="18.85546875" style="22" customWidth="1"/>
    <col min="6" max="6" width="17.42578125" style="22" customWidth="1"/>
    <col min="7" max="7" width="10.42578125" style="22" customWidth="1"/>
    <col min="8" max="8" width="9.7109375" style="22" customWidth="1"/>
    <col min="9" max="9" width="10.28515625" style="22" customWidth="1"/>
    <col min="10" max="10" width="15.28515625" style="22" customWidth="1"/>
  </cols>
  <sheetData>
    <row r="2" spans="2:10" ht="28.5" customHeight="1" x14ac:dyDescent="0.2"/>
    <row r="3" spans="2:10" ht="23.25" customHeight="1" x14ac:dyDescent="0.2"/>
    <row r="4" spans="2:10" ht="22.5" customHeight="1" x14ac:dyDescent="0.2"/>
    <row r="5" spans="2:10" ht="45" x14ac:dyDescent="0.2">
      <c r="B5" s="23" t="s">
        <v>126</v>
      </c>
      <c r="C5" s="23" t="s">
        <v>115</v>
      </c>
      <c r="D5" s="23" t="s">
        <v>808</v>
      </c>
      <c r="E5" s="23" t="s">
        <v>809</v>
      </c>
      <c r="F5" s="23" t="s">
        <v>124</v>
      </c>
      <c r="G5" s="23" t="s">
        <v>88</v>
      </c>
      <c r="H5" s="21" t="s">
        <v>679</v>
      </c>
      <c r="I5" s="21" t="s">
        <v>680</v>
      </c>
      <c r="J5" s="21" t="s">
        <v>681</v>
      </c>
    </row>
    <row r="6" spans="2:10" ht="30" x14ac:dyDescent="0.2">
      <c r="B6" s="21" t="s">
        <v>365</v>
      </c>
      <c r="C6" s="21" t="s">
        <v>120</v>
      </c>
      <c r="D6" s="21" t="s">
        <v>790</v>
      </c>
      <c r="E6" s="21" t="s">
        <v>152</v>
      </c>
      <c r="F6" s="21" t="s">
        <v>551</v>
      </c>
      <c r="G6" s="21" t="s">
        <v>7</v>
      </c>
      <c r="H6" s="131">
        <v>4</v>
      </c>
      <c r="I6" s="24">
        <v>0.1</v>
      </c>
      <c r="J6" s="25">
        <v>166017.35999999999</v>
      </c>
    </row>
    <row r="7" spans="2:10" x14ac:dyDescent="0.2">
      <c r="B7" s="21"/>
      <c r="D7" s="21"/>
      <c r="E7" s="21"/>
      <c r="F7" s="21"/>
      <c r="G7" s="21"/>
      <c r="H7" s="131"/>
      <c r="I7" s="24"/>
      <c r="J7" s="25"/>
    </row>
    <row r="8" spans="2:10" ht="105" x14ac:dyDescent="0.2">
      <c r="B8" s="21"/>
      <c r="C8" s="21" t="s">
        <v>957</v>
      </c>
      <c r="D8" s="21" t="s">
        <v>811</v>
      </c>
      <c r="E8" s="21" t="s">
        <v>152</v>
      </c>
      <c r="F8" s="21" t="s">
        <v>364</v>
      </c>
      <c r="G8" s="21" t="s">
        <v>7</v>
      </c>
      <c r="H8" s="131">
        <v>-330</v>
      </c>
      <c r="I8" s="24">
        <v>-8.25</v>
      </c>
      <c r="J8" s="25">
        <v>-12587850</v>
      </c>
    </row>
    <row r="9" spans="2:10" x14ac:dyDescent="0.2">
      <c r="B9" s="21"/>
      <c r="D9" s="21"/>
      <c r="E9" s="21"/>
      <c r="F9" s="21"/>
      <c r="G9" s="21"/>
      <c r="H9" s="131"/>
      <c r="I9" s="24"/>
      <c r="J9" s="25"/>
    </row>
    <row r="10" spans="2:10" ht="30" x14ac:dyDescent="0.2">
      <c r="B10" s="21"/>
      <c r="D10" s="21"/>
      <c r="E10" s="21"/>
      <c r="F10" s="21" t="s">
        <v>551</v>
      </c>
      <c r="G10" s="21" t="s">
        <v>7</v>
      </c>
      <c r="H10" s="131">
        <v>-162</v>
      </c>
      <c r="I10" s="24">
        <v>-4.05</v>
      </c>
      <c r="J10" s="25">
        <v>-6098715.1800000006</v>
      </c>
    </row>
    <row r="11" spans="2:10" x14ac:dyDescent="0.2">
      <c r="B11" s="21"/>
      <c r="D11" s="21"/>
      <c r="E11" s="21"/>
      <c r="F11" s="21"/>
      <c r="G11" s="21"/>
      <c r="H11" s="131"/>
      <c r="I11" s="24"/>
      <c r="J11" s="25"/>
    </row>
    <row r="12" spans="2:10" ht="60" x14ac:dyDescent="0.2">
      <c r="B12" s="21"/>
      <c r="C12" s="21" t="s">
        <v>958</v>
      </c>
      <c r="D12" s="21" t="s">
        <v>811</v>
      </c>
      <c r="E12" s="21" t="s">
        <v>152</v>
      </c>
      <c r="F12" s="21" t="s">
        <v>551</v>
      </c>
      <c r="G12" s="21" t="s">
        <v>7</v>
      </c>
      <c r="H12" s="131">
        <v>-4</v>
      </c>
      <c r="I12" s="24">
        <v>-0.1</v>
      </c>
      <c r="J12" s="25">
        <v>-150585.56</v>
      </c>
    </row>
    <row r="13" spans="2:10" x14ac:dyDescent="0.2">
      <c r="B13" s="21"/>
      <c r="D13" s="21"/>
      <c r="E13" s="21"/>
      <c r="F13" s="21"/>
      <c r="G13" s="21"/>
      <c r="H13" s="131"/>
      <c r="I13" s="24"/>
      <c r="J13" s="25"/>
    </row>
    <row r="14" spans="2:10" ht="45" x14ac:dyDescent="0.2">
      <c r="B14" s="21"/>
      <c r="C14" s="21" t="s">
        <v>961</v>
      </c>
      <c r="D14" s="21" t="s">
        <v>812</v>
      </c>
      <c r="E14" s="21" t="s">
        <v>813</v>
      </c>
      <c r="F14" s="21" t="s">
        <v>551</v>
      </c>
      <c r="G14" s="21" t="s">
        <v>7</v>
      </c>
      <c r="H14" s="131">
        <v>-34</v>
      </c>
      <c r="I14" s="24">
        <v>-0.85000000000000009</v>
      </c>
      <c r="J14" s="25">
        <v>-1583824.8199999998</v>
      </c>
    </row>
    <row r="15" spans="2:10" x14ac:dyDescent="0.2">
      <c r="B15" s="21"/>
      <c r="D15" s="21"/>
      <c r="E15" s="21"/>
      <c r="F15" s="21"/>
      <c r="G15" s="21"/>
      <c r="H15" s="131"/>
      <c r="I15" s="24"/>
      <c r="J15" s="25"/>
    </row>
    <row r="16" spans="2:10" x14ac:dyDescent="0.2">
      <c r="B16" s="21" t="s">
        <v>834</v>
      </c>
      <c r="D16" s="21"/>
      <c r="E16" s="21"/>
      <c r="F16" s="21"/>
      <c r="G16" s="21"/>
      <c r="H16" s="131">
        <v>-526</v>
      </c>
      <c r="I16" s="24">
        <v>-13.149999999999999</v>
      </c>
      <c r="J16" s="25">
        <v>-20254958.199999999</v>
      </c>
    </row>
    <row r="17" spans="2:10" x14ac:dyDescent="0.2">
      <c r="B17" s="21"/>
      <c r="D17" s="21"/>
      <c r="E17" s="21"/>
      <c r="F17" s="21"/>
      <c r="G17" s="21"/>
      <c r="H17" s="131"/>
      <c r="I17" s="24"/>
      <c r="J17" s="25"/>
    </row>
    <row r="18" spans="2:10" x14ac:dyDescent="0.2">
      <c r="B18" s="21" t="s">
        <v>148</v>
      </c>
      <c r="C18" s="21" t="s">
        <v>120</v>
      </c>
      <c r="D18" s="21" t="s">
        <v>790</v>
      </c>
      <c r="E18" s="21" t="s">
        <v>152</v>
      </c>
      <c r="F18" s="21" t="s">
        <v>147</v>
      </c>
      <c r="G18" s="21" t="s">
        <v>7</v>
      </c>
      <c r="H18" s="131">
        <v>5</v>
      </c>
      <c r="I18" s="24">
        <v>0.1</v>
      </c>
      <c r="J18" s="25">
        <v>421289.89999999997</v>
      </c>
    </row>
    <row r="19" spans="2:10" x14ac:dyDescent="0.2">
      <c r="B19" s="21"/>
      <c r="D19" s="21"/>
      <c r="E19" s="21"/>
      <c r="F19" s="21"/>
      <c r="G19" s="21"/>
      <c r="H19" s="131"/>
      <c r="I19" s="24"/>
      <c r="J19" s="25"/>
    </row>
    <row r="20" spans="2:10" ht="45" x14ac:dyDescent="0.2">
      <c r="B20" s="21"/>
      <c r="C20" s="21" t="s">
        <v>931</v>
      </c>
      <c r="D20" s="21" t="s">
        <v>790</v>
      </c>
      <c r="E20" s="21" t="s">
        <v>152</v>
      </c>
      <c r="F20" s="21" t="s">
        <v>147</v>
      </c>
      <c r="G20" s="21" t="s">
        <v>7</v>
      </c>
      <c r="H20" s="131">
        <v>69</v>
      </c>
      <c r="I20" s="24">
        <v>1.38</v>
      </c>
      <c r="J20" s="25">
        <v>4818700.5599999996</v>
      </c>
    </row>
    <row r="21" spans="2:10" x14ac:dyDescent="0.2">
      <c r="B21" s="21"/>
      <c r="D21" s="21"/>
      <c r="E21" s="21"/>
      <c r="F21" s="21"/>
      <c r="G21" s="21"/>
      <c r="H21" s="131"/>
      <c r="I21" s="24"/>
      <c r="J21" s="25"/>
    </row>
    <row r="22" spans="2:10" ht="45" x14ac:dyDescent="0.2">
      <c r="B22" s="21"/>
      <c r="C22" s="21" t="s">
        <v>932</v>
      </c>
      <c r="D22" s="21" t="s">
        <v>790</v>
      </c>
      <c r="E22" s="21" t="s">
        <v>152</v>
      </c>
      <c r="F22" s="21" t="s">
        <v>147</v>
      </c>
      <c r="G22" s="21" t="s">
        <v>7</v>
      </c>
      <c r="H22" s="131">
        <v>84</v>
      </c>
      <c r="I22" s="24">
        <v>1.68</v>
      </c>
      <c r="J22" s="25">
        <v>5866244.1600000001</v>
      </c>
    </row>
    <row r="23" spans="2:10" x14ac:dyDescent="0.2">
      <c r="B23" s="21"/>
      <c r="D23" s="21"/>
      <c r="E23" s="21"/>
      <c r="F23" s="21"/>
      <c r="G23" s="21"/>
      <c r="H23" s="131"/>
      <c r="I23" s="24"/>
      <c r="J23" s="25"/>
    </row>
    <row r="24" spans="2:10" ht="45" x14ac:dyDescent="0.2">
      <c r="B24" s="21"/>
      <c r="C24" s="21" t="s">
        <v>933</v>
      </c>
      <c r="D24" s="21" t="s">
        <v>790</v>
      </c>
      <c r="E24" s="21" t="s">
        <v>152</v>
      </c>
      <c r="F24" s="21" t="s">
        <v>147</v>
      </c>
      <c r="G24" s="21" t="s">
        <v>7</v>
      </c>
      <c r="H24" s="131">
        <v>78</v>
      </c>
      <c r="I24" s="24">
        <v>1.56</v>
      </c>
      <c r="J24" s="25">
        <v>5447226.7199999997</v>
      </c>
    </row>
    <row r="25" spans="2:10" x14ac:dyDescent="0.2">
      <c r="B25" s="21"/>
      <c r="D25" s="21"/>
      <c r="E25" s="21"/>
      <c r="F25" s="21"/>
      <c r="G25" s="21"/>
      <c r="H25" s="131"/>
      <c r="I25" s="24"/>
      <c r="J25" s="25"/>
    </row>
    <row r="26" spans="2:10" ht="60" x14ac:dyDescent="0.2">
      <c r="B26" s="21"/>
      <c r="C26" s="21" t="s">
        <v>934</v>
      </c>
      <c r="D26" s="21" t="s">
        <v>790</v>
      </c>
      <c r="E26" s="21" t="s">
        <v>152</v>
      </c>
      <c r="F26" s="21" t="s">
        <v>147</v>
      </c>
      <c r="G26" s="21" t="s">
        <v>7</v>
      </c>
      <c r="H26" s="131">
        <v>55</v>
      </c>
      <c r="I26" s="24">
        <v>1.1000000000000001</v>
      </c>
      <c r="J26" s="25">
        <v>3840993.2</v>
      </c>
    </row>
    <row r="27" spans="2:10" x14ac:dyDescent="0.2">
      <c r="B27" s="21"/>
      <c r="D27" s="21"/>
      <c r="E27" s="21"/>
      <c r="F27" s="21"/>
      <c r="G27" s="21"/>
      <c r="H27" s="131"/>
      <c r="I27" s="24"/>
      <c r="J27" s="25"/>
    </row>
    <row r="28" spans="2:10" ht="60" x14ac:dyDescent="0.2">
      <c r="B28" s="21"/>
      <c r="C28" s="21" t="s">
        <v>935</v>
      </c>
      <c r="D28" s="21" t="s">
        <v>790</v>
      </c>
      <c r="E28" s="21" t="s">
        <v>152</v>
      </c>
      <c r="F28" s="21" t="s">
        <v>147</v>
      </c>
      <c r="G28" s="21" t="s">
        <v>7</v>
      </c>
      <c r="H28" s="131">
        <v>74</v>
      </c>
      <c r="I28" s="24">
        <v>1.48</v>
      </c>
      <c r="J28" s="25">
        <v>5167881.76</v>
      </c>
    </row>
    <row r="29" spans="2:10" x14ac:dyDescent="0.2">
      <c r="B29" s="21"/>
      <c r="D29" s="21"/>
      <c r="E29" s="21"/>
      <c r="F29" s="21"/>
      <c r="G29" s="21"/>
      <c r="H29" s="131"/>
      <c r="I29" s="24"/>
      <c r="J29" s="25"/>
    </row>
    <row r="30" spans="2:10" ht="60" x14ac:dyDescent="0.2">
      <c r="B30" s="21"/>
      <c r="C30" s="21" t="s">
        <v>937</v>
      </c>
      <c r="D30" s="21" t="s">
        <v>790</v>
      </c>
      <c r="E30" s="21" t="s">
        <v>152</v>
      </c>
      <c r="F30" s="21" t="s">
        <v>147</v>
      </c>
      <c r="G30" s="21" t="s">
        <v>7</v>
      </c>
      <c r="H30" s="131">
        <v>27</v>
      </c>
      <c r="I30" s="24">
        <v>0.54</v>
      </c>
      <c r="J30" s="25">
        <v>1885578.48</v>
      </c>
    </row>
    <row r="31" spans="2:10" x14ac:dyDescent="0.2">
      <c r="B31" s="21"/>
      <c r="D31" s="21"/>
      <c r="E31" s="21"/>
      <c r="F31" s="21"/>
      <c r="G31" s="21"/>
      <c r="H31" s="131"/>
      <c r="I31" s="24"/>
      <c r="J31" s="25"/>
    </row>
    <row r="32" spans="2:10" ht="60" x14ac:dyDescent="0.2">
      <c r="B32" s="21"/>
      <c r="C32" s="21" t="s">
        <v>936</v>
      </c>
      <c r="D32" s="21" t="s">
        <v>790</v>
      </c>
      <c r="E32" s="21" t="s">
        <v>152</v>
      </c>
      <c r="F32" s="21" t="s">
        <v>147</v>
      </c>
      <c r="G32" s="21" t="s">
        <v>7</v>
      </c>
      <c r="H32" s="131">
        <v>48</v>
      </c>
      <c r="I32" s="24">
        <v>0.96</v>
      </c>
      <c r="J32" s="25">
        <v>3352139.52</v>
      </c>
    </row>
    <row r="33" spans="2:10" x14ac:dyDescent="0.2">
      <c r="B33" s="21"/>
      <c r="D33" s="21"/>
      <c r="E33" s="21"/>
      <c r="F33" s="21"/>
      <c r="G33" s="21"/>
      <c r="H33" s="131"/>
      <c r="I33" s="24"/>
      <c r="J33" s="25"/>
    </row>
    <row r="34" spans="2:10" ht="75" x14ac:dyDescent="0.2">
      <c r="B34" s="21"/>
      <c r="C34" s="21" t="s">
        <v>941</v>
      </c>
      <c r="D34" s="21" t="s">
        <v>790</v>
      </c>
      <c r="E34" s="21" t="s">
        <v>152</v>
      </c>
      <c r="F34" s="21" t="s">
        <v>147</v>
      </c>
      <c r="G34" s="21" t="s">
        <v>7</v>
      </c>
      <c r="H34" s="131">
        <v>80</v>
      </c>
      <c r="I34" s="24">
        <v>1.6</v>
      </c>
      <c r="J34" s="25">
        <v>5586899.2000000002</v>
      </c>
    </row>
    <row r="35" spans="2:10" x14ac:dyDescent="0.2">
      <c r="B35" s="21"/>
      <c r="D35" s="21"/>
      <c r="E35" s="21"/>
      <c r="F35" s="21"/>
      <c r="G35" s="21"/>
      <c r="H35" s="131"/>
      <c r="I35" s="24"/>
      <c r="J35" s="25"/>
    </row>
    <row r="36" spans="2:10" ht="75" x14ac:dyDescent="0.2">
      <c r="B36" s="21"/>
      <c r="C36" s="21" t="s">
        <v>940</v>
      </c>
      <c r="D36" s="21" t="s">
        <v>790</v>
      </c>
      <c r="E36" s="21" t="s">
        <v>152</v>
      </c>
      <c r="F36" s="21" t="s">
        <v>147</v>
      </c>
      <c r="G36" s="21" t="s">
        <v>7</v>
      </c>
      <c r="H36" s="131">
        <v>46</v>
      </c>
      <c r="I36" s="24">
        <v>0.92</v>
      </c>
      <c r="J36" s="25">
        <v>3212467.04</v>
      </c>
    </row>
    <row r="37" spans="2:10" x14ac:dyDescent="0.2">
      <c r="B37" s="21"/>
      <c r="D37" s="21"/>
      <c r="E37" s="21"/>
      <c r="F37" s="21"/>
      <c r="G37" s="21"/>
      <c r="H37" s="131"/>
      <c r="I37" s="24"/>
      <c r="J37" s="25"/>
    </row>
    <row r="38" spans="2:10" ht="60" x14ac:dyDescent="0.2">
      <c r="B38" s="21"/>
      <c r="C38" s="21" t="s">
        <v>962</v>
      </c>
      <c r="D38" s="21" t="s">
        <v>812</v>
      </c>
      <c r="E38" s="21" t="s">
        <v>955</v>
      </c>
      <c r="F38" s="21" t="s">
        <v>147</v>
      </c>
      <c r="G38" s="21" t="s">
        <v>7</v>
      </c>
      <c r="H38" s="131">
        <v>-45</v>
      </c>
      <c r="I38" s="24">
        <v>-0.9</v>
      </c>
      <c r="J38" s="25">
        <v>-2853720</v>
      </c>
    </row>
    <row r="39" spans="2:10" x14ac:dyDescent="0.2">
      <c r="B39" s="21"/>
      <c r="D39" s="21"/>
      <c r="E39" s="21"/>
      <c r="F39" s="21"/>
      <c r="G39" s="21"/>
      <c r="H39" s="131"/>
      <c r="I39" s="24"/>
      <c r="J39" s="25"/>
    </row>
    <row r="40" spans="2:10" ht="45" x14ac:dyDescent="0.2">
      <c r="B40" s="21"/>
      <c r="C40" s="21" t="s">
        <v>963</v>
      </c>
      <c r="D40" s="21" t="s">
        <v>812</v>
      </c>
      <c r="E40" s="21" t="s">
        <v>955</v>
      </c>
      <c r="F40" s="21" t="s">
        <v>147</v>
      </c>
      <c r="G40" s="21" t="s">
        <v>7</v>
      </c>
      <c r="H40" s="131">
        <v>-43</v>
      </c>
      <c r="I40" s="24">
        <v>-0.86</v>
      </c>
      <c r="J40" s="25">
        <v>-2726888</v>
      </c>
    </row>
    <row r="41" spans="2:10" x14ac:dyDescent="0.2">
      <c r="B41" s="21"/>
      <c r="D41" s="21"/>
      <c r="E41" s="21"/>
      <c r="F41" s="21"/>
      <c r="G41" s="21"/>
      <c r="H41" s="131"/>
      <c r="I41" s="24"/>
      <c r="J41" s="25"/>
    </row>
    <row r="42" spans="2:10" ht="105" x14ac:dyDescent="0.2">
      <c r="B42" s="21"/>
      <c r="C42" s="21" t="s">
        <v>959</v>
      </c>
      <c r="D42" s="21" t="s">
        <v>811</v>
      </c>
      <c r="E42" s="21" t="s">
        <v>152</v>
      </c>
      <c r="F42" s="21" t="s">
        <v>147</v>
      </c>
      <c r="G42" s="21" t="s">
        <v>7</v>
      </c>
      <c r="H42" s="131">
        <v>-81</v>
      </c>
      <c r="I42" s="24">
        <v>-1.62</v>
      </c>
      <c r="J42" s="25">
        <v>-5611518</v>
      </c>
    </row>
    <row r="43" spans="2:10" x14ac:dyDescent="0.2">
      <c r="B43" s="21"/>
      <c r="D43" s="21"/>
      <c r="E43" s="21"/>
      <c r="F43" s="21"/>
      <c r="G43" s="21"/>
      <c r="H43" s="131"/>
      <c r="I43" s="24"/>
      <c r="J43" s="25"/>
    </row>
    <row r="44" spans="2:10" x14ac:dyDescent="0.2">
      <c r="B44" s="21"/>
      <c r="D44" s="21"/>
      <c r="E44" s="21"/>
      <c r="F44" s="21" t="s">
        <v>401</v>
      </c>
      <c r="G44" s="21" t="s">
        <v>7</v>
      </c>
      <c r="H44" s="131">
        <v>23</v>
      </c>
      <c r="I44" s="24">
        <v>0.46</v>
      </c>
      <c r="J44" s="25">
        <v>460000</v>
      </c>
    </row>
    <row r="45" spans="2:10" x14ac:dyDescent="0.2">
      <c r="B45" s="21"/>
      <c r="D45" s="21"/>
      <c r="E45" s="21"/>
      <c r="F45" s="21"/>
      <c r="G45" s="21"/>
      <c r="H45" s="131"/>
      <c r="I45" s="24"/>
      <c r="J45" s="25"/>
    </row>
    <row r="46" spans="2:10" ht="45" x14ac:dyDescent="0.2">
      <c r="B46" s="21"/>
      <c r="C46" s="21" t="s">
        <v>961</v>
      </c>
      <c r="D46" s="21" t="s">
        <v>812</v>
      </c>
      <c r="E46" s="21" t="s">
        <v>813</v>
      </c>
      <c r="F46" s="21" t="s">
        <v>147</v>
      </c>
      <c r="G46" s="21" t="s">
        <v>7</v>
      </c>
      <c r="H46" s="131">
        <v>-5</v>
      </c>
      <c r="I46" s="24">
        <v>-0.1</v>
      </c>
      <c r="J46" s="25">
        <v>-346390</v>
      </c>
    </row>
    <row r="47" spans="2:10" x14ac:dyDescent="0.2">
      <c r="B47" s="21"/>
      <c r="D47" s="21"/>
      <c r="E47" s="21"/>
      <c r="F47" s="21"/>
      <c r="G47" s="21"/>
      <c r="H47" s="131"/>
      <c r="I47" s="24"/>
      <c r="J47" s="25"/>
    </row>
    <row r="48" spans="2:10" x14ac:dyDescent="0.2">
      <c r="B48" s="21" t="s">
        <v>835</v>
      </c>
      <c r="D48" s="21"/>
      <c r="E48" s="21"/>
      <c r="F48" s="21"/>
      <c r="G48" s="21"/>
      <c r="H48" s="131">
        <v>415</v>
      </c>
      <c r="I48" s="24">
        <v>8.3000000000000007</v>
      </c>
      <c r="J48" s="25">
        <v>28520904.539999999</v>
      </c>
    </row>
    <row r="49" spans="2:10" x14ac:dyDescent="0.2">
      <c r="B49" s="21"/>
      <c r="D49" s="21"/>
      <c r="E49" s="21"/>
      <c r="F49" s="21"/>
      <c r="G49" s="21"/>
      <c r="H49" s="131"/>
      <c r="I49" s="24"/>
      <c r="J49" s="25"/>
    </row>
    <row r="50" spans="2:10" ht="45" x14ac:dyDescent="0.2">
      <c r="B50" s="21" t="s">
        <v>233</v>
      </c>
      <c r="C50" s="21" t="s">
        <v>956</v>
      </c>
      <c r="D50" s="21" t="s">
        <v>811</v>
      </c>
      <c r="E50" s="21" t="s">
        <v>152</v>
      </c>
      <c r="F50" s="21" t="s">
        <v>407</v>
      </c>
      <c r="G50" s="21" t="s">
        <v>7</v>
      </c>
      <c r="H50" s="131">
        <v>-50</v>
      </c>
      <c r="I50" s="24">
        <v>-1.25</v>
      </c>
      <c r="J50" s="25">
        <v>-50</v>
      </c>
    </row>
    <row r="51" spans="2:10" x14ac:dyDescent="0.2">
      <c r="B51" s="21"/>
      <c r="D51" s="21"/>
      <c r="E51" s="21"/>
      <c r="F51" s="21"/>
      <c r="G51" s="21"/>
      <c r="H51" s="131"/>
      <c r="I51" s="24"/>
      <c r="J51" s="25"/>
    </row>
    <row r="52" spans="2:10" x14ac:dyDescent="0.2">
      <c r="B52" s="21"/>
      <c r="D52" s="21"/>
      <c r="E52" s="21"/>
      <c r="F52" s="21" t="s">
        <v>296</v>
      </c>
      <c r="G52" s="21" t="s">
        <v>7</v>
      </c>
      <c r="H52" s="131">
        <v>-2</v>
      </c>
      <c r="I52" s="24">
        <v>-0.04</v>
      </c>
      <c r="J52" s="25">
        <v>-69272.72</v>
      </c>
    </row>
    <row r="53" spans="2:10" x14ac:dyDescent="0.2">
      <c r="B53" s="21"/>
      <c r="D53" s="21"/>
      <c r="E53" s="21"/>
      <c r="F53" s="21"/>
      <c r="G53" s="21"/>
      <c r="H53" s="131"/>
      <c r="I53" s="24"/>
      <c r="J53" s="25"/>
    </row>
    <row r="54" spans="2:10" x14ac:dyDescent="0.2">
      <c r="B54" s="21"/>
      <c r="D54" s="21"/>
      <c r="E54" s="21"/>
      <c r="F54" s="21" t="s">
        <v>232</v>
      </c>
      <c r="G54" s="21" t="s">
        <v>7</v>
      </c>
      <c r="H54" s="131">
        <v>-213</v>
      </c>
      <c r="I54" s="24">
        <v>-5.3250000000000002</v>
      </c>
      <c r="J54" s="25">
        <v>-15498229.32</v>
      </c>
    </row>
    <row r="55" spans="2:10" x14ac:dyDescent="0.2">
      <c r="B55" s="21"/>
      <c r="D55" s="21"/>
      <c r="E55" s="21"/>
      <c r="F55" s="21"/>
      <c r="G55" s="21"/>
      <c r="H55" s="131"/>
      <c r="I55" s="24"/>
      <c r="J55" s="25"/>
    </row>
    <row r="56" spans="2:10" ht="105" x14ac:dyDescent="0.2">
      <c r="B56" s="21"/>
      <c r="C56" s="21" t="s">
        <v>960</v>
      </c>
      <c r="D56" s="21" t="s">
        <v>811</v>
      </c>
      <c r="E56" s="21" t="s">
        <v>152</v>
      </c>
      <c r="F56" s="21" t="s">
        <v>407</v>
      </c>
      <c r="G56" s="21" t="s">
        <v>7</v>
      </c>
      <c r="H56" s="131">
        <v>10</v>
      </c>
      <c r="I56" s="24">
        <v>0.2</v>
      </c>
      <c r="J56" s="25">
        <v>200000</v>
      </c>
    </row>
    <row r="57" spans="2:10" x14ac:dyDescent="0.2">
      <c r="B57" s="21"/>
      <c r="D57" s="21"/>
      <c r="E57" s="21"/>
      <c r="F57" s="21"/>
      <c r="G57" s="21"/>
      <c r="H57" s="131"/>
      <c r="I57" s="24"/>
      <c r="J57" s="25"/>
    </row>
    <row r="58" spans="2:10" x14ac:dyDescent="0.2">
      <c r="B58" s="21"/>
      <c r="D58" s="21"/>
      <c r="E58" s="21"/>
      <c r="F58" s="21" t="s">
        <v>296</v>
      </c>
      <c r="G58" s="21" t="s">
        <v>7</v>
      </c>
      <c r="H58" s="131">
        <v>-76</v>
      </c>
      <c r="I58" s="24">
        <v>-1.52</v>
      </c>
      <c r="J58" s="25">
        <v>-9567944</v>
      </c>
    </row>
    <row r="59" spans="2:10" x14ac:dyDescent="0.2">
      <c r="B59" s="21"/>
      <c r="D59" s="21"/>
      <c r="E59" s="21"/>
      <c r="F59" s="21"/>
      <c r="G59" s="21"/>
      <c r="H59" s="131"/>
      <c r="I59" s="24"/>
      <c r="J59" s="25"/>
    </row>
    <row r="60" spans="2:10" ht="90" x14ac:dyDescent="0.2">
      <c r="B60" s="21"/>
      <c r="C60" s="21" t="s">
        <v>1035</v>
      </c>
      <c r="D60" s="21" t="s">
        <v>811</v>
      </c>
      <c r="E60" s="21" t="s">
        <v>152</v>
      </c>
      <c r="F60" s="21" t="s">
        <v>407</v>
      </c>
      <c r="G60" s="21" t="s">
        <v>7</v>
      </c>
      <c r="H60" s="131">
        <v>20</v>
      </c>
      <c r="I60" s="24">
        <v>0.4</v>
      </c>
      <c r="J60" s="25">
        <v>100000</v>
      </c>
    </row>
    <row r="61" spans="2:10" x14ac:dyDescent="0.2">
      <c r="B61" s="21"/>
      <c r="D61" s="21"/>
      <c r="E61" s="21"/>
      <c r="F61" s="21"/>
      <c r="G61" s="21"/>
      <c r="H61" s="131"/>
      <c r="I61" s="24"/>
      <c r="J61" s="25"/>
    </row>
    <row r="62" spans="2:10" x14ac:dyDescent="0.2">
      <c r="B62" s="21"/>
      <c r="D62" s="21"/>
      <c r="E62" s="21"/>
      <c r="F62" s="21" t="s">
        <v>296</v>
      </c>
      <c r="G62" s="21" t="s">
        <v>7</v>
      </c>
      <c r="H62" s="131">
        <v>-20</v>
      </c>
      <c r="I62" s="24">
        <v>-0.4</v>
      </c>
      <c r="J62" s="25">
        <v>-947906</v>
      </c>
    </row>
    <row r="63" spans="2:10" x14ac:dyDescent="0.2">
      <c r="B63" s="21"/>
      <c r="D63" s="21"/>
      <c r="E63" s="21"/>
      <c r="F63" s="21"/>
      <c r="G63" s="21"/>
      <c r="H63" s="131"/>
      <c r="I63" s="24"/>
      <c r="J63" s="25"/>
    </row>
    <row r="64" spans="2:10" x14ac:dyDescent="0.2">
      <c r="B64" s="21" t="s">
        <v>678</v>
      </c>
      <c r="D64" s="21"/>
      <c r="E64" s="21"/>
      <c r="F64" s="21"/>
      <c r="G64" s="21"/>
      <c r="H64" s="131">
        <v>-331</v>
      </c>
      <c r="I64" s="24">
        <v>-7.9350000000000005</v>
      </c>
      <c r="J64" s="25">
        <v>-25783402.039999999</v>
      </c>
    </row>
    <row r="65" spans="2:10" x14ac:dyDescent="0.2">
      <c r="B65" s="21"/>
      <c r="D65" s="21"/>
      <c r="E65" s="21"/>
      <c r="F65" s="21"/>
      <c r="G65" s="21"/>
      <c r="H65" s="131"/>
      <c r="I65" s="24"/>
      <c r="J65" s="25"/>
    </row>
    <row r="66" spans="2:10" ht="105" x14ac:dyDescent="0.2">
      <c r="B66" s="21" t="s">
        <v>186</v>
      </c>
      <c r="C66" s="21" t="s">
        <v>121</v>
      </c>
      <c r="D66" s="21" t="s">
        <v>810</v>
      </c>
      <c r="E66" s="21" t="s">
        <v>152</v>
      </c>
      <c r="F66" s="21" t="s">
        <v>185</v>
      </c>
      <c r="G66" s="21" t="s">
        <v>43</v>
      </c>
      <c r="H66" s="131">
        <v>-1.42</v>
      </c>
      <c r="I66" s="24">
        <v>-1.42</v>
      </c>
      <c r="J66" s="25">
        <v>-6484854.4100000001</v>
      </c>
    </row>
    <row r="67" spans="2:10" x14ac:dyDescent="0.2">
      <c r="B67" s="21"/>
      <c r="D67" s="21"/>
      <c r="E67" s="21"/>
      <c r="F67" s="21"/>
      <c r="G67" s="21"/>
      <c r="H67" s="131"/>
      <c r="I67" s="24"/>
      <c r="J67" s="25"/>
    </row>
    <row r="68" spans="2:10" ht="60" x14ac:dyDescent="0.2">
      <c r="B68" s="21"/>
      <c r="C68" s="21" t="s">
        <v>930</v>
      </c>
      <c r="D68" s="21" t="s">
        <v>811</v>
      </c>
      <c r="E68" s="21" t="s">
        <v>152</v>
      </c>
      <c r="F68" s="21" t="s">
        <v>311</v>
      </c>
      <c r="G68" s="21" t="s">
        <v>7</v>
      </c>
      <c r="H68" s="131">
        <v>-4</v>
      </c>
      <c r="I68" s="24">
        <v>-0.2</v>
      </c>
      <c r="J68" s="25">
        <v>-1031554.68</v>
      </c>
    </row>
    <row r="69" spans="2:10" x14ac:dyDescent="0.2">
      <c r="B69" s="21"/>
      <c r="D69" s="21"/>
      <c r="E69" s="21"/>
      <c r="F69" s="21"/>
      <c r="G69" s="21"/>
      <c r="H69" s="131"/>
      <c r="I69" s="24"/>
      <c r="J69" s="25"/>
    </row>
    <row r="70" spans="2:10" ht="30" x14ac:dyDescent="0.2">
      <c r="B70" s="21"/>
      <c r="D70" s="21"/>
      <c r="E70" s="21"/>
      <c r="F70" s="21" t="s">
        <v>431</v>
      </c>
      <c r="G70" s="21" t="s">
        <v>7</v>
      </c>
      <c r="H70" s="131">
        <v>1</v>
      </c>
      <c r="I70" s="24">
        <v>0.05</v>
      </c>
      <c r="J70" s="25">
        <v>100</v>
      </c>
    </row>
    <row r="71" spans="2:10" x14ac:dyDescent="0.2">
      <c r="B71" s="21"/>
      <c r="D71" s="21"/>
      <c r="E71" s="21"/>
      <c r="F71" s="21"/>
      <c r="G71" s="21"/>
      <c r="H71" s="131"/>
      <c r="I71" s="24"/>
      <c r="J71" s="25"/>
    </row>
    <row r="72" spans="2:10" ht="30" x14ac:dyDescent="0.2">
      <c r="B72" s="21"/>
      <c r="C72" s="21" t="s">
        <v>961</v>
      </c>
      <c r="D72" s="21" t="s">
        <v>1019</v>
      </c>
      <c r="E72" s="21" t="s">
        <v>152</v>
      </c>
      <c r="F72" s="21" t="s">
        <v>311</v>
      </c>
      <c r="G72" s="21" t="s">
        <v>7</v>
      </c>
      <c r="H72" s="131">
        <v>-15</v>
      </c>
      <c r="I72" s="24">
        <v>-0.75</v>
      </c>
      <c r="J72" s="25">
        <v>-4112259.15</v>
      </c>
    </row>
    <row r="73" spans="2:10" x14ac:dyDescent="0.2">
      <c r="B73" s="21"/>
      <c r="D73" s="21"/>
      <c r="E73" s="21"/>
      <c r="F73" s="21"/>
      <c r="G73" s="21"/>
      <c r="H73" s="131"/>
      <c r="I73" s="24"/>
      <c r="J73" s="25"/>
    </row>
    <row r="74" spans="2:10" ht="60" x14ac:dyDescent="0.2">
      <c r="B74" s="21"/>
      <c r="C74" s="21" t="s">
        <v>1031</v>
      </c>
      <c r="D74" s="21" t="s">
        <v>812</v>
      </c>
      <c r="E74" s="21" t="s">
        <v>813</v>
      </c>
      <c r="F74" s="21" t="s">
        <v>185</v>
      </c>
      <c r="G74" s="21" t="s">
        <v>43</v>
      </c>
      <c r="H74" s="131">
        <v>-0.36</v>
      </c>
      <c r="I74" s="24">
        <v>-0.36</v>
      </c>
      <c r="J74" s="25">
        <v>-1776618</v>
      </c>
    </row>
    <row r="75" spans="2:10" x14ac:dyDescent="0.2">
      <c r="B75" s="21"/>
      <c r="D75" s="21"/>
      <c r="E75" s="21"/>
      <c r="F75" s="21"/>
      <c r="G75" s="21"/>
      <c r="H75" s="131"/>
      <c r="I75" s="24"/>
      <c r="J75" s="25"/>
    </row>
    <row r="76" spans="2:10" ht="30" x14ac:dyDescent="0.2">
      <c r="B76" s="21" t="s">
        <v>953</v>
      </c>
      <c r="D76" s="21"/>
      <c r="E76" s="21"/>
      <c r="F76" s="21"/>
      <c r="G76" s="21"/>
      <c r="H76" s="131">
        <v>-19.78</v>
      </c>
      <c r="I76" s="24">
        <v>-2.6799999999999997</v>
      </c>
      <c r="J76" s="25">
        <v>-13405186.24</v>
      </c>
    </row>
    <row r="77" spans="2:10" x14ac:dyDescent="0.2">
      <c r="B77" s="21"/>
      <c r="D77" s="21"/>
      <c r="E77" s="21"/>
      <c r="F77" s="21"/>
      <c r="G77" s="21"/>
      <c r="H77" s="131"/>
      <c r="I77" s="24"/>
      <c r="J77" s="25"/>
    </row>
    <row r="78" spans="2:10" ht="105" x14ac:dyDescent="0.2">
      <c r="B78" s="21" t="s">
        <v>191</v>
      </c>
      <c r="C78" s="21" t="s">
        <v>964</v>
      </c>
      <c r="D78" s="21" t="s">
        <v>814</v>
      </c>
      <c r="E78" s="21" t="s">
        <v>152</v>
      </c>
      <c r="F78" s="21" t="s">
        <v>929</v>
      </c>
      <c r="G78" s="21" t="s">
        <v>671</v>
      </c>
      <c r="H78" s="131">
        <v>12</v>
      </c>
      <c r="I78" s="24">
        <v>0</v>
      </c>
      <c r="J78" s="25">
        <v>0</v>
      </c>
    </row>
    <row r="79" spans="2:10" x14ac:dyDescent="0.2">
      <c r="B79" s="21"/>
      <c r="D79" s="21"/>
      <c r="E79" s="21"/>
      <c r="F79" s="21"/>
      <c r="G79" s="21"/>
      <c r="H79" s="131"/>
      <c r="I79" s="24"/>
      <c r="J79" s="25"/>
    </row>
    <row r="80" spans="2:10" ht="30" x14ac:dyDescent="0.2">
      <c r="B80" s="21"/>
      <c r="D80" s="21" t="s">
        <v>811</v>
      </c>
      <c r="E80" s="21" t="s">
        <v>152</v>
      </c>
      <c r="F80" s="21" t="s">
        <v>929</v>
      </c>
      <c r="G80" s="21" t="s">
        <v>671</v>
      </c>
      <c r="H80" s="131">
        <v>229</v>
      </c>
      <c r="I80" s="24">
        <v>0</v>
      </c>
      <c r="J80" s="25">
        <v>38560000</v>
      </c>
    </row>
    <row r="81" spans="2:10" x14ac:dyDescent="0.2">
      <c r="B81" s="21"/>
      <c r="D81" s="21"/>
      <c r="E81" s="21"/>
      <c r="F81" s="21"/>
      <c r="G81" s="21"/>
      <c r="H81" s="131"/>
      <c r="I81" s="24"/>
      <c r="J81" s="25"/>
    </row>
    <row r="82" spans="2:10" x14ac:dyDescent="0.2">
      <c r="B82" s="21"/>
      <c r="D82" s="21"/>
      <c r="E82" s="21"/>
      <c r="F82" s="21" t="s">
        <v>670</v>
      </c>
      <c r="G82" s="21" t="s">
        <v>671</v>
      </c>
      <c r="H82" s="131">
        <v>-229</v>
      </c>
      <c r="I82" s="24">
        <v>0</v>
      </c>
      <c r="J82" s="25">
        <v>-230697219.75999999</v>
      </c>
    </row>
    <row r="83" spans="2:10" x14ac:dyDescent="0.2">
      <c r="B83" s="21"/>
      <c r="D83" s="21"/>
      <c r="E83" s="21"/>
      <c r="F83" s="21"/>
      <c r="G83" s="21"/>
      <c r="H83" s="131"/>
      <c r="I83" s="24"/>
      <c r="J83" s="25"/>
    </row>
    <row r="84" spans="2:10" ht="30" x14ac:dyDescent="0.2">
      <c r="B84" s="21" t="s">
        <v>1032</v>
      </c>
      <c r="D84" s="21"/>
      <c r="E84" s="21"/>
      <c r="F84" s="21"/>
      <c r="G84" s="21"/>
      <c r="H84" s="131">
        <v>12</v>
      </c>
      <c r="I84" s="24">
        <v>0</v>
      </c>
      <c r="J84" s="25">
        <v>-192137219.75999999</v>
      </c>
    </row>
    <row r="85" spans="2:10" x14ac:dyDescent="0.2">
      <c r="B85" s="21"/>
      <c r="D85" s="21"/>
      <c r="E85" s="21"/>
      <c r="F85" s="21"/>
      <c r="G85" s="21"/>
      <c r="H85" s="131"/>
      <c r="I85" s="24"/>
      <c r="J85" s="25"/>
    </row>
    <row r="86" spans="2:10" ht="105" x14ac:dyDescent="0.2">
      <c r="B86" s="21" t="s">
        <v>179</v>
      </c>
      <c r="C86" s="21" t="s">
        <v>1034</v>
      </c>
      <c r="D86" s="21" t="s">
        <v>810</v>
      </c>
      <c r="E86" s="21" t="s">
        <v>152</v>
      </c>
      <c r="F86" s="21" t="s">
        <v>177</v>
      </c>
      <c r="G86" s="21" t="s">
        <v>43</v>
      </c>
      <c r="H86" s="131">
        <v>0.27200000000000002</v>
      </c>
      <c r="I86" s="24">
        <v>0.27200000000000002</v>
      </c>
      <c r="J86" s="25">
        <v>268408.44</v>
      </c>
    </row>
    <row r="87" spans="2:10" x14ac:dyDescent="0.2">
      <c r="B87" s="21"/>
      <c r="D87" s="21"/>
      <c r="E87" s="21"/>
      <c r="F87" s="21"/>
      <c r="G87" s="21"/>
      <c r="H87" s="131"/>
      <c r="I87" s="24"/>
      <c r="J87" s="25"/>
    </row>
    <row r="88" spans="2:10" ht="30" x14ac:dyDescent="0.2">
      <c r="B88" s="21" t="s">
        <v>954</v>
      </c>
      <c r="D88" s="21"/>
      <c r="E88" s="21"/>
      <c r="F88" s="21"/>
      <c r="G88" s="21"/>
      <c r="H88" s="131">
        <v>0.27200000000000002</v>
      </c>
      <c r="I88" s="24">
        <v>0.27200000000000002</v>
      </c>
      <c r="J88" s="25">
        <v>268408.44</v>
      </c>
    </row>
    <row r="89" spans="2:10" x14ac:dyDescent="0.2">
      <c r="B89" s="21"/>
      <c r="D89" s="21"/>
      <c r="E89" s="21"/>
      <c r="F89" s="21"/>
      <c r="G89" s="21"/>
      <c r="H89" s="131"/>
      <c r="I89" s="24"/>
      <c r="J89" s="25"/>
    </row>
    <row r="90" spans="2:10" x14ac:dyDescent="0.2">
      <c r="B90" s="21" t="s">
        <v>175</v>
      </c>
      <c r="C90" s="21" t="s">
        <v>961</v>
      </c>
      <c r="D90" s="21" t="s">
        <v>1019</v>
      </c>
      <c r="E90" s="21" t="s">
        <v>152</v>
      </c>
      <c r="F90" s="21" t="s">
        <v>291</v>
      </c>
      <c r="G90" s="21" t="s">
        <v>7</v>
      </c>
      <c r="H90" s="131">
        <v>-7</v>
      </c>
      <c r="I90" s="24">
        <v>-0.35</v>
      </c>
      <c r="J90" s="25">
        <v>-1360177.56</v>
      </c>
    </row>
    <row r="91" spans="2:10" x14ac:dyDescent="0.2">
      <c r="B91" s="21"/>
      <c r="D91" s="21"/>
      <c r="E91" s="21"/>
      <c r="F91" s="21"/>
      <c r="G91" s="21"/>
      <c r="H91" s="131"/>
      <c r="I91" s="24"/>
      <c r="J91" s="25"/>
    </row>
    <row r="92" spans="2:10" ht="30" x14ac:dyDescent="0.2">
      <c r="B92" s="21" t="s">
        <v>1021</v>
      </c>
      <c r="D92" s="21"/>
      <c r="E92" s="21"/>
      <c r="F92" s="21"/>
      <c r="G92" s="21"/>
      <c r="H92" s="131">
        <v>-7</v>
      </c>
      <c r="I92" s="24">
        <v>-0.35</v>
      </c>
      <c r="J92" s="25">
        <v>-1360177.56</v>
      </c>
    </row>
    <row r="93" spans="2:10" x14ac:dyDescent="0.2">
      <c r="B93" s="21"/>
      <c r="D93" s="21"/>
      <c r="E93" s="21"/>
      <c r="F93" s="21"/>
      <c r="G93" s="21"/>
      <c r="H93" s="131"/>
      <c r="I93" s="24"/>
      <c r="J93" s="25"/>
    </row>
    <row r="94" spans="2:10" ht="30" x14ac:dyDescent="0.2">
      <c r="B94" s="21" t="s">
        <v>136</v>
      </c>
      <c r="C94" s="21" t="s">
        <v>961</v>
      </c>
      <c r="D94" s="21" t="s">
        <v>1019</v>
      </c>
      <c r="E94" s="21" t="s">
        <v>152</v>
      </c>
      <c r="F94" s="21" t="s">
        <v>315</v>
      </c>
      <c r="G94" s="21" t="s">
        <v>7</v>
      </c>
      <c r="H94" s="131">
        <v>-5</v>
      </c>
      <c r="I94" s="24">
        <v>-0.25</v>
      </c>
      <c r="J94" s="25">
        <v>-26966.19</v>
      </c>
    </row>
    <row r="95" spans="2:10" x14ac:dyDescent="0.2">
      <c r="B95" s="21"/>
      <c r="D95" s="21"/>
      <c r="E95" s="21"/>
      <c r="F95" s="21"/>
      <c r="G95" s="21"/>
      <c r="H95" s="131"/>
      <c r="I95" s="24"/>
      <c r="J95" s="25"/>
    </row>
    <row r="96" spans="2:10" ht="30" x14ac:dyDescent="0.2">
      <c r="B96" s="21" t="s">
        <v>1022</v>
      </c>
      <c r="D96" s="21"/>
      <c r="E96" s="21"/>
      <c r="F96" s="21"/>
      <c r="G96" s="21"/>
      <c r="H96" s="131">
        <v>-5</v>
      </c>
      <c r="I96" s="24">
        <v>-0.25</v>
      </c>
      <c r="J96" s="25">
        <v>-26966.19</v>
      </c>
    </row>
    <row r="97" spans="2:10" x14ac:dyDescent="0.2">
      <c r="B97" s="21"/>
      <c r="D97" s="21"/>
      <c r="E97" s="21"/>
      <c r="F97" s="21"/>
      <c r="G97" s="21"/>
      <c r="H97" s="131"/>
      <c r="I97" s="24"/>
      <c r="J97" s="25"/>
    </row>
    <row r="98" spans="2:10" ht="60" x14ac:dyDescent="0.2">
      <c r="B98" s="21" t="s">
        <v>279</v>
      </c>
      <c r="C98" s="21" t="s">
        <v>1020</v>
      </c>
      <c r="D98" s="21" t="s">
        <v>811</v>
      </c>
      <c r="E98" s="21" t="s">
        <v>152</v>
      </c>
      <c r="F98" s="21" t="s">
        <v>278</v>
      </c>
      <c r="G98" s="21" t="s">
        <v>7</v>
      </c>
      <c r="H98" s="131">
        <v>-24</v>
      </c>
      <c r="I98" s="24">
        <v>-1.2</v>
      </c>
      <c r="J98" s="25">
        <v>-5222888.88</v>
      </c>
    </row>
    <row r="99" spans="2:10" x14ac:dyDescent="0.2">
      <c r="B99" s="21"/>
      <c r="D99" s="21"/>
      <c r="E99" s="21"/>
      <c r="F99" s="21"/>
      <c r="G99" s="21"/>
      <c r="H99" s="131"/>
      <c r="I99" s="24"/>
      <c r="J99" s="25"/>
    </row>
    <row r="100" spans="2:10" ht="30" x14ac:dyDescent="0.2">
      <c r="B100" s="21" t="s">
        <v>1023</v>
      </c>
      <c r="D100" s="21"/>
      <c r="E100" s="21"/>
      <c r="F100" s="21"/>
      <c r="G100" s="21"/>
      <c r="H100" s="131">
        <v>-24</v>
      </c>
      <c r="I100" s="24">
        <v>-1.2</v>
      </c>
      <c r="J100" s="25">
        <v>-5222888.88</v>
      </c>
    </row>
    <row r="101" spans="2:10" x14ac:dyDescent="0.2">
      <c r="B101" s="21"/>
      <c r="D101" s="21"/>
      <c r="E101" s="21"/>
      <c r="F101" s="21"/>
      <c r="G101" s="21"/>
      <c r="H101" s="131"/>
      <c r="I101" s="24"/>
      <c r="J101" s="25"/>
    </row>
    <row r="102" spans="2:10" ht="45" x14ac:dyDescent="0.2">
      <c r="B102" s="21" t="s">
        <v>1028</v>
      </c>
      <c r="C102" s="21" t="s">
        <v>1025</v>
      </c>
      <c r="D102" s="21" t="s">
        <v>152</v>
      </c>
      <c r="E102" s="21" t="s">
        <v>152</v>
      </c>
      <c r="F102" s="21" t="s">
        <v>1027</v>
      </c>
      <c r="G102" s="21" t="s">
        <v>152</v>
      </c>
      <c r="H102" s="131">
        <v>0</v>
      </c>
      <c r="I102" s="24">
        <v>0</v>
      </c>
      <c r="J102" s="25">
        <v>7445245</v>
      </c>
    </row>
    <row r="103" spans="2:10" x14ac:dyDescent="0.2">
      <c r="B103" s="21"/>
      <c r="D103" s="21"/>
      <c r="E103" s="21"/>
      <c r="F103" s="21"/>
      <c r="G103" s="21"/>
      <c r="H103" s="131"/>
      <c r="I103" s="24"/>
      <c r="J103" s="25"/>
    </row>
    <row r="104" spans="2:10" x14ac:dyDescent="0.2">
      <c r="B104" s="21" t="s">
        <v>1033</v>
      </c>
      <c r="D104" s="21"/>
      <c r="E104" s="21"/>
      <c r="F104" s="21"/>
      <c r="G104" s="21"/>
      <c r="H104" s="131">
        <v>0</v>
      </c>
      <c r="I104" s="24">
        <v>0</v>
      </c>
      <c r="J104" s="25">
        <v>7445245</v>
      </c>
    </row>
    <row r="105" spans="2:10" x14ac:dyDescent="0.2">
      <c r="B105" s="21"/>
      <c r="D105" s="21"/>
      <c r="E105" s="21"/>
      <c r="F105" s="21"/>
      <c r="G105" s="21"/>
      <c r="H105" s="131"/>
      <c r="I105" s="24"/>
      <c r="J105" s="25"/>
    </row>
    <row r="106" spans="2:10" x14ac:dyDescent="0.2">
      <c r="B106" s="21" t="s">
        <v>677</v>
      </c>
      <c r="D106" s="21"/>
      <c r="E106" s="21"/>
      <c r="F106" s="21"/>
      <c r="G106" s="21"/>
      <c r="H106" s="131">
        <v>-485.50800000000004</v>
      </c>
      <c r="I106" s="24">
        <v>-16.992999999999995</v>
      </c>
      <c r="J106" s="25">
        <v>-221956240.88999999</v>
      </c>
    </row>
    <row r="107" spans="2:10" ht="12.75" x14ac:dyDescent="0.2">
      <c r="B107"/>
      <c r="C107"/>
      <c r="D107"/>
      <c r="E107"/>
      <c r="F107"/>
      <c r="G107"/>
      <c r="H107"/>
      <c r="I107"/>
      <c r="J107"/>
    </row>
    <row r="108" spans="2:10" ht="12.75" x14ac:dyDescent="0.2">
      <c r="B108"/>
      <c r="C108"/>
      <c r="D108"/>
      <c r="E108"/>
      <c r="F108"/>
      <c r="G108"/>
      <c r="H108"/>
      <c r="I108"/>
      <c r="J108"/>
    </row>
    <row r="109" spans="2:10" ht="12.75" x14ac:dyDescent="0.2">
      <c r="B109"/>
      <c r="C109"/>
      <c r="D109"/>
      <c r="E109"/>
      <c r="F109"/>
      <c r="G109"/>
      <c r="H109"/>
      <c r="I109"/>
      <c r="J109"/>
    </row>
    <row r="110" spans="2:10" ht="12.75" x14ac:dyDescent="0.2">
      <c r="B110"/>
      <c r="C110"/>
      <c r="D110"/>
      <c r="E110"/>
      <c r="F110"/>
      <c r="G110"/>
      <c r="H110"/>
      <c r="I110"/>
      <c r="J110"/>
    </row>
    <row r="111" spans="2:10" ht="12.75" x14ac:dyDescent="0.2">
      <c r="B111"/>
      <c r="C111"/>
      <c r="D111"/>
      <c r="E111"/>
      <c r="F111"/>
      <c r="G111"/>
      <c r="H111"/>
      <c r="I111"/>
      <c r="J111"/>
    </row>
    <row r="112" spans="2:10" ht="12.75" x14ac:dyDescent="0.2">
      <c r="B112"/>
      <c r="C112"/>
      <c r="D112"/>
      <c r="E112"/>
      <c r="F112"/>
      <c r="G112"/>
      <c r="H112"/>
      <c r="I112"/>
      <c r="J112"/>
    </row>
    <row r="113" customFormat="1" ht="12.75" x14ac:dyDescent="0.2"/>
    <row r="114" customFormat="1" ht="12.75" x14ac:dyDescent="0.2"/>
    <row r="115" customFormat="1" ht="12.75" x14ac:dyDescent="0.2"/>
    <row r="116" customFormat="1" ht="12.75" x14ac:dyDescent="0.2"/>
    <row r="117" customFormat="1" ht="12.75" x14ac:dyDescent="0.2"/>
    <row r="118" customFormat="1" ht="12.75" x14ac:dyDescent="0.2"/>
    <row r="119" customFormat="1" ht="12.75" x14ac:dyDescent="0.2"/>
    <row r="120" customFormat="1" ht="12.75" x14ac:dyDescent="0.2"/>
    <row r="121" customFormat="1" ht="12.75" x14ac:dyDescent="0.2"/>
    <row r="122" customFormat="1" ht="12.75" x14ac:dyDescent="0.2"/>
    <row r="123" customFormat="1" ht="12.75" x14ac:dyDescent="0.2"/>
    <row r="124" customFormat="1" ht="12.75" x14ac:dyDescent="0.2"/>
    <row r="125" customFormat="1" ht="12.75" x14ac:dyDescent="0.2"/>
    <row r="126" customFormat="1" ht="12.75" x14ac:dyDescent="0.2"/>
    <row r="127" customFormat="1" ht="12.75" x14ac:dyDescent="0.2"/>
    <row r="128" customFormat="1" ht="12.75" x14ac:dyDescent="0.2"/>
    <row r="129" customFormat="1" ht="12.75" x14ac:dyDescent="0.2"/>
    <row r="130" customFormat="1" ht="12.75" x14ac:dyDescent="0.2"/>
    <row r="131" customFormat="1" ht="12.75" x14ac:dyDescent="0.2"/>
    <row r="132" customFormat="1" ht="12.75" x14ac:dyDescent="0.2"/>
    <row r="133" customFormat="1" ht="12.75" x14ac:dyDescent="0.2"/>
    <row r="134" customFormat="1" ht="12.75" x14ac:dyDescent="0.2"/>
    <row r="135" customFormat="1" ht="12.75" x14ac:dyDescent="0.2"/>
    <row r="136" customFormat="1" ht="12.75" x14ac:dyDescent="0.2"/>
    <row r="137" customFormat="1" ht="12.75" x14ac:dyDescent="0.2"/>
    <row r="138" customFormat="1" ht="12.75" x14ac:dyDescent="0.2"/>
    <row r="139" customFormat="1" ht="12.75" x14ac:dyDescent="0.2"/>
    <row r="140" customFormat="1" ht="12.75" x14ac:dyDescent="0.2"/>
    <row r="141" customFormat="1" ht="12.75" x14ac:dyDescent="0.2"/>
    <row r="142" customFormat="1" ht="12.75" x14ac:dyDescent="0.2"/>
    <row r="143" customFormat="1" ht="12.75" x14ac:dyDescent="0.2"/>
    <row r="144" customFormat="1" ht="12.75" x14ac:dyDescent="0.2"/>
    <row r="145" customFormat="1" ht="12.75" x14ac:dyDescent="0.2"/>
    <row r="146" customFormat="1" ht="12.75" x14ac:dyDescent="0.2"/>
    <row r="147" customFormat="1" ht="12.75" x14ac:dyDescent="0.2"/>
    <row r="148" customFormat="1" ht="12.75" x14ac:dyDescent="0.2"/>
    <row r="149" customFormat="1" ht="12.75" x14ac:dyDescent="0.2"/>
    <row r="150" customFormat="1" ht="12.75" x14ac:dyDescent="0.2"/>
    <row r="151" customFormat="1" ht="12.75" x14ac:dyDescent="0.2"/>
    <row r="152" customFormat="1" ht="12.75" x14ac:dyDescent="0.2"/>
    <row r="153" customFormat="1" ht="12.75" x14ac:dyDescent="0.2"/>
    <row r="154" customFormat="1" ht="12.75" x14ac:dyDescent="0.2"/>
    <row r="155" customFormat="1" ht="12.75" x14ac:dyDescent="0.2"/>
    <row r="156" customFormat="1" ht="12.75" x14ac:dyDescent="0.2"/>
    <row r="157" customFormat="1" ht="12.75" x14ac:dyDescent="0.2"/>
    <row r="158" customFormat="1" ht="12.75" x14ac:dyDescent="0.2"/>
    <row r="159" customFormat="1" ht="12.75" x14ac:dyDescent="0.2"/>
    <row r="160" customFormat="1" ht="12.75" x14ac:dyDescent="0.2"/>
    <row r="161" customFormat="1" ht="12.75" x14ac:dyDescent="0.2"/>
    <row r="162" customFormat="1" ht="12.75" x14ac:dyDescent="0.2"/>
    <row r="163" customFormat="1" ht="12.75" x14ac:dyDescent="0.2"/>
    <row r="164" customFormat="1" ht="12.75" x14ac:dyDescent="0.2"/>
    <row r="165" customFormat="1" ht="12.75" x14ac:dyDescent="0.2"/>
    <row r="166" customFormat="1" ht="12.75" x14ac:dyDescent="0.2"/>
    <row r="167" customFormat="1" ht="12.75" x14ac:dyDescent="0.2"/>
    <row r="168" customFormat="1" ht="12.75" x14ac:dyDescent="0.2"/>
    <row r="169" customFormat="1" ht="12.75" x14ac:dyDescent="0.2"/>
    <row r="170" customFormat="1" ht="12.75" x14ac:dyDescent="0.2"/>
    <row r="171" customFormat="1" ht="12.75" x14ac:dyDescent="0.2"/>
    <row r="172" customFormat="1" ht="12.75" x14ac:dyDescent="0.2"/>
    <row r="173" customFormat="1" ht="12.75" x14ac:dyDescent="0.2"/>
    <row r="174" customFormat="1" ht="12.75" x14ac:dyDescent="0.2"/>
    <row r="175" customFormat="1" ht="12.75" x14ac:dyDescent="0.2"/>
    <row r="176" customFormat="1" ht="12.75" x14ac:dyDescent="0.2"/>
    <row r="177" customFormat="1" ht="12.75" x14ac:dyDescent="0.2"/>
    <row r="178" customFormat="1" ht="12.75" x14ac:dyDescent="0.2"/>
    <row r="179" customFormat="1" ht="12.75" x14ac:dyDescent="0.2"/>
    <row r="180" customFormat="1" ht="12.75" x14ac:dyDescent="0.2"/>
    <row r="181" customFormat="1" ht="12.75" x14ac:dyDescent="0.2"/>
    <row r="182" customFormat="1" ht="12.75" x14ac:dyDescent="0.2"/>
    <row r="183" customFormat="1" ht="12.75" x14ac:dyDescent="0.2"/>
    <row r="184" customFormat="1" ht="12.75" x14ac:dyDescent="0.2"/>
    <row r="185" customFormat="1" ht="12.75" x14ac:dyDescent="0.2"/>
    <row r="186" customFormat="1" ht="12.75" x14ac:dyDescent="0.2"/>
    <row r="187" customFormat="1" ht="12.75" x14ac:dyDescent="0.2"/>
    <row r="188" customFormat="1" ht="12.75" x14ac:dyDescent="0.2"/>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X70"/>
  <sheetViews>
    <sheetView zoomScaleNormal="100" workbookViewId="0">
      <selection activeCell="B2" sqref="B2"/>
    </sheetView>
  </sheetViews>
  <sheetFormatPr defaultRowHeight="12.75" x14ac:dyDescent="0.2"/>
  <cols>
    <col min="2" max="2" width="18.28515625" customWidth="1"/>
    <col min="3" max="3" width="11" customWidth="1"/>
    <col min="4" max="4" width="7.85546875" customWidth="1"/>
    <col min="5" max="5" width="10" customWidth="1"/>
    <col min="6" max="6" width="18.140625" customWidth="1"/>
    <col min="7" max="7" width="12" bestFit="1" customWidth="1"/>
    <col min="8" max="8" width="42" bestFit="1" customWidth="1"/>
    <col min="9" max="9" width="22.140625" bestFit="1" customWidth="1"/>
    <col min="11" max="11" width="9.7109375" customWidth="1"/>
    <col min="12" max="12" width="24.42578125" bestFit="1" customWidth="1"/>
    <col min="13" max="13" width="20.28515625" customWidth="1"/>
    <col min="14" max="14" width="24.140625" bestFit="1" customWidth="1"/>
    <col min="15" max="15" width="15.140625" customWidth="1"/>
    <col min="16" max="16" width="22.140625" customWidth="1"/>
    <col min="17" max="17" width="17" customWidth="1"/>
    <col min="18" max="18" width="19.85546875" customWidth="1"/>
    <col min="19" max="19" width="14.140625" customWidth="1"/>
    <col min="20" max="20" width="22.28515625" customWidth="1"/>
    <col min="21" max="22" width="10.7109375" customWidth="1"/>
    <col min="23" max="23" width="12" bestFit="1" customWidth="1"/>
    <col min="24" max="24" width="17" customWidth="1"/>
    <col min="25" max="25" width="13" bestFit="1" customWidth="1"/>
    <col min="26" max="26" width="17.140625" customWidth="1"/>
    <col min="27" max="27" width="27" bestFit="1" customWidth="1"/>
    <col min="28" max="28" width="16" bestFit="1" customWidth="1"/>
    <col min="29" max="29" width="15.5703125" customWidth="1"/>
    <col min="30" max="30" width="19.140625" customWidth="1"/>
    <col min="31" max="31" width="40" bestFit="1" customWidth="1"/>
    <col min="32" max="32" width="12.42578125" customWidth="1"/>
    <col min="33" max="33" width="26" bestFit="1" customWidth="1"/>
    <col min="34" max="34" width="10.5703125" customWidth="1"/>
    <col min="35" max="35" width="13.85546875" customWidth="1"/>
    <col min="36" max="37" width="17" customWidth="1"/>
    <col min="38" max="38" width="7.140625" customWidth="1"/>
    <col min="39" max="39" width="13.85546875" customWidth="1"/>
    <col min="40" max="40" width="13.5703125" customWidth="1"/>
    <col min="41" max="41" width="11.7109375" customWidth="1"/>
    <col min="42" max="42" width="21.140625" customWidth="1"/>
    <col min="43" max="43" width="19" bestFit="1" customWidth="1"/>
    <col min="44" max="44" width="10.85546875" customWidth="1"/>
    <col min="45" max="45" width="14.5703125" customWidth="1"/>
    <col min="46" max="46" width="19.85546875" customWidth="1"/>
    <col min="47" max="47" width="13" customWidth="1"/>
  </cols>
  <sheetData>
    <row r="1" spans="1:50" ht="38.25" x14ac:dyDescent="0.2">
      <c r="A1" s="17" t="s">
        <v>675</v>
      </c>
      <c r="B1" s="6" t="s">
        <v>114</v>
      </c>
      <c r="C1" s="7" t="s">
        <v>115</v>
      </c>
      <c r="D1" s="1" t="s">
        <v>76</v>
      </c>
      <c r="E1" s="1" t="s">
        <v>77</v>
      </c>
      <c r="F1" s="5" t="s">
        <v>78</v>
      </c>
      <c r="G1" s="1" t="s">
        <v>79</v>
      </c>
      <c r="H1" s="1" t="s">
        <v>80</v>
      </c>
      <c r="I1" s="18" t="s">
        <v>124</v>
      </c>
      <c r="J1" s="40" t="s">
        <v>126</v>
      </c>
      <c r="K1" s="18" t="s">
        <v>123</v>
      </c>
      <c r="L1" s="18" t="s">
        <v>774</v>
      </c>
      <c r="M1" s="39" t="s">
        <v>808</v>
      </c>
      <c r="N1" s="39" t="s">
        <v>809</v>
      </c>
      <c r="O1" s="1" t="s">
        <v>81</v>
      </c>
      <c r="P1" s="1" t="s">
        <v>82</v>
      </c>
      <c r="Q1" s="1" t="s">
        <v>83</v>
      </c>
      <c r="R1" s="1" t="s">
        <v>84</v>
      </c>
      <c r="S1" s="5" t="s">
        <v>85</v>
      </c>
      <c r="T1" s="5" t="s">
        <v>86</v>
      </c>
      <c r="U1" s="5" t="s">
        <v>87</v>
      </c>
      <c r="V1" s="5" t="s">
        <v>88</v>
      </c>
      <c r="W1" s="1" t="s">
        <v>89</v>
      </c>
      <c r="X1" s="18" t="s">
        <v>674</v>
      </c>
      <c r="Y1" s="18" t="s">
        <v>944</v>
      </c>
      <c r="Z1" s="1" t="s">
        <v>90</v>
      </c>
      <c r="AA1" s="1" t="s">
        <v>91</v>
      </c>
      <c r="AB1" s="1" t="s">
        <v>92</v>
      </c>
      <c r="AC1" s="100" t="s">
        <v>93</v>
      </c>
      <c r="AD1" s="1" t="s">
        <v>94</v>
      </c>
      <c r="AE1" s="1" t="s">
        <v>95</v>
      </c>
      <c r="AF1" s="1" t="s">
        <v>96</v>
      </c>
      <c r="AG1" s="101" t="s">
        <v>97</v>
      </c>
      <c r="AH1" s="1" t="s">
        <v>98</v>
      </c>
      <c r="AI1" s="1" t="s">
        <v>99</v>
      </c>
      <c r="AJ1" s="1" t="s">
        <v>100</v>
      </c>
      <c r="AK1" s="1" t="s">
        <v>101</v>
      </c>
      <c r="AL1" s="5" t="s">
        <v>102</v>
      </c>
      <c r="AM1" s="1" t="s">
        <v>103</v>
      </c>
      <c r="AN1" s="1" t="s">
        <v>104</v>
      </c>
      <c r="AO1" s="1" t="s">
        <v>105</v>
      </c>
      <c r="AP1" s="1" t="s">
        <v>106</v>
      </c>
      <c r="AQ1" s="20" t="s">
        <v>107</v>
      </c>
      <c r="AR1" s="1" t="s">
        <v>108</v>
      </c>
      <c r="AS1" s="1" t="s">
        <v>109</v>
      </c>
      <c r="AT1" s="1" t="s">
        <v>110</v>
      </c>
      <c r="AU1" s="1" t="s">
        <v>111</v>
      </c>
      <c r="AV1" s="1" t="s">
        <v>676</v>
      </c>
      <c r="AW1" s="5" t="s">
        <v>112</v>
      </c>
      <c r="AX1" s="1" t="s">
        <v>113</v>
      </c>
    </row>
    <row r="2" spans="1:50" x14ac:dyDescent="0.2">
      <c r="A2" t="str">
        <f>TEXT(P2,"mmm")</f>
        <v>Mar</v>
      </c>
      <c r="B2" t="s">
        <v>118</v>
      </c>
      <c r="C2" t="s">
        <v>121</v>
      </c>
      <c r="D2" t="s">
        <v>0</v>
      </c>
      <c r="E2" t="s">
        <v>1</v>
      </c>
      <c r="F2" t="s">
        <v>39</v>
      </c>
      <c r="G2" t="s">
        <v>40</v>
      </c>
      <c r="H2" t="s">
        <v>41</v>
      </c>
      <c r="I2" t="str">
        <f>VLOOKUP(G2,N_ref[#All],5,0)</f>
        <v>Gadarif Sesame Raw</v>
      </c>
      <c r="J2" t="str">
        <f>VLOOKUP(SAPData[[#This Row],[Material]],N_ref[#All],10,FALSE)</f>
        <v>Sesame Gadarif</v>
      </c>
      <c r="K2" t="str">
        <f>VLOOKUP(G2,N_ref[#All],6,0)</f>
        <v>Export</v>
      </c>
      <c r="L2" t="str">
        <f>VLOOKUP(SAPData[[#This Row],[Adjustment Type]],Notes!$B$13:$D$36,3,FALSE)</f>
        <v>Stock Adjustments</v>
      </c>
      <c r="M2" s="30" t="s">
        <v>810</v>
      </c>
      <c r="N2" s="30" t="s">
        <v>152</v>
      </c>
      <c r="O2" t="s">
        <v>42</v>
      </c>
      <c r="P2" s="2">
        <v>46092</v>
      </c>
      <c r="Q2" s="3">
        <v>0.59424768518519</v>
      </c>
      <c r="R2" t="s">
        <v>25</v>
      </c>
      <c r="S2" t="s">
        <v>26</v>
      </c>
      <c r="T2" s="19">
        <v>-1.42</v>
      </c>
      <c r="U2" t="s">
        <v>43</v>
      </c>
      <c r="V2" t="s">
        <v>43</v>
      </c>
      <c r="W2" s="19">
        <v>-1.42</v>
      </c>
      <c r="X2" s="19">
        <f>W2/VLOOKUP(G2,N_ref[#All],7,0)</f>
        <v>-1.42</v>
      </c>
      <c r="Y2" s="19" t="str">
        <f>IF(SAPData[[#This Row],[Quantity]]&gt;0,"Gain","Loss")</f>
        <v>Loss</v>
      </c>
      <c r="Z2" t="s">
        <v>44</v>
      </c>
      <c r="AA2" s="2">
        <v>46092</v>
      </c>
      <c r="AB2" s="2">
        <v>46092</v>
      </c>
      <c r="AC2" s="4">
        <v>-6484854.4100000001</v>
      </c>
      <c r="AD2" t="s">
        <v>8</v>
      </c>
      <c r="AE2" t="s">
        <v>8</v>
      </c>
      <c r="AF2" t="s">
        <v>8</v>
      </c>
      <c r="AG2" t="s">
        <v>9</v>
      </c>
      <c r="AH2" t="s">
        <v>8</v>
      </c>
      <c r="AI2" t="s">
        <v>8</v>
      </c>
      <c r="AJ2" t="s">
        <v>10</v>
      </c>
      <c r="AK2" t="s">
        <v>8</v>
      </c>
      <c r="AL2" t="s">
        <v>11</v>
      </c>
      <c r="AM2" t="s">
        <v>8</v>
      </c>
      <c r="AN2" t="s">
        <v>12</v>
      </c>
      <c r="AO2" t="s">
        <v>11</v>
      </c>
      <c r="AP2" t="s">
        <v>8</v>
      </c>
      <c r="AQ2" t="s">
        <v>13</v>
      </c>
      <c r="AR2" t="s">
        <v>8</v>
      </c>
      <c r="AS2" t="s">
        <v>8</v>
      </c>
      <c r="AT2" t="s">
        <v>8</v>
      </c>
      <c r="AU2" t="s">
        <v>8</v>
      </c>
      <c r="AV2" t="s">
        <v>8</v>
      </c>
      <c r="AW2" t="s">
        <v>14</v>
      </c>
      <c r="AX2" t="s">
        <v>15</v>
      </c>
    </row>
    <row r="3" spans="1:50" x14ac:dyDescent="0.2">
      <c r="A3" t="str">
        <f>TEXT(P3,"mmm")</f>
        <v>Jul</v>
      </c>
      <c r="B3" t="s">
        <v>118</v>
      </c>
      <c r="C3" t="s">
        <v>1034</v>
      </c>
      <c r="D3" t="s">
        <v>0</v>
      </c>
      <c r="E3" t="s">
        <v>1</v>
      </c>
      <c r="F3" t="s">
        <v>857</v>
      </c>
      <c r="G3" t="s">
        <v>176</v>
      </c>
      <c r="H3" t="s">
        <v>177</v>
      </c>
      <c r="I3" t="str">
        <f>VLOOKUP(G3,N_ref[#All],5,0)</f>
        <v>Sorghum Raw</v>
      </c>
      <c r="J3" t="str">
        <f>VLOOKUP(SAPData[[#This Row],[Material]],N_ref[#All],10,FALSE)</f>
        <v>Sorghum</v>
      </c>
      <c r="K3" t="str">
        <f>VLOOKUP(G3,N_ref[#All],6,0)</f>
        <v>Export</v>
      </c>
      <c r="L3" t="str">
        <f>VLOOKUP(SAPData[[#This Row],[Adjustment Type]],Notes!$B$13:$D$36,3,FALSE)</f>
        <v>Stock Adjustments</v>
      </c>
      <c r="M3" t="s">
        <v>810</v>
      </c>
      <c r="N3" t="s">
        <v>152</v>
      </c>
      <c r="O3" t="s">
        <v>882</v>
      </c>
      <c r="P3" s="2">
        <v>46205</v>
      </c>
      <c r="Q3" s="3">
        <v>0.54857638888889004</v>
      </c>
      <c r="R3" t="s">
        <v>5</v>
      </c>
      <c r="S3" t="s">
        <v>6</v>
      </c>
      <c r="T3" s="19">
        <v>0.27200000000000002</v>
      </c>
      <c r="U3" t="s">
        <v>43</v>
      </c>
      <c r="V3" t="s">
        <v>43</v>
      </c>
      <c r="W3" s="19">
        <v>0.27200000000000002</v>
      </c>
      <c r="X3" s="19">
        <f>W3/VLOOKUP(G3,N_ref[#All],7,0)</f>
        <v>0.27200000000000002</v>
      </c>
      <c r="Y3" s="19" t="str">
        <f>IF(SAPData[[#This Row],[Quantity]]&gt;0,"Gain","Loss")</f>
        <v>Gain</v>
      </c>
      <c r="Z3" t="s">
        <v>14</v>
      </c>
      <c r="AA3" s="2">
        <v>46205</v>
      </c>
      <c r="AB3" s="2">
        <v>46205</v>
      </c>
      <c r="AC3" s="4">
        <v>268408.44</v>
      </c>
      <c r="AD3" t="s">
        <v>905</v>
      </c>
      <c r="AE3" t="s">
        <v>8</v>
      </c>
      <c r="AF3" t="s">
        <v>8</v>
      </c>
      <c r="AG3" t="s">
        <v>9</v>
      </c>
      <c r="AH3" t="s">
        <v>8</v>
      </c>
      <c r="AI3" t="s">
        <v>8</v>
      </c>
      <c r="AJ3" t="s">
        <v>10</v>
      </c>
      <c r="AK3" t="s">
        <v>8</v>
      </c>
      <c r="AL3" t="s">
        <v>11</v>
      </c>
      <c r="AM3" t="s">
        <v>8</v>
      </c>
      <c r="AN3" t="s">
        <v>12</v>
      </c>
      <c r="AO3" t="s">
        <v>11</v>
      </c>
      <c r="AP3" t="s">
        <v>8</v>
      </c>
      <c r="AQ3" t="s">
        <v>13</v>
      </c>
      <c r="AR3" t="s">
        <v>8</v>
      </c>
      <c r="AS3" t="s">
        <v>8</v>
      </c>
      <c r="AT3" t="s">
        <v>8</v>
      </c>
      <c r="AU3" t="s">
        <v>8</v>
      </c>
      <c r="AV3" t="s">
        <v>8</v>
      </c>
      <c r="AW3" t="s">
        <v>14</v>
      </c>
      <c r="AX3" t="s">
        <v>15</v>
      </c>
    </row>
    <row r="4" spans="1:50" x14ac:dyDescent="0.2">
      <c r="A4" t="str">
        <f>TEXT(P4,"mmm")</f>
        <v>Apr</v>
      </c>
      <c r="B4" t="s">
        <v>796</v>
      </c>
      <c r="C4" t="s">
        <v>962</v>
      </c>
      <c r="D4" t="s">
        <v>0</v>
      </c>
      <c r="E4" t="s">
        <v>1</v>
      </c>
      <c r="F4" t="s">
        <v>18</v>
      </c>
      <c r="G4" t="s">
        <v>16</v>
      </c>
      <c r="H4" t="s">
        <v>17</v>
      </c>
      <c r="I4" t="str">
        <f>VLOOKUP(G4,N_ref[#All],5,0)</f>
        <v>Lentils</v>
      </c>
      <c r="J4" t="str">
        <f>VLOOKUP(SAPData[[#This Row],[Material]],N_ref[#All],10,FALSE)</f>
        <v>Lentil</v>
      </c>
      <c r="K4" t="str">
        <f>VLOOKUP(G4,N_ref[#All],6,0)</f>
        <v>Import</v>
      </c>
      <c r="L4" t="str">
        <f>VLOOKUP(SAPData[[#This Row],[Adjustment Type]],Notes!$B$13:$D$36,3,FALSE)</f>
        <v>Stock Losses/Gains</v>
      </c>
      <c r="M4" t="s">
        <v>812</v>
      </c>
      <c r="N4" t="s">
        <v>955</v>
      </c>
      <c r="O4" t="s">
        <v>70</v>
      </c>
      <c r="P4" s="2">
        <v>46127</v>
      </c>
      <c r="Q4" s="3">
        <v>0.44498842592593002</v>
      </c>
      <c r="R4" t="s">
        <v>25</v>
      </c>
      <c r="S4" t="s">
        <v>26</v>
      </c>
      <c r="T4" s="19">
        <v>-45</v>
      </c>
      <c r="U4" t="s">
        <v>7</v>
      </c>
      <c r="V4" t="s">
        <v>7</v>
      </c>
      <c r="W4" s="19">
        <v>-45</v>
      </c>
      <c r="X4" s="19">
        <f>W4/VLOOKUP(G4,N_ref[#All],7,0)</f>
        <v>-0.9</v>
      </c>
      <c r="Y4" s="19" t="str">
        <f>IF(SAPData[[#This Row],[Quantity]]&gt;0,"Gain","Loss")</f>
        <v>Loss</v>
      </c>
      <c r="Z4" t="s">
        <v>52</v>
      </c>
      <c r="AA4" s="2">
        <v>46127</v>
      </c>
      <c r="AB4" s="2">
        <v>46127</v>
      </c>
      <c r="AC4" s="4">
        <v>-2853720</v>
      </c>
      <c r="AD4" t="s">
        <v>8</v>
      </c>
      <c r="AE4" t="s">
        <v>8</v>
      </c>
      <c r="AF4" t="s">
        <v>8</v>
      </c>
      <c r="AG4" t="s">
        <v>9</v>
      </c>
      <c r="AH4" t="s">
        <v>8</v>
      </c>
      <c r="AI4" t="s">
        <v>8</v>
      </c>
      <c r="AJ4" t="s">
        <v>10</v>
      </c>
      <c r="AK4" t="s">
        <v>8</v>
      </c>
      <c r="AL4" t="s">
        <v>11</v>
      </c>
      <c r="AM4" t="s">
        <v>8</v>
      </c>
      <c r="AN4" t="s">
        <v>12</v>
      </c>
      <c r="AO4" t="s">
        <v>11</v>
      </c>
      <c r="AP4" t="s">
        <v>8</v>
      </c>
      <c r="AQ4" t="s">
        <v>13</v>
      </c>
      <c r="AR4" t="s">
        <v>8</v>
      </c>
      <c r="AS4" t="s">
        <v>8</v>
      </c>
      <c r="AT4" t="s">
        <v>8</v>
      </c>
      <c r="AU4" t="s">
        <v>8</v>
      </c>
      <c r="AV4" t="s">
        <v>8</v>
      </c>
      <c r="AW4" t="s">
        <v>14</v>
      </c>
      <c r="AX4" t="s">
        <v>15</v>
      </c>
    </row>
    <row r="5" spans="1:50" x14ac:dyDescent="0.2">
      <c r="A5" t="str">
        <f>TEXT(P5,"mmm")</f>
        <v>Apr</v>
      </c>
      <c r="B5" t="s">
        <v>796</v>
      </c>
      <c r="C5" t="s">
        <v>963</v>
      </c>
      <c r="D5" t="s">
        <v>0</v>
      </c>
      <c r="E5" t="s">
        <v>1</v>
      </c>
      <c r="F5" t="s">
        <v>18</v>
      </c>
      <c r="G5" t="s">
        <v>16</v>
      </c>
      <c r="H5" t="s">
        <v>17</v>
      </c>
      <c r="I5" t="str">
        <f>VLOOKUP(G5,N_ref[#All],5,0)</f>
        <v>Lentils</v>
      </c>
      <c r="J5" t="str">
        <f>VLOOKUP(SAPData[[#This Row],[Material]],N_ref[#All],10,FALSE)</f>
        <v>Lentil</v>
      </c>
      <c r="K5" t="str">
        <f>VLOOKUP(G5,N_ref[#All],6,0)</f>
        <v>Import</v>
      </c>
      <c r="L5" t="str">
        <f>VLOOKUP(SAPData[[#This Row],[Adjustment Type]],Notes!$B$13:$D$36,3,FALSE)</f>
        <v>Stock Losses/Gains</v>
      </c>
      <c r="M5" s="30" t="s">
        <v>812</v>
      </c>
      <c r="N5" t="s">
        <v>955</v>
      </c>
      <c r="O5" t="s">
        <v>71</v>
      </c>
      <c r="P5" s="2">
        <v>46127</v>
      </c>
      <c r="Q5" s="3">
        <v>0.44709490740740998</v>
      </c>
      <c r="R5" t="s">
        <v>25</v>
      </c>
      <c r="S5" t="s">
        <v>26</v>
      </c>
      <c r="T5" s="19">
        <v>-43</v>
      </c>
      <c r="U5" t="s">
        <v>7</v>
      </c>
      <c r="V5" t="s">
        <v>7</v>
      </c>
      <c r="W5" s="19">
        <v>-43</v>
      </c>
      <c r="X5" s="19">
        <f>W5/VLOOKUP(G5,N_ref[#All],7,0)</f>
        <v>-0.86</v>
      </c>
      <c r="Y5" s="19" t="str">
        <f>IF(SAPData[[#This Row],[Quantity]]&gt;0,"Gain","Loss")</f>
        <v>Loss</v>
      </c>
      <c r="Z5" t="s">
        <v>68</v>
      </c>
      <c r="AA5" s="2">
        <v>46127</v>
      </c>
      <c r="AB5" s="2">
        <v>46127</v>
      </c>
      <c r="AC5" s="4">
        <v>-2726888</v>
      </c>
      <c r="AD5" t="s">
        <v>69</v>
      </c>
      <c r="AE5" t="s">
        <v>8</v>
      </c>
      <c r="AF5" t="s">
        <v>8</v>
      </c>
      <c r="AG5" t="s">
        <v>9</v>
      </c>
      <c r="AH5" t="s">
        <v>8</v>
      </c>
      <c r="AI5" t="s">
        <v>8</v>
      </c>
      <c r="AJ5" t="s">
        <v>10</v>
      </c>
      <c r="AK5" t="s">
        <v>8</v>
      </c>
      <c r="AL5" t="s">
        <v>11</v>
      </c>
      <c r="AM5" t="s">
        <v>8</v>
      </c>
      <c r="AN5" t="s">
        <v>12</v>
      </c>
      <c r="AO5" t="s">
        <v>11</v>
      </c>
      <c r="AP5" t="s">
        <v>8</v>
      </c>
      <c r="AQ5" t="s">
        <v>13</v>
      </c>
      <c r="AR5" t="s">
        <v>8</v>
      </c>
      <c r="AS5" t="s">
        <v>8</v>
      </c>
      <c r="AT5" t="s">
        <v>8</v>
      </c>
      <c r="AU5" t="s">
        <v>8</v>
      </c>
      <c r="AV5" t="s">
        <v>8</v>
      </c>
      <c r="AW5" t="s">
        <v>14</v>
      </c>
      <c r="AX5" t="s">
        <v>15</v>
      </c>
    </row>
    <row r="6" spans="1:50" x14ac:dyDescent="0.2">
      <c r="A6" t="str">
        <f>TEXT(P6,"mmm")</f>
        <v>Jun</v>
      </c>
      <c r="B6" t="s">
        <v>801</v>
      </c>
      <c r="C6" t="s">
        <v>931</v>
      </c>
      <c r="D6" t="s">
        <v>0</v>
      </c>
      <c r="E6" t="s">
        <v>1</v>
      </c>
      <c r="F6" t="s">
        <v>18</v>
      </c>
      <c r="G6" t="s">
        <v>16</v>
      </c>
      <c r="H6" t="s">
        <v>17</v>
      </c>
      <c r="I6" t="str">
        <f>VLOOKUP(G6,N_ref[#All],5,0)</f>
        <v>Lentils</v>
      </c>
      <c r="J6" t="str">
        <f>VLOOKUP(SAPData[[#This Row],[Material]],N_ref[#All],10,FALSE)</f>
        <v>Lentil</v>
      </c>
      <c r="K6" t="str">
        <f>VLOOKUP(G6,N_ref[#All],6,0)</f>
        <v>Import</v>
      </c>
      <c r="L6" t="str">
        <f>VLOOKUP(SAPData[[#This Row],[Adjustment Type]],Notes!$B$13:$D$36,3,FALSE)</f>
        <v>Stock Losses/Gains</v>
      </c>
      <c r="M6" t="s">
        <v>790</v>
      </c>
      <c r="N6" t="s">
        <v>152</v>
      </c>
      <c r="O6" t="s">
        <v>871</v>
      </c>
      <c r="P6" s="2">
        <v>46197</v>
      </c>
      <c r="Q6" s="3">
        <v>0.71246527777778002</v>
      </c>
      <c r="R6" t="s">
        <v>5</v>
      </c>
      <c r="S6" t="s">
        <v>6</v>
      </c>
      <c r="T6" s="19">
        <v>69</v>
      </c>
      <c r="U6" t="s">
        <v>7</v>
      </c>
      <c r="V6" t="s">
        <v>7</v>
      </c>
      <c r="W6" s="19">
        <v>69</v>
      </c>
      <c r="X6" s="19">
        <f>W6/VLOOKUP(G6,N_ref[#All],7,0)</f>
        <v>1.38</v>
      </c>
      <c r="Y6" s="19" t="str">
        <f>IF(SAPData[[#This Row],[Quantity]]&gt;0,"Gain","Loss")</f>
        <v>Gain</v>
      </c>
      <c r="Z6" t="s">
        <v>890</v>
      </c>
      <c r="AA6" s="2">
        <v>46197</v>
      </c>
      <c r="AB6" s="2">
        <v>46197</v>
      </c>
      <c r="AC6" s="4">
        <v>4818700.5599999996</v>
      </c>
      <c r="AD6" t="s">
        <v>896</v>
      </c>
      <c r="AE6" t="s">
        <v>8</v>
      </c>
      <c r="AF6" t="s">
        <v>8</v>
      </c>
      <c r="AG6" t="s">
        <v>9</v>
      </c>
      <c r="AH6" t="s">
        <v>8</v>
      </c>
      <c r="AI6" t="s">
        <v>8</v>
      </c>
      <c r="AJ6" t="s">
        <v>10</v>
      </c>
      <c r="AK6" t="s">
        <v>8</v>
      </c>
      <c r="AL6" t="s">
        <v>11</v>
      </c>
      <c r="AM6" t="s">
        <v>8</v>
      </c>
      <c r="AN6" t="s">
        <v>12</v>
      </c>
      <c r="AO6" t="s">
        <v>11</v>
      </c>
      <c r="AP6" t="s">
        <v>8</v>
      </c>
      <c r="AQ6" t="s">
        <v>13</v>
      </c>
      <c r="AR6" t="s">
        <v>8</v>
      </c>
      <c r="AS6" t="s">
        <v>8</v>
      </c>
      <c r="AT6" t="s">
        <v>8</v>
      </c>
      <c r="AU6" t="s">
        <v>8</v>
      </c>
      <c r="AV6" t="s">
        <v>8</v>
      </c>
      <c r="AW6" t="s">
        <v>14</v>
      </c>
      <c r="AX6" t="s">
        <v>15</v>
      </c>
    </row>
    <row r="7" spans="1:50" x14ac:dyDescent="0.2">
      <c r="A7" t="str">
        <f>TEXT(P7,"mmm")</f>
        <v>Jun</v>
      </c>
      <c r="B7" t="s">
        <v>801</v>
      </c>
      <c r="C7" t="s">
        <v>932</v>
      </c>
      <c r="D7" t="s">
        <v>0</v>
      </c>
      <c r="E7" t="s">
        <v>1</v>
      </c>
      <c r="F7" t="s">
        <v>18</v>
      </c>
      <c r="G7" t="s">
        <v>16</v>
      </c>
      <c r="H7" t="s">
        <v>17</v>
      </c>
      <c r="I7" t="str">
        <f>VLOOKUP(G7,N_ref[#All],5,0)</f>
        <v>Lentils</v>
      </c>
      <c r="J7" t="str">
        <f>VLOOKUP(SAPData[[#This Row],[Material]],N_ref[#All],10,FALSE)</f>
        <v>Lentil</v>
      </c>
      <c r="K7" t="str">
        <f>VLOOKUP(G7,N_ref[#All],6,0)</f>
        <v>Import</v>
      </c>
      <c r="L7" t="str">
        <f>VLOOKUP(SAPData[[#This Row],[Adjustment Type]],Notes!$B$13:$D$36,3,FALSE)</f>
        <v>Stock Losses/Gains</v>
      </c>
      <c r="M7" t="s">
        <v>790</v>
      </c>
      <c r="N7" t="s">
        <v>152</v>
      </c>
      <c r="O7" t="s">
        <v>872</v>
      </c>
      <c r="P7" s="2">
        <v>46197</v>
      </c>
      <c r="Q7" s="3">
        <v>0.71373842592592995</v>
      </c>
      <c r="R7" t="s">
        <v>5</v>
      </c>
      <c r="S7" t="s">
        <v>6</v>
      </c>
      <c r="T7" s="19">
        <v>84</v>
      </c>
      <c r="U7" t="s">
        <v>7</v>
      </c>
      <c r="V7" t="s">
        <v>7</v>
      </c>
      <c r="W7" s="19">
        <v>84</v>
      </c>
      <c r="X7" s="19">
        <f>W7/VLOOKUP(G7,N_ref[#All],7,0)</f>
        <v>1.68</v>
      </c>
      <c r="Y7" s="19" t="str">
        <f>IF(SAPData[[#This Row],[Quantity]]&gt;0,"Gain","Loss")</f>
        <v>Gain</v>
      </c>
      <c r="Z7" t="s">
        <v>890</v>
      </c>
      <c r="AA7" s="2">
        <v>46197</v>
      </c>
      <c r="AB7" s="2">
        <v>46197</v>
      </c>
      <c r="AC7" s="4">
        <v>5866244.1600000001</v>
      </c>
      <c r="AD7" t="s">
        <v>897</v>
      </c>
      <c r="AE7" t="s">
        <v>8</v>
      </c>
      <c r="AF7" t="s">
        <v>8</v>
      </c>
      <c r="AG7" t="s">
        <v>9</v>
      </c>
      <c r="AH7" t="s">
        <v>8</v>
      </c>
      <c r="AI7" t="s">
        <v>8</v>
      </c>
      <c r="AJ7" t="s">
        <v>10</v>
      </c>
      <c r="AK7" t="s">
        <v>8</v>
      </c>
      <c r="AL7" t="s">
        <v>11</v>
      </c>
      <c r="AM7" t="s">
        <v>8</v>
      </c>
      <c r="AN7" t="s">
        <v>12</v>
      </c>
      <c r="AO7" t="s">
        <v>11</v>
      </c>
      <c r="AP7" t="s">
        <v>8</v>
      </c>
      <c r="AQ7" t="s">
        <v>13</v>
      </c>
      <c r="AR7" t="s">
        <v>8</v>
      </c>
      <c r="AS7" t="s">
        <v>8</v>
      </c>
      <c r="AT7" t="s">
        <v>8</v>
      </c>
      <c r="AU7" t="s">
        <v>8</v>
      </c>
      <c r="AV7" t="s">
        <v>8</v>
      </c>
      <c r="AW7" t="s">
        <v>14</v>
      </c>
      <c r="AX7" t="s">
        <v>15</v>
      </c>
    </row>
    <row r="8" spans="1:50" x14ac:dyDescent="0.2">
      <c r="A8" t="str">
        <f>TEXT(P8,"mmm")</f>
        <v>Jun</v>
      </c>
      <c r="B8" t="s">
        <v>801</v>
      </c>
      <c r="C8" t="s">
        <v>933</v>
      </c>
      <c r="D8" t="s">
        <v>0</v>
      </c>
      <c r="E8" t="s">
        <v>1</v>
      </c>
      <c r="F8" t="s">
        <v>18</v>
      </c>
      <c r="G8" t="s">
        <v>16</v>
      </c>
      <c r="H8" t="s">
        <v>17</v>
      </c>
      <c r="I8" t="str">
        <f>VLOOKUP(G8,N_ref[#All],5,0)</f>
        <v>Lentils</v>
      </c>
      <c r="J8" t="str">
        <f>VLOOKUP(SAPData[[#This Row],[Material]],N_ref[#All],10,FALSE)</f>
        <v>Lentil</v>
      </c>
      <c r="K8" t="str">
        <f>VLOOKUP(G8,N_ref[#All],6,0)</f>
        <v>Import</v>
      </c>
      <c r="L8" t="str">
        <f>VLOOKUP(SAPData[[#This Row],[Adjustment Type]],Notes!$B$13:$D$36,3,FALSE)</f>
        <v>Stock Losses/Gains</v>
      </c>
      <c r="M8" t="s">
        <v>790</v>
      </c>
      <c r="N8" t="s">
        <v>152</v>
      </c>
      <c r="O8" t="s">
        <v>873</v>
      </c>
      <c r="P8" s="2">
        <v>46197</v>
      </c>
      <c r="Q8" s="3">
        <v>0.71473379629629996</v>
      </c>
      <c r="R8" t="s">
        <v>5</v>
      </c>
      <c r="S8" t="s">
        <v>6</v>
      </c>
      <c r="T8" s="19">
        <v>78</v>
      </c>
      <c r="U8" t="s">
        <v>7</v>
      </c>
      <c r="V8" t="s">
        <v>7</v>
      </c>
      <c r="W8" s="19">
        <v>78</v>
      </c>
      <c r="X8" s="19">
        <f>W8/VLOOKUP(G8,N_ref[#All],7,0)</f>
        <v>1.56</v>
      </c>
      <c r="Y8" s="19" t="str">
        <f>IF(SAPData[[#This Row],[Quantity]]&gt;0,"Gain","Loss")</f>
        <v>Gain</v>
      </c>
      <c r="Z8" t="s">
        <v>890</v>
      </c>
      <c r="AA8" s="2">
        <v>46197</v>
      </c>
      <c r="AB8" s="2">
        <v>46197</v>
      </c>
      <c r="AC8" s="4">
        <v>5447226.7199999997</v>
      </c>
      <c r="AD8" t="s">
        <v>898</v>
      </c>
      <c r="AE8" t="s">
        <v>8</v>
      </c>
      <c r="AF8" t="s">
        <v>8</v>
      </c>
      <c r="AG8" t="s">
        <v>9</v>
      </c>
      <c r="AH8" t="s">
        <v>8</v>
      </c>
      <c r="AI8" t="s">
        <v>8</v>
      </c>
      <c r="AJ8" t="s">
        <v>10</v>
      </c>
      <c r="AK8" t="s">
        <v>8</v>
      </c>
      <c r="AL8" t="s">
        <v>11</v>
      </c>
      <c r="AM8" t="s">
        <v>8</v>
      </c>
      <c r="AN8" t="s">
        <v>12</v>
      </c>
      <c r="AO8" t="s">
        <v>11</v>
      </c>
      <c r="AP8" t="s">
        <v>8</v>
      </c>
      <c r="AQ8" t="s">
        <v>13</v>
      </c>
      <c r="AR8" t="s">
        <v>8</v>
      </c>
      <c r="AS8" t="s">
        <v>8</v>
      </c>
      <c r="AT8" t="s">
        <v>8</v>
      </c>
      <c r="AU8" t="s">
        <v>8</v>
      </c>
      <c r="AV8" t="s">
        <v>8</v>
      </c>
      <c r="AW8" t="s">
        <v>14</v>
      </c>
      <c r="AX8" t="s">
        <v>15</v>
      </c>
    </row>
    <row r="9" spans="1:50" x14ac:dyDescent="0.2">
      <c r="A9" t="str">
        <f>TEXT(P9,"mmm")</f>
        <v>Jun</v>
      </c>
      <c r="B9" t="s">
        <v>801</v>
      </c>
      <c r="C9" s="30" t="s">
        <v>941</v>
      </c>
      <c r="D9" t="s">
        <v>0</v>
      </c>
      <c r="E9" t="s">
        <v>1</v>
      </c>
      <c r="F9" t="s">
        <v>18</v>
      </c>
      <c r="G9" t="s">
        <v>16</v>
      </c>
      <c r="H9" t="s">
        <v>17</v>
      </c>
      <c r="I9" t="str">
        <f>VLOOKUP(G9,N_ref[#All],5,0)</f>
        <v>Lentils</v>
      </c>
      <c r="J9" t="str">
        <f>VLOOKUP(SAPData[[#This Row],[Material]],N_ref[#All],10,FALSE)</f>
        <v>Lentil</v>
      </c>
      <c r="K9" t="str">
        <f>VLOOKUP(G9,N_ref[#All],6,0)</f>
        <v>Import</v>
      </c>
      <c r="L9" t="str">
        <f>VLOOKUP(SAPData[[#This Row],[Adjustment Type]],Notes!$B$13:$D$36,3,FALSE)</f>
        <v>Stock Losses/Gains</v>
      </c>
      <c r="M9" t="s">
        <v>790</v>
      </c>
      <c r="N9" t="s">
        <v>152</v>
      </c>
      <c r="O9" t="s">
        <v>876</v>
      </c>
      <c r="P9" s="2">
        <v>46203</v>
      </c>
      <c r="Q9" s="3">
        <v>0.66811342592593004</v>
      </c>
      <c r="R9" t="s">
        <v>5</v>
      </c>
      <c r="S9" t="s">
        <v>6</v>
      </c>
      <c r="T9" s="19">
        <v>80</v>
      </c>
      <c r="U9" t="s">
        <v>7</v>
      </c>
      <c r="V9" t="s">
        <v>7</v>
      </c>
      <c r="W9" s="19">
        <v>80</v>
      </c>
      <c r="X9" s="19">
        <f>W9/VLOOKUP(G9,N_ref[#All],7,0)</f>
        <v>1.6</v>
      </c>
      <c r="Y9" s="19" t="str">
        <f>IF(SAPData[[#This Row],[Quantity]]&gt;0,"Gain","Loss")</f>
        <v>Gain</v>
      </c>
      <c r="Z9" t="s">
        <v>14</v>
      </c>
      <c r="AA9" s="2">
        <v>46203</v>
      </c>
      <c r="AB9" s="2">
        <v>46203</v>
      </c>
      <c r="AC9" s="4">
        <v>5586899.2000000002</v>
      </c>
      <c r="AD9" t="s">
        <v>899</v>
      </c>
      <c r="AE9" t="s">
        <v>8</v>
      </c>
      <c r="AF9" t="s">
        <v>8</v>
      </c>
      <c r="AG9" t="s">
        <v>9</v>
      </c>
      <c r="AH9" t="s">
        <v>8</v>
      </c>
      <c r="AI9" t="s">
        <v>8</v>
      </c>
      <c r="AJ9" t="s">
        <v>10</v>
      </c>
      <c r="AK9" t="s">
        <v>8</v>
      </c>
      <c r="AL9" t="s">
        <v>11</v>
      </c>
      <c r="AM9" t="s">
        <v>8</v>
      </c>
      <c r="AN9" t="s">
        <v>12</v>
      </c>
      <c r="AO9" t="s">
        <v>11</v>
      </c>
      <c r="AP9" t="s">
        <v>8</v>
      </c>
      <c r="AQ9" t="s">
        <v>13</v>
      </c>
      <c r="AR9" t="s">
        <v>8</v>
      </c>
      <c r="AS9" t="s">
        <v>8</v>
      </c>
      <c r="AT9" t="s">
        <v>8</v>
      </c>
      <c r="AU9" t="s">
        <v>8</v>
      </c>
      <c r="AV9" t="s">
        <v>8</v>
      </c>
      <c r="AW9" t="s">
        <v>14</v>
      </c>
      <c r="AX9" t="s">
        <v>15</v>
      </c>
    </row>
    <row r="10" spans="1:50" x14ac:dyDescent="0.2">
      <c r="A10" t="str">
        <f>TEXT(P10,"mmm")</f>
        <v>Jun</v>
      </c>
      <c r="B10" t="s">
        <v>801</v>
      </c>
      <c r="C10" t="s">
        <v>934</v>
      </c>
      <c r="D10" t="s">
        <v>0</v>
      </c>
      <c r="E10" t="s">
        <v>1</v>
      </c>
      <c r="F10" t="s">
        <v>18</v>
      </c>
      <c r="G10" t="s">
        <v>16</v>
      </c>
      <c r="H10" t="s">
        <v>17</v>
      </c>
      <c r="I10" t="str">
        <f>VLOOKUP(G10,N_ref[#All],5,0)</f>
        <v>Lentils</v>
      </c>
      <c r="J10" t="str">
        <f>VLOOKUP(SAPData[[#This Row],[Material]],N_ref[#All],10,FALSE)</f>
        <v>Lentil</v>
      </c>
      <c r="K10" t="str">
        <f>VLOOKUP(G10,N_ref[#All],6,0)</f>
        <v>Import</v>
      </c>
      <c r="L10" t="str">
        <f>VLOOKUP(SAPData[[#This Row],[Adjustment Type]],Notes!$B$13:$D$36,3,FALSE)</f>
        <v>Stock Losses/Gains</v>
      </c>
      <c r="M10" t="s">
        <v>790</v>
      </c>
      <c r="N10" t="s">
        <v>152</v>
      </c>
      <c r="O10" t="s">
        <v>877</v>
      </c>
      <c r="P10" s="2">
        <v>46203</v>
      </c>
      <c r="Q10" s="3">
        <v>0.66865740740740998</v>
      </c>
      <c r="R10" t="s">
        <v>5</v>
      </c>
      <c r="S10" t="s">
        <v>6</v>
      </c>
      <c r="T10" s="19">
        <v>55</v>
      </c>
      <c r="U10" t="s">
        <v>7</v>
      </c>
      <c r="V10" t="s">
        <v>7</v>
      </c>
      <c r="W10" s="19">
        <v>55</v>
      </c>
      <c r="X10" s="19">
        <f>W10/VLOOKUP(G10,N_ref[#All],7,0)</f>
        <v>1.1000000000000001</v>
      </c>
      <c r="Y10" s="19" t="str">
        <f>IF(SAPData[[#This Row],[Quantity]]&gt;0,"Gain","Loss")</f>
        <v>Gain</v>
      </c>
      <c r="Z10" t="s">
        <v>14</v>
      </c>
      <c r="AA10" s="2">
        <v>46203</v>
      </c>
      <c r="AB10" s="2">
        <v>46203</v>
      </c>
      <c r="AC10" s="4">
        <v>3840993.2</v>
      </c>
      <c r="AD10" t="s">
        <v>900</v>
      </c>
      <c r="AE10" t="s">
        <v>8</v>
      </c>
      <c r="AF10" t="s">
        <v>8</v>
      </c>
      <c r="AG10" t="s">
        <v>9</v>
      </c>
      <c r="AH10" t="s">
        <v>8</v>
      </c>
      <c r="AI10" t="s">
        <v>8</v>
      </c>
      <c r="AJ10" t="s">
        <v>10</v>
      </c>
      <c r="AK10" t="s">
        <v>8</v>
      </c>
      <c r="AL10" t="s">
        <v>11</v>
      </c>
      <c r="AM10" t="s">
        <v>8</v>
      </c>
      <c r="AN10" t="s">
        <v>12</v>
      </c>
      <c r="AO10" t="s">
        <v>11</v>
      </c>
      <c r="AP10" t="s">
        <v>8</v>
      </c>
      <c r="AQ10" t="s">
        <v>13</v>
      </c>
      <c r="AR10" t="s">
        <v>8</v>
      </c>
      <c r="AS10" t="s">
        <v>8</v>
      </c>
      <c r="AT10" t="s">
        <v>8</v>
      </c>
      <c r="AU10" t="s">
        <v>8</v>
      </c>
      <c r="AV10" t="s">
        <v>8</v>
      </c>
      <c r="AW10" t="s">
        <v>14</v>
      </c>
      <c r="AX10" t="s">
        <v>15</v>
      </c>
    </row>
    <row r="11" spans="1:50" x14ac:dyDescent="0.2">
      <c r="A11" t="str">
        <f>TEXT(P11,"mmm")</f>
        <v>Jun</v>
      </c>
      <c r="B11" t="s">
        <v>801</v>
      </c>
      <c r="C11" t="s">
        <v>935</v>
      </c>
      <c r="D11" t="s">
        <v>0</v>
      </c>
      <c r="E11" t="s">
        <v>1</v>
      </c>
      <c r="F11" t="s">
        <v>18</v>
      </c>
      <c r="G11" t="s">
        <v>16</v>
      </c>
      <c r="H11" t="s">
        <v>17</v>
      </c>
      <c r="I11" t="str">
        <f>VLOOKUP(G11,N_ref[#All],5,0)</f>
        <v>Lentils</v>
      </c>
      <c r="J11" t="str">
        <f>VLOOKUP(SAPData[[#This Row],[Material]],N_ref[#All],10,FALSE)</f>
        <v>Lentil</v>
      </c>
      <c r="K11" t="str">
        <f>VLOOKUP(G11,N_ref[#All],6,0)</f>
        <v>Import</v>
      </c>
      <c r="L11" t="str">
        <f>VLOOKUP(SAPData[[#This Row],[Adjustment Type]],Notes!$B$13:$D$36,3,FALSE)</f>
        <v>Stock Losses/Gains</v>
      </c>
      <c r="M11" t="s">
        <v>790</v>
      </c>
      <c r="N11" t="s">
        <v>152</v>
      </c>
      <c r="O11" t="s">
        <v>878</v>
      </c>
      <c r="P11" s="2">
        <v>46203</v>
      </c>
      <c r="Q11" s="3">
        <v>0.66922453703703999</v>
      </c>
      <c r="R11" t="s">
        <v>5</v>
      </c>
      <c r="S11" t="s">
        <v>6</v>
      </c>
      <c r="T11" s="19">
        <v>74</v>
      </c>
      <c r="U11" t="s">
        <v>7</v>
      </c>
      <c r="V11" t="s">
        <v>7</v>
      </c>
      <c r="W11" s="19">
        <v>74</v>
      </c>
      <c r="X11" s="19">
        <f>W11/VLOOKUP(G11,N_ref[#All],7,0)</f>
        <v>1.48</v>
      </c>
      <c r="Y11" s="19" t="str">
        <f>IF(SAPData[[#This Row],[Quantity]]&gt;0,"Gain","Loss")</f>
        <v>Gain</v>
      </c>
      <c r="Z11" t="s">
        <v>14</v>
      </c>
      <c r="AA11" s="2">
        <v>46203</v>
      </c>
      <c r="AB11" s="2">
        <v>46203</v>
      </c>
      <c r="AC11" s="4">
        <v>5167881.76</v>
      </c>
      <c r="AD11" t="s">
        <v>901</v>
      </c>
      <c r="AE11" t="s">
        <v>8</v>
      </c>
      <c r="AF11" t="s">
        <v>8</v>
      </c>
      <c r="AG11" t="s">
        <v>9</v>
      </c>
      <c r="AH11" t="s">
        <v>8</v>
      </c>
      <c r="AI11" t="s">
        <v>8</v>
      </c>
      <c r="AJ11" t="s">
        <v>10</v>
      </c>
      <c r="AK11" t="s">
        <v>8</v>
      </c>
      <c r="AL11" t="s">
        <v>11</v>
      </c>
      <c r="AM11" t="s">
        <v>8</v>
      </c>
      <c r="AN11" t="s">
        <v>12</v>
      </c>
      <c r="AO11" t="s">
        <v>11</v>
      </c>
      <c r="AP11" t="s">
        <v>8</v>
      </c>
      <c r="AQ11" t="s">
        <v>13</v>
      </c>
      <c r="AR11" t="s">
        <v>8</v>
      </c>
      <c r="AS11" t="s">
        <v>8</v>
      </c>
      <c r="AT11" t="s">
        <v>8</v>
      </c>
      <c r="AU11" t="s">
        <v>8</v>
      </c>
      <c r="AV11" t="s">
        <v>8</v>
      </c>
      <c r="AW11" t="s">
        <v>14</v>
      </c>
      <c r="AX11" t="s">
        <v>15</v>
      </c>
    </row>
    <row r="12" spans="1:50" x14ac:dyDescent="0.2">
      <c r="A12" t="str">
        <f>TEXT(P12,"mmm")</f>
        <v>Jun</v>
      </c>
      <c r="B12" t="s">
        <v>801</v>
      </c>
      <c r="C12" t="s">
        <v>937</v>
      </c>
      <c r="D12" t="s">
        <v>0</v>
      </c>
      <c r="E12" t="s">
        <v>1</v>
      </c>
      <c r="F12" t="s">
        <v>18</v>
      </c>
      <c r="G12" t="s">
        <v>16</v>
      </c>
      <c r="H12" t="s">
        <v>17</v>
      </c>
      <c r="I12" t="str">
        <f>VLOOKUP(G12,N_ref[#All],5,0)</f>
        <v>Lentils</v>
      </c>
      <c r="J12" t="str">
        <f>VLOOKUP(SAPData[[#This Row],[Material]],N_ref[#All],10,FALSE)</f>
        <v>Lentil</v>
      </c>
      <c r="K12" t="str">
        <f>VLOOKUP(G12,N_ref[#All],6,0)</f>
        <v>Import</v>
      </c>
      <c r="L12" t="str">
        <f>VLOOKUP(SAPData[[#This Row],[Adjustment Type]],Notes!$B$13:$D$36,3,FALSE)</f>
        <v>Stock Losses/Gains</v>
      </c>
      <c r="M12" t="s">
        <v>790</v>
      </c>
      <c r="N12" t="s">
        <v>152</v>
      </c>
      <c r="O12" t="s">
        <v>879</v>
      </c>
      <c r="P12" s="2">
        <v>46203</v>
      </c>
      <c r="Q12" s="3">
        <v>0.66988425925925998</v>
      </c>
      <c r="R12" t="s">
        <v>5</v>
      </c>
      <c r="S12" t="s">
        <v>6</v>
      </c>
      <c r="T12" s="19">
        <v>27</v>
      </c>
      <c r="U12" t="s">
        <v>7</v>
      </c>
      <c r="V12" t="s">
        <v>7</v>
      </c>
      <c r="W12" s="19">
        <v>27</v>
      </c>
      <c r="X12" s="19">
        <f>W12/VLOOKUP(G12,N_ref[#All],7,0)</f>
        <v>0.54</v>
      </c>
      <c r="Y12" s="19" t="str">
        <f>IF(SAPData[[#This Row],[Quantity]]&gt;0,"Gain","Loss")</f>
        <v>Gain</v>
      </c>
      <c r="Z12" t="s">
        <v>14</v>
      </c>
      <c r="AA12" s="2">
        <v>46203</v>
      </c>
      <c r="AB12" s="2">
        <v>46203</v>
      </c>
      <c r="AC12" s="4">
        <v>1885578.48</v>
      </c>
      <c r="AD12" t="s">
        <v>902</v>
      </c>
      <c r="AE12" t="s">
        <v>8</v>
      </c>
      <c r="AF12" t="s">
        <v>8</v>
      </c>
      <c r="AG12" t="s">
        <v>9</v>
      </c>
      <c r="AH12" t="s">
        <v>8</v>
      </c>
      <c r="AI12" t="s">
        <v>8</v>
      </c>
      <c r="AJ12" t="s">
        <v>10</v>
      </c>
      <c r="AK12" t="s">
        <v>8</v>
      </c>
      <c r="AL12" t="s">
        <v>11</v>
      </c>
      <c r="AM12" t="s">
        <v>8</v>
      </c>
      <c r="AN12" t="s">
        <v>12</v>
      </c>
      <c r="AO12" t="s">
        <v>11</v>
      </c>
      <c r="AP12" t="s">
        <v>8</v>
      </c>
      <c r="AQ12" t="s">
        <v>13</v>
      </c>
      <c r="AR12" t="s">
        <v>8</v>
      </c>
      <c r="AS12" t="s">
        <v>8</v>
      </c>
      <c r="AT12" t="s">
        <v>8</v>
      </c>
      <c r="AU12" t="s">
        <v>8</v>
      </c>
      <c r="AV12" t="s">
        <v>8</v>
      </c>
      <c r="AW12" t="s">
        <v>14</v>
      </c>
      <c r="AX12" t="s">
        <v>15</v>
      </c>
    </row>
    <row r="13" spans="1:50" x14ac:dyDescent="0.2">
      <c r="A13" t="str">
        <f>TEXT(P13,"mmm")</f>
        <v>Jun</v>
      </c>
      <c r="B13" t="s">
        <v>801</v>
      </c>
      <c r="C13" s="30" t="s">
        <v>936</v>
      </c>
      <c r="D13" t="s">
        <v>0</v>
      </c>
      <c r="E13" t="s">
        <v>1</v>
      </c>
      <c r="F13" t="s">
        <v>18</v>
      </c>
      <c r="G13" t="s">
        <v>16</v>
      </c>
      <c r="H13" t="s">
        <v>17</v>
      </c>
      <c r="I13" t="str">
        <f>VLOOKUP(G13,N_ref[#All],5,0)</f>
        <v>Lentils</v>
      </c>
      <c r="J13" t="str">
        <f>VLOOKUP(SAPData[[#This Row],[Material]],N_ref[#All],10,FALSE)</f>
        <v>Lentil</v>
      </c>
      <c r="K13" t="str">
        <f>VLOOKUP(G13,N_ref[#All],6,0)</f>
        <v>Import</v>
      </c>
      <c r="L13" t="str">
        <f>VLOOKUP(SAPData[[#This Row],[Adjustment Type]],Notes!$B$13:$D$36,3,FALSE)</f>
        <v>Stock Losses/Gains</v>
      </c>
      <c r="M13" t="s">
        <v>790</v>
      </c>
      <c r="N13" t="s">
        <v>152</v>
      </c>
      <c r="O13" t="s">
        <v>880</v>
      </c>
      <c r="P13" s="2">
        <v>46203</v>
      </c>
      <c r="Q13" s="3">
        <v>0.67056712962963005</v>
      </c>
      <c r="R13" t="s">
        <v>5</v>
      </c>
      <c r="S13" t="s">
        <v>6</v>
      </c>
      <c r="T13" s="19">
        <v>48</v>
      </c>
      <c r="U13" t="s">
        <v>7</v>
      </c>
      <c r="V13" t="s">
        <v>7</v>
      </c>
      <c r="W13" s="19">
        <v>48</v>
      </c>
      <c r="X13" s="19">
        <f>W13/VLOOKUP(G13,N_ref[#All],7,0)</f>
        <v>0.96</v>
      </c>
      <c r="Y13" s="19" t="str">
        <f>IF(SAPData[[#This Row],[Quantity]]&gt;0,"Gain","Loss")</f>
        <v>Gain</v>
      </c>
      <c r="Z13" t="s">
        <v>14</v>
      </c>
      <c r="AA13" s="2">
        <v>46203</v>
      </c>
      <c r="AB13" s="2">
        <v>46203</v>
      </c>
      <c r="AC13" s="4">
        <v>3352139.52</v>
      </c>
      <c r="AD13" t="s">
        <v>903</v>
      </c>
      <c r="AE13" t="s">
        <v>8</v>
      </c>
      <c r="AF13" t="s">
        <v>8</v>
      </c>
      <c r="AG13" t="s">
        <v>9</v>
      </c>
      <c r="AH13" t="s">
        <v>8</v>
      </c>
      <c r="AI13" t="s">
        <v>8</v>
      </c>
      <c r="AJ13" t="s">
        <v>10</v>
      </c>
      <c r="AK13" t="s">
        <v>8</v>
      </c>
      <c r="AL13" t="s">
        <v>11</v>
      </c>
      <c r="AM13" t="s">
        <v>8</v>
      </c>
      <c r="AN13" t="s">
        <v>12</v>
      </c>
      <c r="AO13" t="s">
        <v>11</v>
      </c>
      <c r="AP13" t="s">
        <v>8</v>
      </c>
      <c r="AQ13" t="s">
        <v>13</v>
      </c>
      <c r="AR13" t="s">
        <v>8</v>
      </c>
      <c r="AS13" t="s">
        <v>8</v>
      </c>
      <c r="AT13" t="s">
        <v>8</v>
      </c>
      <c r="AU13" t="s">
        <v>8</v>
      </c>
      <c r="AV13" t="s">
        <v>8</v>
      </c>
      <c r="AW13" t="s">
        <v>14</v>
      </c>
      <c r="AX13" t="s">
        <v>15</v>
      </c>
    </row>
    <row r="14" spans="1:50" x14ac:dyDescent="0.2">
      <c r="A14" t="str">
        <f>TEXT(P14,"mmm")</f>
        <v>Jun</v>
      </c>
      <c r="B14" t="s">
        <v>801</v>
      </c>
      <c r="C14" s="30" t="s">
        <v>940</v>
      </c>
      <c r="D14" t="s">
        <v>0</v>
      </c>
      <c r="E14" t="s">
        <v>1</v>
      </c>
      <c r="F14" t="s">
        <v>18</v>
      </c>
      <c r="G14" t="s">
        <v>16</v>
      </c>
      <c r="H14" t="s">
        <v>17</v>
      </c>
      <c r="I14" t="str">
        <f>VLOOKUP(G14,N_ref[#All],5,0)</f>
        <v>Lentils</v>
      </c>
      <c r="J14" t="str">
        <f>VLOOKUP(SAPData[[#This Row],[Material]],N_ref[#All],10,FALSE)</f>
        <v>Lentil</v>
      </c>
      <c r="K14" t="str">
        <f>VLOOKUP(G14,N_ref[#All],6,0)</f>
        <v>Import</v>
      </c>
      <c r="L14" t="str">
        <f>VLOOKUP(SAPData[[#This Row],[Adjustment Type]],Notes!$B$13:$D$36,3,FALSE)</f>
        <v>Stock Losses/Gains</v>
      </c>
      <c r="M14" t="s">
        <v>790</v>
      </c>
      <c r="N14" t="s">
        <v>152</v>
      </c>
      <c r="O14" t="s">
        <v>881</v>
      </c>
      <c r="P14" s="2">
        <v>46203</v>
      </c>
      <c r="Q14" s="3">
        <v>0.67123842592592997</v>
      </c>
      <c r="R14" t="s">
        <v>5</v>
      </c>
      <c r="S14" t="s">
        <v>6</v>
      </c>
      <c r="T14" s="19">
        <v>46</v>
      </c>
      <c r="U14" t="s">
        <v>7</v>
      </c>
      <c r="V14" t="s">
        <v>7</v>
      </c>
      <c r="W14" s="19">
        <v>46</v>
      </c>
      <c r="X14" s="19">
        <f>W14/VLOOKUP(G14,N_ref[#All],7,0)</f>
        <v>0.92</v>
      </c>
      <c r="Y14" s="19" t="str">
        <f>IF(SAPData[[#This Row],[Quantity]]&gt;0,"Gain","Loss")</f>
        <v>Gain</v>
      </c>
      <c r="Z14" t="s">
        <v>14</v>
      </c>
      <c r="AA14" s="2">
        <v>46203</v>
      </c>
      <c r="AB14" s="2">
        <v>46203</v>
      </c>
      <c r="AC14" s="4">
        <v>3212467.04</v>
      </c>
      <c r="AD14" t="s">
        <v>904</v>
      </c>
      <c r="AE14" t="s">
        <v>8</v>
      </c>
      <c r="AF14" t="s">
        <v>8</v>
      </c>
      <c r="AG14" t="s">
        <v>9</v>
      </c>
      <c r="AH14" t="s">
        <v>8</v>
      </c>
      <c r="AI14" t="s">
        <v>8</v>
      </c>
      <c r="AJ14" t="s">
        <v>10</v>
      </c>
      <c r="AK14" t="s">
        <v>8</v>
      </c>
      <c r="AL14" t="s">
        <v>11</v>
      </c>
      <c r="AM14" t="s">
        <v>8</v>
      </c>
      <c r="AN14" t="s">
        <v>12</v>
      </c>
      <c r="AO14" t="s">
        <v>11</v>
      </c>
      <c r="AP14" t="s">
        <v>8</v>
      </c>
      <c r="AQ14" t="s">
        <v>13</v>
      </c>
      <c r="AR14" t="s">
        <v>8</v>
      </c>
      <c r="AS14" t="s">
        <v>8</v>
      </c>
      <c r="AT14" t="s">
        <v>8</v>
      </c>
      <c r="AU14" t="s">
        <v>8</v>
      </c>
      <c r="AV14" t="s">
        <v>8</v>
      </c>
      <c r="AW14" t="s">
        <v>14</v>
      </c>
      <c r="AX14" t="s">
        <v>15</v>
      </c>
    </row>
    <row r="15" spans="1:50" x14ac:dyDescent="0.2">
      <c r="A15" t="str">
        <f>TEXT(P15,"mmm")</f>
        <v>Mar</v>
      </c>
      <c r="B15" t="s">
        <v>119</v>
      </c>
      <c r="C15" t="s">
        <v>956</v>
      </c>
      <c r="D15" t="s">
        <v>0</v>
      </c>
      <c r="E15" t="s">
        <v>1</v>
      </c>
      <c r="F15" t="s">
        <v>54</v>
      </c>
      <c r="G15" t="s">
        <v>55</v>
      </c>
      <c r="H15" t="s">
        <v>56</v>
      </c>
      <c r="I15" t="str">
        <f>VLOOKUP(G15,N_ref[#All],5,0)</f>
        <v>Rice Short Grain</v>
      </c>
      <c r="J15" t="str">
        <f>VLOOKUP(SAPData[[#This Row],[Material]],N_ref[#All],10,FALSE)</f>
        <v>Rice</v>
      </c>
      <c r="K15" t="str">
        <f>VLOOKUP(G15,N_ref[#All],6,0)</f>
        <v>Import</v>
      </c>
      <c r="L15" t="str">
        <f>VLOOKUP(SAPData[[#This Row],[Adjustment Type]],Notes!$B$13:$D$36,3,FALSE)</f>
        <v>Stock Losses/Gains</v>
      </c>
      <c r="M15" t="s">
        <v>811</v>
      </c>
      <c r="N15" t="s">
        <v>152</v>
      </c>
      <c r="O15" t="s">
        <v>57</v>
      </c>
      <c r="P15" s="2">
        <v>46112</v>
      </c>
      <c r="Q15" s="3">
        <v>0.37158564814814998</v>
      </c>
      <c r="R15" t="s">
        <v>25</v>
      </c>
      <c r="S15" t="s">
        <v>26</v>
      </c>
      <c r="T15" s="19">
        <v>-213</v>
      </c>
      <c r="U15" t="s">
        <v>7</v>
      </c>
      <c r="V15" t="s">
        <v>7</v>
      </c>
      <c r="W15" s="19">
        <v>-213</v>
      </c>
      <c r="X15" s="19">
        <f>W15/VLOOKUP(G15,N_ref[#All],7,0)</f>
        <v>-5.3250000000000002</v>
      </c>
      <c r="Y15" s="19" t="str">
        <f>IF(SAPData[[#This Row],[Quantity]]&gt;0,"Gain","Loss")</f>
        <v>Loss</v>
      </c>
      <c r="Z15" t="s">
        <v>21</v>
      </c>
      <c r="AA15" s="2">
        <v>46112</v>
      </c>
      <c r="AB15" s="2">
        <v>46112</v>
      </c>
      <c r="AC15" s="4">
        <v>-15498229.32</v>
      </c>
      <c r="AD15" t="s">
        <v>58</v>
      </c>
      <c r="AE15" t="s">
        <v>8</v>
      </c>
      <c r="AF15" t="s">
        <v>8</v>
      </c>
      <c r="AG15" t="s">
        <v>27</v>
      </c>
      <c r="AH15" t="s">
        <v>8</v>
      </c>
      <c r="AI15" t="s">
        <v>8</v>
      </c>
      <c r="AJ15" t="s">
        <v>10</v>
      </c>
      <c r="AK15" t="s">
        <v>8</v>
      </c>
      <c r="AL15" t="s">
        <v>11</v>
      </c>
      <c r="AM15" t="s">
        <v>8</v>
      </c>
      <c r="AN15" t="s">
        <v>12</v>
      </c>
      <c r="AO15" t="s">
        <v>11</v>
      </c>
      <c r="AP15" t="s">
        <v>8</v>
      </c>
      <c r="AQ15" t="s">
        <v>13</v>
      </c>
      <c r="AR15" t="s">
        <v>8</v>
      </c>
      <c r="AS15" t="s">
        <v>8</v>
      </c>
      <c r="AT15" t="s">
        <v>8</v>
      </c>
      <c r="AU15" t="s">
        <v>8</v>
      </c>
      <c r="AV15" t="s">
        <v>8</v>
      </c>
      <c r="AW15" t="s">
        <v>14</v>
      </c>
      <c r="AX15" t="s">
        <v>15</v>
      </c>
    </row>
    <row r="16" spans="1:50" x14ac:dyDescent="0.2">
      <c r="A16" t="str">
        <f>TEXT(P16,"mmm")</f>
        <v>Mar</v>
      </c>
      <c r="B16" t="s">
        <v>119</v>
      </c>
      <c r="C16" t="s">
        <v>956</v>
      </c>
      <c r="D16" t="s">
        <v>0</v>
      </c>
      <c r="E16" t="s">
        <v>1</v>
      </c>
      <c r="F16" t="s">
        <v>54</v>
      </c>
      <c r="G16" t="s">
        <v>59</v>
      </c>
      <c r="H16" t="s">
        <v>60</v>
      </c>
      <c r="I16" t="str">
        <f>VLOOKUP(G16,N_ref[#All],5,0)</f>
        <v>Rice Long Grain</v>
      </c>
      <c r="J16" t="str">
        <f>VLOOKUP(SAPData[[#This Row],[Material]],N_ref[#All],10,FALSE)</f>
        <v>Rice</v>
      </c>
      <c r="K16" t="str">
        <f>VLOOKUP(G16,N_ref[#All],6,0)</f>
        <v>Import</v>
      </c>
      <c r="L16" t="str">
        <f>VLOOKUP(SAPData[[#This Row],[Adjustment Type]],Notes!$B$13:$D$36,3,FALSE)</f>
        <v>Stock Losses/Gains</v>
      </c>
      <c r="M16" t="s">
        <v>811</v>
      </c>
      <c r="N16" t="s">
        <v>152</v>
      </c>
      <c r="O16" t="s">
        <v>57</v>
      </c>
      <c r="P16" s="2">
        <v>46112</v>
      </c>
      <c r="Q16" s="3">
        <v>0.37158564814814998</v>
      </c>
      <c r="R16" t="s">
        <v>25</v>
      </c>
      <c r="S16" t="s">
        <v>26</v>
      </c>
      <c r="T16" s="19">
        <v>-2</v>
      </c>
      <c r="U16" t="s">
        <v>7</v>
      </c>
      <c r="V16" t="s">
        <v>7</v>
      </c>
      <c r="W16" s="19">
        <v>-2</v>
      </c>
      <c r="X16" s="19">
        <f>W16/VLOOKUP(G16,N_ref[#All],7,0)</f>
        <v>-0.04</v>
      </c>
      <c r="Y16" s="19" t="str">
        <f>IF(SAPData[[#This Row],[Quantity]]&gt;0,"Gain","Loss")</f>
        <v>Loss</v>
      </c>
      <c r="Z16" t="s">
        <v>21</v>
      </c>
      <c r="AA16" s="2">
        <v>46112</v>
      </c>
      <c r="AB16" s="2">
        <v>46112</v>
      </c>
      <c r="AC16" s="4">
        <v>-69272.72</v>
      </c>
      <c r="AD16" t="s">
        <v>58</v>
      </c>
      <c r="AE16" t="s">
        <v>8</v>
      </c>
      <c r="AF16" t="s">
        <v>8</v>
      </c>
      <c r="AG16" t="s">
        <v>29</v>
      </c>
      <c r="AH16" t="s">
        <v>8</v>
      </c>
      <c r="AI16" t="s">
        <v>8</v>
      </c>
      <c r="AJ16" t="s">
        <v>10</v>
      </c>
      <c r="AK16" t="s">
        <v>8</v>
      </c>
      <c r="AL16" t="s">
        <v>11</v>
      </c>
      <c r="AM16" t="s">
        <v>8</v>
      </c>
      <c r="AN16" t="s">
        <v>12</v>
      </c>
      <c r="AO16" t="s">
        <v>11</v>
      </c>
      <c r="AP16" t="s">
        <v>8</v>
      </c>
      <c r="AQ16" t="s">
        <v>13</v>
      </c>
      <c r="AR16" t="s">
        <v>8</v>
      </c>
      <c r="AS16" t="s">
        <v>8</v>
      </c>
      <c r="AT16" t="s">
        <v>8</v>
      </c>
      <c r="AU16" t="s">
        <v>8</v>
      </c>
      <c r="AV16" t="s">
        <v>8</v>
      </c>
      <c r="AW16" t="s">
        <v>14</v>
      </c>
      <c r="AX16" t="s">
        <v>15</v>
      </c>
    </row>
    <row r="17" spans="1:50" x14ac:dyDescent="0.2">
      <c r="A17" t="str">
        <f>TEXT(P17,"mmm")</f>
        <v>Mar</v>
      </c>
      <c r="B17" t="s">
        <v>119</v>
      </c>
      <c r="C17" t="s">
        <v>956</v>
      </c>
      <c r="D17" t="s">
        <v>0</v>
      </c>
      <c r="E17" t="s">
        <v>1</v>
      </c>
      <c r="F17" t="s">
        <v>54</v>
      </c>
      <c r="G17" t="s">
        <v>61</v>
      </c>
      <c r="H17" t="s">
        <v>62</v>
      </c>
      <c r="I17" t="str">
        <f>VLOOKUP(G17,N_ref[#All],5,0)</f>
        <v>Rice - Damaged</v>
      </c>
      <c r="J17" t="str">
        <f>VLOOKUP(SAPData[[#This Row],[Material]],N_ref[#All],10,FALSE)</f>
        <v>Rice</v>
      </c>
      <c r="K17" t="str">
        <f>VLOOKUP(G17,N_ref[#All],6,0)</f>
        <v>Import</v>
      </c>
      <c r="L17" t="str">
        <f>VLOOKUP(SAPData[[#This Row],[Adjustment Type]],Notes!$B$13:$D$36,3,FALSE)</f>
        <v>Stock Losses/Gains</v>
      </c>
      <c r="M17" t="s">
        <v>811</v>
      </c>
      <c r="N17" t="s">
        <v>152</v>
      </c>
      <c r="O17" t="s">
        <v>57</v>
      </c>
      <c r="P17" s="2">
        <v>46112</v>
      </c>
      <c r="Q17" s="3">
        <v>0.37158564814814998</v>
      </c>
      <c r="R17" t="s">
        <v>25</v>
      </c>
      <c r="S17" t="s">
        <v>26</v>
      </c>
      <c r="T17" s="19">
        <v>-50</v>
      </c>
      <c r="U17" t="s">
        <v>7</v>
      </c>
      <c r="V17" t="s">
        <v>7</v>
      </c>
      <c r="W17" s="19">
        <v>-50</v>
      </c>
      <c r="X17" s="19">
        <f>W17/VLOOKUP(G17,N_ref[#All],7,0)</f>
        <v>-1.25</v>
      </c>
      <c r="Y17" s="19" t="str">
        <f>IF(SAPData[[#This Row],[Quantity]]&gt;0,"Gain","Loss")</f>
        <v>Loss</v>
      </c>
      <c r="Z17" t="s">
        <v>8</v>
      </c>
      <c r="AA17" s="2">
        <v>46112</v>
      </c>
      <c r="AB17" s="2">
        <v>46112</v>
      </c>
      <c r="AC17" s="4">
        <v>-50</v>
      </c>
      <c r="AD17" t="s">
        <v>58</v>
      </c>
      <c r="AE17" t="s">
        <v>8</v>
      </c>
      <c r="AF17" t="s">
        <v>8</v>
      </c>
      <c r="AG17" t="s">
        <v>28</v>
      </c>
      <c r="AH17" t="s">
        <v>8</v>
      </c>
      <c r="AI17" t="s">
        <v>8</v>
      </c>
      <c r="AJ17" t="s">
        <v>10</v>
      </c>
      <c r="AK17" t="s">
        <v>8</v>
      </c>
      <c r="AL17" t="s">
        <v>11</v>
      </c>
      <c r="AM17" t="s">
        <v>8</v>
      </c>
      <c r="AN17" t="s">
        <v>12</v>
      </c>
      <c r="AO17" t="s">
        <v>11</v>
      </c>
      <c r="AP17" t="s">
        <v>8</v>
      </c>
      <c r="AQ17" t="s">
        <v>13</v>
      </c>
      <c r="AR17" t="s">
        <v>8</v>
      </c>
      <c r="AS17" t="s">
        <v>8</v>
      </c>
      <c r="AT17" t="s">
        <v>8</v>
      </c>
      <c r="AU17" t="s">
        <v>8</v>
      </c>
      <c r="AV17" t="s">
        <v>8</v>
      </c>
      <c r="AW17" t="s">
        <v>14</v>
      </c>
      <c r="AX17" t="s">
        <v>15</v>
      </c>
    </row>
    <row r="18" spans="1:50" x14ac:dyDescent="0.2">
      <c r="A18" t="str">
        <f>TEXT(P18,"mmm")</f>
        <v>Apr</v>
      </c>
      <c r="B18" t="s">
        <v>119</v>
      </c>
      <c r="C18" t="s">
        <v>957</v>
      </c>
      <c r="D18" t="s">
        <v>0</v>
      </c>
      <c r="E18" t="s">
        <v>1</v>
      </c>
      <c r="F18" t="s">
        <v>72</v>
      </c>
      <c r="G18" t="s">
        <v>3</v>
      </c>
      <c r="H18" t="s">
        <v>4</v>
      </c>
      <c r="I18" t="str">
        <f>VLOOKUP(G18,N_ref[#All],5,0)</f>
        <v>Flour Al-Nagm (Mill)</v>
      </c>
      <c r="J18" t="str">
        <f>VLOOKUP(SAPData[[#This Row],[Material]],N_ref[#All],10,FALSE)</f>
        <v>Flour</v>
      </c>
      <c r="K18" t="str">
        <f>VLOOKUP(G18,N_ref[#All],6,0)</f>
        <v>Import</v>
      </c>
      <c r="L18" t="str">
        <f>VLOOKUP(SAPData[[#This Row],[Adjustment Type]],Notes!$B$13:$D$36,3,FALSE)</f>
        <v>Stock Losses/Gains</v>
      </c>
      <c r="M18" t="s">
        <v>811</v>
      </c>
      <c r="N18" t="s">
        <v>152</v>
      </c>
      <c r="O18" t="s">
        <v>73</v>
      </c>
      <c r="P18" s="2">
        <v>46141</v>
      </c>
      <c r="Q18" s="3">
        <v>0.52241898148148003</v>
      </c>
      <c r="R18" t="s">
        <v>25</v>
      </c>
      <c r="S18" t="s">
        <v>26</v>
      </c>
      <c r="T18" s="19">
        <v>-132</v>
      </c>
      <c r="U18" t="s">
        <v>7</v>
      </c>
      <c r="V18" t="s">
        <v>7</v>
      </c>
      <c r="W18" s="19">
        <v>-132</v>
      </c>
      <c r="X18" s="19">
        <f>W18/VLOOKUP(G18,N_ref[#All],7,0)</f>
        <v>-3.3</v>
      </c>
      <c r="Y18" s="19" t="str">
        <f>IF(SAPData[[#This Row],[Quantity]]&gt;0,"Gain","Loss")</f>
        <v>Loss</v>
      </c>
      <c r="Z18" t="s">
        <v>21</v>
      </c>
      <c r="AA18" s="2">
        <v>46141</v>
      </c>
      <c r="AB18" s="2">
        <v>46141</v>
      </c>
      <c r="AC18" s="4">
        <v>-4969323.4800000004</v>
      </c>
      <c r="AD18" t="s">
        <v>74</v>
      </c>
      <c r="AE18" t="s">
        <v>8</v>
      </c>
      <c r="AF18" t="s">
        <v>8</v>
      </c>
      <c r="AG18" t="s">
        <v>30</v>
      </c>
      <c r="AH18" t="s">
        <v>8</v>
      </c>
      <c r="AI18" t="s">
        <v>8</v>
      </c>
      <c r="AJ18" t="s">
        <v>10</v>
      </c>
      <c r="AK18" t="s">
        <v>8</v>
      </c>
      <c r="AL18" t="s">
        <v>11</v>
      </c>
      <c r="AM18" t="s">
        <v>8</v>
      </c>
      <c r="AN18" t="s">
        <v>12</v>
      </c>
      <c r="AO18" t="s">
        <v>11</v>
      </c>
      <c r="AP18" t="s">
        <v>8</v>
      </c>
      <c r="AQ18" t="s">
        <v>13</v>
      </c>
      <c r="AR18" t="s">
        <v>8</v>
      </c>
      <c r="AS18" t="s">
        <v>8</v>
      </c>
      <c r="AT18" t="s">
        <v>8</v>
      </c>
      <c r="AU18" t="s">
        <v>8</v>
      </c>
      <c r="AV18" t="s">
        <v>8</v>
      </c>
      <c r="AW18" t="s">
        <v>14</v>
      </c>
      <c r="AX18" t="s">
        <v>15</v>
      </c>
    </row>
    <row r="19" spans="1:50" x14ac:dyDescent="0.2">
      <c r="A19" t="str">
        <f>TEXT(P19,"mmm")</f>
        <v>Apr</v>
      </c>
      <c r="B19" t="s">
        <v>119</v>
      </c>
      <c r="C19" t="s">
        <v>957</v>
      </c>
      <c r="D19" t="s">
        <v>0</v>
      </c>
      <c r="E19" t="s">
        <v>1</v>
      </c>
      <c r="F19" t="s">
        <v>72</v>
      </c>
      <c r="G19" t="s">
        <v>3</v>
      </c>
      <c r="H19" t="s">
        <v>4</v>
      </c>
      <c r="I19" t="str">
        <f>VLOOKUP(G19,N_ref[#All],5,0)</f>
        <v>Flour Al-Nagm (Mill)</v>
      </c>
      <c r="J19" t="str">
        <f>VLOOKUP(SAPData[[#This Row],[Material]],N_ref[#All],10,FALSE)</f>
        <v>Flour</v>
      </c>
      <c r="K19" t="str">
        <f>VLOOKUP(G19,N_ref[#All],6,0)</f>
        <v>Import</v>
      </c>
      <c r="L19" t="str">
        <f>VLOOKUP(SAPData[[#This Row],[Adjustment Type]],Notes!$B$13:$D$36,3,FALSE)</f>
        <v>Stock Losses/Gains</v>
      </c>
      <c r="M19" t="s">
        <v>811</v>
      </c>
      <c r="N19" t="s">
        <v>152</v>
      </c>
      <c r="O19" t="s">
        <v>73</v>
      </c>
      <c r="P19" s="2">
        <v>46141</v>
      </c>
      <c r="Q19" s="3">
        <v>0.52241898148148003</v>
      </c>
      <c r="R19" t="s">
        <v>25</v>
      </c>
      <c r="S19" t="s">
        <v>26</v>
      </c>
      <c r="T19" s="19">
        <v>-30</v>
      </c>
      <c r="U19" t="s">
        <v>7</v>
      </c>
      <c r="V19" t="s">
        <v>7</v>
      </c>
      <c r="W19" s="19">
        <v>-30</v>
      </c>
      <c r="X19" s="19">
        <f>W19/VLOOKUP(G19,N_ref[#All],7,0)</f>
        <v>-0.75</v>
      </c>
      <c r="Y19" s="19" t="str">
        <f>IF(SAPData[[#This Row],[Quantity]]&gt;0,"Gain","Loss")</f>
        <v>Loss</v>
      </c>
      <c r="Z19" t="s">
        <v>21</v>
      </c>
      <c r="AA19" s="2">
        <v>46141</v>
      </c>
      <c r="AB19" s="2">
        <v>46141</v>
      </c>
      <c r="AC19" s="4">
        <v>-1129391.7</v>
      </c>
      <c r="AD19" t="s">
        <v>74</v>
      </c>
      <c r="AE19" t="s">
        <v>8</v>
      </c>
      <c r="AF19" t="s">
        <v>8</v>
      </c>
      <c r="AG19" t="s">
        <v>29</v>
      </c>
      <c r="AH19" t="s">
        <v>8</v>
      </c>
      <c r="AI19" t="s">
        <v>8</v>
      </c>
      <c r="AJ19" t="s">
        <v>10</v>
      </c>
      <c r="AK19" t="s">
        <v>8</v>
      </c>
      <c r="AL19" t="s">
        <v>11</v>
      </c>
      <c r="AM19" t="s">
        <v>8</v>
      </c>
      <c r="AN19" t="s">
        <v>12</v>
      </c>
      <c r="AO19" t="s">
        <v>11</v>
      </c>
      <c r="AP19" t="s">
        <v>8</v>
      </c>
      <c r="AQ19" t="s">
        <v>13</v>
      </c>
      <c r="AR19" t="s">
        <v>8</v>
      </c>
      <c r="AS19" t="s">
        <v>8</v>
      </c>
      <c r="AT19" t="s">
        <v>8</v>
      </c>
      <c r="AU19" t="s">
        <v>8</v>
      </c>
      <c r="AV19" t="s">
        <v>8</v>
      </c>
      <c r="AW19" t="s">
        <v>14</v>
      </c>
      <c r="AX19" t="s">
        <v>15</v>
      </c>
    </row>
    <row r="20" spans="1:50" x14ac:dyDescent="0.2">
      <c r="A20" t="str">
        <f>TEXT(P20,"mmm")</f>
        <v>Apr</v>
      </c>
      <c r="B20" t="s">
        <v>119</v>
      </c>
      <c r="C20" t="s">
        <v>958</v>
      </c>
      <c r="D20" t="s">
        <v>0</v>
      </c>
      <c r="E20" t="s">
        <v>1</v>
      </c>
      <c r="F20" t="s">
        <v>75</v>
      </c>
      <c r="G20" t="s">
        <v>3</v>
      </c>
      <c r="H20" t="s">
        <v>4</v>
      </c>
      <c r="I20" t="str">
        <f>VLOOKUP(G20,N_ref[#All],5,0)</f>
        <v>Flour Al-Nagm (Mill)</v>
      </c>
      <c r="J20" t="str">
        <f>VLOOKUP(SAPData[[#This Row],[Material]],N_ref[#All],10,FALSE)</f>
        <v>Flour</v>
      </c>
      <c r="K20" t="str">
        <f>VLOOKUP(G20,N_ref[#All],6,0)</f>
        <v>Import</v>
      </c>
      <c r="L20" t="str">
        <f>VLOOKUP(SAPData[[#This Row],[Adjustment Type]],Notes!$B$13:$D$36,3,FALSE)</f>
        <v>Stock Losses/Gains</v>
      </c>
      <c r="M20" t="s">
        <v>811</v>
      </c>
      <c r="N20" t="s">
        <v>152</v>
      </c>
      <c r="O20" t="s">
        <v>73</v>
      </c>
      <c r="P20" s="2">
        <v>46141</v>
      </c>
      <c r="Q20" s="3">
        <v>0.52241898148148003</v>
      </c>
      <c r="R20" t="s">
        <v>25</v>
      </c>
      <c r="S20" t="s">
        <v>26</v>
      </c>
      <c r="T20" s="19">
        <v>-4</v>
      </c>
      <c r="U20" t="s">
        <v>7</v>
      </c>
      <c r="V20" t="s">
        <v>7</v>
      </c>
      <c r="W20" s="19">
        <v>-4</v>
      </c>
      <c r="X20" s="19">
        <f>W20/VLOOKUP(G20,N_ref[#All],7,0)</f>
        <v>-0.1</v>
      </c>
      <c r="Y20" s="19" t="str">
        <f>IF(SAPData[[#This Row],[Quantity]]&gt;0,"Gain","Loss")</f>
        <v>Loss</v>
      </c>
      <c r="Z20" t="s">
        <v>21</v>
      </c>
      <c r="AA20" s="2">
        <v>46141</v>
      </c>
      <c r="AB20" s="2">
        <v>46141</v>
      </c>
      <c r="AC20" s="4">
        <v>-150585.56</v>
      </c>
      <c r="AD20" t="s">
        <v>74</v>
      </c>
      <c r="AE20" t="s">
        <v>8</v>
      </c>
      <c r="AF20" t="s">
        <v>8</v>
      </c>
      <c r="AG20" t="s">
        <v>9</v>
      </c>
      <c r="AH20" t="s">
        <v>8</v>
      </c>
      <c r="AI20" t="s">
        <v>8</v>
      </c>
      <c r="AJ20" t="s">
        <v>10</v>
      </c>
      <c r="AK20" t="s">
        <v>8</v>
      </c>
      <c r="AL20" t="s">
        <v>11</v>
      </c>
      <c r="AM20" t="s">
        <v>8</v>
      </c>
      <c r="AN20" t="s">
        <v>12</v>
      </c>
      <c r="AO20" t="s">
        <v>11</v>
      </c>
      <c r="AP20" t="s">
        <v>8</v>
      </c>
      <c r="AQ20" t="s">
        <v>13</v>
      </c>
      <c r="AR20" t="s">
        <v>8</v>
      </c>
      <c r="AS20" t="s">
        <v>8</v>
      </c>
      <c r="AT20" t="s">
        <v>8</v>
      </c>
      <c r="AU20" t="s">
        <v>8</v>
      </c>
      <c r="AV20" t="s">
        <v>8</v>
      </c>
      <c r="AW20" t="s">
        <v>14</v>
      </c>
      <c r="AX20" t="s">
        <v>15</v>
      </c>
    </row>
    <row r="21" spans="1:50" x14ac:dyDescent="0.2">
      <c r="A21" t="str">
        <f>TEXT(P21,"mmm")</f>
        <v>Apr</v>
      </c>
      <c r="B21" t="s">
        <v>119</v>
      </c>
      <c r="C21" t="s">
        <v>957</v>
      </c>
      <c r="D21" t="s">
        <v>0</v>
      </c>
      <c r="E21" t="s">
        <v>1</v>
      </c>
      <c r="F21" t="s">
        <v>72</v>
      </c>
      <c r="G21" t="s">
        <v>19</v>
      </c>
      <c r="H21" t="s">
        <v>20</v>
      </c>
      <c r="I21" t="str">
        <f>VLOOKUP(G21,N_ref[#All],5,0)</f>
        <v>Flour Al-Nagm (Imported)</v>
      </c>
      <c r="J21" t="str">
        <f>VLOOKUP(SAPData[[#This Row],[Material]],N_ref[#All],10,FALSE)</f>
        <v>Flour</v>
      </c>
      <c r="K21" t="str">
        <f>VLOOKUP(G21,N_ref[#All],6,0)</f>
        <v>Import</v>
      </c>
      <c r="L21" t="str">
        <f>VLOOKUP(SAPData[[#This Row],[Adjustment Type]],Notes!$B$13:$D$36,3,FALSE)</f>
        <v>Stock Losses/Gains</v>
      </c>
      <c r="M21" t="s">
        <v>811</v>
      </c>
      <c r="N21" t="s">
        <v>152</v>
      </c>
      <c r="O21" t="s">
        <v>73</v>
      </c>
      <c r="P21" s="2">
        <v>46141</v>
      </c>
      <c r="Q21" s="3">
        <v>0.52241898148148003</v>
      </c>
      <c r="R21" t="s">
        <v>25</v>
      </c>
      <c r="S21" t="s">
        <v>26</v>
      </c>
      <c r="T21" s="19">
        <v>-312</v>
      </c>
      <c r="U21" t="s">
        <v>7</v>
      </c>
      <c r="V21" t="s">
        <v>7</v>
      </c>
      <c r="W21" s="19">
        <v>-312</v>
      </c>
      <c r="X21" s="19">
        <f>W21/VLOOKUP(G21,N_ref[#All],7,0)</f>
        <v>-7.8</v>
      </c>
      <c r="Y21" s="19" t="str">
        <f>IF(SAPData[[#This Row],[Quantity]]&gt;0,"Gain","Loss")</f>
        <v>Loss</v>
      </c>
      <c r="Z21" t="s">
        <v>21</v>
      </c>
      <c r="AA21" s="2">
        <v>46141</v>
      </c>
      <c r="AB21" s="2">
        <v>46141</v>
      </c>
      <c r="AC21" s="4">
        <v>-11901240</v>
      </c>
      <c r="AD21" t="s">
        <v>74</v>
      </c>
      <c r="AE21" t="s">
        <v>8</v>
      </c>
      <c r="AF21" t="s">
        <v>8</v>
      </c>
      <c r="AG21" t="s">
        <v>28</v>
      </c>
      <c r="AH21" t="s">
        <v>8</v>
      </c>
      <c r="AI21" t="s">
        <v>8</v>
      </c>
      <c r="AJ21" t="s">
        <v>10</v>
      </c>
      <c r="AK21" t="s">
        <v>8</v>
      </c>
      <c r="AL21" t="s">
        <v>11</v>
      </c>
      <c r="AM21" t="s">
        <v>8</v>
      </c>
      <c r="AN21" t="s">
        <v>12</v>
      </c>
      <c r="AO21" t="s">
        <v>11</v>
      </c>
      <c r="AP21" t="s">
        <v>8</v>
      </c>
      <c r="AQ21" t="s">
        <v>13</v>
      </c>
      <c r="AR21" t="s">
        <v>8</v>
      </c>
      <c r="AS21" t="s">
        <v>8</v>
      </c>
      <c r="AT21" t="s">
        <v>8</v>
      </c>
      <c r="AU21" t="s">
        <v>8</v>
      </c>
      <c r="AV21" t="s">
        <v>8</v>
      </c>
      <c r="AW21" t="s">
        <v>14</v>
      </c>
      <c r="AX21" t="s">
        <v>15</v>
      </c>
    </row>
    <row r="22" spans="1:50" x14ac:dyDescent="0.2">
      <c r="A22" t="str">
        <f>TEXT(P22,"mmm")</f>
        <v>Apr</v>
      </c>
      <c r="B22" t="s">
        <v>119</v>
      </c>
      <c r="C22" t="s">
        <v>957</v>
      </c>
      <c r="D22" t="s">
        <v>0</v>
      </c>
      <c r="E22" t="s">
        <v>1</v>
      </c>
      <c r="F22" t="s">
        <v>72</v>
      </c>
      <c r="G22" t="s">
        <v>19</v>
      </c>
      <c r="H22" t="s">
        <v>20</v>
      </c>
      <c r="I22" t="str">
        <f>VLOOKUP(G22,N_ref[#All],5,0)</f>
        <v>Flour Al-Nagm (Imported)</v>
      </c>
      <c r="J22" t="str">
        <f>VLOOKUP(SAPData[[#This Row],[Material]],N_ref[#All],10,FALSE)</f>
        <v>Flour</v>
      </c>
      <c r="K22" t="str">
        <f>VLOOKUP(G22,N_ref[#All],6,0)</f>
        <v>Import</v>
      </c>
      <c r="L22" t="str">
        <f>VLOOKUP(SAPData[[#This Row],[Adjustment Type]],Notes!$B$13:$D$36,3,FALSE)</f>
        <v>Stock Losses/Gains</v>
      </c>
      <c r="M22" t="s">
        <v>811</v>
      </c>
      <c r="N22" t="s">
        <v>152</v>
      </c>
      <c r="O22" t="s">
        <v>73</v>
      </c>
      <c r="P22" s="2">
        <v>46141</v>
      </c>
      <c r="Q22" s="3">
        <v>0.52241898148148003</v>
      </c>
      <c r="R22" t="s">
        <v>25</v>
      </c>
      <c r="S22" t="s">
        <v>26</v>
      </c>
      <c r="T22" s="19">
        <v>-18</v>
      </c>
      <c r="U22" t="s">
        <v>7</v>
      </c>
      <c r="V22" t="s">
        <v>7</v>
      </c>
      <c r="W22" s="19">
        <v>-18</v>
      </c>
      <c r="X22" s="19">
        <f>W22/VLOOKUP(G22,N_ref[#All],7,0)</f>
        <v>-0.45</v>
      </c>
      <c r="Y22" s="19" t="str">
        <f>IF(SAPData[[#This Row],[Quantity]]&gt;0,"Gain","Loss")</f>
        <v>Loss</v>
      </c>
      <c r="Z22" t="s">
        <v>21</v>
      </c>
      <c r="AA22" s="2">
        <v>46141</v>
      </c>
      <c r="AB22" s="2">
        <v>46141</v>
      </c>
      <c r="AC22" s="4">
        <v>-686610</v>
      </c>
      <c r="AD22" t="s">
        <v>74</v>
      </c>
      <c r="AE22" t="s">
        <v>8</v>
      </c>
      <c r="AF22" t="s">
        <v>8</v>
      </c>
      <c r="AG22" t="s">
        <v>27</v>
      </c>
      <c r="AH22" t="s">
        <v>8</v>
      </c>
      <c r="AI22" t="s">
        <v>8</v>
      </c>
      <c r="AJ22" t="s">
        <v>10</v>
      </c>
      <c r="AK22" t="s">
        <v>8</v>
      </c>
      <c r="AL22" t="s">
        <v>11</v>
      </c>
      <c r="AM22" t="s">
        <v>8</v>
      </c>
      <c r="AN22" t="s">
        <v>12</v>
      </c>
      <c r="AO22" t="s">
        <v>11</v>
      </c>
      <c r="AP22" t="s">
        <v>8</v>
      </c>
      <c r="AQ22" t="s">
        <v>13</v>
      </c>
      <c r="AR22" t="s">
        <v>8</v>
      </c>
      <c r="AS22" t="s">
        <v>8</v>
      </c>
      <c r="AT22" t="s">
        <v>8</v>
      </c>
      <c r="AU22" t="s">
        <v>8</v>
      </c>
      <c r="AV22" t="s">
        <v>8</v>
      </c>
      <c r="AW22" t="s">
        <v>14</v>
      </c>
      <c r="AX22" t="s">
        <v>15</v>
      </c>
    </row>
    <row r="23" spans="1:50" x14ac:dyDescent="0.2">
      <c r="A23" t="str">
        <f>TEXT(P23,"mmm")</f>
        <v>Jun</v>
      </c>
      <c r="B23" t="s">
        <v>119</v>
      </c>
      <c r="C23" t="s">
        <v>964</v>
      </c>
      <c r="D23" t="s">
        <v>0</v>
      </c>
      <c r="E23" t="s">
        <v>1</v>
      </c>
      <c r="F23" t="s">
        <v>856</v>
      </c>
      <c r="G23" t="s">
        <v>669</v>
      </c>
      <c r="H23" t="s">
        <v>670</v>
      </c>
      <c r="I23" t="str">
        <f>VLOOKUP(G23,N_ref[#All],5,0)</f>
        <v>Tank Flexi Oil</v>
      </c>
      <c r="J23" t="str">
        <f>VLOOKUP(SAPData[[#This Row],[Material]],N_ref[#All],10,FALSE)</f>
        <v>Packaging</v>
      </c>
      <c r="K23" t="str">
        <f>VLOOKUP(G23,N_ref[#All],6,0)</f>
        <v>Export</v>
      </c>
      <c r="L23" t="str">
        <f>VLOOKUP(SAPData[[#This Row],[Adjustment Type]],Notes!$B$13:$D$36,3,FALSE)</f>
        <v>Stock Losses/Gains</v>
      </c>
      <c r="M23" t="s">
        <v>811</v>
      </c>
      <c r="N23" t="s">
        <v>152</v>
      </c>
      <c r="O23" t="s">
        <v>926</v>
      </c>
      <c r="P23" s="2">
        <v>46183</v>
      </c>
      <c r="Q23" s="3">
        <v>0.66481481481480997</v>
      </c>
      <c r="R23" t="s">
        <v>927</v>
      </c>
      <c r="S23" t="s">
        <v>928</v>
      </c>
      <c r="T23" s="19">
        <v>-229</v>
      </c>
      <c r="U23" t="s">
        <v>671</v>
      </c>
      <c r="V23" t="s">
        <v>671</v>
      </c>
      <c r="W23" s="19">
        <v>-229</v>
      </c>
      <c r="X23" s="19" t="str">
        <f>IFERROR(W23/VLOOKUP(G23,N_ref[#All],7,0),"-")</f>
        <v>-</v>
      </c>
      <c r="Y23" s="19" t="str">
        <f>IF(SAPData[[#This Row],[Quantity]]&gt;0,"Gain","Loss")</f>
        <v>Loss</v>
      </c>
      <c r="Z23" t="s">
        <v>21</v>
      </c>
      <c r="AA23" s="2">
        <v>46183</v>
      </c>
      <c r="AB23" s="2">
        <v>46183</v>
      </c>
      <c r="AC23" s="4">
        <v>-230697219.75999999</v>
      </c>
      <c r="AD23" t="s">
        <v>895</v>
      </c>
      <c r="AE23" t="s">
        <v>8</v>
      </c>
      <c r="AF23" t="s">
        <v>8</v>
      </c>
      <c r="AG23" t="s">
        <v>9</v>
      </c>
      <c r="AH23" t="s">
        <v>8</v>
      </c>
      <c r="AI23" t="s">
        <v>8</v>
      </c>
      <c r="AJ23" t="s">
        <v>10</v>
      </c>
      <c r="AK23" t="s">
        <v>8</v>
      </c>
      <c r="AL23" t="s">
        <v>11</v>
      </c>
      <c r="AM23" t="s">
        <v>8</v>
      </c>
      <c r="AN23" t="s">
        <v>12</v>
      </c>
      <c r="AO23" t="s">
        <v>11</v>
      </c>
      <c r="AP23" t="s">
        <v>8</v>
      </c>
      <c r="AQ23" t="s">
        <v>8</v>
      </c>
      <c r="AR23" t="s">
        <v>8</v>
      </c>
      <c r="AS23" t="s">
        <v>8</v>
      </c>
      <c r="AT23" t="s">
        <v>8</v>
      </c>
      <c r="AU23" t="s">
        <v>8</v>
      </c>
      <c r="AV23" t="s">
        <v>8</v>
      </c>
      <c r="AW23" t="s">
        <v>14</v>
      </c>
      <c r="AX23" t="s">
        <v>15</v>
      </c>
    </row>
    <row r="24" spans="1:50" x14ac:dyDescent="0.2">
      <c r="A24" t="str">
        <f>TEXT(P24,"mmm")</f>
        <v>Jun</v>
      </c>
      <c r="B24" t="s">
        <v>119</v>
      </c>
      <c r="C24" t="s">
        <v>964</v>
      </c>
      <c r="D24" t="s">
        <v>0</v>
      </c>
      <c r="E24" t="s">
        <v>1</v>
      </c>
      <c r="F24" t="s">
        <v>856</v>
      </c>
      <c r="G24" t="s">
        <v>858</v>
      </c>
      <c r="H24" t="s">
        <v>859</v>
      </c>
      <c r="I24" t="str">
        <f>VLOOKUP(G24,N_ref[#All],5,0)</f>
        <v>Flexi Tank - Damaged</v>
      </c>
      <c r="J24" t="str">
        <f>VLOOKUP(SAPData[[#This Row],[Material]],N_ref[#All],10,FALSE)</f>
        <v>Packaging</v>
      </c>
      <c r="K24" t="str">
        <f>VLOOKUP(G24,N_ref[#All],6,0)</f>
        <v>Export</v>
      </c>
      <c r="L24" t="str">
        <f>VLOOKUP(SAPData[[#This Row],[Adjustment Type]],Notes!$B$13:$D$36,3,FALSE)</f>
        <v>Stock Losses/Gains</v>
      </c>
      <c r="M24" t="s">
        <v>811</v>
      </c>
      <c r="N24" t="s">
        <v>152</v>
      </c>
      <c r="O24" t="s">
        <v>926</v>
      </c>
      <c r="P24" s="2">
        <v>46183</v>
      </c>
      <c r="Q24" s="3">
        <v>0.66481481481480997</v>
      </c>
      <c r="R24" t="s">
        <v>927</v>
      </c>
      <c r="S24" t="s">
        <v>928</v>
      </c>
      <c r="T24" s="19">
        <v>229</v>
      </c>
      <c r="U24" t="s">
        <v>671</v>
      </c>
      <c r="V24" t="s">
        <v>671</v>
      </c>
      <c r="W24" s="19">
        <v>229</v>
      </c>
      <c r="X24" s="19" t="str">
        <f>IFERROR(W24/VLOOKUP(G24,N_ref[#All],7,0),"-")</f>
        <v>-</v>
      </c>
      <c r="Y24" s="19" t="str">
        <f>IF(SAPData[[#This Row],[Quantity]]&gt;0,"Gain","Loss")</f>
        <v>Gain</v>
      </c>
      <c r="Z24" t="s">
        <v>8</v>
      </c>
      <c r="AA24" s="2">
        <v>46183</v>
      </c>
      <c r="AB24" s="2">
        <v>46183</v>
      </c>
      <c r="AC24" s="31">
        <v>38560000</v>
      </c>
      <c r="AD24" t="s">
        <v>895</v>
      </c>
      <c r="AE24" t="s">
        <v>8</v>
      </c>
      <c r="AF24" t="s">
        <v>8</v>
      </c>
      <c r="AG24" t="s">
        <v>27</v>
      </c>
      <c r="AH24" t="s">
        <v>8</v>
      </c>
      <c r="AI24" t="s">
        <v>8</v>
      </c>
      <c r="AJ24" t="s">
        <v>10</v>
      </c>
      <c r="AK24" t="s">
        <v>8</v>
      </c>
      <c r="AL24" t="s">
        <v>11</v>
      </c>
      <c r="AM24" t="s">
        <v>8</v>
      </c>
      <c r="AN24" t="s">
        <v>12</v>
      </c>
      <c r="AO24" t="s">
        <v>11</v>
      </c>
      <c r="AP24" t="s">
        <v>8</v>
      </c>
      <c r="AQ24" t="s">
        <v>8</v>
      </c>
      <c r="AR24" t="s">
        <v>8</v>
      </c>
      <c r="AS24" t="s">
        <v>8</v>
      </c>
      <c r="AT24" t="s">
        <v>8</v>
      </c>
      <c r="AU24" t="s">
        <v>8</v>
      </c>
      <c r="AV24" t="s">
        <v>8</v>
      </c>
      <c r="AW24" t="s">
        <v>14</v>
      </c>
      <c r="AX24" t="s">
        <v>15</v>
      </c>
    </row>
    <row r="25" spans="1:50" x14ac:dyDescent="0.2">
      <c r="A25" t="str">
        <f>TEXT(P25,"mmm")</f>
        <v>Jul</v>
      </c>
      <c r="B25" t="s">
        <v>119</v>
      </c>
      <c r="C25" s="30" t="s">
        <v>1035</v>
      </c>
      <c r="D25" t="s">
        <v>0</v>
      </c>
      <c r="E25" t="s">
        <v>1</v>
      </c>
      <c r="F25" t="s">
        <v>2</v>
      </c>
      <c r="G25" t="s">
        <v>293</v>
      </c>
      <c r="H25" t="s">
        <v>294</v>
      </c>
      <c r="I25" t="str">
        <f>VLOOKUP(G25,N_ref[#All],5,0)</f>
        <v>Rice Long Grain</v>
      </c>
      <c r="J25" t="str">
        <f>VLOOKUP(SAPData[[#This Row],[Material]],N_ref[#All],10,FALSE)</f>
        <v>Rice</v>
      </c>
      <c r="K25" t="str">
        <f>VLOOKUP(G25,N_ref[#All],6,0)</f>
        <v>Import</v>
      </c>
      <c r="L25" t="str">
        <f>VLOOKUP(SAPData[[#This Row],[Adjustment Type]],Notes!$B$13:$D$36,3,FALSE)</f>
        <v>Stock Losses/Gains</v>
      </c>
      <c r="M25" t="s">
        <v>811</v>
      </c>
      <c r="N25" t="s">
        <v>152</v>
      </c>
      <c r="O25" t="s">
        <v>968</v>
      </c>
      <c r="P25" s="2">
        <v>46211</v>
      </c>
      <c r="Q25" s="3">
        <v>0.46296296296296002</v>
      </c>
      <c r="R25" t="s">
        <v>25</v>
      </c>
      <c r="S25" t="s">
        <v>26</v>
      </c>
      <c r="T25" s="19">
        <v>-20</v>
      </c>
      <c r="U25" t="s">
        <v>7</v>
      </c>
      <c r="V25" t="s">
        <v>7</v>
      </c>
      <c r="W25" s="19">
        <v>-20</v>
      </c>
      <c r="X25" s="19">
        <f>W25/VLOOKUP(G25,N_ref[#All],7,0)</f>
        <v>-0.4</v>
      </c>
      <c r="Y25" s="19" t="str">
        <f>IF(SAPData[[#This Row],[Quantity]]&gt;0,"Gain","Loss")</f>
        <v>Loss</v>
      </c>
      <c r="Z25" t="s">
        <v>21</v>
      </c>
      <c r="AA25" s="2">
        <v>46211</v>
      </c>
      <c r="AB25" s="2">
        <v>46211</v>
      </c>
      <c r="AC25" s="4">
        <v>-947906</v>
      </c>
      <c r="AD25" t="s">
        <v>978</v>
      </c>
      <c r="AE25" t="s">
        <v>8</v>
      </c>
      <c r="AF25" t="s">
        <v>8</v>
      </c>
      <c r="AG25" t="s">
        <v>9</v>
      </c>
      <c r="AH25" t="s">
        <v>8</v>
      </c>
      <c r="AI25" t="s">
        <v>8</v>
      </c>
      <c r="AJ25" t="s">
        <v>10</v>
      </c>
      <c r="AK25" t="s">
        <v>8</v>
      </c>
      <c r="AL25" t="s">
        <v>11</v>
      </c>
      <c r="AM25" t="s">
        <v>8</v>
      </c>
      <c r="AN25" t="s">
        <v>12</v>
      </c>
      <c r="AO25" t="s">
        <v>11</v>
      </c>
      <c r="AP25" t="s">
        <v>8</v>
      </c>
      <c r="AQ25" t="s">
        <v>13</v>
      </c>
      <c r="AR25" t="s">
        <v>8</v>
      </c>
      <c r="AS25" t="s">
        <v>8</v>
      </c>
      <c r="AT25" t="s">
        <v>8</v>
      </c>
      <c r="AU25" t="s">
        <v>8</v>
      </c>
      <c r="AV25" t="s">
        <v>8</v>
      </c>
      <c r="AW25" t="s">
        <v>14</v>
      </c>
      <c r="AX25" t="s">
        <v>15</v>
      </c>
    </row>
    <row r="26" spans="1:50" x14ac:dyDescent="0.2">
      <c r="A26" t="str">
        <f>TEXT(P26,"mmm")</f>
        <v>Jul</v>
      </c>
      <c r="B26" t="s">
        <v>119</v>
      </c>
      <c r="C26" s="30" t="s">
        <v>1035</v>
      </c>
      <c r="D26" t="s">
        <v>0</v>
      </c>
      <c r="E26" t="s">
        <v>1</v>
      </c>
      <c r="F26" t="s">
        <v>2</v>
      </c>
      <c r="G26" t="s">
        <v>63</v>
      </c>
      <c r="H26" t="s">
        <v>64</v>
      </c>
      <c r="I26" t="str">
        <f>VLOOKUP(G26,N_ref[#All],5,0)</f>
        <v>Rice - Damaged</v>
      </c>
      <c r="J26" t="str">
        <f>VLOOKUP(SAPData[[#This Row],[Material]],N_ref[#All],10,FALSE)</f>
        <v>Rice</v>
      </c>
      <c r="K26" t="str">
        <f>VLOOKUP(G26,N_ref[#All],6,0)</f>
        <v>Import</v>
      </c>
      <c r="L26" t="str">
        <f>VLOOKUP(SAPData[[#This Row],[Adjustment Type]],Notes!$B$13:$D$36,3,FALSE)</f>
        <v>Stock Losses/Gains</v>
      </c>
      <c r="M26" t="s">
        <v>811</v>
      </c>
      <c r="N26" t="s">
        <v>152</v>
      </c>
      <c r="O26" t="s">
        <v>968</v>
      </c>
      <c r="P26" s="2">
        <v>46211</v>
      </c>
      <c r="Q26" s="3">
        <v>0.46296296296296002</v>
      </c>
      <c r="R26" t="s">
        <v>5</v>
      </c>
      <c r="S26" t="s">
        <v>6</v>
      </c>
      <c r="T26" s="19">
        <v>20</v>
      </c>
      <c r="U26" t="s">
        <v>7</v>
      </c>
      <c r="V26" t="s">
        <v>7</v>
      </c>
      <c r="W26" s="19">
        <v>20</v>
      </c>
      <c r="X26" s="19">
        <f>W26/VLOOKUP(G26,N_ref[#All],7,0)</f>
        <v>0.4</v>
      </c>
      <c r="Y26" s="19" t="str">
        <f>IF(SAPData[[#This Row],[Quantity]]&gt;0,"Gain","Loss")</f>
        <v>Gain</v>
      </c>
      <c r="Z26" t="s">
        <v>8</v>
      </c>
      <c r="AA26" s="2">
        <v>46211</v>
      </c>
      <c r="AB26" s="2">
        <v>46211</v>
      </c>
      <c r="AC26" s="31">
        <v>100000</v>
      </c>
      <c r="AD26" t="s">
        <v>978</v>
      </c>
      <c r="AE26" t="s">
        <v>8</v>
      </c>
      <c r="AF26" t="s">
        <v>8</v>
      </c>
      <c r="AG26" t="s">
        <v>27</v>
      </c>
      <c r="AH26" t="s">
        <v>8</v>
      </c>
      <c r="AI26" t="s">
        <v>8</v>
      </c>
      <c r="AJ26" t="s">
        <v>10</v>
      </c>
      <c r="AK26" t="s">
        <v>8</v>
      </c>
      <c r="AL26" t="s">
        <v>11</v>
      </c>
      <c r="AM26" t="s">
        <v>8</v>
      </c>
      <c r="AN26" t="s">
        <v>12</v>
      </c>
      <c r="AO26" t="s">
        <v>11</v>
      </c>
      <c r="AP26" t="s">
        <v>8</v>
      </c>
      <c r="AQ26" t="s">
        <v>13</v>
      </c>
      <c r="AR26" t="s">
        <v>8</v>
      </c>
      <c r="AS26" t="s">
        <v>8</v>
      </c>
      <c r="AT26" t="s">
        <v>8</v>
      </c>
      <c r="AU26" t="s">
        <v>8</v>
      </c>
      <c r="AV26" t="s">
        <v>8</v>
      </c>
      <c r="AW26" t="s">
        <v>14</v>
      </c>
      <c r="AX26" t="s">
        <v>15</v>
      </c>
    </row>
    <row r="27" spans="1:50" x14ac:dyDescent="0.2">
      <c r="A27" t="str">
        <f>TEXT(P27,"mmm")</f>
        <v>May</v>
      </c>
      <c r="B27" t="s">
        <v>777</v>
      </c>
      <c r="C27" s="30" t="s">
        <v>959</v>
      </c>
      <c r="D27" t="s">
        <v>0</v>
      </c>
      <c r="E27" t="s">
        <v>1</v>
      </c>
      <c r="F27" t="s">
        <v>54</v>
      </c>
      <c r="G27" t="s">
        <v>16</v>
      </c>
      <c r="H27" t="s">
        <v>17</v>
      </c>
      <c r="I27" t="str">
        <f>VLOOKUP(G27,N_ref[#All],5,0)</f>
        <v>Lentils</v>
      </c>
      <c r="J27" t="str">
        <f>VLOOKUP(SAPData[[#This Row],[Material]],N_ref[#All],10,FALSE)</f>
        <v>Lentil</v>
      </c>
      <c r="K27" t="str">
        <f>VLOOKUP(G27,N_ref[#All],6,0)</f>
        <v>Import</v>
      </c>
      <c r="L27" t="str">
        <f>VLOOKUP(SAPData[[#This Row],[Adjustment Type]],Notes!$B$13:$D$36,3,FALSE)</f>
        <v>Stock Losses/Gains</v>
      </c>
      <c r="M27" t="s">
        <v>811</v>
      </c>
      <c r="N27" t="s">
        <v>152</v>
      </c>
      <c r="O27" t="s">
        <v>771</v>
      </c>
      <c r="P27" s="2">
        <v>46153</v>
      </c>
      <c r="Q27" s="3">
        <v>0.47210648148147999</v>
      </c>
      <c r="R27" t="s">
        <v>25</v>
      </c>
      <c r="S27" t="s">
        <v>26</v>
      </c>
      <c r="T27" s="19">
        <v>-24</v>
      </c>
      <c r="U27" t="s">
        <v>7</v>
      </c>
      <c r="V27" t="s">
        <v>7</v>
      </c>
      <c r="W27" s="19">
        <v>-24</v>
      </c>
      <c r="X27" s="29">
        <f>W27/VLOOKUP(G27,N_ref[#All],7,0)</f>
        <v>-0.48</v>
      </c>
      <c r="Y27" s="29" t="str">
        <f>IF(SAPData[[#This Row],[Quantity]]&gt;0,"Gain","Loss")</f>
        <v>Loss</v>
      </c>
      <c r="Z27" t="s">
        <v>21</v>
      </c>
      <c r="AA27" s="2">
        <v>46153</v>
      </c>
      <c r="AB27" s="2">
        <v>46153</v>
      </c>
      <c r="AC27" s="4">
        <v>-1662672</v>
      </c>
      <c r="AD27" t="s">
        <v>74</v>
      </c>
      <c r="AE27" t="s">
        <v>8</v>
      </c>
      <c r="AF27" t="s">
        <v>8</v>
      </c>
      <c r="AG27" t="s">
        <v>9</v>
      </c>
      <c r="AH27" t="s">
        <v>8</v>
      </c>
      <c r="AI27" t="s">
        <v>8</v>
      </c>
      <c r="AJ27" t="s">
        <v>10</v>
      </c>
      <c r="AK27" t="s">
        <v>8</v>
      </c>
      <c r="AL27" t="s">
        <v>11</v>
      </c>
      <c r="AM27" t="s">
        <v>8</v>
      </c>
      <c r="AN27" t="s">
        <v>12</v>
      </c>
      <c r="AO27" t="s">
        <v>11</v>
      </c>
      <c r="AP27" t="s">
        <v>8</v>
      </c>
      <c r="AQ27" t="s">
        <v>13</v>
      </c>
      <c r="AR27" t="s">
        <v>8</v>
      </c>
      <c r="AS27" t="s">
        <v>8</v>
      </c>
      <c r="AT27" t="s">
        <v>8</v>
      </c>
      <c r="AU27" t="s">
        <v>8</v>
      </c>
      <c r="AV27" t="s">
        <v>8</v>
      </c>
      <c r="AW27" t="s">
        <v>14</v>
      </c>
      <c r="AX27" t="s">
        <v>15</v>
      </c>
    </row>
    <row r="28" spans="1:50" x14ac:dyDescent="0.2">
      <c r="A28" t="str">
        <f>TEXT(P28,"mmm")</f>
        <v>May</v>
      </c>
      <c r="B28" t="s">
        <v>777</v>
      </c>
      <c r="C28" s="30" t="s">
        <v>959</v>
      </c>
      <c r="D28" t="s">
        <v>0</v>
      </c>
      <c r="E28" t="s">
        <v>1</v>
      </c>
      <c r="F28" t="s">
        <v>54</v>
      </c>
      <c r="G28" t="s">
        <v>16</v>
      </c>
      <c r="H28" t="s">
        <v>17</v>
      </c>
      <c r="I28" t="str">
        <f>VLOOKUP(G28,N_ref[#All],5,0)</f>
        <v>Lentils</v>
      </c>
      <c r="J28" t="str">
        <f>VLOOKUP(SAPData[[#This Row],[Material]],N_ref[#All],10,FALSE)</f>
        <v>Lentil</v>
      </c>
      <c r="K28" t="str">
        <f>VLOOKUP(G28,N_ref[#All],6,0)</f>
        <v>Import</v>
      </c>
      <c r="L28" t="str">
        <f>VLOOKUP(SAPData[[#This Row],[Adjustment Type]],Notes!$B$13:$D$36,3,FALSE)</f>
        <v>Stock Losses/Gains</v>
      </c>
      <c r="M28" t="s">
        <v>811</v>
      </c>
      <c r="N28" t="s">
        <v>152</v>
      </c>
      <c r="O28" t="s">
        <v>771</v>
      </c>
      <c r="P28" s="2">
        <v>46153</v>
      </c>
      <c r="Q28" s="3">
        <v>0.47210648148147999</v>
      </c>
      <c r="R28" t="s">
        <v>25</v>
      </c>
      <c r="S28" t="s">
        <v>26</v>
      </c>
      <c r="T28" s="19">
        <v>-5</v>
      </c>
      <c r="U28" t="s">
        <v>7</v>
      </c>
      <c r="V28" t="s">
        <v>7</v>
      </c>
      <c r="W28" s="19">
        <v>-5</v>
      </c>
      <c r="X28" s="29">
        <f>W28/VLOOKUP(G28,N_ref[#All],7,0)</f>
        <v>-0.1</v>
      </c>
      <c r="Y28" s="29" t="str">
        <f>IF(SAPData[[#This Row],[Quantity]]&gt;0,"Gain","Loss")</f>
        <v>Loss</v>
      </c>
      <c r="Z28" t="s">
        <v>21</v>
      </c>
      <c r="AA28" s="2">
        <v>46153</v>
      </c>
      <c r="AB28" s="2">
        <v>46153</v>
      </c>
      <c r="AC28" s="4">
        <v>-346390</v>
      </c>
      <c r="AD28" t="s">
        <v>74</v>
      </c>
      <c r="AE28" t="s">
        <v>8</v>
      </c>
      <c r="AF28" t="s">
        <v>8</v>
      </c>
      <c r="AG28" t="s">
        <v>27</v>
      </c>
      <c r="AH28" t="s">
        <v>8</v>
      </c>
      <c r="AI28" t="s">
        <v>8</v>
      </c>
      <c r="AJ28" t="s">
        <v>10</v>
      </c>
      <c r="AK28" t="s">
        <v>8</v>
      </c>
      <c r="AL28" t="s">
        <v>11</v>
      </c>
      <c r="AM28" t="s">
        <v>8</v>
      </c>
      <c r="AN28" t="s">
        <v>12</v>
      </c>
      <c r="AO28" t="s">
        <v>11</v>
      </c>
      <c r="AP28" t="s">
        <v>8</v>
      </c>
      <c r="AQ28" t="s">
        <v>13</v>
      </c>
      <c r="AR28" t="s">
        <v>8</v>
      </c>
      <c r="AS28" t="s">
        <v>8</v>
      </c>
      <c r="AT28" t="s">
        <v>8</v>
      </c>
      <c r="AU28" t="s">
        <v>8</v>
      </c>
      <c r="AV28" t="s">
        <v>8</v>
      </c>
      <c r="AW28" t="s">
        <v>14</v>
      </c>
      <c r="AX28" t="s">
        <v>15</v>
      </c>
    </row>
    <row r="29" spans="1:50" x14ac:dyDescent="0.2">
      <c r="A29" t="str">
        <f>TEXT(P29,"mmm")</f>
        <v>May</v>
      </c>
      <c r="B29" t="s">
        <v>777</v>
      </c>
      <c r="C29" s="30" t="s">
        <v>959</v>
      </c>
      <c r="D29" t="s">
        <v>0</v>
      </c>
      <c r="E29" t="s">
        <v>1</v>
      </c>
      <c r="F29" t="s">
        <v>54</v>
      </c>
      <c r="G29" t="s">
        <v>16</v>
      </c>
      <c r="H29" t="s">
        <v>17</v>
      </c>
      <c r="I29" t="str">
        <f>VLOOKUP(G29,N_ref[#All],5,0)</f>
        <v>Lentils</v>
      </c>
      <c r="J29" t="str">
        <f>VLOOKUP(SAPData[[#This Row],[Material]],N_ref[#All],10,FALSE)</f>
        <v>Lentil</v>
      </c>
      <c r="K29" t="str">
        <f>VLOOKUP(G29,N_ref[#All],6,0)</f>
        <v>Import</v>
      </c>
      <c r="L29" t="str">
        <f>VLOOKUP(SAPData[[#This Row],[Adjustment Type]],Notes!$B$13:$D$36,3,FALSE)</f>
        <v>Stock Losses/Gains</v>
      </c>
      <c r="M29" t="s">
        <v>811</v>
      </c>
      <c r="N29" t="s">
        <v>152</v>
      </c>
      <c r="O29" t="s">
        <v>771</v>
      </c>
      <c r="P29" s="2">
        <v>46153</v>
      </c>
      <c r="Q29" s="3">
        <v>0.47210648148147999</v>
      </c>
      <c r="R29" t="s">
        <v>25</v>
      </c>
      <c r="S29" t="s">
        <v>26</v>
      </c>
      <c r="T29" s="19">
        <v>-7</v>
      </c>
      <c r="U29" t="s">
        <v>7</v>
      </c>
      <c r="V29" t="s">
        <v>7</v>
      </c>
      <c r="W29" s="19">
        <v>-7</v>
      </c>
      <c r="X29" s="29">
        <f>W29/VLOOKUP(G29,N_ref[#All],7,0)</f>
        <v>-0.14000000000000001</v>
      </c>
      <c r="Y29" s="29" t="str">
        <f>IF(SAPData[[#This Row],[Quantity]]&gt;0,"Gain","Loss")</f>
        <v>Loss</v>
      </c>
      <c r="Z29" t="s">
        <v>21</v>
      </c>
      <c r="AA29" s="2">
        <v>46153</v>
      </c>
      <c r="AB29" s="2">
        <v>46153</v>
      </c>
      <c r="AC29" s="4">
        <v>-484946</v>
      </c>
      <c r="AD29" t="s">
        <v>74</v>
      </c>
      <c r="AE29" t="s">
        <v>8</v>
      </c>
      <c r="AF29" t="s">
        <v>8</v>
      </c>
      <c r="AG29" t="s">
        <v>28</v>
      </c>
      <c r="AH29" t="s">
        <v>8</v>
      </c>
      <c r="AI29" t="s">
        <v>8</v>
      </c>
      <c r="AJ29" t="s">
        <v>10</v>
      </c>
      <c r="AK29" t="s">
        <v>8</v>
      </c>
      <c r="AL29" t="s">
        <v>11</v>
      </c>
      <c r="AM29" t="s">
        <v>8</v>
      </c>
      <c r="AN29" t="s">
        <v>12</v>
      </c>
      <c r="AO29" t="s">
        <v>11</v>
      </c>
      <c r="AP29" t="s">
        <v>8</v>
      </c>
      <c r="AQ29" t="s">
        <v>13</v>
      </c>
      <c r="AR29" t="s">
        <v>8</v>
      </c>
      <c r="AS29" t="s">
        <v>8</v>
      </c>
      <c r="AT29" t="s">
        <v>8</v>
      </c>
      <c r="AU29" t="s">
        <v>8</v>
      </c>
      <c r="AV29" t="s">
        <v>8</v>
      </c>
      <c r="AW29" t="s">
        <v>14</v>
      </c>
      <c r="AX29" t="s">
        <v>15</v>
      </c>
    </row>
    <row r="30" spans="1:50" x14ac:dyDescent="0.2">
      <c r="A30" t="str">
        <f>TEXT(P30,"mmm")</f>
        <v>May</v>
      </c>
      <c r="B30" t="s">
        <v>777</v>
      </c>
      <c r="C30" s="30" t="s">
        <v>959</v>
      </c>
      <c r="D30" t="s">
        <v>0</v>
      </c>
      <c r="E30" t="s">
        <v>1</v>
      </c>
      <c r="F30" t="s">
        <v>54</v>
      </c>
      <c r="G30" t="s">
        <v>16</v>
      </c>
      <c r="H30" t="s">
        <v>17</v>
      </c>
      <c r="I30" t="str">
        <f>VLOOKUP(G30,N_ref[#All],5,0)</f>
        <v>Lentils</v>
      </c>
      <c r="J30" t="str">
        <f>VLOOKUP(SAPData[[#This Row],[Material]],N_ref[#All],10,FALSE)</f>
        <v>Lentil</v>
      </c>
      <c r="K30" t="str">
        <f>VLOOKUP(G30,N_ref[#All],6,0)</f>
        <v>Import</v>
      </c>
      <c r="L30" t="str">
        <f>VLOOKUP(SAPData[[#This Row],[Adjustment Type]],Notes!$B$13:$D$36,3,FALSE)</f>
        <v>Stock Losses/Gains</v>
      </c>
      <c r="M30" t="s">
        <v>811</v>
      </c>
      <c r="N30" t="s">
        <v>152</v>
      </c>
      <c r="O30" t="s">
        <v>771</v>
      </c>
      <c r="P30" s="2">
        <v>46153</v>
      </c>
      <c r="Q30" s="3">
        <v>0.47210648148147999</v>
      </c>
      <c r="R30" t="s">
        <v>25</v>
      </c>
      <c r="S30" t="s">
        <v>26</v>
      </c>
      <c r="T30" s="19">
        <v>-1</v>
      </c>
      <c r="U30" t="s">
        <v>7</v>
      </c>
      <c r="V30" t="s">
        <v>7</v>
      </c>
      <c r="W30" s="19">
        <v>-1</v>
      </c>
      <c r="X30" s="29">
        <f>W30/VLOOKUP(G30,N_ref[#All],7,0)</f>
        <v>-0.02</v>
      </c>
      <c r="Y30" s="29" t="str">
        <f>IF(SAPData[[#This Row],[Quantity]]&gt;0,"Gain","Loss")</f>
        <v>Loss</v>
      </c>
      <c r="Z30" t="s">
        <v>21</v>
      </c>
      <c r="AA30" s="2">
        <v>46153</v>
      </c>
      <c r="AB30" s="2">
        <v>46153</v>
      </c>
      <c r="AC30" s="4">
        <v>-69278</v>
      </c>
      <c r="AD30" t="s">
        <v>74</v>
      </c>
      <c r="AE30" t="s">
        <v>8</v>
      </c>
      <c r="AF30" t="s">
        <v>8</v>
      </c>
      <c r="AG30" t="s">
        <v>29</v>
      </c>
      <c r="AH30" t="s">
        <v>8</v>
      </c>
      <c r="AI30" t="s">
        <v>8</v>
      </c>
      <c r="AJ30" t="s">
        <v>10</v>
      </c>
      <c r="AK30" t="s">
        <v>8</v>
      </c>
      <c r="AL30" t="s">
        <v>11</v>
      </c>
      <c r="AM30" t="s">
        <v>8</v>
      </c>
      <c r="AN30" t="s">
        <v>12</v>
      </c>
      <c r="AO30" t="s">
        <v>11</v>
      </c>
      <c r="AP30" t="s">
        <v>8</v>
      </c>
      <c r="AQ30" t="s">
        <v>13</v>
      </c>
      <c r="AR30" t="s">
        <v>8</v>
      </c>
      <c r="AS30" t="s">
        <v>8</v>
      </c>
      <c r="AT30" t="s">
        <v>8</v>
      </c>
      <c r="AU30" t="s">
        <v>8</v>
      </c>
      <c r="AV30" t="s">
        <v>8</v>
      </c>
      <c r="AW30" t="s">
        <v>14</v>
      </c>
      <c r="AX30" t="s">
        <v>15</v>
      </c>
    </row>
    <row r="31" spans="1:50" x14ac:dyDescent="0.2">
      <c r="A31" t="str">
        <f>TEXT(P31,"mmm")</f>
        <v>May</v>
      </c>
      <c r="B31" t="s">
        <v>777</v>
      </c>
      <c r="C31" s="30" t="s">
        <v>959</v>
      </c>
      <c r="D31" t="s">
        <v>0</v>
      </c>
      <c r="E31" t="s">
        <v>1</v>
      </c>
      <c r="F31" t="s">
        <v>54</v>
      </c>
      <c r="G31" t="s">
        <v>16</v>
      </c>
      <c r="H31" t="s">
        <v>17</v>
      </c>
      <c r="I31" t="str">
        <f>VLOOKUP(G31,N_ref[#All],5,0)</f>
        <v>Lentils</v>
      </c>
      <c r="J31" t="str">
        <f>VLOOKUP(SAPData[[#This Row],[Material]],N_ref[#All],10,FALSE)</f>
        <v>Lentil</v>
      </c>
      <c r="K31" t="str">
        <f>VLOOKUP(G31,N_ref[#All],6,0)</f>
        <v>Import</v>
      </c>
      <c r="L31" t="str">
        <f>VLOOKUP(SAPData[[#This Row],[Adjustment Type]],Notes!$B$13:$D$36,3,FALSE)</f>
        <v>Stock Losses/Gains</v>
      </c>
      <c r="M31" t="s">
        <v>811</v>
      </c>
      <c r="N31" t="s">
        <v>152</v>
      </c>
      <c r="O31" t="s">
        <v>771</v>
      </c>
      <c r="P31" s="2">
        <v>46153</v>
      </c>
      <c r="Q31" s="3">
        <v>0.47210648148147999</v>
      </c>
      <c r="R31" t="s">
        <v>25</v>
      </c>
      <c r="S31" t="s">
        <v>26</v>
      </c>
      <c r="T31" s="19">
        <v>-1</v>
      </c>
      <c r="U31" t="s">
        <v>7</v>
      </c>
      <c r="V31" t="s">
        <v>7</v>
      </c>
      <c r="W31" s="19">
        <v>-1</v>
      </c>
      <c r="X31" s="29">
        <f>W31/VLOOKUP(G31,N_ref[#All],7,0)</f>
        <v>-0.02</v>
      </c>
      <c r="Y31" s="29" t="str">
        <f>IF(SAPData[[#This Row],[Quantity]]&gt;0,"Gain","Loss")</f>
        <v>Loss</v>
      </c>
      <c r="Z31" t="s">
        <v>21</v>
      </c>
      <c r="AA31" s="2">
        <v>46153</v>
      </c>
      <c r="AB31" s="2">
        <v>46153</v>
      </c>
      <c r="AC31" s="4">
        <v>-69278</v>
      </c>
      <c r="AD31" t="s">
        <v>74</v>
      </c>
      <c r="AE31" t="s">
        <v>8</v>
      </c>
      <c r="AF31" t="s">
        <v>8</v>
      </c>
      <c r="AG31" t="s">
        <v>30</v>
      </c>
      <c r="AH31" t="s">
        <v>8</v>
      </c>
      <c r="AI31" t="s">
        <v>8</v>
      </c>
      <c r="AJ31" t="s">
        <v>10</v>
      </c>
      <c r="AK31" t="s">
        <v>8</v>
      </c>
      <c r="AL31" t="s">
        <v>11</v>
      </c>
      <c r="AM31" t="s">
        <v>8</v>
      </c>
      <c r="AN31" t="s">
        <v>12</v>
      </c>
      <c r="AO31" t="s">
        <v>11</v>
      </c>
      <c r="AP31" t="s">
        <v>8</v>
      </c>
      <c r="AQ31" t="s">
        <v>13</v>
      </c>
      <c r="AR31" t="s">
        <v>8</v>
      </c>
      <c r="AS31" t="s">
        <v>8</v>
      </c>
      <c r="AT31" t="s">
        <v>8</v>
      </c>
      <c r="AU31" t="s">
        <v>8</v>
      </c>
      <c r="AV31" t="s">
        <v>8</v>
      </c>
      <c r="AW31" t="s">
        <v>14</v>
      </c>
      <c r="AX31" t="s">
        <v>15</v>
      </c>
    </row>
    <row r="32" spans="1:50" x14ac:dyDescent="0.2">
      <c r="A32" t="str">
        <f>TEXT(P32,"mmm")</f>
        <v>May</v>
      </c>
      <c r="B32" t="s">
        <v>777</v>
      </c>
      <c r="C32" s="30" t="s">
        <v>959</v>
      </c>
      <c r="D32" t="s">
        <v>0</v>
      </c>
      <c r="E32" t="s">
        <v>1</v>
      </c>
      <c r="F32" t="s">
        <v>54</v>
      </c>
      <c r="G32" t="s">
        <v>16</v>
      </c>
      <c r="H32" t="s">
        <v>17</v>
      </c>
      <c r="I32" t="str">
        <f>VLOOKUP(G32,N_ref[#All],5,0)</f>
        <v>Lentils</v>
      </c>
      <c r="J32" t="str">
        <f>VLOOKUP(SAPData[[#This Row],[Material]],N_ref[#All],10,FALSE)</f>
        <v>Lentil</v>
      </c>
      <c r="K32" t="str">
        <f>VLOOKUP(G32,N_ref[#All],6,0)</f>
        <v>Import</v>
      </c>
      <c r="L32" t="str">
        <f>VLOOKUP(SAPData[[#This Row],[Adjustment Type]],Notes!$B$13:$D$36,3,FALSE)</f>
        <v>Stock Losses/Gains</v>
      </c>
      <c r="M32" t="s">
        <v>811</v>
      </c>
      <c r="N32" t="s">
        <v>152</v>
      </c>
      <c r="O32" t="s">
        <v>771</v>
      </c>
      <c r="P32" s="2">
        <v>46153</v>
      </c>
      <c r="Q32" s="3">
        <v>0.47210648148147999</v>
      </c>
      <c r="R32" t="s">
        <v>25</v>
      </c>
      <c r="S32" t="s">
        <v>26</v>
      </c>
      <c r="T32" s="19">
        <v>-4</v>
      </c>
      <c r="U32" t="s">
        <v>7</v>
      </c>
      <c r="V32" t="s">
        <v>7</v>
      </c>
      <c r="W32" s="19">
        <v>-4</v>
      </c>
      <c r="X32" s="29">
        <f>W32/VLOOKUP(G32,N_ref[#All],7,0)</f>
        <v>-0.08</v>
      </c>
      <c r="Y32" s="29" t="str">
        <f>IF(SAPData[[#This Row],[Quantity]]&gt;0,"Gain","Loss")</f>
        <v>Loss</v>
      </c>
      <c r="Z32" t="s">
        <v>21</v>
      </c>
      <c r="AA32" s="2">
        <v>46153</v>
      </c>
      <c r="AB32" s="2">
        <v>46153</v>
      </c>
      <c r="AC32" s="4">
        <v>-277112</v>
      </c>
      <c r="AD32" t="s">
        <v>74</v>
      </c>
      <c r="AE32" t="s">
        <v>8</v>
      </c>
      <c r="AF32" t="s">
        <v>8</v>
      </c>
      <c r="AG32" t="s">
        <v>31</v>
      </c>
      <c r="AH32" t="s">
        <v>8</v>
      </c>
      <c r="AI32" t="s">
        <v>8</v>
      </c>
      <c r="AJ32" t="s">
        <v>10</v>
      </c>
      <c r="AK32" t="s">
        <v>8</v>
      </c>
      <c r="AL32" t="s">
        <v>11</v>
      </c>
      <c r="AM32" t="s">
        <v>8</v>
      </c>
      <c r="AN32" t="s">
        <v>12</v>
      </c>
      <c r="AO32" t="s">
        <v>11</v>
      </c>
      <c r="AP32" t="s">
        <v>8</v>
      </c>
      <c r="AQ32" t="s">
        <v>13</v>
      </c>
      <c r="AR32" t="s">
        <v>8</v>
      </c>
      <c r="AS32" t="s">
        <v>8</v>
      </c>
      <c r="AT32" t="s">
        <v>8</v>
      </c>
      <c r="AU32" t="s">
        <v>8</v>
      </c>
      <c r="AV32" t="s">
        <v>8</v>
      </c>
      <c r="AW32" t="s">
        <v>14</v>
      </c>
      <c r="AX32" t="s">
        <v>15</v>
      </c>
    </row>
    <row r="33" spans="1:50" x14ac:dyDescent="0.2">
      <c r="A33" t="str">
        <f>TEXT(P33,"mmm")</f>
        <v>May</v>
      </c>
      <c r="B33" t="s">
        <v>777</v>
      </c>
      <c r="C33" s="30" t="s">
        <v>959</v>
      </c>
      <c r="D33" t="s">
        <v>0</v>
      </c>
      <c r="E33" t="s">
        <v>1</v>
      </c>
      <c r="F33" t="s">
        <v>54</v>
      </c>
      <c r="G33" t="s">
        <v>16</v>
      </c>
      <c r="H33" t="s">
        <v>17</v>
      </c>
      <c r="I33" t="str">
        <f>VLOOKUP(G33,N_ref[#All],5,0)</f>
        <v>Lentils</v>
      </c>
      <c r="J33" t="str">
        <f>VLOOKUP(SAPData[[#This Row],[Material]],N_ref[#All],10,FALSE)</f>
        <v>Lentil</v>
      </c>
      <c r="K33" t="str">
        <f>VLOOKUP(G33,N_ref[#All],6,0)</f>
        <v>Import</v>
      </c>
      <c r="L33" t="str">
        <f>VLOOKUP(SAPData[[#This Row],[Adjustment Type]],Notes!$B$13:$D$36,3,FALSE)</f>
        <v>Stock Losses/Gains</v>
      </c>
      <c r="M33" t="s">
        <v>811</v>
      </c>
      <c r="N33" t="s">
        <v>152</v>
      </c>
      <c r="O33" t="s">
        <v>771</v>
      </c>
      <c r="P33" s="2">
        <v>46153</v>
      </c>
      <c r="Q33" s="3">
        <v>0.47210648148147999</v>
      </c>
      <c r="R33" t="s">
        <v>25</v>
      </c>
      <c r="S33" t="s">
        <v>26</v>
      </c>
      <c r="T33" s="19">
        <v>-8</v>
      </c>
      <c r="U33" t="s">
        <v>7</v>
      </c>
      <c r="V33" t="s">
        <v>7</v>
      </c>
      <c r="W33" s="19">
        <v>-8</v>
      </c>
      <c r="X33" s="29">
        <f>W33/VLOOKUP(G33,N_ref[#All],7,0)</f>
        <v>-0.16</v>
      </c>
      <c r="Y33" s="29" t="str">
        <f>IF(SAPData[[#This Row],[Quantity]]&gt;0,"Gain","Loss")</f>
        <v>Loss</v>
      </c>
      <c r="Z33" t="s">
        <v>21</v>
      </c>
      <c r="AA33" s="2">
        <v>46153</v>
      </c>
      <c r="AB33" s="2">
        <v>46153</v>
      </c>
      <c r="AC33" s="4">
        <v>-554224</v>
      </c>
      <c r="AD33" t="s">
        <v>74</v>
      </c>
      <c r="AE33" t="s">
        <v>8</v>
      </c>
      <c r="AF33" t="s">
        <v>8</v>
      </c>
      <c r="AG33" t="s">
        <v>32</v>
      </c>
      <c r="AH33" t="s">
        <v>8</v>
      </c>
      <c r="AI33" t="s">
        <v>8</v>
      </c>
      <c r="AJ33" t="s">
        <v>10</v>
      </c>
      <c r="AK33" t="s">
        <v>8</v>
      </c>
      <c r="AL33" t="s">
        <v>11</v>
      </c>
      <c r="AM33" t="s">
        <v>8</v>
      </c>
      <c r="AN33" t="s">
        <v>12</v>
      </c>
      <c r="AO33" t="s">
        <v>11</v>
      </c>
      <c r="AP33" t="s">
        <v>8</v>
      </c>
      <c r="AQ33" t="s">
        <v>13</v>
      </c>
      <c r="AR33" t="s">
        <v>8</v>
      </c>
      <c r="AS33" t="s">
        <v>8</v>
      </c>
      <c r="AT33" t="s">
        <v>8</v>
      </c>
      <c r="AU33" t="s">
        <v>8</v>
      </c>
      <c r="AV33" t="s">
        <v>8</v>
      </c>
      <c r="AW33" t="s">
        <v>14</v>
      </c>
      <c r="AX33" t="s">
        <v>15</v>
      </c>
    </row>
    <row r="34" spans="1:50" x14ac:dyDescent="0.2">
      <c r="A34" t="str">
        <f>TEXT(P34,"mmm")</f>
        <v>May</v>
      </c>
      <c r="B34" t="s">
        <v>777</v>
      </c>
      <c r="C34" s="30" t="s">
        <v>959</v>
      </c>
      <c r="D34" t="s">
        <v>0</v>
      </c>
      <c r="E34" t="s">
        <v>1</v>
      </c>
      <c r="F34" t="s">
        <v>54</v>
      </c>
      <c r="G34" t="s">
        <v>16</v>
      </c>
      <c r="H34" t="s">
        <v>17</v>
      </c>
      <c r="I34" t="str">
        <f>VLOOKUP(G34,N_ref[#All],5,0)</f>
        <v>Lentils</v>
      </c>
      <c r="J34" t="str">
        <f>VLOOKUP(SAPData[[#This Row],[Material]],N_ref[#All],10,FALSE)</f>
        <v>Lentil</v>
      </c>
      <c r="K34" t="str">
        <f>VLOOKUP(G34,N_ref[#All],6,0)</f>
        <v>Import</v>
      </c>
      <c r="L34" t="str">
        <f>VLOOKUP(SAPData[[#This Row],[Adjustment Type]],Notes!$B$13:$D$36,3,FALSE)</f>
        <v>Stock Losses/Gains</v>
      </c>
      <c r="M34" t="s">
        <v>811</v>
      </c>
      <c r="N34" t="s">
        <v>152</v>
      </c>
      <c r="O34" t="s">
        <v>771</v>
      </c>
      <c r="P34" s="2">
        <v>46153</v>
      </c>
      <c r="Q34" s="3">
        <v>0.47210648148147999</v>
      </c>
      <c r="R34" t="s">
        <v>25</v>
      </c>
      <c r="S34" t="s">
        <v>26</v>
      </c>
      <c r="T34" s="19">
        <v>-27</v>
      </c>
      <c r="U34" t="s">
        <v>7</v>
      </c>
      <c r="V34" t="s">
        <v>7</v>
      </c>
      <c r="W34" s="19">
        <v>-27</v>
      </c>
      <c r="X34" s="29">
        <f>W34/VLOOKUP(G34,N_ref[#All],7,0)</f>
        <v>-0.54</v>
      </c>
      <c r="Y34" s="29" t="str">
        <f>IF(SAPData[[#This Row],[Quantity]]&gt;0,"Gain","Loss")</f>
        <v>Loss</v>
      </c>
      <c r="Z34" t="s">
        <v>21</v>
      </c>
      <c r="AA34" s="2">
        <v>46153</v>
      </c>
      <c r="AB34" s="2">
        <v>46153</v>
      </c>
      <c r="AC34" s="4">
        <v>-1870506</v>
      </c>
      <c r="AD34" t="s">
        <v>74</v>
      </c>
      <c r="AE34" t="s">
        <v>8</v>
      </c>
      <c r="AF34" t="s">
        <v>8</v>
      </c>
      <c r="AG34" t="s">
        <v>33</v>
      </c>
      <c r="AH34" t="s">
        <v>8</v>
      </c>
      <c r="AI34" t="s">
        <v>8</v>
      </c>
      <c r="AJ34" t="s">
        <v>10</v>
      </c>
      <c r="AK34" t="s">
        <v>8</v>
      </c>
      <c r="AL34" t="s">
        <v>11</v>
      </c>
      <c r="AM34" t="s">
        <v>8</v>
      </c>
      <c r="AN34" t="s">
        <v>12</v>
      </c>
      <c r="AO34" t="s">
        <v>11</v>
      </c>
      <c r="AP34" t="s">
        <v>8</v>
      </c>
      <c r="AQ34" t="s">
        <v>13</v>
      </c>
      <c r="AR34" t="s">
        <v>8</v>
      </c>
      <c r="AS34" t="s">
        <v>8</v>
      </c>
      <c r="AT34" t="s">
        <v>8</v>
      </c>
      <c r="AU34" t="s">
        <v>8</v>
      </c>
      <c r="AV34" t="s">
        <v>8</v>
      </c>
      <c r="AW34" t="s">
        <v>14</v>
      </c>
      <c r="AX34" t="s">
        <v>15</v>
      </c>
    </row>
    <row r="35" spans="1:50" x14ac:dyDescent="0.2">
      <c r="A35" t="str">
        <f>TEXT(P35,"mmm")</f>
        <v>May</v>
      </c>
      <c r="B35" t="s">
        <v>777</v>
      </c>
      <c r="C35" s="30" t="s">
        <v>959</v>
      </c>
      <c r="D35" t="s">
        <v>0</v>
      </c>
      <c r="E35" t="s">
        <v>1</v>
      </c>
      <c r="F35" t="s">
        <v>770</v>
      </c>
      <c r="G35" t="s">
        <v>16</v>
      </c>
      <c r="H35" t="s">
        <v>17</v>
      </c>
      <c r="I35" t="str">
        <f>VLOOKUP(G35,N_ref[#All],5,0)</f>
        <v>Lentils</v>
      </c>
      <c r="J35" t="str">
        <f>VLOOKUP(SAPData[[#This Row],[Material]],N_ref[#All],10,FALSE)</f>
        <v>Lentil</v>
      </c>
      <c r="K35" t="str">
        <f>VLOOKUP(G35,N_ref[#All],6,0)</f>
        <v>Import</v>
      </c>
      <c r="L35" t="str">
        <f>VLOOKUP(SAPData[[#This Row],[Adjustment Type]],Notes!$B$13:$D$36,3,FALSE)</f>
        <v>Stock Losses/Gains</v>
      </c>
      <c r="M35" s="30" t="s">
        <v>811</v>
      </c>
      <c r="N35" s="30" t="s">
        <v>152</v>
      </c>
      <c r="O35" t="s">
        <v>771</v>
      </c>
      <c r="P35" s="2">
        <v>46153</v>
      </c>
      <c r="Q35" s="3">
        <v>0.47210648148147999</v>
      </c>
      <c r="R35" t="s">
        <v>25</v>
      </c>
      <c r="S35" t="s">
        <v>26</v>
      </c>
      <c r="T35" s="19">
        <v>-4</v>
      </c>
      <c r="U35" t="s">
        <v>7</v>
      </c>
      <c r="V35" t="s">
        <v>7</v>
      </c>
      <c r="W35" s="19">
        <v>-4</v>
      </c>
      <c r="X35" s="29">
        <f>W35/VLOOKUP(G35,N_ref[#All],7,0)</f>
        <v>-0.08</v>
      </c>
      <c r="Y35" s="29" t="str">
        <f>IF(SAPData[[#This Row],[Quantity]]&gt;0,"Gain","Loss")</f>
        <v>Loss</v>
      </c>
      <c r="Z35" t="s">
        <v>68</v>
      </c>
      <c r="AA35" s="2">
        <v>46153</v>
      </c>
      <c r="AB35" s="2">
        <v>46153</v>
      </c>
      <c r="AC35" s="4">
        <v>-277112</v>
      </c>
      <c r="AD35" t="s">
        <v>74</v>
      </c>
      <c r="AE35" t="s">
        <v>8</v>
      </c>
      <c r="AF35" t="s">
        <v>8</v>
      </c>
      <c r="AG35" t="s">
        <v>37</v>
      </c>
      <c r="AH35" t="s">
        <v>8</v>
      </c>
      <c r="AI35" t="s">
        <v>8</v>
      </c>
      <c r="AJ35" t="s">
        <v>10</v>
      </c>
      <c r="AK35" t="s">
        <v>8</v>
      </c>
      <c r="AL35" t="s">
        <v>11</v>
      </c>
      <c r="AM35" t="s">
        <v>8</v>
      </c>
      <c r="AN35" t="s">
        <v>12</v>
      </c>
      <c r="AO35" t="s">
        <v>11</v>
      </c>
      <c r="AP35" t="s">
        <v>8</v>
      </c>
      <c r="AQ35" t="s">
        <v>13</v>
      </c>
      <c r="AR35" t="s">
        <v>8</v>
      </c>
      <c r="AS35" t="s">
        <v>8</v>
      </c>
      <c r="AT35" t="s">
        <v>8</v>
      </c>
      <c r="AU35" t="s">
        <v>8</v>
      </c>
      <c r="AV35" t="s">
        <v>8</v>
      </c>
      <c r="AW35" t="s">
        <v>14</v>
      </c>
      <c r="AX35" t="s">
        <v>15</v>
      </c>
    </row>
    <row r="36" spans="1:50" x14ac:dyDescent="0.2">
      <c r="A36" t="str">
        <f>TEXT(P36,"mmm")</f>
        <v>May</v>
      </c>
      <c r="B36" t="s">
        <v>777</v>
      </c>
      <c r="C36" t="s">
        <v>960</v>
      </c>
      <c r="D36" t="s">
        <v>0</v>
      </c>
      <c r="E36" t="s">
        <v>1</v>
      </c>
      <c r="F36" t="s">
        <v>770</v>
      </c>
      <c r="G36" t="s">
        <v>45</v>
      </c>
      <c r="H36" t="s">
        <v>46</v>
      </c>
      <c r="I36" t="str">
        <f>VLOOKUP(G36,N_ref[#All],5,0)</f>
        <v>Rice Long Grain</v>
      </c>
      <c r="J36" t="str">
        <f>VLOOKUP(SAPData[[#This Row],[Material]],N_ref[#All],10,FALSE)</f>
        <v>Rice</v>
      </c>
      <c r="K36" t="str">
        <f>VLOOKUP(G36,N_ref[#All],6,0)</f>
        <v>Import</v>
      </c>
      <c r="L36" t="str">
        <f>VLOOKUP(SAPData[[#This Row],[Adjustment Type]],Notes!$B$13:$D$36,3,FALSE)</f>
        <v>Stock Losses/Gains</v>
      </c>
      <c r="M36" s="30" t="s">
        <v>811</v>
      </c>
      <c r="N36" s="30" t="s">
        <v>152</v>
      </c>
      <c r="O36" t="s">
        <v>772</v>
      </c>
      <c r="P36" s="2">
        <v>46153</v>
      </c>
      <c r="Q36" s="3">
        <v>0.42856481481481001</v>
      </c>
      <c r="R36" t="s">
        <v>25</v>
      </c>
      <c r="S36" t="s">
        <v>26</v>
      </c>
      <c r="T36" s="19">
        <v>-13</v>
      </c>
      <c r="U36" t="s">
        <v>7</v>
      </c>
      <c r="V36" t="s">
        <v>7</v>
      </c>
      <c r="W36" s="19">
        <v>-13</v>
      </c>
      <c r="X36" s="29">
        <f>W36/VLOOKUP(G36,N_ref[#All],7,0)</f>
        <v>-0.26</v>
      </c>
      <c r="Y36" s="29" t="str">
        <f>IF(SAPData[[#This Row],[Quantity]]&gt;0,"Gain","Loss")</f>
        <v>Loss</v>
      </c>
      <c r="Z36" t="s">
        <v>47</v>
      </c>
      <c r="AA36" s="2">
        <v>46153</v>
      </c>
      <c r="AB36" s="2">
        <v>46153</v>
      </c>
      <c r="AC36" s="4">
        <v>-1636622</v>
      </c>
      <c r="AD36" t="s">
        <v>74</v>
      </c>
      <c r="AE36" t="s">
        <v>8</v>
      </c>
      <c r="AF36" t="s">
        <v>8</v>
      </c>
      <c r="AG36" t="s">
        <v>30</v>
      </c>
      <c r="AH36" t="s">
        <v>8</v>
      </c>
      <c r="AI36" t="s">
        <v>8</v>
      </c>
      <c r="AJ36" t="s">
        <v>10</v>
      </c>
      <c r="AK36" t="s">
        <v>8</v>
      </c>
      <c r="AL36" t="s">
        <v>11</v>
      </c>
      <c r="AM36" t="s">
        <v>8</v>
      </c>
      <c r="AN36" t="s">
        <v>12</v>
      </c>
      <c r="AO36" t="s">
        <v>11</v>
      </c>
      <c r="AP36" t="s">
        <v>8</v>
      </c>
      <c r="AQ36" t="s">
        <v>13</v>
      </c>
      <c r="AR36" t="s">
        <v>8</v>
      </c>
      <c r="AS36" t="s">
        <v>8</v>
      </c>
      <c r="AT36" t="s">
        <v>8</v>
      </c>
      <c r="AU36" t="s">
        <v>8</v>
      </c>
      <c r="AV36" t="s">
        <v>8</v>
      </c>
      <c r="AW36" t="s">
        <v>14</v>
      </c>
      <c r="AX36" t="s">
        <v>15</v>
      </c>
    </row>
    <row r="37" spans="1:50" x14ac:dyDescent="0.2">
      <c r="A37" t="str">
        <f>TEXT(P37,"mmm")</f>
        <v>May</v>
      </c>
      <c r="B37" t="s">
        <v>777</v>
      </c>
      <c r="C37" t="s">
        <v>960</v>
      </c>
      <c r="D37" t="s">
        <v>0</v>
      </c>
      <c r="E37" t="s">
        <v>1</v>
      </c>
      <c r="F37" t="s">
        <v>770</v>
      </c>
      <c r="G37" t="s">
        <v>45</v>
      </c>
      <c r="H37" t="s">
        <v>46</v>
      </c>
      <c r="I37" t="str">
        <f>VLOOKUP(G37,N_ref[#All],5,0)</f>
        <v>Rice Long Grain</v>
      </c>
      <c r="J37" t="str">
        <f>VLOOKUP(SAPData[[#This Row],[Material]],N_ref[#All],10,FALSE)</f>
        <v>Rice</v>
      </c>
      <c r="K37" t="str">
        <f>VLOOKUP(G37,N_ref[#All],6,0)</f>
        <v>Import</v>
      </c>
      <c r="L37" t="str">
        <f>VLOOKUP(SAPData[[#This Row],[Adjustment Type]],Notes!$B$13:$D$36,3,FALSE)</f>
        <v>Stock Losses/Gains</v>
      </c>
      <c r="M37" s="30" t="s">
        <v>811</v>
      </c>
      <c r="N37" s="30" t="s">
        <v>152</v>
      </c>
      <c r="O37" t="s">
        <v>772</v>
      </c>
      <c r="P37" s="2">
        <v>46153</v>
      </c>
      <c r="Q37" s="3">
        <v>0.42856481481481001</v>
      </c>
      <c r="R37" t="s">
        <v>25</v>
      </c>
      <c r="S37" t="s">
        <v>26</v>
      </c>
      <c r="T37" s="19">
        <v>-26</v>
      </c>
      <c r="U37" t="s">
        <v>7</v>
      </c>
      <c r="V37" t="s">
        <v>7</v>
      </c>
      <c r="W37" s="19">
        <v>-26</v>
      </c>
      <c r="X37" s="29">
        <f>W37/VLOOKUP(G37,N_ref[#All],7,0)</f>
        <v>-0.52</v>
      </c>
      <c r="Y37" s="29" t="str">
        <f>IF(SAPData[[#This Row],[Quantity]]&gt;0,"Gain","Loss")</f>
        <v>Loss</v>
      </c>
      <c r="Z37" t="s">
        <v>47</v>
      </c>
      <c r="AA37" s="2">
        <v>46153</v>
      </c>
      <c r="AB37" s="2">
        <v>46153</v>
      </c>
      <c r="AC37" s="4">
        <v>-3273244</v>
      </c>
      <c r="AD37" t="s">
        <v>74</v>
      </c>
      <c r="AE37" t="s">
        <v>8</v>
      </c>
      <c r="AF37" t="s">
        <v>8</v>
      </c>
      <c r="AG37" t="s">
        <v>29</v>
      </c>
      <c r="AH37" t="s">
        <v>8</v>
      </c>
      <c r="AI37" t="s">
        <v>8</v>
      </c>
      <c r="AJ37" t="s">
        <v>10</v>
      </c>
      <c r="AK37" t="s">
        <v>8</v>
      </c>
      <c r="AL37" t="s">
        <v>11</v>
      </c>
      <c r="AM37" t="s">
        <v>8</v>
      </c>
      <c r="AN37" t="s">
        <v>12</v>
      </c>
      <c r="AO37" t="s">
        <v>11</v>
      </c>
      <c r="AP37" t="s">
        <v>8</v>
      </c>
      <c r="AQ37" t="s">
        <v>13</v>
      </c>
      <c r="AR37" t="s">
        <v>8</v>
      </c>
      <c r="AS37" t="s">
        <v>8</v>
      </c>
      <c r="AT37" t="s">
        <v>8</v>
      </c>
      <c r="AU37" t="s">
        <v>8</v>
      </c>
      <c r="AV37" t="s">
        <v>8</v>
      </c>
      <c r="AW37" t="s">
        <v>14</v>
      </c>
      <c r="AX37" t="s">
        <v>15</v>
      </c>
    </row>
    <row r="38" spans="1:50" x14ac:dyDescent="0.2">
      <c r="A38" t="str">
        <f>TEXT(P38,"mmm")</f>
        <v>May</v>
      </c>
      <c r="B38" t="s">
        <v>777</v>
      </c>
      <c r="C38" t="s">
        <v>960</v>
      </c>
      <c r="D38" t="s">
        <v>0</v>
      </c>
      <c r="E38" t="s">
        <v>1</v>
      </c>
      <c r="F38" t="s">
        <v>770</v>
      </c>
      <c r="G38" t="s">
        <v>45</v>
      </c>
      <c r="H38" t="s">
        <v>46</v>
      </c>
      <c r="I38" t="str">
        <f>VLOOKUP(G38,N_ref[#All],5,0)</f>
        <v>Rice Long Grain</v>
      </c>
      <c r="J38" t="str">
        <f>VLOOKUP(SAPData[[#This Row],[Material]],N_ref[#All],10,FALSE)</f>
        <v>Rice</v>
      </c>
      <c r="K38" t="str">
        <f>VLOOKUP(G38,N_ref[#All],6,0)</f>
        <v>Import</v>
      </c>
      <c r="L38" t="str">
        <f>VLOOKUP(SAPData[[#This Row],[Adjustment Type]],Notes!$B$13:$D$36,3,FALSE)</f>
        <v>Stock Losses/Gains</v>
      </c>
      <c r="M38" s="30" t="s">
        <v>811</v>
      </c>
      <c r="N38" s="30" t="s">
        <v>152</v>
      </c>
      <c r="O38" t="s">
        <v>772</v>
      </c>
      <c r="P38" s="2">
        <v>46153</v>
      </c>
      <c r="Q38" s="3">
        <v>0.42856481481481001</v>
      </c>
      <c r="R38" t="s">
        <v>25</v>
      </c>
      <c r="S38" t="s">
        <v>26</v>
      </c>
      <c r="T38" s="19">
        <v>-15</v>
      </c>
      <c r="U38" t="s">
        <v>7</v>
      </c>
      <c r="V38" t="s">
        <v>7</v>
      </c>
      <c r="W38" s="19">
        <v>-15</v>
      </c>
      <c r="X38" s="29">
        <f>W38/VLOOKUP(G38,N_ref[#All],7,0)</f>
        <v>-0.3</v>
      </c>
      <c r="Y38" s="29" t="str">
        <f>IF(SAPData[[#This Row],[Quantity]]&gt;0,"Gain","Loss")</f>
        <v>Loss</v>
      </c>
      <c r="Z38" t="s">
        <v>47</v>
      </c>
      <c r="AA38" s="2">
        <v>46153</v>
      </c>
      <c r="AB38" s="2">
        <v>46153</v>
      </c>
      <c r="AC38" s="4">
        <v>-1888410</v>
      </c>
      <c r="AD38" t="s">
        <v>74</v>
      </c>
      <c r="AE38" t="s">
        <v>8</v>
      </c>
      <c r="AF38" t="s">
        <v>8</v>
      </c>
      <c r="AG38" t="s">
        <v>28</v>
      </c>
      <c r="AH38" t="s">
        <v>8</v>
      </c>
      <c r="AI38" t="s">
        <v>8</v>
      </c>
      <c r="AJ38" t="s">
        <v>10</v>
      </c>
      <c r="AK38" t="s">
        <v>8</v>
      </c>
      <c r="AL38" t="s">
        <v>11</v>
      </c>
      <c r="AM38" t="s">
        <v>8</v>
      </c>
      <c r="AN38" t="s">
        <v>12</v>
      </c>
      <c r="AO38" t="s">
        <v>11</v>
      </c>
      <c r="AP38" t="s">
        <v>8</v>
      </c>
      <c r="AQ38" t="s">
        <v>13</v>
      </c>
      <c r="AR38" t="s">
        <v>8</v>
      </c>
      <c r="AS38" t="s">
        <v>8</v>
      </c>
      <c r="AT38" t="s">
        <v>8</v>
      </c>
      <c r="AU38" t="s">
        <v>8</v>
      </c>
      <c r="AV38" t="s">
        <v>8</v>
      </c>
      <c r="AW38" t="s">
        <v>14</v>
      </c>
      <c r="AX38" t="s">
        <v>15</v>
      </c>
    </row>
    <row r="39" spans="1:50" x14ac:dyDescent="0.2">
      <c r="A39" t="str">
        <f>TEXT(P39,"mmm")</f>
        <v>May</v>
      </c>
      <c r="B39" t="s">
        <v>777</v>
      </c>
      <c r="C39" t="s">
        <v>960</v>
      </c>
      <c r="D39" t="s">
        <v>0</v>
      </c>
      <c r="E39" t="s">
        <v>1</v>
      </c>
      <c r="F39" t="s">
        <v>770</v>
      </c>
      <c r="G39" t="s">
        <v>45</v>
      </c>
      <c r="H39" t="s">
        <v>46</v>
      </c>
      <c r="I39" t="str">
        <f>VLOOKUP(G39,N_ref[#All],5,0)</f>
        <v>Rice Long Grain</v>
      </c>
      <c r="J39" t="str">
        <f>VLOOKUP(SAPData[[#This Row],[Material]],N_ref[#All],10,FALSE)</f>
        <v>Rice</v>
      </c>
      <c r="K39" t="str">
        <f>VLOOKUP(G39,N_ref[#All],6,0)</f>
        <v>Import</v>
      </c>
      <c r="L39" t="str">
        <f>VLOOKUP(SAPData[[#This Row],[Adjustment Type]],Notes!$B$13:$D$36,3,FALSE)</f>
        <v>Stock Losses/Gains</v>
      </c>
      <c r="M39" s="30" t="s">
        <v>811</v>
      </c>
      <c r="N39" s="30" t="s">
        <v>152</v>
      </c>
      <c r="O39" t="s">
        <v>772</v>
      </c>
      <c r="P39" s="2">
        <v>46153</v>
      </c>
      <c r="Q39" s="3">
        <v>0.42856481481481001</v>
      </c>
      <c r="R39" t="s">
        <v>25</v>
      </c>
      <c r="S39" t="s">
        <v>26</v>
      </c>
      <c r="T39" s="19">
        <v>-18</v>
      </c>
      <c r="U39" t="s">
        <v>7</v>
      </c>
      <c r="V39" t="s">
        <v>7</v>
      </c>
      <c r="W39" s="19">
        <v>-18</v>
      </c>
      <c r="X39" s="29">
        <f>W39/VLOOKUP(G39,N_ref[#All],7,0)</f>
        <v>-0.36</v>
      </c>
      <c r="Y39" s="29" t="str">
        <f>IF(SAPData[[#This Row],[Quantity]]&gt;0,"Gain","Loss")</f>
        <v>Loss</v>
      </c>
      <c r="Z39" t="s">
        <v>47</v>
      </c>
      <c r="AA39" s="2">
        <v>46153</v>
      </c>
      <c r="AB39" s="2">
        <v>46153</v>
      </c>
      <c r="AC39" s="4">
        <v>-2266092</v>
      </c>
      <c r="AD39" t="s">
        <v>74</v>
      </c>
      <c r="AE39" t="s">
        <v>8</v>
      </c>
      <c r="AF39" t="s">
        <v>8</v>
      </c>
      <c r="AG39" t="s">
        <v>27</v>
      </c>
      <c r="AH39" t="s">
        <v>8</v>
      </c>
      <c r="AI39" t="s">
        <v>8</v>
      </c>
      <c r="AJ39" t="s">
        <v>10</v>
      </c>
      <c r="AK39" t="s">
        <v>8</v>
      </c>
      <c r="AL39" t="s">
        <v>11</v>
      </c>
      <c r="AM39" t="s">
        <v>8</v>
      </c>
      <c r="AN39" t="s">
        <v>12</v>
      </c>
      <c r="AO39" t="s">
        <v>11</v>
      </c>
      <c r="AP39" t="s">
        <v>8</v>
      </c>
      <c r="AQ39" t="s">
        <v>13</v>
      </c>
      <c r="AR39" t="s">
        <v>8</v>
      </c>
      <c r="AS39" t="s">
        <v>8</v>
      </c>
      <c r="AT39" t="s">
        <v>8</v>
      </c>
      <c r="AU39" t="s">
        <v>8</v>
      </c>
      <c r="AV39" t="s">
        <v>8</v>
      </c>
      <c r="AW39" t="s">
        <v>14</v>
      </c>
      <c r="AX39" t="s">
        <v>15</v>
      </c>
    </row>
    <row r="40" spans="1:50" x14ac:dyDescent="0.2">
      <c r="A40" t="str">
        <f>TEXT(P40,"mmm")</f>
        <v>May</v>
      </c>
      <c r="B40" t="s">
        <v>777</v>
      </c>
      <c r="C40" t="s">
        <v>960</v>
      </c>
      <c r="D40" t="s">
        <v>0</v>
      </c>
      <c r="E40" t="s">
        <v>1</v>
      </c>
      <c r="F40" t="s">
        <v>770</v>
      </c>
      <c r="G40" t="s">
        <v>45</v>
      </c>
      <c r="H40" t="s">
        <v>46</v>
      </c>
      <c r="I40" t="str">
        <f>VLOOKUP(G40,N_ref[#All],5,0)</f>
        <v>Rice Long Grain</v>
      </c>
      <c r="J40" t="str">
        <f>VLOOKUP(SAPData[[#This Row],[Material]],N_ref[#All],10,FALSE)</f>
        <v>Rice</v>
      </c>
      <c r="K40" t="str">
        <f>VLOOKUP(G40,N_ref[#All],6,0)</f>
        <v>Import</v>
      </c>
      <c r="L40" t="str">
        <f>VLOOKUP(SAPData[[#This Row],[Adjustment Type]],Notes!$B$13:$D$36,3,FALSE)</f>
        <v>Stock Losses/Gains</v>
      </c>
      <c r="M40" s="30" t="s">
        <v>811</v>
      </c>
      <c r="N40" s="30" t="s">
        <v>152</v>
      </c>
      <c r="O40" t="s">
        <v>772</v>
      </c>
      <c r="P40" s="2">
        <v>46153</v>
      </c>
      <c r="Q40" s="3">
        <v>0.42856481481481001</v>
      </c>
      <c r="R40" t="s">
        <v>25</v>
      </c>
      <c r="S40" t="s">
        <v>26</v>
      </c>
      <c r="T40" s="19">
        <v>-4</v>
      </c>
      <c r="U40" t="s">
        <v>7</v>
      </c>
      <c r="V40" t="s">
        <v>7</v>
      </c>
      <c r="W40" s="19">
        <v>-4</v>
      </c>
      <c r="X40" s="29">
        <f>W40/VLOOKUP(G40,N_ref[#All],7,0)</f>
        <v>-0.08</v>
      </c>
      <c r="Y40" s="29" t="str">
        <f>IF(SAPData[[#This Row],[Quantity]]&gt;0,"Gain","Loss")</f>
        <v>Loss</v>
      </c>
      <c r="Z40" t="s">
        <v>47</v>
      </c>
      <c r="AA40" s="2">
        <v>46153</v>
      </c>
      <c r="AB40" s="2">
        <v>46153</v>
      </c>
      <c r="AC40" s="4">
        <v>-503576</v>
      </c>
      <c r="AD40" t="s">
        <v>74</v>
      </c>
      <c r="AE40" t="s">
        <v>8</v>
      </c>
      <c r="AF40" t="s">
        <v>8</v>
      </c>
      <c r="AG40" t="s">
        <v>9</v>
      </c>
      <c r="AH40" t="s">
        <v>8</v>
      </c>
      <c r="AI40" t="s">
        <v>8</v>
      </c>
      <c r="AJ40" t="s">
        <v>10</v>
      </c>
      <c r="AK40" t="s">
        <v>8</v>
      </c>
      <c r="AL40" t="s">
        <v>11</v>
      </c>
      <c r="AM40" t="s">
        <v>8</v>
      </c>
      <c r="AN40" t="s">
        <v>12</v>
      </c>
      <c r="AO40" t="s">
        <v>11</v>
      </c>
      <c r="AP40" t="s">
        <v>8</v>
      </c>
      <c r="AQ40" t="s">
        <v>13</v>
      </c>
      <c r="AR40" t="s">
        <v>8</v>
      </c>
      <c r="AS40" t="s">
        <v>8</v>
      </c>
      <c r="AT40" t="s">
        <v>8</v>
      </c>
      <c r="AU40" t="s">
        <v>8</v>
      </c>
      <c r="AV40" t="s">
        <v>8</v>
      </c>
      <c r="AW40" t="s">
        <v>14</v>
      </c>
      <c r="AX40" t="s">
        <v>15</v>
      </c>
    </row>
    <row r="41" spans="1:50" x14ac:dyDescent="0.2">
      <c r="A41" t="str">
        <f>TEXT(P41,"mmm")</f>
        <v>May</v>
      </c>
      <c r="B41" t="s">
        <v>777</v>
      </c>
      <c r="C41" s="30" t="s">
        <v>959</v>
      </c>
      <c r="D41" t="s">
        <v>0</v>
      </c>
      <c r="E41" t="s">
        <v>1</v>
      </c>
      <c r="F41" t="s">
        <v>770</v>
      </c>
      <c r="G41" t="s">
        <v>398</v>
      </c>
      <c r="H41" t="s">
        <v>399</v>
      </c>
      <c r="I41" t="str">
        <f>VLOOKUP(G41,N_ref[#All],5,0)</f>
        <v>Lentil - Damaged</v>
      </c>
      <c r="J41" t="str">
        <f>VLOOKUP(SAPData[[#This Row],[Material]],N_ref[#All],10,FALSE)</f>
        <v>Lentil</v>
      </c>
      <c r="K41" t="str">
        <f>VLOOKUP(G41,N_ref[#All],6,0)</f>
        <v>Import</v>
      </c>
      <c r="L41" t="str">
        <f>VLOOKUP(SAPData[[#This Row],[Adjustment Type]],Notes!$B$13:$D$36,3,FALSE)</f>
        <v>Stock Losses/Gains</v>
      </c>
      <c r="M41" s="30" t="s">
        <v>811</v>
      </c>
      <c r="N41" s="30" t="s">
        <v>152</v>
      </c>
      <c r="O41" t="s">
        <v>771</v>
      </c>
      <c r="P41" s="2">
        <v>46153</v>
      </c>
      <c r="Q41" s="3">
        <v>0.47210648148147999</v>
      </c>
      <c r="R41" t="s">
        <v>5</v>
      </c>
      <c r="S41" t="s">
        <v>6</v>
      </c>
      <c r="T41" s="19">
        <v>2</v>
      </c>
      <c r="U41" t="s">
        <v>7</v>
      </c>
      <c r="V41" t="s">
        <v>7</v>
      </c>
      <c r="W41" s="19">
        <v>2</v>
      </c>
      <c r="X41" s="29">
        <f>W41/VLOOKUP(G41,N_ref[#All],7,0)</f>
        <v>0.04</v>
      </c>
      <c r="Y41" s="29" t="str">
        <f>IF(SAPData[[#This Row],[Quantity]]&gt;0,"Gain","Loss")</f>
        <v>Gain</v>
      </c>
      <c r="Z41" t="s">
        <v>8</v>
      </c>
      <c r="AA41" s="2">
        <v>46153</v>
      </c>
      <c r="AB41" s="2">
        <v>46153</v>
      </c>
      <c r="AC41" s="31">
        <f>2*20000</f>
        <v>40000</v>
      </c>
      <c r="AD41" t="s">
        <v>74</v>
      </c>
      <c r="AE41" t="s">
        <v>8</v>
      </c>
      <c r="AF41" t="s">
        <v>8</v>
      </c>
      <c r="AG41" t="s">
        <v>22</v>
      </c>
      <c r="AH41" t="s">
        <v>8</v>
      </c>
      <c r="AI41" t="s">
        <v>8</v>
      </c>
      <c r="AJ41" t="s">
        <v>10</v>
      </c>
      <c r="AK41" t="s">
        <v>8</v>
      </c>
      <c r="AL41" t="s">
        <v>11</v>
      </c>
      <c r="AM41" t="s">
        <v>8</v>
      </c>
      <c r="AN41" t="s">
        <v>12</v>
      </c>
      <c r="AO41" t="s">
        <v>11</v>
      </c>
      <c r="AP41" t="s">
        <v>8</v>
      </c>
      <c r="AQ41" t="s">
        <v>13</v>
      </c>
      <c r="AR41" t="s">
        <v>8</v>
      </c>
      <c r="AS41" t="s">
        <v>8</v>
      </c>
      <c r="AT41" t="s">
        <v>8</v>
      </c>
      <c r="AU41" t="s">
        <v>8</v>
      </c>
      <c r="AV41" t="s">
        <v>8</v>
      </c>
      <c r="AW41" t="s">
        <v>14</v>
      </c>
      <c r="AX41" t="s">
        <v>15</v>
      </c>
    </row>
    <row r="42" spans="1:50" x14ac:dyDescent="0.2">
      <c r="A42" t="str">
        <f>TEXT(P42,"mmm")</f>
        <v>May</v>
      </c>
      <c r="B42" t="s">
        <v>777</v>
      </c>
      <c r="C42" s="30" t="s">
        <v>959</v>
      </c>
      <c r="D42" t="s">
        <v>0</v>
      </c>
      <c r="E42" t="s">
        <v>1</v>
      </c>
      <c r="F42" t="s">
        <v>54</v>
      </c>
      <c r="G42" t="s">
        <v>398</v>
      </c>
      <c r="H42" t="s">
        <v>399</v>
      </c>
      <c r="I42" t="str">
        <f>VLOOKUP(G42,N_ref[#All],5,0)</f>
        <v>Lentil - Damaged</v>
      </c>
      <c r="J42" t="str">
        <f>VLOOKUP(SAPData[[#This Row],[Material]],N_ref[#All],10,FALSE)</f>
        <v>Lentil</v>
      </c>
      <c r="K42" t="str">
        <f>VLOOKUP(G42,N_ref[#All],6,0)</f>
        <v>Import</v>
      </c>
      <c r="L42" t="str">
        <f>VLOOKUP(SAPData[[#This Row],[Adjustment Type]],Notes!$B$13:$D$36,3,FALSE)</f>
        <v>Stock Losses/Gains</v>
      </c>
      <c r="M42" t="s">
        <v>811</v>
      </c>
      <c r="N42" t="s">
        <v>152</v>
      </c>
      <c r="O42" t="s">
        <v>771</v>
      </c>
      <c r="P42" s="2">
        <v>46153</v>
      </c>
      <c r="Q42" s="3">
        <v>0.47210648148147999</v>
      </c>
      <c r="R42" t="s">
        <v>5</v>
      </c>
      <c r="S42" t="s">
        <v>6</v>
      </c>
      <c r="T42" s="19">
        <v>13</v>
      </c>
      <c r="U42" t="s">
        <v>7</v>
      </c>
      <c r="V42" t="s">
        <v>7</v>
      </c>
      <c r="W42" s="19">
        <v>13</v>
      </c>
      <c r="X42" s="29">
        <f>W42/VLOOKUP(G42,N_ref[#All],7,0)</f>
        <v>0.26</v>
      </c>
      <c r="Y42" s="29" t="str">
        <f>IF(SAPData[[#This Row],[Quantity]]&gt;0,"Gain","Loss")</f>
        <v>Gain</v>
      </c>
      <c r="Z42" t="s">
        <v>8</v>
      </c>
      <c r="AA42" s="2">
        <v>46153</v>
      </c>
      <c r="AB42" s="2">
        <v>46153</v>
      </c>
      <c r="AC42" s="31">
        <f>13*20000</f>
        <v>260000</v>
      </c>
      <c r="AD42" t="s">
        <v>74</v>
      </c>
      <c r="AE42" t="s">
        <v>8</v>
      </c>
      <c r="AF42" t="s">
        <v>8</v>
      </c>
      <c r="AG42" t="s">
        <v>34</v>
      </c>
      <c r="AH42" t="s">
        <v>8</v>
      </c>
      <c r="AI42" t="s">
        <v>8</v>
      </c>
      <c r="AJ42" t="s">
        <v>10</v>
      </c>
      <c r="AK42" t="s">
        <v>8</v>
      </c>
      <c r="AL42" t="s">
        <v>11</v>
      </c>
      <c r="AM42" t="s">
        <v>8</v>
      </c>
      <c r="AN42" t="s">
        <v>12</v>
      </c>
      <c r="AO42" t="s">
        <v>11</v>
      </c>
      <c r="AP42" t="s">
        <v>8</v>
      </c>
      <c r="AQ42" t="s">
        <v>13</v>
      </c>
      <c r="AR42" t="s">
        <v>8</v>
      </c>
      <c r="AS42" t="s">
        <v>8</v>
      </c>
      <c r="AT42" t="s">
        <v>8</v>
      </c>
      <c r="AU42" t="s">
        <v>8</v>
      </c>
      <c r="AV42" t="s">
        <v>8</v>
      </c>
      <c r="AW42" t="s">
        <v>14</v>
      </c>
      <c r="AX42" t="s">
        <v>15</v>
      </c>
    </row>
    <row r="43" spans="1:50" x14ac:dyDescent="0.2">
      <c r="A43" t="str">
        <f>TEXT(P43,"mmm")</f>
        <v>May</v>
      </c>
      <c r="B43" t="s">
        <v>777</v>
      </c>
      <c r="C43" s="30" t="s">
        <v>959</v>
      </c>
      <c r="D43" t="s">
        <v>0</v>
      </c>
      <c r="E43" t="s">
        <v>1</v>
      </c>
      <c r="F43" t="s">
        <v>54</v>
      </c>
      <c r="G43" t="s">
        <v>398</v>
      </c>
      <c r="H43" t="s">
        <v>399</v>
      </c>
      <c r="I43" t="str">
        <f>VLOOKUP(G43,N_ref[#All],5,0)</f>
        <v>Lentil - Damaged</v>
      </c>
      <c r="J43" t="str">
        <f>VLOOKUP(SAPData[[#This Row],[Material]],N_ref[#All],10,FALSE)</f>
        <v>Lentil</v>
      </c>
      <c r="K43" t="str">
        <f>VLOOKUP(G43,N_ref[#All],6,0)</f>
        <v>Import</v>
      </c>
      <c r="L43" t="str">
        <f>VLOOKUP(SAPData[[#This Row],[Adjustment Type]],Notes!$B$13:$D$36,3,FALSE)</f>
        <v>Stock Losses/Gains</v>
      </c>
      <c r="M43" t="s">
        <v>811</v>
      </c>
      <c r="N43" t="s">
        <v>152</v>
      </c>
      <c r="O43" t="s">
        <v>771</v>
      </c>
      <c r="P43" s="2">
        <v>46153</v>
      </c>
      <c r="Q43" s="3">
        <v>0.47210648148147999</v>
      </c>
      <c r="R43" t="s">
        <v>5</v>
      </c>
      <c r="S43" t="s">
        <v>6</v>
      </c>
      <c r="T43" s="19">
        <v>4</v>
      </c>
      <c r="U43" t="s">
        <v>7</v>
      </c>
      <c r="V43" t="s">
        <v>7</v>
      </c>
      <c r="W43" s="19">
        <v>4</v>
      </c>
      <c r="X43" s="29">
        <f>W43/VLOOKUP(G43,N_ref[#All],7,0)</f>
        <v>0.08</v>
      </c>
      <c r="Y43" s="29" t="str">
        <f>IF(SAPData[[#This Row],[Quantity]]&gt;0,"Gain","Loss")</f>
        <v>Gain</v>
      </c>
      <c r="Z43" t="s">
        <v>8</v>
      </c>
      <c r="AA43" s="2">
        <v>46153</v>
      </c>
      <c r="AB43" s="2">
        <v>46153</v>
      </c>
      <c r="AC43" s="31">
        <f>4*20000</f>
        <v>80000</v>
      </c>
      <c r="AD43" t="s">
        <v>74</v>
      </c>
      <c r="AE43" t="s">
        <v>8</v>
      </c>
      <c r="AF43" t="s">
        <v>8</v>
      </c>
      <c r="AG43" t="s">
        <v>35</v>
      </c>
      <c r="AH43" t="s">
        <v>8</v>
      </c>
      <c r="AI43" t="s">
        <v>8</v>
      </c>
      <c r="AJ43" t="s">
        <v>10</v>
      </c>
      <c r="AK43" t="s">
        <v>8</v>
      </c>
      <c r="AL43" t="s">
        <v>11</v>
      </c>
      <c r="AM43" t="s">
        <v>8</v>
      </c>
      <c r="AN43" t="s">
        <v>12</v>
      </c>
      <c r="AO43" t="s">
        <v>11</v>
      </c>
      <c r="AP43" t="s">
        <v>8</v>
      </c>
      <c r="AQ43" t="s">
        <v>13</v>
      </c>
      <c r="AR43" t="s">
        <v>8</v>
      </c>
      <c r="AS43" t="s">
        <v>8</v>
      </c>
      <c r="AT43" t="s">
        <v>8</v>
      </c>
      <c r="AU43" t="s">
        <v>8</v>
      </c>
      <c r="AV43" t="s">
        <v>8</v>
      </c>
      <c r="AW43" t="s">
        <v>14</v>
      </c>
      <c r="AX43" t="s">
        <v>15</v>
      </c>
    </row>
    <row r="44" spans="1:50" x14ac:dyDescent="0.2">
      <c r="A44" t="str">
        <f>TEXT(P44,"mmm")</f>
        <v>May</v>
      </c>
      <c r="B44" t="s">
        <v>777</v>
      </c>
      <c r="C44" s="30" t="s">
        <v>959</v>
      </c>
      <c r="D44" t="s">
        <v>0</v>
      </c>
      <c r="E44" t="s">
        <v>1</v>
      </c>
      <c r="F44" t="s">
        <v>54</v>
      </c>
      <c r="G44" t="s">
        <v>398</v>
      </c>
      <c r="H44" t="s">
        <v>399</v>
      </c>
      <c r="I44" t="str">
        <f>VLOOKUP(G44,N_ref[#All],5,0)</f>
        <v>Lentil - Damaged</v>
      </c>
      <c r="J44" t="str">
        <f>VLOOKUP(SAPData[[#This Row],[Material]],N_ref[#All],10,FALSE)</f>
        <v>Lentil</v>
      </c>
      <c r="K44" t="str">
        <f>VLOOKUP(G44,N_ref[#All],6,0)</f>
        <v>Import</v>
      </c>
      <c r="L44" t="str">
        <f>VLOOKUP(SAPData[[#This Row],[Adjustment Type]],Notes!$B$13:$D$36,3,FALSE)</f>
        <v>Stock Losses/Gains</v>
      </c>
      <c r="M44" t="s">
        <v>811</v>
      </c>
      <c r="N44" t="s">
        <v>152</v>
      </c>
      <c r="O44" t="s">
        <v>771</v>
      </c>
      <c r="P44" s="2">
        <v>46153</v>
      </c>
      <c r="Q44" s="3">
        <v>0.47210648148147999</v>
      </c>
      <c r="R44" t="s">
        <v>5</v>
      </c>
      <c r="S44" t="s">
        <v>6</v>
      </c>
      <c r="T44" s="19">
        <v>4</v>
      </c>
      <c r="U44" t="s">
        <v>7</v>
      </c>
      <c r="V44" t="s">
        <v>7</v>
      </c>
      <c r="W44" s="19">
        <v>4</v>
      </c>
      <c r="X44" s="29">
        <f>W44/VLOOKUP(G44,N_ref[#All],7,0)</f>
        <v>0.08</v>
      </c>
      <c r="Y44" s="29" t="str">
        <f>IF(SAPData[[#This Row],[Quantity]]&gt;0,"Gain","Loss")</f>
        <v>Gain</v>
      </c>
      <c r="Z44" t="s">
        <v>8</v>
      </c>
      <c r="AA44" s="2">
        <v>46153</v>
      </c>
      <c r="AB44" s="2">
        <v>46153</v>
      </c>
      <c r="AC44" s="31">
        <f>4*20000</f>
        <v>80000</v>
      </c>
      <c r="AD44" t="s">
        <v>74</v>
      </c>
      <c r="AE44" t="s">
        <v>8</v>
      </c>
      <c r="AF44" t="s">
        <v>8</v>
      </c>
      <c r="AG44" t="s">
        <v>36</v>
      </c>
      <c r="AH44" t="s">
        <v>8</v>
      </c>
      <c r="AI44" t="s">
        <v>8</v>
      </c>
      <c r="AJ44" t="s">
        <v>10</v>
      </c>
      <c r="AK44" t="s">
        <v>8</v>
      </c>
      <c r="AL44" t="s">
        <v>11</v>
      </c>
      <c r="AM44" t="s">
        <v>8</v>
      </c>
      <c r="AN44" t="s">
        <v>12</v>
      </c>
      <c r="AO44" t="s">
        <v>11</v>
      </c>
      <c r="AP44" t="s">
        <v>8</v>
      </c>
      <c r="AQ44" t="s">
        <v>13</v>
      </c>
      <c r="AR44" t="s">
        <v>8</v>
      </c>
      <c r="AS44" t="s">
        <v>8</v>
      </c>
      <c r="AT44" t="s">
        <v>8</v>
      </c>
      <c r="AU44" t="s">
        <v>8</v>
      </c>
      <c r="AV44" t="s">
        <v>8</v>
      </c>
      <c r="AW44" t="s">
        <v>14</v>
      </c>
      <c r="AX44" t="s">
        <v>15</v>
      </c>
    </row>
    <row r="45" spans="1:50" x14ac:dyDescent="0.2">
      <c r="A45" t="str">
        <f>TEXT(P45,"mmm")</f>
        <v>May</v>
      </c>
      <c r="B45" t="s">
        <v>777</v>
      </c>
      <c r="C45" t="s">
        <v>960</v>
      </c>
      <c r="D45" t="s">
        <v>0</v>
      </c>
      <c r="E45" t="s">
        <v>1</v>
      </c>
      <c r="F45" t="s">
        <v>770</v>
      </c>
      <c r="G45" t="s">
        <v>63</v>
      </c>
      <c r="H45" t="s">
        <v>64</v>
      </c>
      <c r="I45" t="str">
        <f>VLOOKUP(G45,N_ref[#All],5,0)</f>
        <v>Rice - Damaged</v>
      </c>
      <c r="J45" t="str">
        <f>VLOOKUP(SAPData[[#This Row],[Material]],N_ref[#All],10,FALSE)</f>
        <v>Rice</v>
      </c>
      <c r="K45" t="str">
        <f>VLOOKUP(G45,N_ref[#All],6,0)</f>
        <v>Import</v>
      </c>
      <c r="L45" t="str">
        <f>VLOOKUP(SAPData[[#This Row],[Adjustment Type]],Notes!$B$13:$D$36,3,FALSE)</f>
        <v>Stock Losses/Gains</v>
      </c>
      <c r="M45" s="30" t="s">
        <v>811</v>
      </c>
      <c r="N45" s="30" t="s">
        <v>152</v>
      </c>
      <c r="O45" t="s">
        <v>772</v>
      </c>
      <c r="P45" s="2">
        <v>46153</v>
      </c>
      <c r="Q45" s="3">
        <v>0.42856481481481001</v>
      </c>
      <c r="R45" t="s">
        <v>5</v>
      </c>
      <c r="S45" t="s">
        <v>6</v>
      </c>
      <c r="T45" s="19">
        <v>10</v>
      </c>
      <c r="U45" t="s">
        <v>7</v>
      </c>
      <c r="V45" t="s">
        <v>7</v>
      </c>
      <c r="W45" s="19">
        <v>10</v>
      </c>
      <c r="X45" s="29">
        <f>W45/VLOOKUP(G45,N_ref[#All],7,0)</f>
        <v>0.2</v>
      </c>
      <c r="Y45" s="29" t="str">
        <f>IF(SAPData[[#This Row],[Quantity]]&gt;0,"Gain","Loss")</f>
        <v>Gain</v>
      </c>
      <c r="Z45" t="s">
        <v>8</v>
      </c>
      <c r="AA45" s="2">
        <v>46153</v>
      </c>
      <c r="AB45" s="2">
        <v>46153</v>
      </c>
      <c r="AC45" s="31">
        <f>10*20000</f>
        <v>200000</v>
      </c>
      <c r="AD45" t="s">
        <v>74</v>
      </c>
      <c r="AE45" t="s">
        <v>8</v>
      </c>
      <c r="AF45" t="s">
        <v>8</v>
      </c>
      <c r="AG45" t="s">
        <v>31</v>
      </c>
      <c r="AH45" t="s">
        <v>8</v>
      </c>
      <c r="AI45" t="s">
        <v>8</v>
      </c>
      <c r="AJ45" t="s">
        <v>10</v>
      </c>
      <c r="AK45" t="s">
        <v>8</v>
      </c>
      <c r="AL45" t="s">
        <v>11</v>
      </c>
      <c r="AM45" t="s">
        <v>8</v>
      </c>
      <c r="AN45" t="s">
        <v>12</v>
      </c>
      <c r="AO45" t="s">
        <v>11</v>
      </c>
      <c r="AP45" t="s">
        <v>8</v>
      </c>
      <c r="AQ45" t="s">
        <v>13</v>
      </c>
      <c r="AR45" t="s">
        <v>8</v>
      </c>
      <c r="AS45" t="s">
        <v>8</v>
      </c>
      <c r="AT45" t="s">
        <v>8</v>
      </c>
      <c r="AU45" t="s">
        <v>8</v>
      </c>
      <c r="AV45" t="s">
        <v>8</v>
      </c>
      <c r="AW45" t="s">
        <v>14</v>
      </c>
      <c r="AX45" t="s">
        <v>15</v>
      </c>
    </row>
    <row r="46" spans="1:50" x14ac:dyDescent="0.2">
      <c r="A46" t="str">
        <f>TEXT(P46,"mmm")</f>
        <v>May</v>
      </c>
      <c r="B46" t="s">
        <v>777</v>
      </c>
      <c r="C46" t="s">
        <v>930</v>
      </c>
      <c r="D46" t="s">
        <v>0</v>
      </c>
      <c r="E46" t="s">
        <v>1</v>
      </c>
      <c r="F46" t="s">
        <v>855</v>
      </c>
      <c r="G46" t="s">
        <v>308</v>
      </c>
      <c r="H46" t="s">
        <v>309</v>
      </c>
      <c r="I46" t="str">
        <f>VLOOKUP(G46,N_ref[#All],5,0)</f>
        <v>Gadarif Sesame - FG</v>
      </c>
      <c r="J46" t="str">
        <f>VLOOKUP(SAPData[[#This Row],[Material]],N_ref[#All],10,FALSE)</f>
        <v>Sesame Gadarif</v>
      </c>
      <c r="K46" t="str">
        <f>VLOOKUP(G46,N_ref[#All],6,0)</f>
        <v>Export</v>
      </c>
      <c r="L46" t="str">
        <f>VLOOKUP(SAPData[[#This Row],[Adjustment Type]],Notes!$B$13:$D$36,3,FALSE)</f>
        <v>Stock Losses/Gains</v>
      </c>
      <c r="M46" t="s">
        <v>811</v>
      </c>
      <c r="N46" t="s">
        <v>152</v>
      </c>
      <c r="O46" t="s">
        <v>865</v>
      </c>
      <c r="P46" s="2">
        <v>46173</v>
      </c>
      <c r="Q46" s="3">
        <v>0.57965277777778002</v>
      </c>
      <c r="R46" t="s">
        <v>25</v>
      </c>
      <c r="S46" t="s">
        <v>26</v>
      </c>
      <c r="T46" s="19">
        <v>-4</v>
      </c>
      <c r="U46" t="s">
        <v>7</v>
      </c>
      <c r="V46" t="s">
        <v>7</v>
      </c>
      <c r="W46" s="19">
        <v>-4</v>
      </c>
      <c r="X46" s="19">
        <f>W46/VLOOKUP(G46,N_ref[#All],7,0)</f>
        <v>-0.2</v>
      </c>
      <c r="Y46" s="19" t="str">
        <f>IF(SAPData[[#This Row],[Quantity]]&gt;0,"Gain","Loss")</f>
        <v>Loss</v>
      </c>
      <c r="Z46" t="s">
        <v>885</v>
      </c>
      <c r="AA46" s="2">
        <v>46173</v>
      </c>
      <c r="AB46" s="2">
        <v>46173</v>
      </c>
      <c r="AC46" s="4">
        <v>-1031554.68</v>
      </c>
      <c r="AD46" t="s">
        <v>894</v>
      </c>
      <c r="AE46" t="s">
        <v>8</v>
      </c>
      <c r="AF46" t="s">
        <v>8</v>
      </c>
      <c r="AG46" t="s">
        <v>9</v>
      </c>
      <c r="AH46" t="s">
        <v>8</v>
      </c>
      <c r="AI46" t="s">
        <v>8</v>
      </c>
      <c r="AJ46" t="s">
        <v>10</v>
      </c>
      <c r="AK46" t="s">
        <v>8</v>
      </c>
      <c r="AL46" t="s">
        <v>11</v>
      </c>
      <c r="AM46" t="s">
        <v>8</v>
      </c>
      <c r="AN46" t="s">
        <v>12</v>
      </c>
      <c r="AO46" t="s">
        <v>11</v>
      </c>
      <c r="AP46" t="s">
        <v>8</v>
      </c>
      <c r="AQ46" t="s">
        <v>13</v>
      </c>
      <c r="AR46" t="s">
        <v>8</v>
      </c>
      <c r="AS46" t="s">
        <v>8</v>
      </c>
      <c r="AT46" t="s">
        <v>8</v>
      </c>
      <c r="AU46" t="s">
        <v>8</v>
      </c>
      <c r="AV46" t="s">
        <v>8</v>
      </c>
      <c r="AW46" t="s">
        <v>14</v>
      </c>
      <c r="AX46" t="s">
        <v>15</v>
      </c>
    </row>
    <row r="47" spans="1:50" x14ac:dyDescent="0.2">
      <c r="A47" t="str">
        <f>TEXT(P47,"mmm")</f>
        <v>May</v>
      </c>
      <c r="B47" t="s">
        <v>777</v>
      </c>
      <c r="C47" t="s">
        <v>930</v>
      </c>
      <c r="D47" t="s">
        <v>0</v>
      </c>
      <c r="E47" t="s">
        <v>1</v>
      </c>
      <c r="F47" t="s">
        <v>855</v>
      </c>
      <c r="G47">
        <v>7000000035</v>
      </c>
      <c r="H47" t="s">
        <v>429</v>
      </c>
      <c r="I47" t="str">
        <f>VLOOKUP(G47,N_ref[#All],5,0)</f>
        <v>White Sesame Gadarif - Damage</v>
      </c>
      <c r="J47" t="str">
        <f>VLOOKUP(SAPData[[#This Row],[Material]],N_ref[#All],10,FALSE)</f>
        <v>Sesame Gadarif</v>
      </c>
      <c r="K47" t="str">
        <f>VLOOKUP(G47,N_ref[#All],6,0)</f>
        <v>Export</v>
      </c>
      <c r="L47" t="str">
        <f>VLOOKUP(SAPData[[#This Row],[Adjustment Type]],Notes!$B$13:$D$36,3,FALSE)</f>
        <v>Stock Losses/Gains</v>
      </c>
      <c r="M47" t="s">
        <v>811</v>
      </c>
      <c r="N47" t="s">
        <v>152</v>
      </c>
      <c r="O47" t="s">
        <v>865</v>
      </c>
      <c r="P47" s="2">
        <v>46173</v>
      </c>
      <c r="Q47" s="3">
        <v>0.57965277777778002</v>
      </c>
      <c r="R47" t="s">
        <v>5</v>
      </c>
      <c r="S47" t="s">
        <v>6</v>
      </c>
      <c r="T47" s="19">
        <v>1</v>
      </c>
      <c r="U47" t="s">
        <v>7</v>
      </c>
      <c r="V47" t="s">
        <v>7</v>
      </c>
      <c r="W47" s="19">
        <v>1</v>
      </c>
      <c r="X47" s="19">
        <f>W47/VLOOKUP(G47,N_ref[#All],7,0)</f>
        <v>0.05</v>
      </c>
      <c r="Y47" s="19" t="str">
        <f>IF(SAPData[[#This Row],[Quantity]]&gt;0,"Gain","Loss")</f>
        <v>Gain</v>
      </c>
      <c r="Z47" t="s">
        <v>8</v>
      </c>
      <c r="AA47" s="2">
        <v>46173</v>
      </c>
      <c r="AB47" s="2">
        <v>46173</v>
      </c>
      <c r="AC47" s="4">
        <v>100</v>
      </c>
      <c r="AD47" t="s">
        <v>894</v>
      </c>
      <c r="AE47" t="s">
        <v>8</v>
      </c>
      <c r="AF47" t="s">
        <v>8</v>
      </c>
      <c r="AG47" t="s">
        <v>27</v>
      </c>
      <c r="AH47" t="s">
        <v>8</v>
      </c>
      <c r="AI47" t="s">
        <v>8</v>
      </c>
      <c r="AJ47" t="s">
        <v>10</v>
      </c>
      <c r="AK47" t="s">
        <v>8</v>
      </c>
      <c r="AL47" t="s">
        <v>11</v>
      </c>
      <c r="AM47" t="s">
        <v>8</v>
      </c>
      <c r="AN47" t="s">
        <v>12</v>
      </c>
      <c r="AO47" t="s">
        <v>11</v>
      </c>
      <c r="AP47" t="s">
        <v>8</v>
      </c>
      <c r="AQ47" t="s">
        <v>13</v>
      </c>
      <c r="AR47" t="s">
        <v>8</v>
      </c>
      <c r="AS47" t="s">
        <v>8</v>
      </c>
      <c r="AT47" t="s">
        <v>8</v>
      </c>
      <c r="AU47" t="s">
        <v>8</v>
      </c>
      <c r="AV47" t="s">
        <v>8</v>
      </c>
      <c r="AW47" t="s">
        <v>14</v>
      </c>
      <c r="AX47" t="s">
        <v>15</v>
      </c>
    </row>
    <row r="48" spans="1:50" x14ac:dyDescent="0.2">
      <c r="A48" t="str">
        <f>TEXT(P48,"mmm")</f>
        <v>Jul</v>
      </c>
      <c r="B48" t="s">
        <v>777</v>
      </c>
      <c r="C48" t="s">
        <v>1020</v>
      </c>
      <c r="D48" t="s">
        <v>0</v>
      </c>
      <c r="E48" t="s">
        <v>1</v>
      </c>
      <c r="F48" t="s">
        <v>967</v>
      </c>
      <c r="G48" t="s">
        <v>48</v>
      </c>
      <c r="H48" t="s">
        <v>49</v>
      </c>
      <c r="I48" t="str">
        <f>VLOOKUP(G48,N_ref[#All],5,0)</f>
        <v>Gum Talha Cleaned</v>
      </c>
      <c r="J48" t="str">
        <f>VLOOKUP(SAPData[[#This Row],[Material]],N_ref[#All],10,FALSE)</f>
        <v>Gum Arabic Talha</v>
      </c>
      <c r="K48" t="str">
        <f>VLOOKUP(G48,N_ref[#All],6,0)</f>
        <v>Export</v>
      </c>
      <c r="L48" t="str">
        <f>VLOOKUP(SAPData[[#This Row],[Adjustment Type]],Notes!$B$13:$D$36,3,FALSE)</f>
        <v>Stock Losses/Gains</v>
      </c>
      <c r="M48" t="s">
        <v>811</v>
      </c>
      <c r="N48" t="s">
        <v>152</v>
      </c>
      <c r="O48" t="s">
        <v>974</v>
      </c>
      <c r="P48" s="2">
        <v>46219</v>
      </c>
      <c r="Q48" s="3">
        <v>0.51928240740741005</v>
      </c>
      <c r="R48" t="s">
        <v>25</v>
      </c>
      <c r="S48" t="s">
        <v>26</v>
      </c>
      <c r="T48" s="19">
        <v>-24</v>
      </c>
      <c r="U48" t="s">
        <v>7</v>
      </c>
      <c r="V48" t="s">
        <v>7</v>
      </c>
      <c r="W48" s="19">
        <v>-24</v>
      </c>
      <c r="X48" s="19">
        <f>W48/VLOOKUP(G48,N_ref[#All],7,0)</f>
        <v>-1.2</v>
      </c>
      <c r="Y48" s="19" t="str">
        <f>IF(SAPData[[#This Row],[Quantity]]&gt;0,"Gain","Loss")</f>
        <v>Loss</v>
      </c>
      <c r="Z48" t="s">
        <v>51</v>
      </c>
      <c r="AA48" s="2">
        <v>46219</v>
      </c>
      <c r="AB48" s="2">
        <v>46219</v>
      </c>
      <c r="AC48" s="4">
        <v>-5222888.88</v>
      </c>
      <c r="AD48" t="s">
        <v>987</v>
      </c>
      <c r="AE48" t="s">
        <v>8</v>
      </c>
      <c r="AF48" t="s">
        <v>8</v>
      </c>
      <c r="AG48" t="s">
        <v>9</v>
      </c>
      <c r="AH48" t="s">
        <v>8</v>
      </c>
      <c r="AI48" t="s">
        <v>8</v>
      </c>
      <c r="AJ48" t="s">
        <v>907</v>
      </c>
      <c r="AK48" t="s">
        <v>8</v>
      </c>
      <c r="AL48" t="s">
        <v>11</v>
      </c>
      <c r="AM48" t="s">
        <v>8</v>
      </c>
      <c r="AN48" t="s">
        <v>12</v>
      </c>
      <c r="AO48" t="s">
        <v>11</v>
      </c>
      <c r="AP48" t="s">
        <v>8</v>
      </c>
      <c r="AQ48" t="s">
        <v>13</v>
      </c>
      <c r="AR48" t="s">
        <v>8</v>
      </c>
      <c r="AS48" t="s">
        <v>8</v>
      </c>
      <c r="AT48" t="s">
        <v>8</v>
      </c>
      <c r="AU48" t="s">
        <v>8</v>
      </c>
      <c r="AV48" t="s">
        <v>8</v>
      </c>
      <c r="AW48" t="s">
        <v>14</v>
      </c>
      <c r="AX48" t="s">
        <v>910</v>
      </c>
    </row>
    <row r="49" spans="1:50" x14ac:dyDescent="0.2">
      <c r="A49" t="str">
        <f>TEXT(P49,"mmm")</f>
        <v>Jun</v>
      </c>
      <c r="B49" t="s">
        <v>803</v>
      </c>
      <c r="C49" t="s">
        <v>964</v>
      </c>
      <c r="D49" t="s">
        <v>0</v>
      </c>
      <c r="E49" t="s">
        <v>1</v>
      </c>
      <c r="F49" t="s">
        <v>856</v>
      </c>
      <c r="G49" t="s">
        <v>858</v>
      </c>
      <c r="H49" t="s">
        <v>859</v>
      </c>
      <c r="I49" t="str">
        <f>VLOOKUP(G49,N_ref[#All],5,0)</f>
        <v>Flexi Tank - Damaged</v>
      </c>
      <c r="J49" t="str">
        <f>VLOOKUP(SAPData[[#This Row],[Material]],N_ref[#All],10,FALSE)</f>
        <v>Packaging</v>
      </c>
      <c r="K49" t="str">
        <f>VLOOKUP(G49,N_ref[#All],6,0)</f>
        <v>Export</v>
      </c>
      <c r="L49" t="str">
        <f>VLOOKUP(SAPData[[#This Row],[Adjustment Type]],Notes!$B$13:$D$36,3,FALSE)</f>
        <v>Stock Losses/Gains</v>
      </c>
      <c r="M49" t="s">
        <v>814</v>
      </c>
      <c r="N49" t="s">
        <v>152</v>
      </c>
      <c r="O49" t="s">
        <v>866</v>
      </c>
      <c r="P49" s="2">
        <v>46183</v>
      </c>
      <c r="Q49" s="3">
        <v>0.6687962962963</v>
      </c>
      <c r="R49" t="s">
        <v>5</v>
      </c>
      <c r="S49" t="s">
        <v>6</v>
      </c>
      <c r="T49" s="19">
        <v>12</v>
      </c>
      <c r="U49" t="s">
        <v>671</v>
      </c>
      <c r="V49" t="s">
        <v>671</v>
      </c>
      <c r="W49" s="19">
        <v>12</v>
      </c>
      <c r="X49" s="19" t="str">
        <f>IFERROR(W49/VLOOKUP(G49,N_ref[#All],7,0),"-")</f>
        <v>-</v>
      </c>
      <c r="Y49" s="19" t="str">
        <f>IF(SAPData[[#This Row],[Quantity]]&gt;0,"Gain","Loss")</f>
        <v>Gain</v>
      </c>
      <c r="Z49" t="s">
        <v>8</v>
      </c>
      <c r="AA49" s="2">
        <v>46183</v>
      </c>
      <c r="AB49" s="2">
        <v>46183</v>
      </c>
      <c r="AC49" s="106">
        <v>0</v>
      </c>
      <c r="AD49" t="s">
        <v>895</v>
      </c>
      <c r="AE49" t="s">
        <v>8</v>
      </c>
      <c r="AF49" t="s">
        <v>8</v>
      </c>
      <c r="AG49" t="s">
        <v>9</v>
      </c>
      <c r="AH49" t="s">
        <v>8</v>
      </c>
      <c r="AI49" t="s">
        <v>8</v>
      </c>
      <c r="AJ49" t="s">
        <v>10</v>
      </c>
      <c r="AK49" t="s">
        <v>8</v>
      </c>
      <c r="AL49" t="s">
        <v>11</v>
      </c>
      <c r="AM49" t="s">
        <v>8</v>
      </c>
      <c r="AN49" t="s">
        <v>12</v>
      </c>
      <c r="AO49" t="s">
        <v>11</v>
      </c>
      <c r="AP49" t="s">
        <v>8</v>
      </c>
      <c r="AQ49" t="s">
        <v>13</v>
      </c>
      <c r="AR49" t="s">
        <v>8</v>
      </c>
      <c r="AS49" t="s">
        <v>8</v>
      </c>
      <c r="AT49" t="s">
        <v>8</v>
      </c>
      <c r="AU49" t="s">
        <v>8</v>
      </c>
      <c r="AV49" t="s">
        <v>8</v>
      </c>
      <c r="AW49" t="s">
        <v>14</v>
      </c>
      <c r="AX49" t="s">
        <v>15</v>
      </c>
    </row>
    <row r="50" spans="1:50" x14ac:dyDescent="0.2">
      <c r="A50" t="str">
        <f>TEXT(P50,"mmm")</f>
        <v>May</v>
      </c>
      <c r="B50" t="s">
        <v>942</v>
      </c>
      <c r="C50" t="s">
        <v>120</v>
      </c>
      <c r="D50" t="s">
        <v>0</v>
      </c>
      <c r="E50" t="s">
        <v>1</v>
      </c>
      <c r="F50" t="s">
        <v>845</v>
      </c>
      <c r="G50" t="s">
        <v>3</v>
      </c>
      <c r="H50" t="s">
        <v>4</v>
      </c>
      <c r="I50" t="str">
        <f>VLOOKUP(G50,N_ref[#All],5,0)</f>
        <v>Flour Al-Nagm (Mill)</v>
      </c>
      <c r="J50" t="str">
        <f>VLOOKUP(SAPData[[#This Row],[Material]],N_ref[#All],10,FALSE)</f>
        <v>Flour</v>
      </c>
      <c r="K50" t="str">
        <f>VLOOKUP(G50,N_ref[#All],6,0)</f>
        <v>Import</v>
      </c>
      <c r="L50" t="str">
        <f>VLOOKUP(SAPData[[#This Row],[Adjustment Type]],Notes!$B$13:$D$36,3,FALSE)</f>
        <v>Stock Losses/Gains</v>
      </c>
      <c r="M50" t="s">
        <v>790</v>
      </c>
      <c r="N50" t="s">
        <v>152</v>
      </c>
      <c r="O50" t="s">
        <v>846</v>
      </c>
      <c r="P50" s="2">
        <v>46156</v>
      </c>
      <c r="Q50" s="3">
        <v>0.38461805555556</v>
      </c>
      <c r="R50" t="s">
        <v>5</v>
      </c>
      <c r="S50" t="s">
        <v>6</v>
      </c>
      <c r="T50" s="19">
        <v>4</v>
      </c>
      <c r="U50" t="s">
        <v>7</v>
      </c>
      <c r="V50" t="s">
        <v>7</v>
      </c>
      <c r="W50" s="19">
        <v>4</v>
      </c>
      <c r="X50" s="19">
        <f>W50/VLOOKUP(G50,N_ref[#All],7,0)</f>
        <v>0.1</v>
      </c>
      <c r="Y50" s="19" t="str">
        <f>IF(SAPData[[#This Row],[Quantity]]&gt;0,"Gain","Loss")</f>
        <v>Gain</v>
      </c>
      <c r="Z50" t="s">
        <v>847</v>
      </c>
      <c r="AA50" s="2">
        <v>46156</v>
      </c>
      <c r="AB50" s="2">
        <v>46156</v>
      </c>
      <c r="AC50" s="4">
        <v>166017.35999999999</v>
      </c>
      <c r="AD50" t="s">
        <v>848</v>
      </c>
      <c r="AE50" t="s">
        <v>8</v>
      </c>
      <c r="AF50" t="s">
        <v>8</v>
      </c>
      <c r="AG50" t="s">
        <v>9</v>
      </c>
      <c r="AH50" t="s">
        <v>8</v>
      </c>
      <c r="AI50" t="s">
        <v>8</v>
      </c>
      <c r="AJ50" t="s">
        <v>10</v>
      </c>
      <c r="AK50" t="s">
        <v>8</v>
      </c>
      <c r="AL50" t="s">
        <v>11</v>
      </c>
      <c r="AM50" t="s">
        <v>8</v>
      </c>
      <c r="AN50" t="s">
        <v>12</v>
      </c>
      <c r="AO50" t="s">
        <v>11</v>
      </c>
      <c r="AP50" t="s">
        <v>8</v>
      </c>
      <c r="AQ50" t="s">
        <v>13</v>
      </c>
      <c r="AR50" t="s">
        <v>8</v>
      </c>
      <c r="AS50" t="s">
        <v>8</v>
      </c>
      <c r="AT50" t="s">
        <v>8</v>
      </c>
      <c r="AU50" t="s">
        <v>8</v>
      </c>
      <c r="AV50" t="s">
        <v>8</v>
      </c>
      <c r="AW50" t="s">
        <v>14</v>
      </c>
      <c r="AX50" t="s">
        <v>15</v>
      </c>
    </row>
    <row r="51" spans="1:50" x14ac:dyDescent="0.2">
      <c r="A51" t="str">
        <f>TEXT(P51,"mmm")</f>
        <v>Jul</v>
      </c>
      <c r="B51" t="s">
        <v>942</v>
      </c>
      <c r="C51" t="s">
        <v>120</v>
      </c>
      <c r="D51" t="s">
        <v>0</v>
      </c>
      <c r="E51" t="s">
        <v>1</v>
      </c>
      <c r="F51" t="s">
        <v>2</v>
      </c>
      <c r="G51" t="s">
        <v>16</v>
      </c>
      <c r="H51" t="s">
        <v>17</v>
      </c>
      <c r="I51" t="str">
        <f>VLOOKUP(G51,N_ref[#All],5,0)</f>
        <v>Lentils</v>
      </c>
      <c r="J51" t="str">
        <f>VLOOKUP(SAPData[[#This Row],[Material]],N_ref[#All],10,FALSE)</f>
        <v>Lentil</v>
      </c>
      <c r="K51" t="str">
        <f>VLOOKUP(G51,N_ref[#All],6,0)</f>
        <v>Import</v>
      </c>
      <c r="L51" t="str">
        <f>VLOOKUP(SAPData[[#This Row],[Adjustment Type]],Notes!$B$13:$D$36,3,FALSE)</f>
        <v>Stock Losses/Gains</v>
      </c>
      <c r="M51" t="s">
        <v>790</v>
      </c>
      <c r="N51" t="s">
        <v>152</v>
      </c>
      <c r="O51" t="s">
        <v>975</v>
      </c>
      <c r="P51" s="2">
        <v>46222</v>
      </c>
      <c r="Q51" s="3">
        <v>0.58780092592593003</v>
      </c>
      <c r="R51" t="s">
        <v>5</v>
      </c>
      <c r="S51" t="s">
        <v>6</v>
      </c>
      <c r="T51" s="19">
        <v>2</v>
      </c>
      <c r="U51" t="s">
        <v>7</v>
      </c>
      <c r="V51" t="s">
        <v>7</v>
      </c>
      <c r="W51" s="19">
        <v>2</v>
      </c>
      <c r="X51" s="19">
        <f>W51/VLOOKUP(G51,N_ref[#All],7,0)</f>
        <v>0.04</v>
      </c>
      <c r="Y51" s="19" t="str">
        <f>IF(SAPData[[#This Row],[Quantity]]&gt;0,"Gain","Loss")</f>
        <v>Gain</v>
      </c>
      <c r="Z51" t="s">
        <v>988</v>
      </c>
      <c r="AA51" s="2">
        <v>46222</v>
      </c>
      <c r="AB51" s="2">
        <v>46222</v>
      </c>
      <c r="AC51" s="4">
        <v>168515.96</v>
      </c>
      <c r="AD51" t="s">
        <v>989</v>
      </c>
      <c r="AE51" t="s">
        <v>8</v>
      </c>
      <c r="AF51" t="s">
        <v>8</v>
      </c>
      <c r="AG51" t="s">
        <v>9</v>
      </c>
      <c r="AH51" t="s">
        <v>8</v>
      </c>
      <c r="AI51" t="s">
        <v>8</v>
      </c>
      <c r="AJ51" t="s">
        <v>907</v>
      </c>
      <c r="AK51" t="s">
        <v>8</v>
      </c>
      <c r="AL51" t="s">
        <v>11</v>
      </c>
      <c r="AM51" t="s">
        <v>8</v>
      </c>
      <c r="AN51" t="s">
        <v>12</v>
      </c>
      <c r="AO51" t="s">
        <v>11</v>
      </c>
      <c r="AP51" t="s">
        <v>8</v>
      </c>
      <c r="AQ51" t="s">
        <v>13</v>
      </c>
      <c r="AR51" t="s">
        <v>8</v>
      </c>
      <c r="AS51" t="s">
        <v>8</v>
      </c>
      <c r="AT51" t="s">
        <v>8</v>
      </c>
      <c r="AU51" t="s">
        <v>8</v>
      </c>
      <c r="AV51" t="s">
        <v>8</v>
      </c>
      <c r="AW51" t="s">
        <v>14</v>
      </c>
      <c r="AX51" t="s">
        <v>910</v>
      </c>
    </row>
    <row r="52" spans="1:50" x14ac:dyDescent="0.2">
      <c r="A52" t="str">
        <f>TEXT(P52,"mmm")</f>
        <v>Jul</v>
      </c>
      <c r="B52" t="s">
        <v>942</v>
      </c>
      <c r="C52" t="s">
        <v>120</v>
      </c>
      <c r="D52" t="s">
        <v>0</v>
      </c>
      <c r="E52" t="s">
        <v>1</v>
      </c>
      <c r="F52" t="s">
        <v>67</v>
      </c>
      <c r="G52" t="s">
        <v>16</v>
      </c>
      <c r="H52" t="s">
        <v>17</v>
      </c>
      <c r="I52" t="str">
        <f>VLOOKUP(G52,N_ref[#All],5,0)</f>
        <v>Lentils</v>
      </c>
      <c r="J52" t="str">
        <f>VLOOKUP(SAPData[[#This Row],[Material]],N_ref[#All],10,FALSE)</f>
        <v>Lentil</v>
      </c>
      <c r="K52" t="str">
        <f>VLOOKUP(G52,N_ref[#All],6,0)</f>
        <v>Import</v>
      </c>
      <c r="L52" t="str">
        <f>VLOOKUP(SAPData[[#This Row],[Adjustment Type]],Notes!$B$13:$D$36,3,FALSE)</f>
        <v>Stock Losses/Gains</v>
      </c>
      <c r="M52" t="s">
        <v>790</v>
      </c>
      <c r="N52" t="s">
        <v>152</v>
      </c>
      <c r="O52" t="s">
        <v>976</v>
      </c>
      <c r="P52" s="2">
        <v>46222</v>
      </c>
      <c r="Q52" s="3">
        <v>0.58687500000000004</v>
      </c>
      <c r="R52" t="s">
        <v>5</v>
      </c>
      <c r="S52" t="s">
        <v>6</v>
      </c>
      <c r="T52" s="19">
        <v>2</v>
      </c>
      <c r="U52" t="s">
        <v>7</v>
      </c>
      <c r="V52" t="s">
        <v>7</v>
      </c>
      <c r="W52" s="19">
        <v>2</v>
      </c>
      <c r="X52" s="19">
        <f>W52/VLOOKUP(G52,N_ref[#All],7,0)</f>
        <v>0.04</v>
      </c>
      <c r="Y52" s="19" t="str">
        <f>IF(SAPData[[#This Row],[Quantity]]&gt;0,"Gain","Loss")</f>
        <v>Gain</v>
      </c>
      <c r="Z52" t="s">
        <v>990</v>
      </c>
      <c r="AA52" s="2">
        <v>46222</v>
      </c>
      <c r="AB52" s="2">
        <v>46222</v>
      </c>
      <c r="AC52" s="4">
        <v>168515.96</v>
      </c>
      <c r="AD52" t="s">
        <v>989</v>
      </c>
      <c r="AE52" t="s">
        <v>8</v>
      </c>
      <c r="AF52" t="s">
        <v>8</v>
      </c>
      <c r="AG52" t="s">
        <v>9</v>
      </c>
      <c r="AH52" t="s">
        <v>8</v>
      </c>
      <c r="AI52" t="s">
        <v>8</v>
      </c>
      <c r="AJ52" t="s">
        <v>907</v>
      </c>
      <c r="AK52" t="s">
        <v>8</v>
      </c>
      <c r="AL52" t="s">
        <v>11</v>
      </c>
      <c r="AM52" t="s">
        <v>8</v>
      </c>
      <c r="AN52" t="s">
        <v>12</v>
      </c>
      <c r="AO52" t="s">
        <v>11</v>
      </c>
      <c r="AP52" t="s">
        <v>8</v>
      </c>
      <c r="AQ52" t="s">
        <v>13</v>
      </c>
      <c r="AR52" t="s">
        <v>8</v>
      </c>
      <c r="AS52" t="s">
        <v>8</v>
      </c>
      <c r="AT52" t="s">
        <v>8</v>
      </c>
      <c r="AU52" t="s">
        <v>8</v>
      </c>
      <c r="AV52" t="s">
        <v>8</v>
      </c>
      <c r="AW52" t="s">
        <v>14</v>
      </c>
      <c r="AX52" t="s">
        <v>910</v>
      </c>
    </row>
    <row r="53" spans="1:50" x14ac:dyDescent="0.2">
      <c r="A53" t="str">
        <f>TEXT(P53,"mmm")</f>
        <v>Jul</v>
      </c>
      <c r="B53" t="s">
        <v>942</v>
      </c>
      <c r="C53" t="s">
        <v>120</v>
      </c>
      <c r="D53" t="s">
        <v>0</v>
      </c>
      <c r="E53" t="s">
        <v>1</v>
      </c>
      <c r="F53" t="s">
        <v>2</v>
      </c>
      <c r="G53" t="s">
        <v>16</v>
      </c>
      <c r="H53" t="s">
        <v>17</v>
      </c>
      <c r="I53" t="str">
        <f>VLOOKUP(G53,N_ref[#All],5,0)</f>
        <v>Lentils</v>
      </c>
      <c r="J53" t="str">
        <f>VLOOKUP(SAPData[[#This Row],[Material]],N_ref[#All],10,FALSE)</f>
        <v>Lentil</v>
      </c>
      <c r="K53" t="str">
        <f>VLOOKUP(G53,N_ref[#All],6,0)</f>
        <v>Import</v>
      </c>
      <c r="L53" t="str">
        <f>VLOOKUP(SAPData[[#This Row],[Adjustment Type]],Notes!$B$13:$D$36,3,FALSE)</f>
        <v>Stock Losses/Gains</v>
      </c>
      <c r="M53" t="s">
        <v>790</v>
      </c>
      <c r="N53" t="s">
        <v>152</v>
      </c>
      <c r="O53" t="s">
        <v>977</v>
      </c>
      <c r="P53" s="2">
        <v>46222</v>
      </c>
      <c r="Q53" s="3">
        <v>0.58569444444443997</v>
      </c>
      <c r="R53" t="s">
        <v>5</v>
      </c>
      <c r="S53" t="s">
        <v>6</v>
      </c>
      <c r="T53" s="19">
        <v>1</v>
      </c>
      <c r="U53" t="s">
        <v>7</v>
      </c>
      <c r="V53" t="s">
        <v>7</v>
      </c>
      <c r="W53" s="19">
        <v>1</v>
      </c>
      <c r="X53" s="19">
        <f>W53/VLOOKUP(G53,N_ref[#All],7,0)</f>
        <v>0.02</v>
      </c>
      <c r="Y53" s="19" t="str">
        <f>IF(SAPData[[#This Row],[Quantity]]&gt;0,"Gain","Loss")</f>
        <v>Gain</v>
      </c>
      <c r="Z53" t="s">
        <v>991</v>
      </c>
      <c r="AA53" s="2">
        <v>46222</v>
      </c>
      <c r="AB53" s="2">
        <v>46222</v>
      </c>
      <c r="AC53" s="4">
        <v>84257.98</v>
      </c>
      <c r="AD53" t="s">
        <v>989</v>
      </c>
      <c r="AE53" t="s">
        <v>8</v>
      </c>
      <c r="AF53" t="s">
        <v>8</v>
      </c>
      <c r="AG53" t="s">
        <v>9</v>
      </c>
      <c r="AH53" t="s">
        <v>8</v>
      </c>
      <c r="AI53" t="s">
        <v>8</v>
      </c>
      <c r="AJ53" t="s">
        <v>907</v>
      </c>
      <c r="AK53" t="s">
        <v>8</v>
      </c>
      <c r="AL53" t="s">
        <v>11</v>
      </c>
      <c r="AM53" t="s">
        <v>8</v>
      </c>
      <c r="AN53" t="s">
        <v>12</v>
      </c>
      <c r="AO53" t="s">
        <v>11</v>
      </c>
      <c r="AP53" t="s">
        <v>8</v>
      </c>
      <c r="AQ53" t="s">
        <v>13</v>
      </c>
      <c r="AR53" t="s">
        <v>8</v>
      </c>
      <c r="AS53" t="s">
        <v>8</v>
      </c>
      <c r="AT53" t="s">
        <v>8</v>
      </c>
      <c r="AU53" t="s">
        <v>8</v>
      </c>
      <c r="AV53" t="s">
        <v>8</v>
      </c>
      <c r="AW53" t="s">
        <v>14</v>
      </c>
      <c r="AX53" t="s">
        <v>910</v>
      </c>
    </row>
    <row r="54" spans="1:50" x14ac:dyDescent="0.2">
      <c r="A54" t="str">
        <f>TEXT(P54,"mmm")</f>
        <v>Feb</v>
      </c>
      <c r="B54" t="s">
        <v>823</v>
      </c>
      <c r="C54" t="s">
        <v>961</v>
      </c>
      <c r="D54" t="s">
        <v>0</v>
      </c>
      <c r="E54" t="s">
        <v>1</v>
      </c>
      <c r="F54" t="s">
        <v>2</v>
      </c>
      <c r="G54" t="s">
        <v>3</v>
      </c>
      <c r="H54" t="s">
        <v>4</v>
      </c>
      <c r="I54" t="str">
        <f>VLOOKUP(G54,N_ref[#All],5,0)</f>
        <v>Flour Al-Nagm (Mill)</v>
      </c>
      <c r="J54" t="str">
        <f>VLOOKUP(SAPData[[#This Row],[Material]],N_ref[#All],10,FALSE)</f>
        <v>Flour</v>
      </c>
      <c r="K54" t="str">
        <f>VLOOKUP(G54,N_ref[#All],6,0)</f>
        <v>Import</v>
      </c>
      <c r="L54" t="str">
        <f>VLOOKUP(SAPData[[#This Row],[Adjustment Type]],Notes!$B$13:$D$36,3,FALSE)</f>
        <v>Stock Losses/Gains</v>
      </c>
      <c r="M54" t="s">
        <v>812</v>
      </c>
      <c r="N54" t="s">
        <v>813</v>
      </c>
      <c r="O54" t="s">
        <v>38</v>
      </c>
      <c r="P54" s="2">
        <v>46070</v>
      </c>
      <c r="Q54" s="3">
        <v>0.40113425925926</v>
      </c>
      <c r="R54" t="s">
        <v>25</v>
      </c>
      <c r="S54" t="s">
        <v>26</v>
      </c>
      <c r="T54" s="19">
        <v>-1</v>
      </c>
      <c r="U54" t="s">
        <v>7</v>
      </c>
      <c r="V54" t="s">
        <v>7</v>
      </c>
      <c r="W54" s="19">
        <v>-1</v>
      </c>
      <c r="X54" s="19">
        <f>W54/VLOOKUP(G54,N_ref[#All],7,0)</f>
        <v>-2.5000000000000001E-2</v>
      </c>
      <c r="Y54" s="19" t="str">
        <f>IF(SAPData[[#This Row],[Quantity]]&gt;0,"Gain","Loss")</f>
        <v>Loss</v>
      </c>
      <c r="Z54" t="s">
        <v>21</v>
      </c>
      <c r="AA54" s="2">
        <v>46070</v>
      </c>
      <c r="AB54" s="2">
        <v>46070</v>
      </c>
      <c r="AC54" s="4">
        <v>-39042</v>
      </c>
      <c r="AD54" t="s">
        <v>8</v>
      </c>
      <c r="AE54" t="s">
        <v>8</v>
      </c>
      <c r="AF54" t="s">
        <v>8</v>
      </c>
      <c r="AG54" t="s">
        <v>9</v>
      </c>
      <c r="AH54" t="s">
        <v>8</v>
      </c>
      <c r="AI54" t="s">
        <v>8</v>
      </c>
      <c r="AJ54" t="s">
        <v>10</v>
      </c>
      <c r="AK54" t="s">
        <v>8</v>
      </c>
      <c r="AL54" t="s">
        <v>11</v>
      </c>
      <c r="AM54" t="s">
        <v>8</v>
      </c>
      <c r="AN54" t="s">
        <v>12</v>
      </c>
      <c r="AO54" t="s">
        <v>11</v>
      </c>
      <c r="AP54" t="s">
        <v>8</v>
      </c>
      <c r="AQ54" t="s">
        <v>13</v>
      </c>
      <c r="AR54" t="s">
        <v>8</v>
      </c>
      <c r="AS54" t="s">
        <v>8</v>
      </c>
      <c r="AT54" t="s">
        <v>8</v>
      </c>
      <c r="AU54" t="s">
        <v>8</v>
      </c>
      <c r="AV54" t="s">
        <v>8</v>
      </c>
      <c r="AW54" t="s">
        <v>14</v>
      </c>
      <c r="AX54" t="s">
        <v>15</v>
      </c>
    </row>
    <row r="55" spans="1:50" x14ac:dyDescent="0.2">
      <c r="A55" t="str">
        <f>TEXT(P55,"mmm")</f>
        <v>May</v>
      </c>
      <c r="B55" t="s">
        <v>823</v>
      </c>
      <c r="C55" t="s">
        <v>961</v>
      </c>
      <c r="D55" t="s">
        <v>0</v>
      </c>
      <c r="E55" t="s">
        <v>1</v>
      </c>
      <c r="F55" t="s">
        <v>851</v>
      </c>
      <c r="G55" t="s">
        <v>3</v>
      </c>
      <c r="H55" t="s">
        <v>4</v>
      </c>
      <c r="I55" t="str">
        <f>VLOOKUP(G55,N_ref[#All],5,0)</f>
        <v>Flour Al-Nagm (Mill)</v>
      </c>
      <c r="J55" t="str">
        <f>VLOOKUP(SAPData[[#This Row],[Material]],N_ref[#All],10,FALSE)</f>
        <v>Flour</v>
      </c>
      <c r="K55" t="str">
        <f>VLOOKUP(G55,N_ref[#All],6,0)</f>
        <v>Import</v>
      </c>
      <c r="L55" t="str">
        <f>VLOOKUP(SAPData[[#This Row],[Adjustment Type]],Notes!$B$13:$D$36,3,FALSE)</f>
        <v>Stock Losses/Gains</v>
      </c>
      <c r="M55" t="s">
        <v>812</v>
      </c>
      <c r="N55" t="s">
        <v>813</v>
      </c>
      <c r="O55" t="s">
        <v>861</v>
      </c>
      <c r="P55" s="2">
        <v>46173</v>
      </c>
      <c r="Q55" s="3">
        <v>0.73758101851851998</v>
      </c>
      <c r="R55" t="s">
        <v>25</v>
      </c>
      <c r="S55" t="s">
        <v>26</v>
      </c>
      <c r="T55" s="19">
        <v>-1</v>
      </c>
      <c r="U55" t="s">
        <v>7</v>
      </c>
      <c r="V55" t="s">
        <v>7</v>
      </c>
      <c r="W55" s="19">
        <v>-1</v>
      </c>
      <c r="X55" s="19">
        <f>W55/VLOOKUP(G55,N_ref[#All],7,0)</f>
        <v>-2.5000000000000001E-2</v>
      </c>
      <c r="Y55" s="19" t="str">
        <f>IF(SAPData[[#This Row],[Quantity]]&gt;0,"Gain","Loss")</f>
        <v>Loss</v>
      </c>
      <c r="Z55" t="s">
        <v>883</v>
      </c>
      <c r="AA55" s="2">
        <v>46173</v>
      </c>
      <c r="AB55" s="2">
        <v>46175</v>
      </c>
      <c r="AC55" s="4">
        <v>-41504.339999999997</v>
      </c>
      <c r="AD55" t="s">
        <v>893</v>
      </c>
      <c r="AE55" t="s">
        <v>906</v>
      </c>
      <c r="AF55" t="s">
        <v>8</v>
      </c>
      <c r="AG55" t="s">
        <v>9</v>
      </c>
      <c r="AH55" t="s">
        <v>8</v>
      </c>
      <c r="AI55" t="s">
        <v>912</v>
      </c>
      <c r="AJ55" t="s">
        <v>907</v>
      </c>
      <c r="AK55" t="s">
        <v>8</v>
      </c>
      <c r="AL55" t="s">
        <v>11</v>
      </c>
      <c r="AM55" t="s">
        <v>913</v>
      </c>
      <c r="AN55" t="s">
        <v>12</v>
      </c>
      <c r="AO55" t="s">
        <v>36</v>
      </c>
      <c r="AP55" t="s">
        <v>8</v>
      </c>
      <c r="AQ55" t="s">
        <v>909</v>
      </c>
      <c r="AR55" t="s">
        <v>8</v>
      </c>
      <c r="AS55" t="s">
        <v>8</v>
      </c>
      <c r="AT55" t="s">
        <v>8</v>
      </c>
      <c r="AU55" t="s">
        <v>8</v>
      </c>
      <c r="AV55" t="s">
        <v>8</v>
      </c>
      <c r="AW55" t="s">
        <v>14</v>
      </c>
      <c r="AX55" t="s">
        <v>910</v>
      </c>
    </row>
    <row r="56" spans="1:50" x14ac:dyDescent="0.2">
      <c r="A56" t="str">
        <f>TEXT(P56,"mmm")</f>
        <v>May</v>
      </c>
      <c r="B56" t="s">
        <v>823</v>
      </c>
      <c r="C56" t="s">
        <v>961</v>
      </c>
      <c r="D56" t="s">
        <v>0</v>
      </c>
      <c r="E56" t="s">
        <v>1</v>
      </c>
      <c r="F56" t="s">
        <v>852</v>
      </c>
      <c r="G56" t="s">
        <v>3</v>
      </c>
      <c r="H56" t="s">
        <v>4</v>
      </c>
      <c r="I56" t="str">
        <f>VLOOKUP(G56,N_ref[#All],5,0)</f>
        <v>Flour Al-Nagm (Mill)</v>
      </c>
      <c r="J56" t="str">
        <f>VLOOKUP(SAPData[[#This Row],[Material]],N_ref[#All],10,FALSE)</f>
        <v>Flour</v>
      </c>
      <c r="K56" t="str">
        <f>VLOOKUP(G56,N_ref[#All],6,0)</f>
        <v>Import</v>
      </c>
      <c r="L56" t="str">
        <f>VLOOKUP(SAPData[[#This Row],[Adjustment Type]],Notes!$B$13:$D$36,3,FALSE)</f>
        <v>Stock Losses/Gains</v>
      </c>
      <c r="M56" t="s">
        <v>812</v>
      </c>
      <c r="N56" t="s">
        <v>813</v>
      </c>
      <c r="O56" t="s">
        <v>862</v>
      </c>
      <c r="P56" s="2">
        <v>46173</v>
      </c>
      <c r="Q56" s="3">
        <v>0.73752314814815001</v>
      </c>
      <c r="R56" t="s">
        <v>25</v>
      </c>
      <c r="S56" t="s">
        <v>26</v>
      </c>
      <c r="T56" s="19">
        <v>-1</v>
      </c>
      <c r="U56" t="s">
        <v>7</v>
      </c>
      <c r="V56" t="s">
        <v>7</v>
      </c>
      <c r="W56" s="19">
        <v>-1</v>
      </c>
      <c r="X56" s="19">
        <f>W56/VLOOKUP(G56,N_ref[#All],7,0)</f>
        <v>-2.5000000000000001E-2</v>
      </c>
      <c r="Y56" s="19" t="str">
        <f>IF(SAPData[[#This Row],[Quantity]]&gt;0,"Gain","Loss")</f>
        <v>Loss</v>
      </c>
      <c r="Z56" t="s">
        <v>884</v>
      </c>
      <c r="AA56" s="2">
        <v>46173</v>
      </c>
      <c r="AB56" s="2">
        <v>46175</v>
      </c>
      <c r="AC56" s="4">
        <v>-41504.339999999997</v>
      </c>
      <c r="AD56" t="s">
        <v>893</v>
      </c>
      <c r="AE56" t="s">
        <v>906</v>
      </c>
      <c r="AF56" t="s">
        <v>8</v>
      </c>
      <c r="AG56" t="s">
        <v>9</v>
      </c>
      <c r="AH56" t="s">
        <v>8</v>
      </c>
      <c r="AI56">
        <v>77002872</v>
      </c>
      <c r="AJ56" t="s">
        <v>907</v>
      </c>
      <c r="AK56" t="s">
        <v>8</v>
      </c>
      <c r="AL56" t="s">
        <v>11</v>
      </c>
      <c r="AM56" t="s">
        <v>914</v>
      </c>
      <c r="AN56" t="s">
        <v>12</v>
      </c>
      <c r="AO56" t="s">
        <v>773</v>
      </c>
      <c r="AP56" t="s">
        <v>8</v>
      </c>
      <c r="AQ56" t="s">
        <v>909</v>
      </c>
      <c r="AR56" t="s">
        <v>8</v>
      </c>
      <c r="AS56" t="s">
        <v>8</v>
      </c>
      <c r="AT56" t="s">
        <v>8</v>
      </c>
      <c r="AU56" t="s">
        <v>8</v>
      </c>
      <c r="AV56" t="s">
        <v>8</v>
      </c>
      <c r="AW56" t="s">
        <v>14</v>
      </c>
      <c r="AX56" t="s">
        <v>910</v>
      </c>
    </row>
    <row r="57" spans="1:50" x14ac:dyDescent="0.2">
      <c r="A57" t="str">
        <f>TEXT(P57,"mmm")</f>
        <v>May</v>
      </c>
      <c r="B57" t="s">
        <v>823</v>
      </c>
      <c r="C57" t="s">
        <v>961</v>
      </c>
      <c r="D57" t="s">
        <v>0</v>
      </c>
      <c r="E57" t="s">
        <v>1</v>
      </c>
      <c r="F57" t="s">
        <v>853</v>
      </c>
      <c r="G57" t="s">
        <v>16</v>
      </c>
      <c r="H57" t="s">
        <v>17</v>
      </c>
      <c r="I57" t="str">
        <f>VLOOKUP(G57,N_ref[#All],5,0)</f>
        <v>Lentils</v>
      </c>
      <c r="J57" t="str">
        <f>VLOOKUP(SAPData[[#This Row],[Material]],N_ref[#All],10,FALSE)</f>
        <v>Lentil</v>
      </c>
      <c r="K57" t="str">
        <f>VLOOKUP(G57,N_ref[#All],6,0)</f>
        <v>Import</v>
      </c>
      <c r="L57" t="str">
        <f>VLOOKUP(SAPData[[#This Row],[Adjustment Type]],Notes!$B$13:$D$36,3,FALSE)</f>
        <v>Stock Losses/Gains</v>
      </c>
      <c r="M57" t="s">
        <v>812</v>
      </c>
      <c r="N57" t="s">
        <v>813</v>
      </c>
      <c r="O57" t="s">
        <v>863</v>
      </c>
      <c r="P57" s="2">
        <v>46173</v>
      </c>
      <c r="Q57" s="3">
        <v>0.73644675925925995</v>
      </c>
      <c r="R57" t="s">
        <v>25</v>
      </c>
      <c r="S57" t="s">
        <v>26</v>
      </c>
      <c r="T57" s="19">
        <v>-2</v>
      </c>
      <c r="U57" t="s">
        <v>7</v>
      </c>
      <c r="V57" t="s">
        <v>7</v>
      </c>
      <c r="W57" s="19">
        <v>-2</v>
      </c>
      <c r="X57" s="19">
        <f>W57/VLOOKUP(G57,N_ref[#All],7,0)</f>
        <v>-0.04</v>
      </c>
      <c r="Y57" s="19" t="str">
        <f>IF(SAPData[[#This Row],[Quantity]]&gt;0,"Gain","Loss")</f>
        <v>Loss</v>
      </c>
      <c r="Z57" t="s">
        <v>52</v>
      </c>
      <c r="AA57" s="2">
        <v>46173</v>
      </c>
      <c r="AB57" s="2">
        <v>46175</v>
      </c>
      <c r="AC57" s="4">
        <v>-138556</v>
      </c>
      <c r="AD57" t="s">
        <v>893</v>
      </c>
      <c r="AE57" t="s">
        <v>906</v>
      </c>
      <c r="AF57" t="s">
        <v>8</v>
      </c>
      <c r="AG57" t="s">
        <v>9</v>
      </c>
      <c r="AH57" t="s">
        <v>8</v>
      </c>
      <c r="AI57" t="s">
        <v>915</v>
      </c>
      <c r="AJ57" t="s">
        <v>907</v>
      </c>
      <c r="AK57" t="s">
        <v>8</v>
      </c>
      <c r="AL57" t="s">
        <v>11</v>
      </c>
      <c r="AM57" t="s">
        <v>916</v>
      </c>
      <c r="AN57" t="s">
        <v>12</v>
      </c>
      <c r="AO57" t="s">
        <v>773</v>
      </c>
      <c r="AP57" t="s">
        <v>8</v>
      </c>
      <c r="AQ57" t="s">
        <v>909</v>
      </c>
      <c r="AR57" t="s">
        <v>8</v>
      </c>
      <c r="AS57" t="s">
        <v>8</v>
      </c>
      <c r="AT57" t="s">
        <v>8</v>
      </c>
      <c r="AU57" t="s">
        <v>8</v>
      </c>
      <c r="AV57" t="s">
        <v>8</v>
      </c>
      <c r="AW57" t="s">
        <v>14</v>
      </c>
      <c r="AX57" t="s">
        <v>910</v>
      </c>
    </row>
    <row r="58" spans="1:50" x14ac:dyDescent="0.2">
      <c r="A58" t="str">
        <f>TEXT(P58,"mmm")</f>
        <v>May</v>
      </c>
      <c r="B58" t="s">
        <v>823</v>
      </c>
      <c r="C58" t="s">
        <v>961</v>
      </c>
      <c r="D58" t="s">
        <v>0</v>
      </c>
      <c r="E58" t="s">
        <v>1</v>
      </c>
      <c r="F58" t="s">
        <v>854</v>
      </c>
      <c r="G58" t="s">
        <v>16</v>
      </c>
      <c r="H58" t="s">
        <v>17</v>
      </c>
      <c r="I58" t="str">
        <f>VLOOKUP(G58,N_ref[#All],5,0)</f>
        <v>Lentils</v>
      </c>
      <c r="J58" t="str">
        <f>VLOOKUP(SAPData[[#This Row],[Material]],N_ref[#All],10,FALSE)</f>
        <v>Lentil</v>
      </c>
      <c r="K58" t="str">
        <f>VLOOKUP(G58,N_ref[#All],6,0)</f>
        <v>Import</v>
      </c>
      <c r="L58" t="str">
        <f>VLOOKUP(SAPData[[#This Row],[Adjustment Type]],Notes!$B$13:$D$36,3,FALSE)</f>
        <v>Stock Losses/Gains</v>
      </c>
      <c r="M58" t="s">
        <v>812</v>
      </c>
      <c r="N58" t="s">
        <v>813</v>
      </c>
      <c r="O58" t="s">
        <v>864</v>
      </c>
      <c r="P58" s="2">
        <v>46173</v>
      </c>
      <c r="Q58" s="3">
        <v>0.73645833333333</v>
      </c>
      <c r="R58" t="s">
        <v>25</v>
      </c>
      <c r="S58" t="s">
        <v>26</v>
      </c>
      <c r="T58" s="19">
        <v>-3</v>
      </c>
      <c r="U58" t="s">
        <v>7</v>
      </c>
      <c r="V58" t="s">
        <v>7</v>
      </c>
      <c r="W58" s="19">
        <v>-3</v>
      </c>
      <c r="X58" s="19">
        <f>W58/VLOOKUP(G58,N_ref[#All],7,0)</f>
        <v>-0.06</v>
      </c>
      <c r="Y58" s="19" t="str">
        <f>IF(SAPData[[#This Row],[Quantity]]&gt;0,"Gain","Loss")</f>
        <v>Loss</v>
      </c>
      <c r="Z58" t="s">
        <v>52</v>
      </c>
      <c r="AA58" s="2">
        <v>46173</v>
      </c>
      <c r="AB58" s="2">
        <v>46175</v>
      </c>
      <c r="AC58" s="4">
        <v>-207834</v>
      </c>
      <c r="AD58" t="s">
        <v>893</v>
      </c>
      <c r="AE58" t="s">
        <v>906</v>
      </c>
      <c r="AF58" t="s">
        <v>8</v>
      </c>
      <c r="AG58" t="s">
        <v>9</v>
      </c>
      <c r="AH58" t="s">
        <v>8</v>
      </c>
      <c r="AI58" t="s">
        <v>917</v>
      </c>
      <c r="AJ58" t="s">
        <v>907</v>
      </c>
      <c r="AK58" t="s">
        <v>8</v>
      </c>
      <c r="AL58" t="s">
        <v>11</v>
      </c>
      <c r="AM58" t="s">
        <v>916</v>
      </c>
      <c r="AN58" t="s">
        <v>12</v>
      </c>
      <c r="AO58" t="s">
        <v>36</v>
      </c>
      <c r="AP58" t="s">
        <v>8</v>
      </c>
      <c r="AQ58" t="s">
        <v>909</v>
      </c>
      <c r="AR58" t="s">
        <v>8</v>
      </c>
      <c r="AS58" t="s">
        <v>8</v>
      </c>
      <c r="AT58" t="s">
        <v>8</v>
      </c>
      <c r="AU58" t="s">
        <v>8</v>
      </c>
      <c r="AV58" t="s">
        <v>8</v>
      </c>
      <c r="AW58" t="s">
        <v>14</v>
      </c>
      <c r="AX58" t="s">
        <v>910</v>
      </c>
    </row>
    <row r="59" spans="1:50" x14ac:dyDescent="0.2">
      <c r="A59" t="str">
        <f>TEXT(P59,"mmm")</f>
        <v>May</v>
      </c>
      <c r="B59" t="s">
        <v>823</v>
      </c>
      <c r="C59" s="30" t="s">
        <v>1031</v>
      </c>
      <c r="D59" t="s">
        <v>0</v>
      </c>
      <c r="E59" t="s">
        <v>1</v>
      </c>
      <c r="F59" t="s">
        <v>850</v>
      </c>
      <c r="G59" t="s">
        <v>40</v>
      </c>
      <c r="H59" t="s">
        <v>41</v>
      </c>
      <c r="I59" t="str">
        <f>VLOOKUP(G59,N_ref[#All],5,0)</f>
        <v>Gadarif Sesame Raw</v>
      </c>
      <c r="J59" t="str">
        <f>VLOOKUP(SAPData[[#This Row],[Material]],N_ref[#All],10,FALSE)</f>
        <v>Sesame Gadarif</v>
      </c>
      <c r="K59" t="str">
        <f>VLOOKUP(G59,N_ref[#All],6,0)</f>
        <v>Export</v>
      </c>
      <c r="L59" s="30" t="s">
        <v>807</v>
      </c>
      <c r="M59" s="30" t="s">
        <v>812</v>
      </c>
      <c r="N59" s="30" t="s">
        <v>813</v>
      </c>
      <c r="O59" t="s">
        <v>860</v>
      </c>
      <c r="P59" s="2">
        <v>46173</v>
      </c>
      <c r="Q59" s="3">
        <v>0.73710648148147995</v>
      </c>
      <c r="R59" t="s">
        <v>25</v>
      </c>
      <c r="S59" t="s">
        <v>26</v>
      </c>
      <c r="T59" s="19">
        <v>-0.36</v>
      </c>
      <c r="U59" t="s">
        <v>43</v>
      </c>
      <c r="V59" t="s">
        <v>43</v>
      </c>
      <c r="W59" s="19">
        <v>-0.36</v>
      </c>
      <c r="X59" s="19">
        <f>W59/VLOOKUP(G59,N_ref[#All],7,0)</f>
        <v>-0.36</v>
      </c>
      <c r="Y59" s="19" t="str">
        <f>IF(SAPData[[#This Row],[Quantity]]&gt;0,"Gain","Loss")</f>
        <v>Loss</v>
      </c>
      <c r="Z59" t="s">
        <v>44</v>
      </c>
      <c r="AA59" s="2">
        <v>46173</v>
      </c>
      <c r="AB59" s="2">
        <v>46175</v>
      </c>
      <c r="AC59" s="4">
        <v>-1776618</v>
      </c>
      <c r="AD59" t="s">
        <v>893</v>
      </c>
      <c r="AE59" t="s">
        <v>906</v>
      </c>
      <c r="AF59" t="s">
        <v>8</v>
      </c>
      <c r="AG59" t="s">
        <v>9</v>
      </c>
      <c r="AH59" t="s">
        <v>8</v>
      </c>
      <c r="AI59" t="s">
        <v>911</v>
      </c>
      <c r="AJ59" t="s">
        <v>907</v>
      </c>
      <c r="AK59" t="s">
        <v>8</v>
      </c>
      <c r="AL59" t="s">
        <v>11</v>
      </c>
      <c r="AM59" t="s">
        <v>908</v>
      </c>
      <c r="AN59" t="s">
        <v>12</v>
      </c>
      <c r="AO59" t="s">
        <v>36</v>
      </c>
      <c r="AP59" t="s">
        <v>8</v>
      </c>
      <c r="AQ59" t="s">
        <v>909</v>
      </c>
      <c r="AR59" t="s">
        <v>8</v>
      </c>
      <c r="AS59" t="s">
        <v>8</v>
      </c>
      <c r="AT59" t="s">
        <v>8</v>
      </c>
      <c r="AU59" t="s">
        <v>8</v>
      </c>
      <c r="AV59" t="s">
        <v>8</v>
      </c>
      <c r="AW59" t="s">
        <v>14</v>
      </c>
      <c r="AX59" t="s">
        <v>910</v>
      </c>
    </row>
    <row r="60" spans="1:50" x14ac:dyDescent="0.2">
      <c r="A60" t="str">
        <f>TEXT(P60,"mmm")</f>
        <v>Jun</v>
      </c>
      <c r="B60" t="s">
        <v>823</v>
      </c>
      <c r="C60" t="s">
        <v>961</v>
      </c>
      <c r="D60" t="s">
        <v>0</v>
      </c>
      <c r="E60" t="s">
        <v>1</v>
      </c>
      <c r="F60" t="s">
        <v>851</v>
      </c>
      <c r="G60" t="s">
        <v>3</v>
      </c>
      <c r="H60" t="s">
        <v>4</v>
      </c>
      <c r="I60" t="str">
        <f>VLOOKUP(G60,N_ref[#All],5,0)</f>
        <v>Flour Al-Nagm (Mill)</v>
      </c>
      <c r="J60" t="str">
        <f>VLOOKUP(SAPData[[#This Row],[Material]],N_ref[#All],10,FALSE)</f>
        <v>Flour</v>
      </c>
      <c r="K60" t="str">
        <f>VLOOKUP(G60,N_ref[#All],6,0)</f>
        <v>Import</v>
      </c>
      <c r="L60" t="str">
        <f>VLOOKUP(SAPData[[#This Row],[Adjustment Type]],Notes!$B$13:$D$36,3,FALSE)</f>
        <v>Stock Losses/Gains</v>
      </c>
      <c r="M60" t="s">
        <v>812</v>
      </c>
      <c r="N60" t="s">
        <v>813</v>
      </c>
      <c r="O60" t="s">
        <v>867</v>
      </c>
      <c r="P60" s="2">
        <v>46194</v>
      </c>
      <c r="Q60" s="3">
        <v>0.41049768518518998</v>
      </c>
      <c r="R60" t="s">
        <v>25</v>
      </c>
      <c r="S60" t="s">
        <v>26</v>
      </c>
      <c r="T60" s="19">
        <v>-1</v>
      </c>
      <c r="U60" t="s">
        <v>7</v>
      </c>
      <c r="V60" t="s">
        <v>7</v>
      </c>
      <c r="W60" s="19">
        <v>-1</v>
      </c>
      <c r="X60" s="19">
        <f>W60/VLOOKUP(G60,N_ref[#All],7,0)</f>
        <v>-2.5000000000000001E-2</v>
      </c>
      <c r="Y60" s="19" t="str">
        <f>IF(SAPData[[#This Row],[Quantity]]&gt;0,"Gain","Loss")</f>
        <v>Loss</v>
      </c>
      <c r="Z60" t="s">
        <v>886</v>
      </c>
      <c r="AA60" s="2">
        <v>46194</v>
      </c>
      <c r="AB60" s="2">
        <v>46194</v>
      </c>
      <c r="AC60" s="4">
        <v>-46823.19</v>
      </c>
      <c r="AD60" t="s">
        <v>893</v>
      </c>
      <c r="AE60" t="s">
        <v>906</v>
      </c>
      <c r="AF60" t="s">
        <v>8</v>
      </c>
      <c r="AG60" t="s">
        <v>9</v>
      </c>
      <c r="AH60" t="s">
        <v>8</v>
      </c>
      <c r="AI60" t="s">
        <v>918</v>
      </c>
      <c r="AJ60" t="s">
        <v>907</v>
      </c>
      <c r="AK60" t="s">
        <v>8</v>
      </c>
      <c r="AL60" t="s">
        <v>11</v>
      </c>
      <c r="AM60" t="s">
        <v>919</v>
      </c>
      <c r="AN60" t="s">
        <v>12</v>
      </c>
      <c r="AO60" t="s">
        <v>36</v>
      </c>
      <c r="AP60" t="s">
        <v>8</v>
      </c>
      <c r="AQ60" t="s">
        <v>909</v>
      </c>
      <c r="AR60" t="s">
        <v>8</v>
      </c>
      <c r="AS60" t="s">
        <v>8</v>
      </c>
      <c r="AT60" t="s">
        <v>8</v>
      </c>
      <c r="AU60" t="s">
        <v>8</v>
      </c>
      <c r="AV60" t="s">
        <v>8</v>
      </c>
      <c r="AW60" t="s">
        <v>14</v>
      </c>
      <c r="AX60" t="s">
        <v>910</v>
      </c>
    </row>
    <row r="61" spans="1:50" x14ac:dyDescent="0.2">
      <c r="A61" t="str">
        <f>TEXT(P61,"mmm")</f>
        <v>Jun</v>
      </c>
      <c r="B61" t="s">
        <v>823</v>
      </c>
      <c r="C61" t="s">
        <v>961</v>
      </c>
      <c r="D61" t="s">
        <v>0</v>
      </c>
      <c r="E61" t="s">
        <v>1</v>
      </c>
      <c r="F61" t="s">
        <v>851</v>
      </c>
      <c r="G61" t="s">
        <v>3</v>
      </c>
      <c r="H61" t="s">
        <v>4</v>
      </c>
      <c r="I61" t="str">
        <f>VLOOKUP(G61,N_ref[#All],5,0)</f>
        <v>Flour Al-Nagm (Mill)</v>
      </c>
      <c r="J61" t="str">
        <f>VLOOKUP(SAPData[[#This Row],[Material]],N_ref[#All],10,FALSE)</f>
        <v>Flour</v>
      </c>
      <c r="K61" t="str">
        <f>VLOOKUP(G61,N_ref[#All],6,0)</f>
        <v>Import</v>
      </c>
      <c r="L61" t="str">
        <f>VLOOKUP(SAPData[[#This Row],[Adjustment Type]],Notes!$B$13:$D$36,3,FALSE)</f>
        <v>Stock Losses/Gains</v>
      </c>
      <c r="M61" t="s">
        <v>812</v>
      </c>
      <c r="N61" t="s">
        <v>813</v>
      </c>
      <c r="O61" t="s">
        <v>868</v>
      </c>
      <c r="P61" s="2">
        <v>46194</v>
      </c>
      <c r="Q61" s="3">
        <v>0.40781250000000002</v>
      </c>
      <c r="R61" t="s">
        <v>25</v>
      </c>
      <c r="S61" t="s">
        <v>26</v>
      </c>
      <c r="T61" s="19">
        <v>-8</v>
      </c>
      <c r="U61" t="s">
        <v>7</v>
      </c>
      <c r="V61" t="s">
        <v>7</v>
      </c>
      <c r="W61" s="19">
        <v>-8</v>
      </c>
      <c r="X61" s="19">
        <f>W61/VLOOKUP(G61,N_ref[#All],7,0)</f>
        <v>-0.2</v>
      </c>
      <c r="Y61" s="19" t="str">
        <f>IF(SAPData[[#This Row],[Quantity]]&gt;0,"Gain","Loss")</f>
        <v>Loss</v>
      </c>
      <c r="Z61" t="s">
        <v>887</v>
      </c>
      <c r="AA61" s="2">
        <v>46194</v>
      </c>
      <c r="AB61" s="2">
        <v>46194</v>
      </c>
      <c r="AC61" s="4">
        <v>-374585.52</v>
      </c>
      <c r="AD61" t="s">
        <v>893</v>
      </c>
      <c r="AE61" t="s">
        <v>906</v>
      </c>
      <c r="AF61" t="s">
        <v>8</v>
      </c>
      <c r="AG61" t="s">
        <v>9</v>
      </c>
      <c r="AH61" t="s">
        <v>8</v>
      </c>
      <c r="AI61" t="s">
        <v>920</v>
      </c>
      <c r="AJ61" t="s">
        <v>907</v>
      </c>
      <c r="AK61" t="s">
        <v>8</v>
      </c>
      <c r="AL61" t="s">
        <v>11</v>
      </c>
      <c r="AM61" t="s">
        <v>919</v>
      </c>
      <c r="AN61" t="s">
        <v>12</v>
      </c>
      <c r="AO61" t="s">
        <v>36</v>
      </c>
      <c r="AP61" t="s">
        <v>8</v>
      </c>
      <c r="AQ61" t="s">
        <v>909</v>
      </c>
      <c r="AR61" t="s">
        <v>8</v>
      </c>
      <c r="AS61" t="s">
        <v>8</v>
      </c>
      <c r="AT61" t="s">
        <v>8</v>
      </c>
      <c r="AU61" t="s">
        <v>8</v>
      </c>
      <c r="AV61" t="s">
        <v>8</v>
      </c>
      <c r="AW61" t="s">
        <v>14</v>
      </c>
      <c r="AX61" t="s">
        <v>910</v>
      </c>
    </row>
    <row r="62" spans="1:50" x14ac:dyDescent="0.2">
      <c r="A62" t="str">
        <f>TEXT(P62,"mmm")</f>
        <v>Jun</v>
      </c>
      <c r="B62" t="s">
        <v>823</v>
      </c>
      <c r="C62" t="s">
        <v>961</v>
      </c>
      <c r="D62" t="s">
        <v>0</v>
      </c>
      <c r="E62" t="s">
        <v>1</v>
      </c>
      <c r="F62" t="s">
        <v>854</v>
      </c>
      <c r="G62" t="s">
        <v>3</v>
      </c>
      <c r="H62" t="s">
        <v>4</v>
      </c>
      <c r="I62" t="str">
        <f>VLOOKUP(G62,N_ref[#All],5,0)</f>
        <v>Flour Al-Nagm (Mill)</v>
      </c>
      <c r="J62" t="str">
        <f>VLOOKUP(SAPData[[#This Row],[Material]],N_ref[#All],10,FALSE)</f>
        <v>Flour</v>
      </c>
      <c r="K62" t="str">
        <f>VLOOKUP(G62,N_ref[#All],6,0)</f>
        <v>Import</v>
      </c>
      <c r="L62" t="str">
        <f>VLOOKUP(SAPData[[#This Row],[Adjustment Type]],Notes!$B$13:$D$36,3,FALSE)</f>
        <v>Stock Losses/Gains</v>
      </c>
      <c r="M62" t="s">
        <v>812</v>
      </c>
      <c r="N62" t="s">
        <v>813</v>
      </c>
      <c r="O62" t="s">
        <v>869</v>
      </c>
      <c r="P62" s="2">
        <v>46194</v>
      </c>
      <c r="Q62" s="3">
        <v>0.40606481481480999</v>
      </c>
      <c r="R62" t="s">
        <v>25</v>
      </c>
      <c r="S62" t="s">
        <v>26</v>
      </c>
      <c r="T62" s="19">
        <v>-2</v>
      </c>
      <c r="U62" t="s">
        <v>7</v>
      </c>
      <c r="V62" t="s">
        <v>7</v>
      </c>
      <c r="W62" s="19">
        <v>-2</v>
      </c>
      <c r="X62" s="19">
        <f>W62/VLOOKUP(G62,N_ref[#All],7,0)</f>
        <v>-0.05</v>
      </c>
      <c r="Y62" s="19" t="str">
        <f>IF(SAPData[[#This Row],[Quantity]]&gt;0,"Gain","Loss")</f>
        <v>Loss</v>
      </c>
      <c r="Z62" t="s">
        <v>888</v>
      </c>
      <c r="AA62" s="2">
        <v>46194</v>
      </c>
      <c r="AB62" s="2">
        <v>46194</v>
      </c>
      <c r="AC62" s="4">
        <v>-93646.38</v>
      </c>
      <c r="AD62" t="s">
        <v>893</v>
      </c>
      <c r="AE62" t="s">
        <v>906</v>
      </c>
      <c r="AF62" t="s">
        <v>8</v>
      </c>
      <c r="AG62" t="s">
        <v>9</v>
      </c>
      <c r="AH62" t="s">
        <v>8</v>
      </c>
      <c r="AI62" t="s">
        <v>921</v>
      </c>
      <c r="AJ62" t="s">
        <v>907</v>
      </c>
      <c r="AK62" t="s">
        <v>8</v>
      </c>
      <c r="AL62" t="s">
        <v>11</v>
      </c>
      <c r="AM62" t="s">
        <v>922</v>
      </c>
      <c r="AN62" t="s">
        <v>12</v>
      </c>
      <c r="AO62" t="s">
        <v>36</v>
      </c>
      <c r="AP62" t="s">
        <v>8</v>
      </c>
      <c r="AQ62" t="s">
        <v>909</v>
      </c>
      <c r="AR62" t="s">
        <v>8</v>
      </c>
      <c r="AS62" t="s">
        <v>8</v>
      </c>
      <c r="AT62" t="s">
        <v>8</v>
      </c>
      <c r="AU62" t="s">
        <v>8</v>
      </c>
      <c r="AV62" t="s">
        <v>8</v>
      </c>
      <c r="AW62" t="s">
        <v>14</v>
      </c>
      <c r="AX62" t="s">
        <v>910</v>
      </c>
    </row>
    <row r="63" spans="1:50" x14ac:dyDescent="0.2">
      <c r="A63" t="str">
        <f>TEXT(P63,"mmm")</f>
        <v>Jun</v>
      </c>
      <c r="B63" t="s">
        <v>823</v>
      </c>
      <c r="C63" t="s">
        <v>961</v>
      </c>
      <c r="D63" t="s">
        <v>0</v>
      </c>
      <c r="E63" t="s">
        <v>1</v>
      </c>
      <c r="F63" t="s">
        <v>854</v>
      </c>
      <c r="G63" t="s">
        <v>3</v>
      </c>
      <c r="H63" t="s">
        <v>4</v>
      </c>
      <c r="I63" t="str">
        <f>VLOOKUP(G63,N_ref[#All],5,0)</f>
        <v>Flour Al-Nagm (Mill)</v>
      </c>
      <c r="J63" t="str">
        <f>VLOOKUP(SAPData[[#This Row],[Material]],N_ref[#All],10,FALSE)</f>
        <v>Flour</v>
      </c>
      <c r="K63" t="str">
        <f>VLOOKUP(G63,N_ref[#All],6,0)</f>
        <v>Import</v>
      </c>
      <c r="L63" t="str">
        <f>VLOOKUP(SAPData[[#This Row],[Adjustment Type]],Notes!$B$13:$D$36,3,FALSE)</f>
        <v>Stock Losses/Gains</v>
      </c>
      <c r="M63" t="s">
        <v>812</v>
      </c>
      <c r="N63" t="s">
        <v>813</v>
      </c>
      <c r="O63" t="s">
        <v>870</v>
      </c>
      <c r="P63" s="2">
        <v>46194</v>
      </c>
      <c r="Q63" s="3">
        <v>0.40600694444444002</v>
      </c>
      <c r="R63" t="s">
        <v>25</v>
      </c>
      <c r="S63" t="s">
        <v>26</v>
      </c>
      <c r="T63" s="19">
        <v>-1</v>
      </c>
      <c r="U63" t="s">
        <v>7</v>
      </c>
      <c r="V63" t="s">
        <v>7</v>
      </c>
      <c r="W63" s="19">
        <v>-1</v>
      </c>
      <c r="X63" s="19">
        <f>W63/VLOOKUP(G63,N_ref[#All],7,0)</f>
        <v>-2.5000000000000001E-2</v>
      </c>
      <c r="Y63" s="19" t="str">
        <f>IF(SAPData[[#This Row],[Quantity]]&gt;0,"Gain","Loss")</f>
        <v>Loss</v>
      </c>
      <c r="Z63" t="s">
        <v>889</v>
      </c>
      <c r="AA63" s="2">
        <v>46194</v>
      </c>
      <c r="AB63" s="2">
        <v>46194</v>
      </c>
      <c r="AC63" s="4">
        <v>-46823.19</v>
      </c>
      <c r="AD63" t="s">
        <v>893</v>
      </c>
      <c r="AE63" t="s">
        <v>906</v>
      </c>
      <c r="AF63" t="s">
        <v>8</v>
      </c>
      <c r="AG63" t="s">
        <v>9</v>
      </c>
      <c r="AH63" t="s">
        <v>8</v>
      </c>
      <c r="AI63" t="s">
        <v>923</v>
      </c>
      <c r="AJ63" t="s">
        <v>907</v>
      </c>
      <c r="AK63" t="s">
        <v>8</v>
      </c>
      <c r="AL63" t="s">
        <v>11</v>
      </c>
      <c r="AM63" t="s">
        <v>922</v>
      </c>
      <c r="AN63" t="s">
        <v>12</v>
      </c>
      <c r="AO63" t="s">
        <v>36</v>
      </c>
      <c r="AP63" t="s">
        <v>8</v>
      </c>
      <c r="AQ63" t="s">
        <v>909</v>
      </c>
      <c r="AR63" t="s">
        <v>8</v>
      </c>
      <c r="AS63" t="s">
        <v>8</v>
      </c>
      <c r="AT63" t="s">
        <v>8</v>
      </c>
      <c r="AU63" t="s">
        <v>8</v>
      </c>
      <c r="AV63" t="s">
        <v>8</v>
      </c>
      <c r="AW63" t="s">
        <v>14</v>
      </c>
      <c r="AX63" t="s">
        <v>910</v>
      </c>
    </row>
    <row r="64" spans="1:50" x14ac:dyDescent="0.2">
      <c r="A64" t="str">
        <f>TEXT(P64,"mmm")</f>
        <v>Jun</v>
      </c>
      <c r="B64" t="s">
        <v>823</v>
      </c>
      <c r="C64" t="s">
        <v>961</v>
      </c>
      <c r="D64" t="s">
        <v>0</v>
      </c>
      <c r="E64" t="s">
        <v>1</v>
      </c>
      <c r="F64" t="s">
        <v>851</v>
      </c>
      <c r="G64" t="s">
        <v>3</v>
      </c>
      <c r="H64" t="s">
        <v>4</v>
      </c>
      <c r="I64" t="str">
        <f>VLOOKUP(G64,N_ref[#All],5,0)</f>
        <v>Flour Al-Nagm (Mill)</v>
      </c>
      <c r="J64" t="str">
        <f>VLOOKUP(SAPData[[#This Row],[Material]],N_ref[#All],10,FALSE)</f>
        <v>Flour</v>
      </c>
      <c r="K64" t="str">
        <f>VLOOKUP(G64,N_ref[#All],6,0)</f>
        <v>Import</v>
      </c>
      <c r="L64" t="str">
        <f>VLOOKUP(SAPData[[#This Row],[Adjustment Type]],Notes!$B$13:$D$36,3,FALSE)</f>
        <v>Stock Losses/Gains</v>
      </c>
      <c r="M64" t="s">
        <v>812</v>
      </c>
      <c r="N64" t="s">
        <v>813</v>
      </c>
      <c r="O64" t="s">
        <v>874</v>
      </c>
      <c r="P64" s="2">
        <v>46200</v>
      </c>
      <c r="Q64" s="3">
        <v>0.71341435185184998</v>
      </c>
      <c r="R64" t="s">
        <v>25</v>
      </c>
      <c r="S64" t="s">
        <v>26</v>
      </c>
      <c r="T64" s="19">
        <v>-1</v>
      </c>
      <c r="U64" t="s">
        <v>7</v>
      </c>
      <c r="V64" t="s">
        <v>7</v>
      </c>
      <c r="W64" s="19">
        <v>-1</v>
      </c>
      <c r="X64" s="19">
        <f>W64/VLOOKUP(G64,N_ref[#All],7,0)</f>
        <v>-2.5000000000000001E-2</v>
      </c>
      <c r="Y64" s="19" t="str">
        <f>IF(SAPData[[#This Row],[Quantity]]&gt;0,"Gain","Loss")</f>
        <v>Loss</v>
      </c>
      <c r="Z64" t="s">
        <v>891</v>
      </c>
      <c r="AA64" s="2">
        <v>46200</v>
      </c>
      <c r="AB64" s="2">
        <v>46200</v>
      </c>
      <c r="AC64" s="4">
        <v>-46823.19</v>
      </c>
      <c r="AD64" t="s">
        <v>893</v>
      </c>
      <c r="AE64" t="s">
        <v>906</v>
      </c>
      <c r="AF64" t="s">
        <v>8</v>
      </c>
      <c r="AG64" t="s">
        <v>9</v>
      </c>
      <c r="AH64" t="s">
        <v>8</v>
      </c>
      <c r="AI64" t="s">
        <v>924</v>
      </c>
      <c r="AJ64" t="s">
        <v>907</v>
      </c>
      <c r="AK64" t="s">
        <v>8</v>
      </c>
      <c r="AL64" t="s">
        <v>11</v>
      </c>
      <c r="AM64" t="s">
        <v>913</v>
      </c>
      <c r="AN64" t="s">
        <v>12</v>
      </c>
      <c r="AO64" t="s">
        <v>36</v>
      </c>
      <c r="AP64" t="s">
        <v>8</v>
      </c>
      <c r="AQ64" t="s">
        <v>909</v>
      </c>
      <c r="AR64" t="s">
        <v>8</v>
      </c>
      <c r="AS64" t="s">
        <v>8</v>
      </c>
      <c r="AT64" t="s">
        <v>8</v>
      </c>
      <c r="AU64" t="s">
        <v>8</v>
      </c>
      <c r="AV64" t="s">
        <v>8</v>
      </c>
      <c r="AW64" t="s">
        <v>14</v>
      </c>
      <c r="AX64" t="s">
        <v>910</v>
      </c>
    </row>
    <row r="65" spans="1:50" x14ac:dyDescent="0.2">
      <c r="A65" t="str">
        <f>TEXT(P65,"mmm")</f>
        <v>Jun</v>
      </c>
      <c r="B65" t="s">
        <v>823</v>
      </c>
      <c r="C65" t="s">
        <v>961</v>
      </c>
      <c r="D65" t="s">
        <v>0</v>
      </c>
      <c r="E65" t="s">
        <v>1</v>
      </c>
      <c r="F65" t="s">
        <v>851</v>
      </c>
      <c r="G65" t="s">
        <v>3</v>
      </c>
      <c r="H65" t="s">
        <v>4</v>
      </c>
      <c r="I65" t="str">
        <f>VLOOKUP(G65,N_ref[#All],5,0)</f>
        <v>Flour Al-Nagm (Mill)</v>
      </c>
      <c r="J65" t="str">
        <f>VLOOKUP(SAPData[[#This Row],[Material]],N_ref[#All],10,FALSE)</f>
        <v>Flour</v>
      </c>
      <c r="K65" t="str">
        <f>VLOOKUP(G65,N_ref[#All],6,0)</f>
        <v>Import</v>
      </c>
      <c r="L65" t="str">
        <f>VLOOKUP(SAPData[[#This Row],[Adjustment Type]],Notes!$B$13:$D$36,3,FALSE)</f>
        <v>Stock Losses/Gains</v>
      </c>
      <c r="M65" t="s">
        <v>812</v>
      </c>
      <c r="N65" t="s">
        <v>813</v>
      </c>
      <c r="O65" t="s">
        <v>875</v>
      </c>
      <c r="P65" s="2">
        <v>46203</v>
      </c>
      <c r="Q65" s="3">
        <v>0.84577546296296002</v>
      </c>
      <c r="R65" t="s">
        <v>25</v>
      </c>
      <c r="S65" t="s">
        <v>26</v>
      </c>
      <c r="T65" s="19">
        <v>-1</v>
      </c>
      <c r="U65" t="s">
        <v>7</v>
      </c>
      <c r="V65" t="s">
        <v>7</v>
      </c>
      <c r="W65" s="19">
        <v>-1</v>
      </c>
      <c r="X65" s="19">
        <f>W65/VLOOKUP(G65,N_ref[#All],7,0)</f>
        <v>-2.5000000000000001E-2</v>
      </c>
      <c r="Y65" s="19" t="str">
        <f>IF(SAPData[[#This Row],[Quantity]]&gt;0,"Gain","Loss")</f>
        <v>Loss</v>
      </c>
      <c r="Z65" t="s">
        <v>892</v>
      </c>
      <c r="AA65" s="2">
        <v>46203</v>
      </c>
      <c r="AB65" s="2">
        <v>46203</v>
      </c>
      <c r="AC65" s="4">
        <v>-46823.19</v>
      </c>
      <c r="AD65" t="s">
        <v>893</v>
      </c>
      <c r="AE65" t="s">
        <v>906</v>
      </c>
      <c r="AF65" t="s">
        <v>8</v>
      </c>
      <c r="AG65" t="s">
        <v>9</v>
      </c>
      <c r="AH65" t="s">
        <v>8</v>
      </c>
      <c r="AI65" t="s">
        <v>925</v>
      </c>
      <c r="AJ65" t="s">
        <v>907</v>
      </c>
      <c r="AK65" t="s">
        <v>8</v>
      </c>
      <c r="AL65" t="s">
        <v>11</v>
      </c>
      <c r="AM65" t="s">
        <v>913</v>
      </c>
      <c r="AN65" t="s">
        <v>12</v>
      </c>
      <c r="AO65" t="s">
        <v>36</v>
      </c>
      <c r="AP65" t="s">
        <v>8</v>
      </c>
      <c r="AQ65" t="s">
        <v>909</v>
      </c>
      <c r="AR65" t="s">
        <v>8</v>
      </c>
      <c r="AS65" t="s">
        <v>8</v>
      </c>
      <c r="AT65" t="s">
        <v>8</v>
      </c>
      <c r="AU65" t="s">
        <v>8</v>
      </c>
      <c r="AV65" t="s">
        <v>8</v>
      </c>
      <c r="AW65" t="s">
        <v>14</v>
      </c>
      <c r="AX65" t="s">
        <v>910</v>
      </c>
    </row>
    <row r="66" spans="1:50" x14ac:dyDescent="0.2">
      <c r="A66" t="str">
        <f>TEXT(P66,"mmm")</f>
        <v>Jul</v>
      </c>
      <c r="B66" t="s">
        <v>823</v>
      </c>
      <c r="C66" t="s">
        <v>961</v>
      </c>
      <c r="D66" t="s">
        <v>0</v>
      </c>
      <c r="E66" t="s">
        <v>1</v>
      </c>
      <c r="F66" t="s">
        <v>851</v>
      </c>
      <c r="G66" t="s">
        <v>3</v>
      </c>
      <c r="H66" t="s">
        <v>4</v>
      </c>
      <c r="I66" t="str">
        <f>VLOOKUP(G66,N_ref[#All],5,0)</f>
        <v>Flour Al-Nagm (Mill)</v>
      </c>
      <c r="J66" t="str">
        <f>VLOOKUP(SAPData[[#This Row],[Material]],N_ref[#All],10,FALSE)</f>
        <v>Flour</v>
      </c>
      <c r="K66" t="str">
        <f>VLOOKUP(G66,N_ref[#All],6,0)</f>
        <v>Import</v>
      </c>
      <c r="L66" t="str">
        <f>VLOOKUP(SAPData[[#This Row],[Adjustment Type]],Notes!$B$13:$D$36,3,FALSE)</f>
        <v>Stock Losses/Gains</v>
      </c>
      <c r="M66" t="s">
        <v>812</v>
      </c>
      <c r="N66" t="s">
        <v>813</v>
      </c>
      <c r="O66" t="s">
        <v>969</v>
      </c>
      <c r="P66" s="2">
        <v>46215</v>
      </c>
      <c r="Q66" s="3">
        <v>0.40886574074074</v>
      </c>
      <c r="R66" t="s">
        <v>25</v>
      </c>
      <c r="S66" t="s">
        <v>26</v>
      </c>
      <c r="T66" s="19">
        <v>-17</v>
      </c>
      <c r="U66" t="s">
        <v>7</v>
      </c>
      <c r="V66" t="s">
        <v>7</v>
      </c>
      <c r="W66" s="19">
        <v>-17</v>
      </c>
      <c r="X66" s="19">
        <f>W66/VLOOKUP(G66,N_ref[#All],7,0)</f>
        <v>-0.42499999999999999</v>
      </c>
      <c r="Y66" s="19" t="str">
        <f>IF(SAPData[[#This Row],[Quantity]]&gt;0,"Gain","Loss")</f>
        <v>Loss</v>
      </c>
      <c r="Z66" t="s">
        <v>979</v>
      </c>
      <c r="AA66" s="2">
        <v>46215</v>
      </c>
      <c r="AB66" s="2">
        <v>46215</v>
      </c>
      <c r="AC66" s="4">
        <v>-806249.48</v>
      </c>
      <c r="AD66" t="s">
        <v>893</v>
      </c>
      <c r="AE66" t="s">
        <v>906</v>
      </c>
      <c r="AF66" t="s">
        <v>8</v>
      </c>
      <c r="AG66" t="s">
        <v>9</v>
      </c>
      <c r="AH66" t="s">
        <v>8</v>
      </c>
      <c r="AI66" t="s">
        <v>980</v>
      </c>
      <c r="AJ66" t="s">
        <v>907</v>
      </c>
      <c r="AK66" t="s">
        <v>8</v>
      </c>
      <c r="AL66" t="s">
        <v>11</v>
      </c>
      <c r="AM66" t="s">
        <v>981</v>
      </c>
      <c r="AN66" t="s">
        <v>12</v>
      </c>
      <c r="AO66" t="s">
        <v>36</v>
      </c>
      <c r="AP66" t="s">
        <v>8</v>
      </c>
      <c r="AQ66" t="s">
        <v>909</v>
      </c>
      <c r="AR66" t="s">
        <v>8</v>
      </c>
      <c r="AS66" t="s">
        <v>8</v>
      </c>
      <c r="AT66" t="s">
        <v>8</v>
      </c>
      <c r="AU66" t="s">
        <v>8</v>
      </c>
      <c r="AV66" t="s">
        <v>8</v>
      </c>
      <c r="AW66" t="s">
        <v>14</v>
      </c>
      <c r="AX66" t="s">
        <v>910</v>
      </c>
    </row>
    <row r="67" spans="1:50" x14ac:dyDescent="0.2">
      <c r="A67" t="str">
        <f>TEXT(P67,"mmm")</f>
        <v>Jul</v>
      </c>
      <c r="B67" t="s">
        <v>823</v>
      </c>
      <c r="C67" t="s">
        <v>961</v>
      </c>
      <c r="D67" t="s">
        <v>0</v>
      </c>
      <c r="E67" t="s">
        <v>1</v>
      </c>
      <c r="F67" t="s">
        <v>965</v>
      </c>
      <c r="G67" t="s">
        <v>288</v>
      </c>
      <c r="H67" t="s">
        <v>289</v>
      </c>
      <c r="I67" t="str">
        <f>VLOOKUP(G67,N_ref[#All],5,0)</f>
        <v>Pigeon Peas FG</v>
      </c>
      <c r="J67" t="str">
        <f>VLOOKUP(SAPData[[#This Row],[Material]],N_ref[#All],10,FALSE)</f>
        <v>Pigeon Peas</v>
      </c>
      <c r="K67" t="str">
        <f>VLOOKUP(G67,N_ref[#All],6,0)</f>
        <v>Export</v>
      </c>
      <c r="L67" t="str">
        <f>VLOOKUP(SAPData[[#This Row],[Adjustment Type]],Notes!$B$13:$D$36,3,FALSE)</f>
        <v>Stock Losses/Gains</v>
      </c>
      <c r="M67" t="s">
        <v>1019</v>
      </c>
      <c r="N67" t="s">
        <v>152</v>
      </c>
      <c r="O67" t="s">
        <v>970</v>
      </c>
      <c r="P67" s="2">
        <v>46215</v>
      </c>
      <c r="Q67" s="3">
        <v>0.56430555555555995</v>
      </c>
      <c r="R67" t="s">
        <v>25</v>
      </c>
      <c r="S67" t="s">
        <v>26</v>
      </c>
      <c r="T67" s="19">
        <v>-7</v>
      </c>
      <c r="U67" t="s">
        <v>7</v>
      </c>
      <c r="V67" t="s">
        <v>7</v>
      </c>
      <c r="W67" s="19">
        <v>-7</v>
      </c>
      <c r="X67" s="19">
        <f>W67/VLOOKUP(G67,N_ref[#All],7,0)</f>
        <v>-0.35</v>
      </c>
      <c r="Y67" s="19" t="str">
        <f>IF(SAPData[[#This Row],[Quantity]]&gt;0,"Gain","Loss")</f>
        <v>Loss</v>
      </c>
      <c r="Z67" t="s">
        <v>885</v>
      </c>
      <c r="AA67" s="2">
        <v>46215</v>
      </c>
      <c r="AB67" s="2">
        <v>46215</v>
      </c>
      <c r="AC67" s="4">
        <v>-1360177.56</v>
      </c>
      <c r="AD67" t="s">
        <v>982</v>
      </c>
      <c r="AE67" t="s">
        <v>8</v>
      </c>
      <c r="AF67" t="s">
        <v>8</v>
      </c>
      <c r="AG67" t="s">
        <v>9</v>
      </c>
      <c r="AH67" t="s">
        <v>8</v>
      </c>
      <c r="AI67" t="s">
        <v>8</v>
      </c>
      <c r="AJ67" t="s">
        <v>907</v>
      </c>
      <c r="AK67" t="s">
        <v>8</v>
      </c>
      <c r="AL67" t="s">
        <v>11</v>
      </c>
      <c r="AM67" t="s">
        <v>8</v>
      </c>
      <c r="AN67" t="s">
        <v>12</v>
      </c>
      <c r="AO67" t="s">
        <v>11</v>
      </c>
      <c r="AP67" t="s">
        <v>8</v>
      </c>
      <c r="AQ67" t="s">
        <v>13</v>
      </c>
      <c r="AR67" t="s">
        <v>8</v>
      </c>
      <c r="AS67" t="s">
        <v>8</v>
      </c>
      <c r="AT67" t="s">
        <v>8</v>
      </c>
      <c r="AU67" t="s">
        <v>8</v>
      </c>
      <c r="AV67" t="s">
        <v>8</v>
      </c>
      <c r="AW67" t="s">
        <v>14</v>
      </c>
      <c r="AX67" t="s">
        <v>910</v>
      </c>
    </row>
    <row r="68" spans="1:50" x14ac:dyDescent="0.2">
      <c r="A68" t="str">
        <f>TEXT(P68,"mmm")</f>
        <v>Jul</v>
      </c>
      <c r="B68" t="s">
        <v>823</v>
      </c>
      <c r="C68" t="s">
        <v>961</v>
      </c>
      <c r="D68" t="s">
        <v>0</v>
      </c>
      <c r="E68" t="s">
        <v>1</v>
      </c>
      <c r="F68" t="s">
        <v>850</v>
      </c>
      <c r="G68" t="s">
        <v>308</v>
      </c>
      <c r="H68" t="s">
        <v>309</v>
      </c>
      <c r="I68" t="str">
        <f>VLOOKUP(G68,N_ref[#All],5,0)</f>
        <v>Gadarif Sesame - FG</v>
      </c>
      <c r="J68" t="str">
        <f>VLOOKUP(SAPData[[#This Row],[Material]],N_ref[#All],10,FALSE)</f>
        <v>Sesame Gadarif</v>
      </c>
      <c r="K68" t="str">
        <f>VLOOKUP(G68,N_ref[#All],6,0)</f>
        <v>Export</v>
      </c>
      <c r="L68" t="str">
        <f>VLOOKUP(SAPData[[#This Row],[Adjustment Type]],Notes!$B$13:$D$36,3,FALSE)</f>
        <v>Stock Losses/Gains</v>
      </c>
      <c r="M68" t="s">
        <v>1019</v>
      </c>
      <c r="N68" t="s">
        <v>152</v>
      </c>
      <c r="O68" t="s">
        <v>971</v>
      </c>
      <c r="P68" s="2">
        <v>46215</v>
      </c>
      <c r="Q68" s="3">
        <v>0.56212962962962998</v>
      </c>
      <c r="R68" t="s">
        <v>25</v>
      </c>
      <c r="S68" t="s">
        <v>26</v>
      </c>
      <c r="T68" s="19">
        <v>-15</v>
      </c>
      <c r="U68" t="s">
        <v>7</v>
      </c>
      <c r="V68" t="s">
        <v>7</v>
      </c>
      <c r="W68" s="19">
        <v>-15</v>
      </c>
      <c r="X68" s="19">
        <f>W68/VLOOKUP(G68,N_ref[#All],7,0)</f>
        <v>-0.75</v>
      </c>
      <c r="Y68" s="19" t="str">
        <f>IF(SAPData[[#This Row],[Quantity]]&gt;0,"Gain","Loss")</f>
        <v>Loss</v>
      </c>
      <c r="Z68" t="s">
        <v>885</v>
      </c>
      <c r="AA68" s="2">
        <v>46215</v>
      </c>
      <c r="AB68" s="2">
        <v>46215</v>
      </c>
      <c r="AC68" s="4">
        <v>-4112259.15</v>
      </c>
      <c r="AD68" t="s">
        <v>982</v>
      </c>
      <c r="AE68" t="s">
        <v>8</v>
      </c>
      <c r="AF68" t="s">
        <v>8</v>
      </c>
      <c r="AG68" t="s">
        <v>9</v>
      </c>
      <c r="AH68" t="s">
        <v>8</v>
      </c>
      <c r="AI68" t="s">
        <v>8</v>
      </c>
      <c r="AJ68" t="s">
        <v>907</v>
      </c>
      <c r="AK68" t="s">
        <v>8</v>
      </c>
      <c r="AL68" t="s">
        <v>11</v>
      </c>
      <c r="AM68" t="s">
        <v>8</v>
      </c>
      <c r="AN68" t="s">
        <v>12</v>
      </c>
      <c r="AO68" t="s">
        <v>11</v>
      </c>
      <c r="AP68" t="s">
        <v>8</v>
      </c>
      <c r="AQ68" t="s">
        <v>13</v>
      </c>
      <c r="AR68" t="s">
        <v>8</v>
      </c>
      <c r="AS68" t="s">
        <v>8</v>
      </c>
      <c r="AT68" t="s">
        <v>8</v>
      </c>
      <c r="AU68" t="s">
        <v>8</v>
      </c>
      <c r="AV68" t="s">
        <v>8</v>
      </c>
      <c r="AW68" t="s">
        <v>14</v>
      </c>
      <c r="AX68" t="s">
        <v>910</v>
      </c>
    </row>
    <row r="69" spans="1:50" x14ac:dyDescent="0.2">
      <c r="A69" t="str">
        <f>TEXT(P69,"mmm")</f>
        <v>Jul</v>
      </c>
      <c r="B69" t="s">
        <v>823</v>
      </c>
      <c r="C69" t="s">
        <v>961</v>
      </c>
      <c r="D69" t="s">
        <v>0</v>
      </c>
      <c r="E69" t="s">
        <v>1</v>
      </c>
      <c r="F69" t="s">
        <v>850</v>
      </c>
      <c r="G69" t="s">
        <v>312</v>
      </c>
      <c r="H69" t="s">
        <v>313</v>
      </c>
      <c r="I69" t="str">
        <f>VLOOKUP(G69,N_ref[#All],5,0)</f>
        <v xml:space="preserve">White Sesame Non Gadarif - FG </v>
      </c>
      <c r="J69" t="str">
        <f>VLOOKUP(SAPData[[#This Row],[Material]],N_ref[#All],10,FALSE)</f>
        <v>Sesame Non Gadarif</v>
      </c>
      <c r="K69" t="str">
        <f>VLOOKUP(G69,N_ref[#All],6,0)</f>
        <v>Export</v>
      </c>
      <c r="L69" t="str">
        <f>VLOOKUP(SAPData[[#This Row],[Adjustment Type]],Notes!$B$13:$D$36,3,FALSE)</f>
        <v>Stock Losses/Gains</v>
      </c>
      <c r="M69" t="s">
        <v>1019</v>
      </c>
      <c r="N69" t="s">
        <v>152</v>
      </c>
      <c r="O69" t="s">
        <v>972</v>
      </c>
      <c r="P69" s="2">
        <v>46215</v>
      </c>
      <c r="Q69" s="3">
        <v>0.56642361111110995</v>
      </c>
      <c r="R69" t="s">
        <v>25</v>
      </c>
      <c r="S69" t="s">
        <v>26</v>
      </c>
      <c r="T69" s="19">
        <v>-5</v>
      </c>
      <c r="U69" t="s">
        <v>7</v>
      </c>
      <c r="V69" t="s">
        <v>7</v>
      </c>
      <c r="W69" s="19">
        <v>-5</v>
      </c>
      <c r="X69" s="19">
        <f>W69/VLOOKUP(G69,N_ref[#All],7,0)</f>
        <v>-0.25</v>
      </c>
      <c r="Y69" s="19" t="str">
        <f>IF(SAPData[[#This Row],[Quantity]]&gt;0,"Gain","Loss")</f>
        <v>Loss</v>
      </c>
      <c r="Z69" t="s">
        <v>44</v>
      </c>
      <c r="AA69" s="2">
        <v>46215</v>
      </c>
      <c r="AB69" s="2">
        <v>46215</v>
      </c>
      <c r="AC69" s="4">
        <v>-26966.19</v>
      </c>
      <c r="AD69" t="s">
        <v>982</v>
      </c>
      <c r="AE69" t="s">
        <v>8</v>
      </c>
      <c r="AF69" t="s">
        <v>8</v>
      </c>
      <c r="AG69" t="s">
        <v>9</v>
      </c>
      <c r="AH69" t="s">
        <v>8</v>
      </c>
      <c r="AI69" t="s">
        <v>8</v>
      </c>
      <c r="AJ69" t="s">
        <v>907</v>
      </c>
      <c r="AK69" t="s">
        <v>8</v>
      </c>
      <c r="AL69" t="s">
        <v>11</v>
      </c>
      <c r="AM69" t="s">
        <v>8</v>
      </c>
      <c r="AN69" t="s">
        <v>12</v>
      </c>
      <c r="AO69" t="s">
        <v>11</v>
      </c>
      <c r="AP69" t="s">
        <v>8</v>
      </c>
      <c r="AQ69" t="s">
        <v>13</v>
      </c>
      <c r="AR69" t="s">
        <v>8</v>
      </c>
      <c r="AS69" t="s">
        <v>8</v>
      </c>
      <c r="AT69" t="s">
        <v>8</v>
      </c>
      <c r="AU69" t="s">
        <v>8</v>
      </c>
      <c r="AV69" t="s">
        <v>8</v>
      </c>
      <c r="AW69" t="s">
        <v>14</v>
      </c>
      <c r="AX69" t="s">
        <v>910</v>
      </c>
    </row>
    <row r="70" spans="1:50" x14ac:dyDescent="0.2">
      <c r="A70" t="str">
        <f>TEXT(P70,"mmm")</f>
        <v>Jan</v>
      </c>
      <c r="B70" t="s">
        <v>1024</v>
      </c>
      <c r="C70" t="s">
        <v>1025</v>
      </c>
      <c r="D70">
        <v>2123</v>
      </c>
      <c r="E70" t="s">
        <v>1</v>
      </c>
      <c r="F70" t="s">
        <v>1</v>
      </c>
      <c r="G70" t="s">
        <v>1026</v>
      </c>
      <c r="H70">
        <v>0</v>
      </c>
      <c r="I70" t="s">
        <v>1027</v>
      </c>
      <c r="J70" s="30" t="s">
        <v>1028</v>
      </c>
      <c r="K70" t="s">
        <v>130</v>
      </c>
      <c r="L70" t="s">
        <v>807</v>
      </c>
      <c r="M70" s="30" t="s">
        <v>152</v>
      </c>
      <c r="N70" s="30" t="s">
        <v>152</v>
      </c>
      <c r="O70" s="30" t="s">
        <v>152</v>
      </c>
      <c r="Q70" s="30" t="s">
        <v>152</v>
      </c>
      <c r="R70" s="30" t="s">
        <v>152</v>
      </c>
      <c r="S70" s="30" t="s">
        <v>152</v>
      </c>
      <c r="T70" s="30" t="s">
        <v>152</v>
      </c>
      <c r="U70" s="30" t="s">
        <v>152</v>
      </c>
      <c r="V70" s="30" t="s">
        <v>152</v>
      </c>
      <c r="W70">
        <v>0</v>
      </c>
      <c r="X70">
        <v>0</v>
      </c>
      <c r="Y70" t="str">
        <f>IF(SAPData[[#This Row],[Quantity]]&gt;0,"Gain","Loss")</f>
        <v>Loss</v>
      </c>
      <c r="AC70" s="105">
        <v>7445245</v>
      </c>
      <c r="AJ70" t="s">
        <v>1029</v>
      </c>
      <c r="AX70" t="s">
        <v>1029</v>
      </c>
    </row>
  </sheetData>
  <phoneticPr fontId="0" type="noConversion"/>
  <pageMargins left="0.75" right="0.75" top="1" bottom="1" header="0.5" footer="0.5"/>
  <headerFooter alignWithMargins="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C74A4685-4F28-4D68-9BB2-7881C37A4571}">
          <x14:formula1>
            <xm:f>Notes!$B$13:$B$25</xm:f>
          </x14:formula1>
          <xm:sqref>B1:B1048576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B0C1-2B8F-4E88-9264-A90FBD9073ED}">
  <sheetPr codeName="Sheet8"/>
  <dimension ref="A1:J158"/>
  <sheetViews>
    <sheetView workbookViewId="0">
      <selection activeCell="I161" sqref="I161"/>
    </sheetView>
  </sheetViews>
  <sheetFormatPr defaultColWidth="9.140625" defaultRowHeight="15" x14ac:dyDescent="0.25"/>
  <cols>
    <col min="1" max="1" width="11.42578125" bestFit="1" customWidth="1"/>
    <col min="2" max="2" width="10.140625" style="26" bestFit="1" customWidth="1"/>
    <col min="3" max="3" width="42.42578125" style="26" bestFit="1" customWidth="1"/>
    <col min="4" max="4" width="41.42578125" style="26" bestFit="1" customWidth="1"/>
    <col min="5" max="5" width="40.28515625" style="26" bestFit="1" customWidth="1"/>
    <col min="6" max="6" width="9.5703125" style="26" bestFit="1" customWidth="1"/>
    <col min="7" max="7" width="13.28515625" style="26" bestFit="1" customWidth="1"/>
    <col min="8" max="8" width="11.7109375" style="26" bestFit="1" customWidth="1"/>
    <col min="9" max="9" width="11" style="26" bestFit="1" customWidth="1"/>
    <col min="10" max="10" width="19.140625" style="26" bestFit="1" customWidth="1"/>
    <col min="11" max="11" width="22.42578125" style="26" customWidth="1"/>
    <col min="12" max="16384" width="9.140625" style="26"/>
  </cols>
  <sheetData>
    <row r="1" spans="1:10" x14ac:dyDescent="0.25">
      <c r="A1" s="28" t="s">
        <v>683</v>
      </c>
      <c r="B1" s="28" t="s">
        <v>682</v>
      </c>
      <c r="C1" s="28" t="s">
        <v>684</v>
      </c>
      <c r="D1" s="28" t="s">
        <v>685</v>
      </c>
      <c r="E1" s="28" t="s">
        <v>124</v>
      </c>
      <c r="F1" s="28" t="s">
        <v>123</v>
      </c>
      <c r="G1" s="28" t="s">
        <v>125</v>
      </c>
      <c r="H1" s="28" t="s">
        <v>686</v>
      </c>
      <c r="I1" s="28" t="s">
        <v>687</v>
      </c>
      <c r="J1" s="28" t="s">
        <v>126</v>
      </c>
    </row>
    <row r="2" spans="1:10" x14ac:dyDescent="0.25">
      <c r="A2" s="27">
        <v>4000000041</v>
      </c>
      <c r="B2" s="27" t="s">
        <v>142</v>
      </c>
      <c r="C2" s="27" t="s">
        <v>140</v>
      </c>
      <c r="D2" s="27" t="s">
        <v>143</v>
      </c>
      <c r="E2" s="27" t="s">
        <v>143</v>
      </c>
      <c r="F2" s="27" t="s">
        <v>130</v>
      </c>
      <c r="G2" s="27"/>
      <c r="H2" s="27" t="s">
        <v>688</v>
      </c>
      <c r="I2" s="27" t="s">
        <v>141</v>
      </c>
      <c r="J2" s="27" t="s">
        <v>132</v>
      </c>
    </row>
    <row r="3" spans="1:10" x14ac:dyDescent="0.25">
      <c r="A3" s="27">
        <v>4000000125</v>
      </c>
      <c r="B3" s="27" t="s">
        <v>142</v>
      </c>
      <c r="C3" s="27" t="s">
        <v>149</v>
      </c>
      <c r="D3" s="27" t="s">
        <v>143</v>
      </c>
      <c r="E3" s="27" t="s">
        <v>143</v>
      </c>
      <c r="F3" s="27" t="s">
        <v>130</v>
      </c>
      <c r="G3" s="27"/>
      <c r="H3" s="27" t="s">
        <v>688</v>
      </c>
      <c r="I3" s="27" t="s">
        <v>150</v>
      </c>
      <c r="J3" s="27" t="s">
        <v>132</v>
      </c>
    </row>
    <row r="4" spans="1:10" x14ac:dyDescent="0.25">
      <c r="A4" s="26">
        <v>1000000028</v>
      </c>
      <c r="B4" s="26" t="s">
        <v>129</v>
      </c>
      <c r="C4" s="26" t="s">
        <v>128</v>
      </c>
      <c r="D4" s="26" t="s">
        <v>131</v>
      </c>
      <c r="E4" s="26" t="s">
        <v>131</v>
      </c>
      <c r="F4" s="26" t="s">
        <v>130</v>
      </c>
      <c r="G4" s="26">
        <v>1</v>
      </c>
      <c r="H4" s="26" t="s">
        <v>688</v>
      </c>
      <c r="I4" s="26" t="s">
        <v>43</v>
      </c>
      <c r="J4" s="26" t="s">
        <v>132</v>
      </c>
    </row>
    <row r="5" spans="1:10" x14ac:dyDescent="0.25">
      <c r="A5" s="26">
        <v>2000000027</v>
      </c>
      <c r="B5" s="26" t="s">
        <v>138</v>
      </c>
      <c r="C5" s="26" t="s">
        <v>137</v>
      </c>
      <c r="D5" s="26" t="s">
        <v>139</v>
      </c>
      <c r="E5" s="26" t="s">
        <v>139</v>
      </c>
      <c r="F5" s="26" t="s">
        <v>130</v>
      </c>
      <c r="G5" s="26">
        <v>1</v>
      </c>
      <c r="H5" s="26" t="s">
        <v>688</v>
      </c>
      <c r="I5" s="26" t="s">
        <v>43</v>
      </c>
      <c r="J5" s="26" t="s">
        <v>132</v>
      </c>
    </row>
    <row r="6" spans="1:10" x14ac:dyDescent="0.25">
      <c r="A6" s="26" t="s">
        <v>246</v>
      </c>
      <c r="B6" s="26" t="s">
        <v>248</v>
      </c>
      <c r="C6" s="26" t="s">
        <v>247</v>
      </c>
      <c r="D6" s="26" t="s">
        <v>249</v>
      </c>
      <c r="E6" s="26" t="s">
        <v>249</v>
      </c>
      <c r="F6" s="26" t="s">
        <v>130</v>
      </c>
      <c r="G6" s="26">
        <v>1</v>
      </c>
      <c r="H6" s="26" t="s">
        <v>688</v>
      </c>
      <c r="I6" s="26" t="s">
        <v>43</v>
      </c>
      <c r="J6" s="26" t="s">
        <v>132</v>
      </c>
    </row>
    <row r="7" spans="1:10" x14ac:dyDescent="0.25">
      <c r="A7" s="26" t="s">
        <v>250</v>
      </c>
      <c r="B7" s="26" t="s">
        <v>689</v>
      </c>
      <c r="C7" s="26" t="s">
        <v>251</v>
      </c>
      <c r="D7" s="26" t="s">
        <v>251</v>
      </c>
      <c r="E7" s="26" t="s">
        <v>251</v>
      </c>
      <c r="F7" s="26" t="s">
        <v>130</v>
      </c>
      <c r="G7" s="26">
        <v>1</v>
      </c>
      <c r="H7" s="26" t="s">
        <v>688</v>
      </c>
      <c r="I7" s="26" t="s">
        <v>43</v>
      </c>
      <c r="J7" s="26" t="s">
        <v>158</v>
      </c>
    </row>
    <row r="8" spans="1:10" x14ac:dyDescent="0.25">
      <c r="A8" s="26" t="s">
        <v>253</v>
      </c>
      <c r="B8" s="26" t="s">
        <v>690</v>
      </c>
      <c r="C8" s="26" t="s">
        <v>254</v>
      </c>
      <c r="D8" s="26" t="s">
        <v>256</v>
      </c>
      <c r="E8" s="26" t="s">
        <v>256</v>
      </c>
      <c r="F8" s="26" t="s">
        <v>130</v>
      </c>
      <c r="G8" s="26">
        <v>20</v>
      </c>
      <c r="H8" s="26" t="s">
        <v>691</v>
      </c>
      <c r="I8" s="26" t="s">
        <v>7</v>
      </c>
      <c r="J8" s="26" t="s">
        <v>158</v>
      </c>
    </row>
    <row r="9" spans="1:10" x14ac:dyDescent="0.25">
      <c r="A9" s="26" t="s">
        <v>154</v>
      </c>
      <c r="B9" s="26" t="s">
        <v>156</v>
      </c>
      <c r="C9" s="26" t="s">
        <v>155</v>
      </c>
      <c r="D9" s="26" t="s">
        <v>157</v>
      </c>
      <c r="E9" s="26" t="s">
        <v>157</v>
      </c>
      <c r="F9" s="26" t="s">
        <v>130</v>
      </c>
      <c r="G9" s="26">
        <v>1</v>
      </c>
      <c r="H9" s="26" t="s">
        <v>688</v>
      </c>
      <c r="I9" s="26" t="s">
        <v>43</v>
      </c>
      <c r="J9" s="26" t="s">
        <v>158</v>
      </c>
    </row>
    <row r="10" spans="1:10" x14ac:dyDescent="0.25">
      <c r="A10" s="26" t="s">
        <v>159</v>
      </c>
      <c r="B10" s="26" t="s">
        <v>161</v>
      </c>
      <c r="C10" s="26" t="s">
        <v>160</v>
      </c>
      <c r="D10" s="26" t="s">
        <v>162</v>
      </c>
      <c r="E10" s="26" t="s">
        <v>162</v>
      </c>
      <c r="F10" s="26" t="s">
        <v>130</v>
      </c>
      <c r="G10" s="26">
        <v>1</v>
      </c>
      <c r="H10" s="26" t="s">
        <v>688</v>
      </c>
      <c r="I10" s="26" t="s">
        <v>43</v>
      </c>
      <c r="J10" s="26" t="s">
        <v>158</v>
      </c>
    </row>
    <row r="11" spans="1:10" x14ac:dyDescent="0.25">
      <c r="A11" s="26" t="s">
        <v>436</v>
      </c>
      <c r="B11" s="26" t="s">
        <v>438</v>
      </c>
      <c r="C11" s="26" t="s">
        <v>437</v>
      </c>
      <c r="D11" s="26" t="s">
        <v>439</v>
      </c>
      <c r="E11" s="26" t="s">
        <v>439</v>
      </c>
      <c r="F11" s="26" t="s">
        <v>130</v>
      </c>
      <c r="G11" s="26">
        <v>1</v>
      </c>
      <c r="H11" s="26" t="s">
        <v>688</v>
      </c>
      <c r="I11" s="26" t="s">
        <v>43</v>
      </c>
      <c r="J11" s="26" t="s">
        <v>158</v>
      </c>
    </row>
    <row r="12" spans="1:10" x14ac:dyDescent="0.25">
      <c r="A12" s="26" t="s">
        <v>412</v>
      </c>
      <c r="B12" s="26" t="s">
        <v>414</v>
      </c>
      <c r="C12" s="26" t="s">
        <v>413</v>
      </c>
      <c r="D12" s="26" t="s">
        <v>692</v>
      </c>
      <c r="E12" s="26" t="s">
        <v>693</v>
      </c>
      <c r="F12" s="26" t="s">
        <v>130</v>
      </c>
      <c r="G12" s="26">
        <v>20</v>
      </c>
      <c r="H12" s="26" t="s">
        <v>691</v>
      </c>
      <c r="I12" s="26" t="s">
        <v>7</v>
      </c>
      <c r="J12" s="26" t="s">
        <v>158</v>
      </c>
    </row>
    <row r="13" spans="1:10" x14ac:dyDescent="0.25">
      <c r="A13" s="26" t="s">
        <v>265</v>
      </c>
      <c r="B13" s="26" t="s">
        <v>267</v>
      </c>
      <c r="C13" s="26" t="s">
        <v>266</v>
      </c>
      <c r="D13" s="26" t="s">
        <v>260</v>
      </c>
      <c r="E13" s="26" t="s">
        <v>260</v>
      </c>
      <c r="F13" s="26" t="s">
        <v>130</v>
      </c>
      <c r="G13" s="26">
        <v>20</v>
      </c>
      <c r="H13" s="26" t="s">
        <v>691</v>
      </c>
      <c r="I13" s="26" t="s">
        <v>7</v>
      </c>
      <c r="J13" s="26" t="s">
        <v>171</v>
      </c>
    </row>
    <row r="14" spans="1:10" x14ac:dyDescent="0.25">
      <c r="A14" s="26" t="s">
        <v>257</v>
      </c>
      <c r="B14" s="26" t="s">
        <v>259</v>
      </c>
      <c r="C14" s="26" t="s">
        <v>258</v>
      </c>
      <c r="D14" s="26" t="s">
        <v>260</v>
      </c>
      <c r="E14" s="26" t="s">
        <v>260</v>
      </c>
      <c r="F14" s="26" t="s">
        <v>130</v>
      </c>
      <c r="G14" s="26">
        <v>20</v>
      </c>
      <c r="H14" s="26" t="s">
        <v>691</v>
      </c>
      <c r="I14" s="26" t="s">
        <v>7</v>
      </c>
      <c r="J14" s="26" t="s">
        <v>171</v>
      </c>
    </row>
    <row r="15" spans="1:10" x14ac:dyDescent="0.25">
      <c r="A15" s="26" t="s">
        <v>273</v>
      </c>
      <c r="B15" s="26" t="s">
        <v>275</v>
      </c>
      <c r="C15" s="26" t="s">
        <v>274</v>
      </c>
      <c r="D15" s="26" t="s">
        <v>276</v>
      </c>
      <c r="E15" s="26" t="s">
        <v>276</v>
      </c>
      <c r="F15" s="26" t="s">
        <v>130</v>
      </c>
      <c r="G15" s="26">
        <v>20</v>
      </c>
      <c r="H15" s="26" t="s">
        <v>691</v>
      </c>
      <c r="I15" s="26" t="s">
        <v>7</v>
      </c>
      <c r="J15" s="26" t="s">
        <v>171</v>
      </c>
    </row>
    <row r="16" spans="1:10" x14ac:dyDescent="0.25">
      <c r="A16" s="26" t="s">
        <v>444</v>
      </c>
      <c r="B16" s="26" t="s">
        <v>694</v>
      </c>
      <c r="C16" s="26" t="s">
        <v>445</v>
      </c>
      <c r="D16" s="26" t="s">
        <v>447</v>
      </c>
      <c r="E16" s="26" t="s">
        <v>447</v>
      </c>
      <c r="F16" s="26" t="s">
        <v>130</v>
      </c>
      <c r="G16" s="26">
        <v>1</v>
      </c>
      <c r="H16" s="26" t="s">
        <v>688</v>
      </c>
      <c r="I16" s="26" t="s">
        <v>43</v>
      </c>
      <c r="J16" s="26" t="s">
        <v>171</v>
      </c>
    </row>
    <row r="17" spans="1:10" x14ac:dyDescent="0.25">
      <c r="A17" s="26">
        <v>4000000086</v>
      </c>
      <c r="B17" s="26" t="s">
        <v>145</v>
      </c>
      <c r="C17" s="26" t="s">
        <v>144</v>
      </c>
      <c r="D17" s="26" t="s">
        <v>695</v>
      </c>
      <c r="E17" s="26" t="s">
        <v>147</v>
      </c>
      <c r="F17" s="26" t="s">
        <v>146</v>
      </c>
      <c r="G17" s="26">
        <v>50</v>
      </c>
      <c r="H17" s="26" t="s">
        <v>696</v>
      </c>
      <c r="I17" s="26" t="s">
        <v>7</v>
      </c>
      <c r="J17" s="26" t="s">
        <v>148</v>
      </c>
    </row>
    <row r="18" spans="1:10" x14ac:dyDescent="0.25">
      <c r="A18" s="26" t="s">
        <v>206</v>
      </c>
      <c r="B18" s="26" t="s">
        <v>208</v>
      </c>
      <c r="C18" s="26" t="s">
        <v>207</v>
      </c>
      <c r="D18" s="26" t="s">
        <v>697</v>
      </c>
      <c r="E18" s="26" t="s">
        <v>698</v>
      </c>
      <c r="F18" s="26" t="s">
        <v>146</v>
      </c>
      <c r="G18" s="26" t="s">
        <v>152</v>
      </c>
      <c r="H18" s="26" t="s">
        <v>699</v>
      </c>
      <c r="I18" s="26" t="s">
        <v>189</v>
      </c>
      <c r="J18" s="26" t="s">
        <v>191</v>
      </c>
    </row>
    <row r="19" spans="1:10" x14ac:dyDescent="0.25">
      <c r="A19" s="26" t="s">
        <v>220</v>
      </c>
      <c r="B19" s="26" t="s">
        <v>222</v>
      </c>
      <c r="C19" s="26" t="s">
        <v>221</v>
      </c>
      <c r="D19" s="26" t="s">
        <v>700</v>
      </c>
      <c r="E19" s="26" t="s">
        <v>701</v>
      </c>
      <c r="F19" s="26" t="s">
        <v>146</v>
      </c>
      <c r="G19" s="26" t="s">
        <v>152</v>
      </c>
      <c r="H19" s="26" t="s">
        <v>699</v>
      </c>
      <c r="I19" s="26" t="s">
        <v>189</v>
      </c>
      <c r="J19" s="26" t="s">
        <v>191</v>
      </c>
    </row>
    <row r="20" spans="1:10" x14ac:dyDescent="0.25">
      <c r="A20" s="26" t="s">
        <v>229</v>
      </c>
      <c r="B20" s="26" t="s">
        <v>231</v>
      </c>
      <c r="C20" s="26" t="s">
        <v>230</v>
      </c>
      <c r="D20" s="26" t="s">
        <v>702</v>
      </c>
      <c r="E20" s="26" t="s">
        <v>232</v>
      </c>
      <c r="F20" s="26" t="s">
        <v>146</v>
      </c>
      <c r="G20" s="26">
        <v>40</v>
      </c>
      <c r="H20" s="26" t="s">
        <v>703</v>
      </c>
      <c r="I20" s="26" t="s">
        <v>7</v>
      </c>
      <c r="J20" s="26" t="s">
        <v>233</v>
      </c>
    </row>
    <row r="21" spans="1:10" x14ac:dyDescent="0.25">
      <c r="A21" s="26" t="s">
        <v>234</v>
      </c>
      <c r="B21" s="26" t="s">
        <v>236</v>
      </c>
      <c r="C21" s="26" t="s">
        <v>235</v>
      </c>
      <c r="D21" s="26" t="s">
        <v>704</v>
      </c>
      <c r="E21" s="26" t="s">
        <v>147</v>
      </c>
      <c r="F21" s="26" t="s">
        <v>146</v>
      </c>
      <c r="G21" s="26">
        <v>50</v>
      </c>
      <c r="H21" s="26" t="s">
        <v>696</v>
      </c>
      <c r="I21" s="26" t="s">
        <v>7</v>
      </c>
      <c r="J21" s="26" t="s">
        <v>148</v>
      </c>
    </row>
    <row r="22" spans="1:10" x14ac:dyDescent="0.25">
      <c r="A22" s="26" t="s">
        <v>284</v>
      </c>
      <c r="B22" s="26" t="s">
        <v>286</v>
      </c>
      <c r="C22" s="26" t="s">
        <v>285</v>
      </c>
      <c r="D22" s="26" t="s">
        <v>705</v>
      </c>
      <c r="E22" s="26" t="s">
        <v>147</v>
      </c>
      <c r="F22" s="26" t="s">
        <v>146</v>
      </c>
      <c r="G22" s="26">
        <v>50</v>
      </c>
      <c r="H22" s="26" t="s">
        <v>696</v>
      </c>
      <c r="I22" s="26" t="s">
        <v>7</v>
      </c>
      <c r="J22" s="26" t="s">
        <v>148</v>
      </c>
    </row>
    <row r="23" spans="1:10" x14ac:dyDescent="0.25">
      <c r="A23" s="26" t="s">
        <v>16</v>
      </c>
      <c r="B23" s="26" t="s">
        <v>287</v>
      </c>
      <c r="C23" s="26" t="s">
        <v>17</v>
      </c>
      <c r="D23" s="26" t="s">
        <v>706</v>
      </c>
      <c r="E23" s="26" t="s">
        <v>147</v>
      </c>
      <c r="F23" s="26" t="s">
        <v>146</v>
      </c>
      <c r="G23" s="26">
        <v>50</v>
      </c>
      <c r="H23" s="26" t="s">
        <v>696</v>
      </c>
      <c r="I23" s="26" t="s">
        <v>7</v>
      </c>
      <c r="J23" s="26" t="s">
        <v>148</v>
      </c>
    </row>
    <row r="24" spans="1:10" x14ac:dyDescent="0.25">
      <c r="A24" s="26" t="s">
        <v>55</v>
      </c>
      <c r="B24" s="26" t="s">
        <v>292</v>
      </c>
      <c r="C24" s="26" t="s">
        <v>56</v>
      </c>
      <c r="D24" s="26" t="s">
        <v>707</v>
      </c>
      <c r="E24" s="26" t="s">
        <v>232</v>
      </c>
      <c r="F24" s="26" t="s">
        <v>146</v>
      </c>
      <c r="G24" s="26">
        <v>40</v>
      </c>
      <c r="H24" s="26" t="s">
        <v>703</v>
      </c>
      <c r="I24" s="26" t="s">
        <v>7</v>
      </c>
      <c r="J24" s="26" t="s">
        <v>233</v>
      </c>
    </row>
    <row r="25" spans="1:10" x14ac:dyDescent="0.25">
      <c r="A25" s="26" t="s">
        <v>308</v>
      </c>
      <c r="B25" s="26" t="s">
        <v>310</v>
      </c>
      <c r="C25" s="95" t="s">
        <v>309</v>
      </c>
      <c r="D25" s="26" t="s">
        <v>311</v>
      </c>
      <c r="E25" s="26" t="s">
        <v>311</v>
      </c>
      <c r="F25" s="26" t="s">
        <v>130</v>
      </c>
      <c r="G25" s="26">
        <v>20</v>
      </c>
      <c r="H25" s="26" t="s">
        <v>691</v>
      </c>
      <c r="I25" s="26" t="s">
        <v>7</v>
      </c>
      <c r="J25" s="26" t="s">
        <v>186</v>
      </c>
    </row>
    <row r="26" spans="1:10" x14ac:dyDescent="0.25">
      <c r="A26" s="26" t="s">
        <v>312</v>
      </c>
      <c r="B26" s="26" t="s">
        <v>314</v>
      </c>
      <c r="C26" s="26" t="s">
        <v>313</v>
      </c>
      <c r="D26" s="26" t="s">
        <v>315</v>
      </c>
      <c r="E26" s="26" t="s">
        <v>315</v>
      </c>
      <c r="F26" s="26" t="s">
        <v>130</v>
      </c>
      <c r="G26" s="26">
        <v>20</v>
      </c>
      <c r="H26" s="26" t="s">
        <v>691</v>
      </c>
      <c r="I26" s="26" t="s">
        <v>7</v>
      </c>
      <c r="J26" s="26" t="s">
        <v>136</v>
      </c>
    </row>
    <row r="27" spans="1:10" x14ac:dyDescent="0.25">
      <c r="A27" s="26" t="s">
        <v>303</v>
      </c>
      <c r="B27" s="26" t="s">
        <v>305</v>
      </c>
      <c r="C27" s="26" t="s">
        <v>304</v>
      </c>
      <c r="D27" s="26" t="s">
        <v>306</v>
      </c>
      <c r="E27" s="26" t="s">
        <v>306</v>
      </c>
      <c r="F27" s="26" t="s">
        <v>130</v>
      </c>
      <c r="G27" s="26">
        <v>20</v>
      </c>
      <c r="H27" s="26" t="s">
        <v>691</v>
      </c>
      <c r="I27" s="26" t="s">
        <v>7</v>
      </c>
      <c r="J27" s="26" t="s">
        <v>307</v>
      </c>
    </row>
    <row r="28" spans="1:10" x14ac:dyDescent="0.25">
      <c r="A28" s="26" t="s">
        <v>367</v>
      </c>
      <c r="B28" s="26" t="s">
        <v>369</v>
      </c>
      <c r="C28" s="26" t="s">
        <v>368</v>
      </c>
      <c r="D28" s="26" t="s">
        <v>370</v>
      </c>
      <c r="E28" s="26" t="s">
        <v>370</v>
      </c>
      <c r="F28" s="26" t="s">
        <v>130</v>
      </c>
      <c r="G28" s="26">
        <v>40</v>
      </c>
      <c r="H28" s="26" t="s">
        <v>703</v>
      </c>
      <c r="I28" s="26" t="s">
        <v>7</v>
      </c>
      <c r="J28" s="26" t="s">
        <v>186</v>
      </c>
    </row>
    <row r="29" spans="1:10" x14ac:dyDescent="0.25">
      <c r="A29" s="26" t="s">
        <v>298</v>
      </c>
      <c r="B29" s="26" t="s">
        <v>300</v>
      </c>
      <c r="C29" s="26" t="s">
        <v>299</v>
      </c>
      <c r="D29" s="26" t="s">
        <v>301</v>
      </c>
      <c r="E29" s="26" t="s">
        <v>301</v>
      </c>
      <c r="F29" s="26" t="s">
        <v>130</v>
      </c>
      <c r="G29" s="26">
        <v>20</v>
      </c>
      <c r="H29" s="26" t="s">
        <v>691</v>
      </c>
      <c r="I29" s="26" t="s">
        <v>7</v>
      </c>
      <c r="J29" s="26" t="s">
        <v>302</v>
      </c>
    </row>
    <row r="30" spans="1:10" x14ac:dyDescent="0.25">
      <c r="A30" s="26" t="s">
        <v>40</v>
      </c>
      <c r="B30" s="26" t="s">
        <v>184</v>
      </c>
      <c r="C30" s="26" t="s">
        <v>41</v>
      </c>
      <c r="D30" s="26" t="s">
        <v>185</v>
      </c>
      <c r="E30" s="26" t="s">
        <v>185</v>
      </c>
      <c r="F30" s="26" t="s">
        <v>130</v>
      </c>
      <c r="G30" s="26">
        <v>1</v>
      </c>
      <c r="H30" s="26" t="s">
        <v>688</v>
      </c>
      <c r="I30" s="26" t="s">
        <v>43</v>
      </c>
      <c r="J30" s="26" t="s">
        <v>186</v>
      </c>
    </row>
    <row r="31" spans="1:10" x14ac:dyDescent="0.25">
      <c r="A31" s="26" t="s">
        <v>176</v>
      </c>
      <c r="B31" s="26" t="s">
        <v>178</v>
      </c>
      <c r="C31" s="26" t="s">
        <v>177</v>
      </c>
      <c r="D31" s="26" t="s">
        <v>177</v>
      </c>
      <c r="E31" s="26" t="s">
        <v>177</v>
      </c>
      <c r="F31" s="26" t="s">
        <v>130</v>
      </c>
      <c r="G31" s="26">
        <v>1</v>
      </c>
      <c r="H31" s="26" t="s">
        <v>688</v>
      </c>
      <c r="I31" s="26" t="s">
        <v>43</v>
      </c>
      <c r="J31" s="26" t="s">
        <v>179</v>
      </c>
    </row>
    <row r="32" spans="1:10" x14ac:dyDescent="0.25">
      <c r="A32" s="26" t="s">
        <v>280</v>
      </c>
      <c r="B32" s="26" t="s">
        <v>282</v>
      </c>
      <c r="C32" s="26" t="s">
        <v>281</v>
      </c>
      <c r="D32" s="26" t="s">
        <v>283</v>
      </c>
      <c r="E32" s="26" t="s">
        <v>283</v>
      </c>
      <c r="F32" s="26" t="s">
        <v>130</v>
      </c>
      <c r="G32" s="26">
        <v>20</v>
      </c>
      <c r="H32" s="26" t="s">
        <v>691</v>
      </c>
      <c r="I32" s="26" t="s">
        <v>7</v>
      </c>
      <c r="J32" s="26" t="s">
        <v>279</v>
      </c>
    </row>
    <row r="33" spans="1:10" x14ac:dyDescent="0.25">
      <c r="A33" s="26" t="s">
        <v>48</v>
      </c>
      <c r="B33" s="26" t="s">
        <v>277</v>
      </c>
      <c r="C33" s="26" t="s">
        <v>49</v>
      </c>
      <c r="D33" s="26" t="s">
        <v>278</v>
      </c>
      <c r="E33" s="26" t="s">
        <v>278</v>
      </c>
      <c r="F33" s="26" t="s">
        <v>130</v>
      </c>
      <c r="G33" s="26">
        <v>20</v>
      </c>
      <c r="H33" s="26" t="s">
        <v>691</v>
      </c>
      <c r="I33" s="26" t="s">
        <v>7</v>
      </c>
      <c r="J33" s="26" t="s">
        <v>279</v>
      </c>
    </row>
    <row r="34" spans="1:10" x14ac:dyDescent="0.25">
      <c r="A34" s="26" t="s">
        <v>293</v>
      </c>
      <c r="B34" s="26" t="s">
        <v>295</v>
      </c>
      <c r="C34" s="26" t="s">
        <v>294</v>
      </c>
      <c r="D34" s="26" t="s">
        <v>708</v>
      </c>
      <c r="E34" s="26" t="s">
        <v>296</v>
      </c>
      <c r="F34" s="26" t="s">
        <v>146</v>
      </c>
      <c r="G34" s="26">
        <v>50</v>
      </c>
      <c r="H34" s="26" t="s">
        <v>696</v>
      </c>
      <c r="I34" s="26" t="s">
        <v>7</v>
      </c>
      <c r="J34" s="26" t="s">
        <v>233</v>
      </c>
    </row>
    <row r="35" spans="1:10" x14ac:dyDescent="0.25">
      <c r="A35" s="26" t="s">
        <v>59</v>
      </c>
      <c r="B35" s="26" t="s">
        <v>297</v>
      </c>
      <c r="C35" s="26" t="s">
        <v>60</v>
      </c>
      <c r="D35" s="26" t="s">
        <v>709</v>
      </c>
      <c r="E35" s="26" t="s">
        <v>296</v>
      </c>
      <c r="F35" s="26" t="s">
        <v>146</v>
      </c>
      <c r="G35" s="26">
        <v>50</v>
      </c>
      <c r="H35" s="26" t="s">
        <v>703</v>
      </c>
      <c r="I35" s="26" t="s">
        <v>7</v>
      </c>
      <c r="J35" s="26" t="s">
        <v>233</v>
      </c>
    </row>
    <row r="36" spans="1:10" x14ac:dyDescent="0.25">
      <c r="A36" s="26" t="s">
        <v>327</v>
      </c>
      <c r="B36" s="26" t="s">
        <v>329</v>
      </c>
      <c r="C36" s="26" t="s">
        <v>328</v>
      </c>
      <c r="D36" s="26" t="s">
        <v>330</v>
      </c>
      <c r="E36" s="26" t="s">
        <v>330</v>
      </c>
      <c r="F36" s="26" t="s">
        <v>146</v>
      </c>
      <c r="G36" s="26">
        <v>20</v>
      </c>
      <c r="H36" s="26" t="s">
        <v>691</v>
      </c>
      <c r="I36" s="26" t="s">
        <v>7</v>
      </c>
      <c r="J36" s="26" t="s">
        <v>331</v>
      </c>
    </row>
    <row r="37" spans="1:10" x14ac:dyDescent="0.25">
      <c r="A37" s="26" t="s">
        <v>332</v>
      </c>
      <c r="B37" s="26" t="s">
        <v>334</v>
      </c>
      <c r="C37" s="26" t="s">
        <v>333</v>
      </c>
      <c r="D37" s="26" t="s">
        <v>335</v>
      </c>
      <c r="E37" s="26" t="s">
        <v>335</v>
      </c>
      <c r="F37" s="26" t="s">
        <v>146</v>
      </c>
      <c r="G37" s="26">
        <v>20</v>
      </c>
      <c r="H37" s="26" t="s">
        <v>691</v>
      </c>
      <c r="I37" s="26" t="s">
        <v>7</v>
      </c>
      <c r="J37" s="26" t="s">
        <v>331</v>
      </c>
    </row>
    <row r="38" spans="1:10" x14ac:dyDescent="0.25">
      <c r="A38" s="26" t="s">
        <v>336</v>
      </c>
      <c r="B38" s="26" t="s">
        <v>338</v>
      </c>
      <c r="C38" s="26" t="s">
        <v>337</v>
      </c>
      <c r="D38" s="26" t="s">
        <v>339</v>
      </c>
      <c r="E38" s="26" t="s">
        <v>339</v>
      </c>
      <c r="F38" s="26" t="s">
        <v>146</v>
      </c>
      <c r="G38" s="26">
        <v>20</v>
      </c>
      <c r="H38" s="26" t="s">
        <v>691</v>
      </c>
      <c r="I38" s="26" t="s">
        <v>7</v>
      </c>
      <c r="J38" s="26" t="s">
        <v>331</v>
      </c>
    </row>
    <row r="39" spans="1:10" x14ac:dyDescent="0.25">
      <c r="A39" s="26" t="s">
        <v>340</v>
      </c>
      <c r="B39" s="26" t="s">
        <v>342</v>
      </c>
      <c r="C39" s="26" t="s">
        <v>341</v>
      </c>
      <c r="D39" s="26" t="s">
        <v>343</v>
      </c>
      <c r="E39" s="26" t="s">
        <v>343</v>
      </c>
      <c r="F39" s="26" t="s">
        <v>146</v>
      </c>
      <c r="G39" s="26">
        <v>20</v>
      </c>
      <c r="H39" s="26" t="s">
        <v>691</v>
      </c>
      <c r="I39" s="26" t="s">
        <v>7</v>
      </c>
      <c r="J39" s="26" t="s">
        <v>331</v>
      </c>
    </row>
    <row r="40" spans="1:10" x14ac:dyDescent="0.25">
      <c r="A40" s="26" t="s">
        <v>344</v>
      </c>
      <c r="B40" s="26" t="s">
        <v>346</v>
      </c>
      <c r="C40" s="26" t="s">
        <v>345</v>
      </c>
      <c r="D40" s="26" t="s">
        <v>343</v>
      </c>
      <c r="E40" s="26" t="s">
        <v>343</v>
      </c>
      <c r="F40" s="26" t="s">
        <v>146</v>
      </c>
      <c r="G40" s="26">
        <v>20</v>
      </c>
      <c r="H40" s="26" t="s">
        <v>691</v>
      </c>
      <c r="I40" s="26" t="s">
        <v>7</v>
      </c>
      <c r="J40" s="26" t="s">
        <v>331</v>
      </c>
    </row>
    <row r="41" spans="1:10" x14ac:dyDescent="0.25">
      <c r="A41" s="26" t="s">
        <v>347</v>
      </c>
      <c r="B41" s="26" t="s">
        <v>349</v>
      </c>
      <c r="C41" s="26" t="s">
        <v>348</v>
      </c>
      <c r="D41" s="26" t="s">
        <v>343</v>
      </c>
      <c r="E41" s="26" t="s">
        <v>343</v>
      </c>
      <c r="F41" s="26" t="s">
        <v>146</v>
      </c>
      <c r="G41" s="26">
        <v>20</v>
      </c>
      <c r="H41" s="26" t="s">
        <v>691</v>
      </c>
      <c r="I41" s="26" t="s">
        <v>7</v>
      </c>
      <c r="J41" s="26" t="s">
        <v>331</v>
      </c>
    </row>
    <row r="42" spans="1:10" x14ac:dyDescent="0.25">
      <c r="A42" s="26" t="s">
        <v>350</v>
      </c>
      <c r="B42" s="26" t="s">
        <v>352</v>
      </c>
      <c r="C42" s="26" t="s">
        <v>351</v>
      </c>
      <c r="D42" s="26" t="s">
        <v>353</v>
      </c>
      <c r="E42" s="26" t="s">
        <v>353</v>
      </c>
      <c r="F42" s="26" t="s">
        <v>146</v>
      </c>
      <c r="G42" s="26">
        <v>20</v>
      </c>
      <c r="H42" s="26" t="s">
        <v>691</v>
      </c>
      <c r="I42" s="26" t="s">
        <v>7</v>
      </c>
      <c r="J42" s="26" t="s">
        <v>354</v>
      </c>
    </row>
    <row r="43" spans="1:10" x14ac:dyDescent="0.25">
      <c r="A43" s="26" t="s">
        <v>355</v>
      </c>
      <c r="B43" s="26" t="s">
        <v>357</v>
      </c>
      <c r="C43" s="26" t="s">
        <v>356</v>
      </c>
      <c r="D43" s="26" t="s">
        <v>358</v>
      </c>
      <c r="E43" s="26" t="s">
        <v>358</v>
      </c>
      <c r="F43" s="26" t="s">
        <v>146</v>
      </c>
      <c r="G43" s="26">
        <v>20</v>
      </c>
      <c r="H43" s="26" t="s">
        <v>691</v>
      </c>
      <c r="I43" s="26" t="s">
        <v>7</v>
      </c>
      <c r="J43" s="26" t="s">
        <v>354</v>
      </c>
    </row>
    <row r="44" spans="1:10" x14ac:dyDescent="0.25">
      <c r="A44" s="26" t="s">
        <v>324</v>
      </c>
      <c r="B44" s="26" t="s">
        <v>326</v>
      </c>
      <c r="C44" s="26" t="s">
        <v>325</v>
      </c>
      <c r="D44" s="26" t="s">
        <v>323</v>
      </c>
      <c r="E44" s="26" t="s">
        <v>323</v>
      </c>
      <c r="F44" s="26" t="s">
        <v>130</v>
      </c>
      <c r="G44" s="26">
        <v>1</v>
      </c>
      <c r="H44" s="26" t="s">
        <v>688</v>
      </c>
      <c r="I44" s="26" t="s">
        <v>43</v>
      </c>
      <c r="J44" s="26" t="s">
        <v>179</v>
      </c>
    </row>
    <row r="45" spans="1:10" x14ac:dyDescent="0.25">
      <c r="A45" s="26" t="s">
        <v>19</v>
      </c>
      <c r="B45" s="26" t="s">
        <v>363</v>
      </c>
      <c r="C45" s="26" t="s">
        <v>20</v>
      </c>
      <c r="D45" s="26" t="s">
        <v>710</v>
      </c>
      <c r="E45" s="26" t="s">
        <v>364</v>
      </c>
      <c r="F45" s="26" t="s">
        <v>146</v>
      </c>
      <c r="G45" s="26">
        <v>40</v>
      </c>
      <c r="H45" s="26" t="s">
        <v>703</v>
      </c>
      <c r="I45" s="26" t="s">
        <v>7</v>
      </c>
      <c r="J45" s="26" t="s">
        <v>365</v>
      </c>
    </row>
    <row r="46" spans="1:10" x14ac:dyDescent="0.25">
      <c r="A46" s="26" t="s">
        <v>45</v>
      </c>
      <c r="B46" s="26" t="s">
        <v>366</v>
      </c>
      <c r="C46" s="26" t="s">
        <v>46</v>
      </c>
      <c r="D46" s="26" t="s">
        <v>711</v>
      </c>
      <c r="E46" s="26" t="s">
        <v>296</v>
      </c>
      <c r="F46" s="26" t="s">
        <v>146</v>
      </c>
      <c r="G46" s="26">
        <v>50</v>
      </c>
      <c r="H46" s="26" t="s">
        <v>696</v>
      </c>
      <c r="I46" s="26" t="s">
        <v>7</v>
      </c>
      <c r="J46" s="26" t="s">
        <v>233</v>
      </c>
    </row>
    <row r="47" spans="1:10" x14ac:dyDescent="0.25">
      <c r="A47" s="26" t="s">
        <v>398</v>
      </c>
      <c r="B47" s="26" t="s">
        <v>400</v>
      </c>
      <c r="C47" s="26" t="s">
        <v>399</v>
      </c>
      <c r="D47" s="26" t="s">
        <v>712</v>
      </c>
      <c r="E47" s="26" t="s">
        <v>401</v>
      </c>
      <c r="F47" s="26" t="s">
        <v>146</v>
      </c>
      <c r="G47" s="26">
        <v>50</v>
      </c>
      <c r="H47" s="26" t="s">
        <v>696</v>
      </c>
      <c r="I47" s="26" t="s">
        <v>7</v>
      </c>
      <c r="J47" s="26" t="s">
        <v>148</v>
      </c>
    </row>
    <row r="48" spans="1:10" x14ac:dyDescent="0.25">
      <c r="A48" s="26" t="s">
        <v>359</v>
      </c>
      <c r="B48" s="26" t="s">
        <v>361</v>
      </c>
      <c r="C48" s="26" t="s">
        <v>360</v>
      </c>
      <c r="D48" s="26" t="s">
        <v>362</v>
      </c>
      <c r="E48" s="26" t="s">
        <v>362</v>
      </c>
      <c r="F48" s="26" t="s">
        <v>130</v>
      </c>
      <c r="G48" s="26">
        <v>20</v>
      </c>
      <c r="H48" s="26" t="s">
        <v>691</v>
      </c>
      <c r="I48" s="26" t="s">
        <v>7</v>
      </c>
      <c r="J48" s="26" t="s">
        <v>183</v>
      </c>
    </row>
    <row r="49" spans="1:10" x14ac:dyDescent="0.25">
      <c r="A49" s="26" t="s">
        <v>288</v>
      </c>
      <c r="B49" s="26" t="s">
        <v>290</v>
      </c>
      <c r="C49" s="26" t="s">
        <v>289</v>
      </c>
      <c r="D49" s="26" t="s">
        <v>713</v>
      </c>
      <c r="E49" s="26" t="s">
        <v>291</v>
      </c>
      <c r="F49" s="26" t="s">
        <v>130</v>
      </c>
      <c r="G49" s="26">
        <v>20</v>
      </c>
      <c r="H49" s="26" t="s">
        <v>691</v>
      </c>
      <c r="I49" s="26" t="s">
        <v>7</v>
      </c>
      <c r="J49" s="26" t="s">
        <v>175</v>
      </c>
    </row>
    <row r="50" spans="1:10" x14ac:dyDescent="0.25">
      <c r="A50" s="26" t="s">
        <v>402</v>
      </c>
      <c r="B50" s="26" t="s">
        <v>404</v>
      </c>
      <c r="C50" s="26" t="s">
        <v>403</v>
      </c>
      <c r="D50" s="26" t="s">
        <v>714</v>
      </c>
      <c r="E50" s="26" t="s">
        <v>405</v>
      </c>
      <c r="F50" s="26" t="s">
        <v>146</v>
      </c>
      <c r="G50" s="26">
        <v>20</v>
      </c>
      <c r="H50" s="26" t="s">
        <v>691</v>
      </c>
      <c r="I50" s="26" t="s">
        <v>7</v>
      </c>
      <c r="J50" s="26" t="s">
        <v>233</v>
      </c>
    </row>
    <row r="51" spans="1:10" x14ac:dyDescent="0.25">
      <c r="A51" s="26">
        <v>2000000025</v>
      </c>
      <c r="B51" s="26" t="s">
        <v>134</v>
      </c>
      <c r="C51" s="26" t="s">
        <v>133</v>
      </c>
      <c r="D51" s="26" t="s">
        <v>135</v>
      </c>
      <c r="E51" s="26" t="s">
        <v>135</v>
      </c>
      <c r="F51" s="26" t="s">
        <v>130</v>
      </c>
      <c r="G51" s="26">
        <v>20</v>
      </c>
      <c r="H51" s="26" t="s">
        <v>691</v>
      </c>
      <c r="I51" s="26" t="s">
        <v>7</v>
      </c>
      <c r="J51" s="26" t="s">
        <v>136</v>
      </c>
    </row>
    <row r="52" spans="1:10" x14ac:dyDescent="0.25">
      <c r="A52" s="26" t="s">
        <v>172</v>
      </c>
      <c r="B52" s="26" t="s">
        <v>174</v>
      </c>
      <c r="C52" s="26" t="s">
        <v>173</v>
      </c>
      <c r="D52" s="26" t="s">
        <v>715</v>
      </c>
      <c r="E52" s="26" t="s">
        <v>173</v>
      </c>
      <c r="F52" s="26" t="s">
        <v>130</v>
      </c>
      <c r="G52" s="26">
        <v>1</v>
      </c>
      <c r="H52" s="26" t="s">
        <v>688</v>
      </c>
      <c r="I52" s="26" t="s">
        <v>43</v>
      </c>
      <c r="J52" s="26" t="s">
        <v>175</v>
      </c>
    </row>
    <row r="53" spans="1:10" x14ac:dyDescent="0.25">
      <c r="A53" s="26">
        <v>7000000035</v>
      </c>
      <c r="B53" s="26" t="s">
        <v>430</v>
      </c>
      <c r="C53" s="95" t="s">
        <v>429</v>
      </c>
      <c r="D53" s="26" t="s">
        <v>716</v>
      </c>
      <c r="E53" s="26" t="s">
        <v>431</v>
      </c>
      <c r="F53" s="26" t="s">
        <v>130</v>
      </c>
      <c r="G53" s="26">
        <v>20</v>
      </c>
      <c r="H53" s="26" t="s">
        <v>691</v>
      </c>
      <c r="I53" s="26" t="s">
        <v>7</v>
      </c>
      <c r="J53" s="26" t="s">
        <v>186</v>
      </c>
    </row>
    <row r="54" spans="1:10" x14ac:dyDescent="0.25">
      <c r="A54" s="26" t="s">
        <v>432</v>
      </c>
      <c r="B54" s="26" t="s">
        <v>434</v>
      </c>
      <c r="C54" s="26" t="s">
        <v>433</v>
      </c>
      <c r="D54" s="26" t="s">
        <v>717</v>
      </c>
      <c r="E54" s="26" t="s">
        <v>435</v>
      </c>
      <c r="F54" s="26" t="s">
        <v>130</v>
      </c>
      <c r="G54" s="26">
        <v>20</v>
      </c>
      <c r="H54" s="26" t="s">
        <v>691</v>
      </c>
      <c r="I54" s="26" t="s">
        <v>7</v>
      </c>
      <c r="J54" s="26" t="s">
        <v>136</v>
      </c>
    </row>
    <row r="55" spans="1:10" x14ac:dyDescent="0.25">
      <c r="A55" s="26" t="s">
        <v>61</v>
      </c>
      <c r="B55" s="26" t="s">
        <v>406</v>
      </c>
      <c r="C55" s="26" t="s">
        <v>62</v>
      </c>
      <c r="D55" s="26" t="s">
        <v>718</v>
      </c>
      <c r="E55" s="26" t="s">
        <v>407</v>
      </c>
      <c r="F55" s="26" t="s">
        <v>146</v>
      </c>
      <c r="G55" s="26">
        <v>40</v>
      </c>
      <c r="H55" s="26" t="s">
        <v>703</v>
      </c>
      <c r="I55" s="26" t="s">
        <v>7</v>
      </c>
      <c r="J55" s="26" t="s">
        <v>233</v>
      </c>
    </row>
    <row r="56" spans="1:10" x14ac:dyDescent="0.25">
      <c r="A56" s="26" t="s">
        <v>460</v>
      </c>
      <c r="B56" s="26" t="s">
        <v>462</v>
      </c>
      <c r="C56" s="26" t="s">
        <v>461</v>
      </c>
      <c r="D56" s="26" t="s">
        <v>463</v>
      </c>
      <c r="E56" s="26" t="s">
        <v>463</v>
      </c>
      <c r="F56" s="26" t="s">
        <v>146</v>
      </c>
      <c r="G56" s="26">
        <v>20</v>
      </c>
      <c r="H56" s="26" t="s">
        <v>691</v>
      </c>
      <c r="I56" s="26" t="s">
        <v>7</v>
      </c>
      <c r="J56" s="26" t="s">
        <v>331</v>
      </c>
    </row>
    <row r="57" spans="1:10" x14ac:dyDescent="0.25">
      <c r="A57" s="26" t="s">
        <v>420</v>
      </c>
      <c r="B57" s="26" t="s">
        <v>422</v>
      </c>
      <c r="C57" s="26" t="s">
        <v>421</v>
      </c>
      <c r="D57" s="26" t="s">
        <v>719</v>
      </c>
      <c r="E57" s="26" t="s">
        <v>423</v>
      </c>
      <c r="F57" s="26" t="s">
        <v>130</v>
      </c>
      <c r="G57" s="26">
        <v>20</v>
      </c>
      <c r="H57" s="26" t="s">
        <v>691</v>
      </c>
      <c r="I57" s="26" t="s">
        <v>7</v>
      </c>
      <c r="J57" s="26" t="s">
        <v>307</v>
      </c>
    </row>
    <row r="58" spans="1:10" x14ac:dyDescent="0.25">
      <c r="A58" s="26" t="s">
        <v>424</v>
      </c>
      <c r="B58" s="26" t="s">
        <v>426</v>
      </c>
      <c r="C58" s="26" t="s">
        <v>425</v>
      </c>
      <c r="D58" s="26" t="s">
        <v>720</v>
      </c>
      <c r="E58" s="26" t="s">
        <v>427</v>
      </c>
      <c r="F58" s="26" t="s">
        <v>130</v>
      </c>
      <c r="G58" s="26">
        <v>20</v>
      </c>
      <c r="H58" s="26" t="s">
        <v>691</v>
      </c>
      <c r="I58" s="26" t="s">
        <v>7</v>
      </c>
      <c r="J58" s="26" t="s">
        <v>302</v>
      </c>
    </row>
    <row r="59" spans="1:10" x14ac:dyDescent="0.25">
      <c r="A59" s="26" t="s">
        <v>464</v>
      </c>
      <c r="B59" s="26" t="s">
        <v>721</v>
      </c>
      <c r="C59" s="26" t="s">
        <v>465</v>
      </c>
      <c r="D59" s="26" t="s">
        <v>722</v>
      </c>
      <c r="E59" s="26" t="s">
        <v>723</v>
      </c>
      <c r="F59" s="26" t="s">
        <v>130</v>
      </c>
      <c r="G59" s="26">
        <v>20</v>
      </c>
      <c r="H59" s="26" t="s">
        <v>691</v>
      </c>
      <c r="I59" s="26" t="s">
        <v>7</v>
      </c>
      <c r="J59" s="26" t="s">
        <v>136</v>
      </c>
    </row>
    <row r="60" spans="1:10" x14ac:dyDescent="0.25">
      <c r="A60" s="26" t="s">
        <v>180</v>
      </c>
      <c r="B60" s="26" t="s">
        <v>182</v>
      </c>
      <c r="C60" s="26" t="s">
        <v>181</v>
      </c>
      <c r="D60" s="26" t="s">
        <v>181</v>
      </c>
      <c r="E60" s="26" t="s">
        <v>181</v>
      </c>
      <c r="F60" s="26" t="s">
        <v>130</v>
      </c>
      <c r="G60" s="26">
        <v>1</v>
      </c>
      <c r="H60" s="26" t="s">
        <v>688</v>
      </c>
      <c r="I60" s="26" t="s">
        <v>43</v>
      </c>
      <c r="J60" s="26" t="s">
        <v>183</v>
      </c>
    </row>
    <row r="61" spans="1:10" x14ac:dyDescent="0.25">
      <c r="A61" s="26" t="s">
        <v>467</v>
      </c>
      <c r="B61" s="26" t="s">
        <v>469</v>
      </c>
      <c r="C61" s="26" t="s">
        <v>468</v>
      </c>
      <c r="D61" s="26" t="s">
        <v>724</v>
      </c>
      <c r="E61" s="26" t="s">
        <v>470</v>
      </c>
      <c r="F61" s="26" t="s">
        <v>146</v>
      </c>
      <c r="G61" s="26">
        <v>40</v>
      </c>
      <c r="H61" s="26" t="s">
        <v>703</v>
      </c>
      <c r="I61" s="26" t="s">
        <v>7</v>
      </c>
      <c r="J61" s="26" t="s">
        <v>365</v>
      </c>
    </row>
    <row r="62" spans="1:10" x14ac:dyDescent="0.25">
      <c r="A62" s="26" t="s">
        <v>471</v>
      </c>
      <c r="B62" s="26" t="s">
        <v>473</v>
      </c>
      <c r="C62" s="26" t="s">
        <v>472</v>
      </c>
      <c r="D62" s="26" t="s">
        <v>725</v>
      </c>
      <c r="E62" s="26" t="s">
        <v>401</v>
      </c>
      <c r="F62" s="26" t="s">
        <v>146</v>
      </c>
      <c r="G62" s="26">
        <v>20</v>
      </c>
      <c r="H62" s="26" t="s">
        <v>691</v>
      </c>
      <c r="I62" s="26" t="s">
        <v>7</v>
      </c>
      <c r="J62" s="26" t="s">
        <v>148</v>
      </c>
    </row>
    <row r="63" spans="1:10" x14ac:dyDescent="0.25">
      <c r="A63" s="26" t="s">
        <v>371</v>
      </c>
      <c r="B63" s="26" t="s">
        <v>373</v>
      </c>
      <c r="C63" s="26" t="s">
        <v>372</v>
      </c>
      <c r="D63" s="26" t="s">
        <v>726</v>
      </c>
      <c r="E63" s="26" t="s">
        <v>727</v>
      </c>
      <c r="F63" s="26" t="s">
        <v>130</v>
      </c>
      <c r="G63" s="26">
        <v>20</v>
      </c>
      <c r="H63" s="26" t="s">
        <v>691</v>
      </c>
      <c r="I63" s="26" t="s">
        <v>7</v>
      </c>
      <c r="J63" s="26" t="s">
        <v>171</v>
      </c>
    </row>
    <row r="64" spans="1:10" x14ac:dyDescent="0.25">
      <c r="A64" s="26" t="s">
        <v>474</v>
      </c>
      <c r="B64" s="26" t="s">
        <v>476</v>
      </c>
      <c r="C64" s="26" t="s">
        <v>475</v>
      </c>
      <c r="D64" s="26" t="s">
        <v>728</v>
      </c>
      <c r="E64" s="26" t="s">
        <v>477</v>
      </c>
      <c r="F64" s="26" t="s">
        <v>146</v>
      </c>
      <c r="G64" s="26">
        <v>1</v>
      </c>
      <c r="H64" s="26" t="s">
        <v>688</v>
      </c>
      <c r="I64" s="26" t="s">
        <v>43</v>
      </c>
      <c r="J64" s="26" t="s">
        <v>365</v>
      </c>
    </row>
    <row r="65" spans="1:10" x14ac:dyDescent="0.25">
      <c r="A65" s="26" t="s">
        <v>394</v>
      </c>
      <c r="B65" s="26" t="s">
        <v>396</v>
      </c>
      <c r="C65" s="26" t="s">
        <v>395</v>
      </c>
      <c r="D65" s="26" t="s">
        <v>729</v>
      </c>
      <c r="E65" s="26" t="s">
        <v>397</v>
      </c>
      <c r="F65" s="26" t="s">
        <v>130</v>
      </c>
      <c r="G65" s="26">
        <v>1</v>
      </c>
      <c r="H65" s="26" t="s">
        <v>688</v>
      </c>
      <c r="I65" s="26" t="s">
        <v>43</v>
      </c>
      <c r="J65" s="26" t="s">
        <v>179</v>
      </c>
    </row>
    <row r="66" spans="1:10" x14ac:dyDescent="0.25">
      <c r="A66" s="26" t="s">
        <v>416</v>
      </c>
      <c r="B66" s="26" t="s">
        <v>418</v>
      </c>
      <c r="C66" s="26" t="s">
        <v>417</v>
      </c>
      <c r="D66" s="26" t="s">
        <v>730</v>
      </c>
      <c r="E66" s="26" t="s">
        <v>419</v>
      </c>
      <c r="F66" s="26" t="s">
        <v>130</v>
      </c>
      <c r="G66" s="26">
        <v>20</v>
      </c>
      <c r="H66" s="26" t="s">
        <v>691</v>
      </c>
      <c r="I66" s="26" t="s">
        <v>7</v>
      </c>
      <c r="J66" s="26" t="s">
        <v>179</v>
      </c>
    </row>
    <row r="67" spans="1:10" x14ac:dyDescent="0.25">
      <c r="A67" s="27">
        <v>7000000032</v>
      </c>
      <c r="B67" s="27" t="s">
        <v>442</v>
      </c>
      <c r="C67" s="27" t="s">
        <v>151</v>
      </c>
      <c r="D67" s="27" t="s">
        <v>731</v>
      </c>
      <c r="E67" s="27" t="s">
        <v>443</v>
      </c>
      <c r="F67" s="27" t="s">
        <v>130</v>
      </c>
      <c r="G67" s="27"/>
      <c r="H67" s="27" t="s">
        <v>688</v>
      </c>
      <c r="I67" s="27" t="s">
        <v>150</v>
      </c>
      <c r="J67" s="27" t="s">
        <v>132</v>
      </c>
    </row>
    <row r="68" spans="1:10" x14ac:dyDescent="0.25">
      <c r="A68" s="27" t="s">
        <v>440</v>
      </c>
      <c r="B68" s="27" t="s">
        <v>442</v>
      </c>
      <c r="C68" s="27" t="s">
        <v>441</v>
      </c>
      <c r="D68" s="27" t="s">
        <v>731</v>
      </c>
      <c r="E68" s="27" t="s">
        <v>443</v>
      </c>
      <c r="F68" s="27" t="s">
        <v>130</v>
      </c>
      <c r="G68" s="27"/>
      <c r="H68" s="27" t="s">
        <v>688</v>
      </c>
      <c r="I68" s="27" t="s">
        <v>150</v>
      </c>
      <c r="J68" s="27" t="s">
        <v>132</v>
      </c>
    </row>
    <row r="69" spans="1:10" x14ac:dyDescent="0.25">
      <c r="A69" s="26" t="s">
        <v>237</v>
      </c>
      <c r="B69" s="26" t="s">
        <v>239</v>
      </c>
      <c r="C69" s="26" t="s">
        <v>238</v>
      </c>
      <c r="D69" s="26" t="s">
        <v>732</v>
      </c>
      <c r="E69" s="26" t="s">
        <v>240</v>
      </c>
      <c r="F69" s="26" t="s">
        <v>130</v>
      </c>
      <c r="G69" s="26">
        <v>20</v>
      </c>
      <c r="H69" s="26" t="s">
        <v>691</v>
      </c>
      <c r="I69" s="26" t="s">
        <v>7</v>
      </c>
      <c r="J69" s="26" t="s">
        <v>241</v>
      </c>
    </row>
    <row r="70" spans="1:10" x14ac:dyDescent="0.25">
      <c r="A70" s="26" t="s">
        <v>383</v>
      </c>
      <c r="B70" s="26" t="s">
        <v>385</v>
      </c>
      <c r="C70" s="26" t="s">
        <v>384</v>
      </c>
      <c r="D70" s="26" t="s">
        <v>733</v>
      </c>
      <c r="E70" s="26" t="s">
        <v>386</v>
      </c>
      <c r="F70" s="26" t="s">
        <v>130</v>
      </c>
      <c r="G70" s="26">
        <v>20</v>
      </c>
      <c r="H70" s="26" t="s">
        <v>691</v>
      </c>
      <c r="I70" s="26" t="s">
        <v>7</v>
      </c>
      <c r="J70" s="26" t="s">
        <v>241</v>
      </c>
    </row>
    <row r="71" spans="1:10" x14ac:dyDescent="0.25">
      <c r="A71" s="26" t="s">
        <v>387</v>
      </c>
      <c r="B71" s="26" t="s">
        <v>389</v>
      </c>
      <c r="C71" s="26" t="s">
        <v>388</v>
      </c>
      <c r="D71" s="26" t="s">
        <v>734</v>
      </c>
      <c r="E71" s="26" t="s">
        <v>390</v>
      </c>
      <c r="F71" s="26" t="s">
        <v>130</v>
      </c>
      <c r="G71" s="26">
        <v>20</v>
      </c>
      <c r="H71" s="26" t="s">
        <v>691</v>
      </c>
      <c r="I71" s="26" t="s">
        <v>7</v>
      </c>
      <c r="J71" s="26" t="s">
        <v>175</v>
      </c>
    </row>
    <row r="72" spans="1:10" x14ac:dyDescent="0.25">
      <c r="A72" s="26" t="s">
        <v>375</v>
      </c>
      <c r="B72" s="26" t="s">
        <v>377</v>
      </c>
      <c r="C72" s="26" t="s">
        <v>376</v>
      </c>
      <c r="D72" s="26" t="s">
        <v>735</v>
      </c>
      <c r="E72" s="26" t="s">
        <v>378</v>
      </c>
      <c r="F72" s="26" t="s">
        <v>130</v>
      </c>
      <c r="G72" s="26">
        <v>20</v>
      </c>
      <c r="H72" s="26" t="s">
        <v>691</v>
      </c>
      <c r="I72" s="26" t="s">
        <v>7</v>
      </c>
      <c r="J72" s="26" t="s">
        <v>186</v>
      </c>
    </row>
    <row r="73" spans="1:10" x14ac:dyDescent="0.25">
      <c r="A73" s="26" t="s">
        <v>379</v>
      </c>
      <c r="B73" s="26" t="s">
        <v>381</v>
      </c>
      <c r="C73" s="26" t="s">
        <v>380</v>
      </c>
      <c r="D73" s="26" t="s">
        <v>736</v>
      </c>
      <c r="E73" s="26" t="s">
        <v>382</v>
      </c>
      <c r="F73" s="26" t="s">
        <v>130</v>
      </c>
      <c r="G73" s="26">
        <v>20</v>
      </c>
      <c r="H73" s="26" t="s">
        <v>691</v>
      </c>
      <c r="I73" s="26" t="s">
        <v>7</v>
      </c>
      <c r="J73" s="26" t="s">
        <v>136</v>
      </c>
    </row>
    <row r="74" spans="1:10" x14ac:dyDescent="0.25">
      <c r="A74" s="26" t="s">
        <v>320</v>
      </c>
      <c r="B74" s="26" t="s">
        <v>322</v>
      </c>
      <c r="C74" s="26" t="s">
        <v>321</v>
      </c>
      <c r="D74" s="26" t="s">
        <v>737</v>
      </c>
      <c r="E74" s="26" t="s">
        <v>323</v>
      </c>
      <c r="F74" s="26" t="s">
        <v>130</v>
      </c>
      <c r="G74" s="26">
        <v>20</v>
      </c>
      <c r="H74" s="26" t="s">
        <v>691</v>
      </c>
      <c r="I74" s="26" t="s">
        <v>7</v>
      </c>
      <c r="J74" s="26" t="s">
        <v>179</v>
      </c>
    </row>
    <row r="75" spans="1:10" x14ac:dyDescent="0.25">
      <c r="A75" s="26" t="s">
        <v>167</v>
      </c>
      <c r="B75" s="26" t="s">
        <v>169</v>
      </c>
      <c r="C75" s="26" t="s">
        <v>168</v>
      </c>
      <c r="D75" s="26" t="s">
        <v>738</v>
      </c>
      <c r="E75" s="26" t="s">
        <v>738</v>
      </c>
      <c r="F75" s="26" t="s">
        <v>130</v>
      </c>
      <c r="G75" s="26">
        <v>1</v>
      </c>
      <c r="H75" s="26" t="s">
        <v>688</v>
      </c>
      <c r="I75" s="26" t="s">
        <v>43</v>
      </c>
      <c r="J75" s="26" t="s">
        <v>171</v>
      </c>
    </row>
    <row r="76" spans="1:10" x14ac:dyDescent="0.25">
      <c r="A76" s="26" t="s">
        <v>316</v>
      </c>
      <c r="B76" s="26" t="s">
        <v>318</v>
      </c>
      <c r="C76" s="26" t="s">
        <v>317</v>
      </c>
      <c r="D76" s="26" t="s">
        <v>739</v>
      </c>
      <c r="E76" s="26" t="s">
        <v>319</v>
      </c>
      <c r="F76" s="26" t="s">
        <v>130</v>
      </c>
      <c r="G76" s="26">
        <v>20</v>
      </c>
      <c r="H76" s="26" t="s">
        <v>691</v>
      </c>
      <c r="I76" s="26" t="s">
        <v>7</v>
      </c>
      <c r="J76" s="26" t="s">
        <v>136</v>
      </c>
    </row>
    <row r="77" spans="1:10" x14ac:dyDescent="0.25">
      <c r="A77" s="26" t="s">
        <v>391</v>
      </c>
      <c r="B77" s="26" t="s">
        <v>740</v>
      </c>
      <c r="C77" s="26" t="s">
        <v>392</v>
      </c>
      <c r="D77" s="26" t="s">
        <v>741</v>
      </c>
      <c r="E77" s="26" t="s">
        <v>742</v>
      </c>
      <c r="F77" s="26" t="s">
        <v>130</v>
      </c>
      <c r="G77" s="26">
        <v>20</v>
      </c>
      <c r="H77" s="26" t="s">
        <v>743</v>
      </c>
      <c r="I77" s="26" t="s">
        <v>7</v>
      </c>
      <c r="J77" s="26" t="s">
        <v>307</v>
      </c>
    </row>
    <row r="78" spans="1:10" x14ac:dyDescent="0.25">
      <c r="A78" s="26" t="s">
        <v>163</v>
      </c>
      <c r="B78" s="26" t="s">
        <v>165</v>
      </c>
      <c r="C78" s="26" t="s">
        <v>164</v>
      </c>
      <c r="D78" s="26" t="s">
        <v>744</v>
      </c>
      <c r="E78" s="26" t="s">
        <v>166</v>
      </c>
      <c r="F78" s="26" t="s">
        <v>130</v>
      </c>
      <c r="G78" s="26">
        <v>1</v>
      </c>
      <c r="H78" s="26" t="s">
        <v>688</v>
      </c>
      <c r="I78" s="26" t="s">
        <v>43</v>
      </c>
      <c r="J78" s="26" t="s">
        <v>158</v>
      </c>
    </row>
    <row r="79" spans="1:10" x14ac:dyDescent="0.25">
      <c r="A79" s="26" t="s">
        <v>216</v>
      </c>
      <c r="B79" s="26" t="s">
        <v>218</v>
      </c>
      <c r="C79" s="26" t="s">
        <v>217</v>
      </c>
      <c r="D79" s="26" t="s">
        <v>745</v>
      </c>
      <c r="E79" s="26" t="s">
        <v>745</v>
      </c>
      <c r="F79" s="26" t="s">
        <v>130</v>
      </c>
      <c r="G79" s="26" t="s">
        <v>152</v>
      </c>
      <c r="H79" s="26" t="s">
        <v>699</v>
      </c>
      <c r="I79" s="26" t="s">
        <v>189</v>
      </c>
      <c r="J79" s="26" t="s">
        <v>191</v>
      </c>
    </row>
    <row r="80" spans="1:10" x14ac:dyDescent="0.25">
      <c r="A80" s="26" t="s">
        <v>199</v>
      </c>
      <c r="B80" s="26" t="s">
        <v>201</v>
      </c>
      <c r="C80" s="26" t="s">
        <v>200</v>
      </c>
      <c r="D80" s="26" t="s">
        <v>746</v>
      </c>
      <c r="E80" s="26" t="s">
        <v>747</v>
      </c>
      <c r="F80" s="26" t="s">
        <v>130</v>
      </c>
      <c r="G80" s="26" t="s">
        <v>152</v>
      </c>
      <c r="H80" s="26" t="s">
        <v>699</v>
      </c>
      <c r="I80" s="26" t="s">
        <v>189</v>
      </c>
      <c r="J80" s="26" t="s">
        <v>191</v>
      </c>
    </row>
    <row r="81" spans="1:10" x14ac:dyDescent="0.25">
      <c r="A81" s="26" t="s">
        <v>213</v>
      </c>
      <c r="B81" s="26" t="s">
        <v>215</v>
      </c>
      <c r="C81" s="26" t="s">
        <v>214</v>
      </c>
      <c r="D81" s="26" t="s">
        <v>748</v>
      </c>
      <c r="E81" s="26" t="s">
        <v>749</v>
      </c>
      <c r="F81" s="26" t="s">
        <v>130</v>
      </c>
      <c r="G81" s="26" t="s">
        <v>152</v>
      </c>
      <c r="H81" s="26" t="s">
        <v>699</v>
      </c>
      <c r="I81" s="26" t="s">
        <v>189</v>
      </c>
      <c r="J81" s="26" t="s">
        <v>191</v>
      </c>
    </row>
    <row r="82" spans="1:10" x14ac:dyDescent="0.25">
      <c r="A82" s="26" t="s">
        <v>408</v>
      </c>
      <c r="B82" s="26" t="s">
        <v>410</v>
      </c>
      <c r="C82" s="26" t="s">
        <v>409</v>
      </c>
      <c r="D82" s="26" t="s">
        <v>411</v>
      </c>
      <c r="E82" s="26" t="s">
        <v>411</v>
      </c>
      <c r="F82" s="26" t="s">
        <v>130</v>
      </c>
      <c r="G82" s="26">
        <v>1</v>
      </c>
      <c r="H82" s="26" t="s">
        <v>688</v>
      </c>
      <c r="I82" s="26" t="s">
        <v>43</v>
      </c>
      <c r="J82" s="26" t="s">
        <v>158</v>
      </c>
    </row>
    <row r="83" spans="1:10" x14ac:dyDescent="0.25">
      <c r="A83" s="26" t="s">
        <v>478</v>
      </c>
      <c r="B83" s="26" t="s">
        <v>479</v>
      </c>
      <c r="C83" s="26" t="s">
        <v>64</v>
      </c>
      <c r="D83" s="26" t="s">
        <v>750</v>
      </c>
      <c r="E83" s="26" t="s">
        <v>296</v>
      </c>
      <c r="F83" s="26" t="s">
        <v>146</v>
      </c>
      <c r="G83" s="26">
        <v>50</v>
      </c>
      <c r="H83" s="26" t="s">
        <v>696</v>
      </c>
      <c r="I83" s="26" t="s">
        <v>43</v>
      </c>
      <c r="J83" s="26" t="s">
        <v>233</v>
      </c>
    </row>
    <row r="84" spans="1:10" x14ac:dyDescent="0.25">
      <c r="A84" s="26" t="s">
        <v>202</v>
      </c>
      <c r="B84" s="26" t="s">
        <v>204</v>
      </c>
      <c r="C84" s="26" t="s">
        <v>203</v>
      </c>
      <c r="D84" s="26" t="s">
        <v>751</v>
      </c>
      <c r="E84" s="26" t="s">
        <v>752</v>
      </c>
      <c r="F84" s="26" t="s">
        <v>130</v>
      </c>
      <c r="G84" s="26" t="s">
        <v>152</v>
      </c>
      <c r="H84" s="26" t="s">
        <v>753</v>
      </c>
      <c r="I84" s="26" t="s">
        <v>189</v>
      </c>
      <c r="J84" s="26" t="s">
        <v>191</v>
      </c>
    </row>
    <row r="85" spans="1:10" x14ac:dyDescent="0.25">
      <c r="A85" s="26" t="s">
        <v>242</v>
      </c>
      <c r="B85" s="26" t="s">
        <v>244</v>
      </c>
      <c r="C85" s="26" t="s">
        <v>243</v>
      </c>
      <c r="D85" s="26" t="s">
        <v>245</v>
      </c>
      <c r="E85" s="26" t="s">
        <v>245</v>
      </c>
      <c r="F85" s="26" t="s">
        <v>130</v>
      </c>
      <c r="G85" s="26">
        <v>1</v>
      </c>
      <c r="H85" s="26" t="s">
        <v>688</v>
      </c>
      <c r="I85" s="26" t="s">
        <v>43</v>
      </c>
      <c r="J85" s="26" t="s">
        <v>132</v>
      </c>
    </row>
    <row r="86" spans="1:10" x14ac:dyDescent="0.25">
      <c r="A86" s="26" t="s">
        <v>261</v>
      </c>
      <c r="B86" s="26" t="s">
        <v>263</v>
      </c>
      <c r="C86" s="26" t="s">
        <v>262</v>
      </c>
      <c r="D86" s="26" t="s">
        <v>754</v>
      </c>
      <c r="E86" s="26" t="s">
        <v>264</v>
      </c>
      <c r="F86" s="26" t="s">
        <v>130</v>
      </c>
      <c r="G86" s="26">
        <v>20</v>
      </c>
      <c r="H86" s="26" t="s">
        <v>691</v>
      </c>
      <c r="I86" s="26" t="s">
        <v>7</v>
      </c>
      <c r="J86" s="26" t="s">
        <v>171</v>
      </c>
    </row>
    <row r="87" spans="1:10" x14ac:dyDescent="0.25">
      <c r="A87" s="26" t="s">
        <v>269</v>
      </c>
      <c r="B87" s="26" t="s">
        <v>271</v>
      </c>
      <c r="C87" s="26" t="s">
        <v>270</v>
      </c>
      <c r="D87" s="26" t="s">
        <v>755</v>
      </c>
      <c r="E87" s="26" t="s">
        <v>756</v>
      </c>
      <c r="F87" s="26" t="s">
        <v>130</v>
      </c>
      <c r="G87" s="26">
        <v>20</v>
      </c>
      <c r="H87" s="26" t="s">
        <v>691</v>
      </c>
      <c r="I87" s="26" t="s">
        <v>7</v>
      </c>
      <c r="J87" s="26" t="s">
        <v>171</v>
      </c>
    </row>
    <row r="88" spans="1:10" x14ac:dyDescent="0.25">
      <c r="A88" s="26" t="s">
        <v>187</v>
      </c>
      <c r="B88" s="26" t="s">
        <v>190</v>
      </c>
      <c r="C88" s="26" t="s">
        <v>188</v>
      </c>
      <c r="D88" s="26" t="s">
        <v>192</v>
      </c>
      <c r="E88" s="26" t="s">
        <v>192</v>
      </c>
      <c r="F88" s="26" t="s">
        <v>130</v>
      </c>
      <c r="G88" s="26" t="s">
        <v>152</v>
      </c>
      <c r="H88" s="26" t="s">
        <v>699</v>
      </c>
      <c r="I88" s="26" t="s">
        <v>189</v>
      </c>
      <c r="J88" s="26" t="s">
        <v>191</v>
      </c>
    </row>
    <row r="89" spans="1:10" x14ac:dyDescent="0.25">
      <c r="A89" s="26" t="s">
        <v>480</v>
      </c>
      <c r="B89" s="26" t="s">
        <v>757</v>
      </c>
      <c r="C89" s="26" t="s">
        <v>481</v>
      </c>
      <c r="D89" s="26" t="s">
        <v>758</v>
      </c>
      <c r="E89" s="26" t="s">
        <v>296</v>
      </c>
      <c r="F89" s="26" t="s">
        <v>146</v>
      </c>
      <c r="G89" s="26">
        <v>20</v>
      </c>
      <c r="H89" s="26" t="s">
        <v>691</v>
      </c>
      <c r="I89" s="26" t="s">
        <v>43</v>
      </c>
      <c r="J89" s="26" t="s">
        <v>233</v>
      </c>
    </row>
    <row r="90" spans="1:10" x14ac:dyDescent="0.25">
      <c r="A90" s="26" t="s">
        <v>226</v>
      </c>
      <c r="B90" s="26" t="s">
        <v>228</v>
      </c>
      <c r="C90" s="26" t="s">
        <v>227</v>
      </c>
      <c r="D90" s="26" t="s">
        <v>759</v>
      </c>
      <c r="E90" s="26" t="s">
        <v>653</v>
      </c>
      <c r="F90" s="26" t="s">
        <v>130</v>
      </c>
      <c r="G90" s="26" t="s">
        <v>152</v>
      </c>
      <c r="H90" s="26" t="s">
        <v>699</v>
      </c>
      <c r="I90" s="26" t="s">
        <v>189</v>
      </c>
      <c r="J90" s="26" t="s">
        <v>191</v>
      </c>
    </row>
    <row r="91" spans="1:10" x14ac:dyDescent="0.25">
      <c r="A91" s="26" t="s">
        <v>223</v>
      </c>
      <c r="B91" s="26" t="s">
        <v>225</v>
      </c>
      <c r="C91" s="26" t="s">
        <v>224</v>
      </c>
      <c r="D91" s="26" t="s">
        <v>760</v>
      </c>
      <c r="E91" s="26" t="s">
        <v>761</v>
      </c>
      <c r="F91" s="26" t="s">
        <v>130</v>
      </c>
      <c r="G91" s="26" t="s">
        <v>152</v>
      </c>
      <c r="H91" s="26" t="s">
        <v>699</v>
      </c>
      <c r="I91" s="26" t="s">
        <v>189</v>
      </c>
      <c r="J91" s="26" t="s">
        <v>191</v>
      </c>
    </row>
    <row r="92" spans="1:10" x14ac:dyDescent="0.25">
      <c r="A92" s="26" t="s">
        <v>193</v>
      </c>
      <c r="B92" s="26" t="s">
        <v>195</v>
      </c>
      <c r="C92" s="26" t="s">
        <v>194</v>
      </c>
      <c r="D92" s="26" t="s">
        <v>762</v>
      </c>
      <c r="E92" s="26" t="s">
        <v>763</v>
      </c>
      <c r="F92" s="26" t="s">
        <v>130</v>
      </c>
      <c r="G92" s="26" t="s">
        <v>152</v>
      </c>
      <c r="H92" s="26" t="s">
        <v>699</v>
      </c>
      <c r="I92" s="26" t="s">
        <v>189</v>
      </c>
      <c r="J92" s="26" t="s">
        <v>191</v>
      </c>
    </row>
    <row r="93" spans="1:10" x14ac:dyDescent="0.25">
      <c r="A93" s="26" t="s">
        <v>456</v>
      </c>
      <c r="B93" s="26" t="s">
        <v>458</v>
      </c>
      <c r="C93" s="26" t="s">
        <v>457</v>
      </c>
      <c r="D93" s="26" t="s">
        <v>764</v>
      </c>
      <c r="E93" s="26" t="s">
        <v>459</v>
      </c>
      <c r="F93" s="26" t="s">
        <v>130</v>
      </c>
      <c r="G93" s="26">
        <v>1</v>
      </c>
      <c r="H93" s="26" t="s">
        <v>688</v>
      </c>
      <c r="I93" s="26" t="s">
        <v>43</v>
      </c>
      <c r="J93" s="26" t="s">
        <v>136</v>
      </c>
    </row>
    <row r="94" spans="1:10" x14ac:dyDescent="0.25">
      <c r="A94" s="26" t="s">
        <v>452</v>
      </c>
      <c r="B94" s="26" t="s">
        <v>454</v>
      </c>
      <c r="C94" s="26" t="s">
        <v>453</v>
      </c>
      <c r="D94" s="26" t="s">
        <v>765</v>
      </c>
      <c r="E94" s="26" t="s">
        <v>455</v>
      </c>
      <c r="F94" s="26" t="s">
        <v>130</v>
      </c>
      <c r="G94" s="26">
        <v>1</v>
      </c>
      <c r="H94" s="26" t="s">
        <v>688</v>
      </c>
      <c r="I94" s="26" t="s">
        <v>43</v>
      </c>
      <c r="J94" s="26" t="s">
        <v>302</v>
      </c>
    </row>
    <row r="95" spans="1:10" x14ac:dyDescent="0.25">
      <c r="A95" s="26" t="s">
        <v>448</v>
      </c>
      <c r="B95" s="26" t="s">
        <v>450</v>
      </c>
      <c r="C95" s="26" t="s">
        <v>449</v>
      </c>
      <c r="D95" s="26" t="s">
        <v>766</v>
      </c>
      <c r="E95" s="26" t="s">
        <v>767</v>
      </c>
      <c r="F95" s="26" t="s">
        <v>130</v>
      </c>
      <c r="G95" s="26">
        <v>1</v>
      </c>
      <c r="H95" s="26" t="s">
        <v>688</v>
      </c>
      <c r="I95" s="26" t="s">
        <v>43</v>
      </c>
      <c r="J95" s="26" t="s">
        <v>279</v>
      </c>
    </row>
    <row r="96" spans="1:10" x14ac:dyDescent="0.25">
      <c r="A96" s="26" t="s">
        <v>196</v>
      </c>
      <c r="B96" s="26" t="s">
        <v>198</v>
      </c>
      <c r="C96" s="26" t="s">
        <v>197</v>
      </c>
      <c r="D96" s="26" t="s">
        <v>768</v>
      </c>
      <c r="E96" s="26" t="s">
        <v>769</v>
      </c>
      <c r="F96" s="26" t="s">
        <v>130</v>
      </c>
      <c r="G96" s="26" t="s">
        <v>152</v>
      </c>
      <c r="H96" s="26" t="s">
        <v>699</v>
      </c>
      <c r="I96" s="26" t="s">
        <v>189</v>
      </c>
      <c r="J96" s="26" t="s">
        <v>191</v>
      </c>
    </row>
    <row r="97" spans="1:10" x14ac:dyDescent="0.25">
      <c r="A97" s="26" t="s">
        <v>209</v>
      </c>
      <c r="B97" s="26" t="s">
        <v>211</v>
      </c>
      <c r="C97" s="26" t="s">
        <v>210</v>
      </c>
      <c r="D97" s="26" t="s">
        <v>212</v>
      </c>
      <c r="E97" s="26" t="s">
        <v>212</v>
      </c>
      <c r="F97" s="26" t="s">
        <v>130</v>
      </c>
      <c r="G97" s="26" t="s">
        <v>152</v>
      </c>
      <c r="H97" s="26" t="s">
        <v>699</v>
      </c>
      <c r="I97" s="26" t="s">
        <v>189</v>
      </c>
      <c r="J97" s="26" t="s">
        <v>191</v>
      </c>
    </row>
    <row r="98" spans="1:10" x14ac:dyDescent="0.25">
      <c r="A98" t="s">
        <v>482</v>
      </c>
    </row>
    <row r="99" spans="1:10" x14ac:dyDescent="0.25">
      <c r="A99" t="s">
        <v>485</v>
      </c>
    </row>
    <row r="100" spans="1:10" x14ac:dyDescent="0.25">
      <c r="A100" t="s">
        <v>489</v>
      </c>
    </row>
    <row r="101" spans="1:10" x14ac:dyDescent="0.25">
      <c r="A101" t="s">
        <v>492</v>
      </c>
    </row>
    <row r="102" spans="1:10" x14ac:dyDescent="0.25">
      <c r="A102" t="s">
        <v>496</v>
      </c>
    </row>
    <row r="103" spans="1:10" x14ac:dyDescent="0.25">
      <c r="A103" t="s">
        <v>500</v>
      </c>
    </row>
    <row r="104" spans="1:10" x14ac:dyDescent="0.25">
      <c r="A104" t="s">
        <v>504</v>
      </c>
    </row>
    <row r="105" spans="1:10" x14ac:dyDescent="0.25">
      <c r="A105" t="s">
        <v>508</v>
      </c>
    </row>
    <row r="106" spans="1:10" x14ac:dyDescent="0.25">
      <c r="A106" t="s">
        <v>510</v>
      </c>
    </row>
    <row r="107" spans="1:10" x14ac:dyDescent="0.25">
      <c r="A107" t="s">
        <v>514</v>
      </c>
    </row>
    <row r="108" spans="1:10" x14ac:dyDescent="0.25">
      <c r="A108" t="s">
        <v>517</v>
      </c>
    </row>
    <row r="109" spans="1:10" x14ac:dyDescent="0.25">
      <c r="A109" t="s">
        <v>521</v>
      </c>
    </row>
    <row r="110" spans="1:10" x14ac:dyDescent="0.25">
      <c r="A110" t="s">
        <v>523</v>
      </c>
    </row>
    <row r="111" spans="1:10" x14ac:dyDescent="0.25">
      <c r="A111" t="s">
        <v>527</v>
      </c>
    </row>
    <row r="112" spans="1:10" x14ac:dyDescent="0.25">
      <c r="A112" t="s">
        <v>531</v>
      </c>
    </row>
    <row r="113" spans="1:10" x14ac:dyDescent="0.25">
      <c r="A113" t="s">
        <v>535</v>
      </c>
    </row>
    <row r="114" spans="1:10" x14ac:dyDescent="0.25">
      <c r="A114" t="s">
        <v>537</v>
      </c>
    </row>
    <row r="115" spans="1:10" x14ac:dyDescent="0.25">
      <c r="A115" t="s">
        <v>540</v>
      </c>
    </row>
    <row r="116" spans="1:10" x14ac:dyDescent="0.25">
      <c r="A116" t="s">
        <v>543</v>
      </c>
    </row>
    <row r="117" spans="1:10" x14ac:dyDescent="0.25">
      <c r="A117" t="s">
        <v>546</v>
      </c>
    </row>
    <row r="118" spans="1:10" x14ac:dyDescent="0.25">
      <c r="A118" t="s">
        <v>3</v>
      </c>
      <c r="B118" s="32" t="s">
        <v>550</v>
      </c>
      <c r="C118" s="26" t="s">
        <v>4</v>
      </c>
      <c r="E118" s="26" t="s">
        <v>551</v>
      </c>
      <c r="F118" s="32" t="s">
        <v>146</v>
      </c>
      <c r="G118" s="26">
        <v>40</v>
      </c>
      <c r="J118" s="32" t="s">
        <v>365</v>
      </c>
    </row>
    <row r="119" spans="1:10" x14ac:dyDescent="0.25">
      <c r="A119" t="s">
        <v>552</v>
      </c>
    </row>
    <row r="120" spans="1:10" x14ac:dyDescent="0.25">
      <c r="A120" t="s">
        <v>555</v>
      </c>
    </row>
    <row r="121" spans="1:10" x14ac:dyDescent="0.25">
      <c r="A121" t="s">
        <v>558</v>
      </c>
    </row>
    <row r="122" spans="1:10" x14ac:dyDescent="0.25">
      <c r="A122" t="s">
        <v>561</v>
      </c>
    </row>
    <row r="123" spans="1:10" x14ac:dyDescent="0.25">
      <c r="A123" t="s">
        <v>564</v>
      </c>
    </row>
    <row r="124" spans="1:10" x14ac:dyDescent="0.25">
      <c r="A124" t="s">
        <v>567</v>
      </c>
    </row>
    <row r="125" spans="1:10" x14ac:dyDescent="0.25">
      <c r="A125" t="s">
        <v>570</v>
      </c>
    </row>
    <row r="126" spans="1:10" x14ac:dyDescent="0.25">
      <c r="A126" t="s">
        <v>573</v>
      </c>
    </row>
    <row r="127" spans="1:10" x14ac:dyDescent="0.25">
      <c r="A127" t="s">
        <v>576</v>
      </c>
    </row>
    <row r="128" spans="1:10" x14ac:dyDescent="0.25">
      <c r="A128" t="s">
        <v>578</v>
      </c>
    </row>
    <row r="129" spans="1:10" x14ac:dyDescent="0.25">
      <c r="A129" t="s">
        <v>580</v>
      </c>
    </row>
    <row r="130" spans="1:10" x14ac:dyDescent="0.25">
      <c r="A130" t="s">
        <v>584</v>
      </c>
    </row>
    <row r="131" spans="1:10" x14ac:dyDescent="0.25">
      <c r="A131" t="s">
        <v>588</v>
      </c>
    </row>
    <row r="132" spans="1:10" x14ac:dyDescent="0.25">
      <c r="A132" t="s">
        <v>592</v>
      </c>
    </row>
    <row r="133" spans="1:10" x14ac:dyDescent="0.25">
      <c r="A133" t="s">
        <v>594</v>
      </c>
    </row>
    <row r="134" spans="1:10" x14ac:dyDescent="0.25">
      <c r="A134" t="s">
        <v>598</v>
      </c>
    </row>
    <row r="135" spans="1:10" x14ac:dyDescent="0.25">
      <c r="A135" t="s">
        <v>602</v>
      </c>
    </row>
    <row r="136" spans="1:10" x14ac:dyDescent="0.25">
      <c r="A136" t="s">
        <v>606</v>
      </c>
    </row>
    <row r="137" spans="1:10" x14ac:dyDescent="0.25">
      <c r="A137" t="s">
        <v>610</v>
      </c>
    </row>
    <row r="138" spans="1:10" x14ac:dyDescent="0.25">
      <c r="A138" t="s">
        <v>614</v>
      </c>
    </row>
    <row r="139" spans="1:10" x14ac:dyDescent="0.25">
      <c r="A139" t="s">
        <v>618</v>
      </c>
    </row>
    <row r="140" spans="1:10" x14ac:dyDescent="0.25">
      <c r="A140" t="s">
        <v>621</v>
      </c>
    </row>
    <row r="141" spans="1:10" x14ac:dyDescent="0.25">
      <c r="A141" t="s">
        <v>625</v>
      </c>
    </row>
    <row r="142" spans="1:10" x14ac:dyDescent="0.25">
      <c r="A142" t="s">
        <v>628</v>
      </c>
    </row>
    <row r="143" spans="1:10" x14ac:dyDescent="0.25">
      <c r="A143" t="s">
        <v>632</v>
      </c>
    </row>
    <row r="144" spans="1:10" x14ac:dyDescent="0.25">
      <c r="A144" t="s">
        <v>63</v>
      </c>
      <c r="B144" s="32" t="s">
        <v>479</v>
      </c>
      <c r="C144" s="32" t="s">
        <v>64</v>
      </c>
      <c r="D144" s="26" t="s">
        <v>718</v>
      </c>
      <c r="E144" s="26" t="s">
        <v>407</v>
      </c>
      <c r="F144" s="32" t="s">
        <v>146</v>
      </c>
      <c r="G144" s="26">
        <v>50</v>
      </c>
      <c r="H144" s="95" t="s">
        <v>696</v>
      </c>
      <c r="I144" s="95" t="s">
        <v>7</v>
      </c>
      <c r="J144" s="32" t="s">
        <v>233</v>
      </c>
    </row>
    <row r="145" spans="1:10" x14ac:dyDescent="0.25">
      <c r="A145" t="s">
        <v>635</v>
      </c>
    </row>
    <row r="146" spans="1:10" x14ac:dyDescent="0.25">
      <c r="A146" t="s">
        <v>637</v>
      </c>
    </row>
    <row r="147" spans="1:10" x14ac:dyDescent="0.25">
      <c r="A147" t="s">
        <v>640</v>
      </c>
    </row>
    <row r="148" spans="1:10" x14ac:dyDescent="0.25">
      <c r="A148" t="s">
        <v>643</v>
      </c>
    </row>
    <row r="149" spans="1:10" x14ac:dyDescent="0.25">
      <c r="A149" t="s">
        <v>646</v>
      </c>
    </row>
    <row r="150" spans="1:10" x14ac:dyDescent="0.25">
      <c r="A150" t="s">
        <v>649</v>
      </c>
    </row>
    <row r="151" spans="1:10" x14ac:dyDescent="0.25">
      <c r="A151" t="s">
        <v>652</v>
      </c>
    </row>
    <row r="152" spans="1:10" x14ac:dyDescent="0.25">
      <c r="A152" t="s">
        <v>655</v>
      </c>
    </row>
    <row r="153" spans="1:10" x14ac:dyDescent="0.25">
      <c r="A153" t="s">
        <v>659</v>
      </c>
    </row>
    <row r="154" spans="1:10" x14ac:dyDescent="0.25">
      <c r="A154" t="s">
        <v>663</v>
      </c>
    </row>
    <row r="155" spans="1:10" x14ac:dyDescent="0.25">
      <c r="A155" t="s">
        <v>665</v>
      </c>
    </row>
    <row r="156" spans="1:10" x14ac:dyDescent="0.25">
      <c r="A156" t="s">
        <v>667</v>
      </c>
    </row>
    <row r="157" spans="1:10" x14ac:dyDescent="0.25">
      <c r="A157" t="s">
        <v>669</v>
      </c>
      <c r="B157" s="26" t="s">
        <v>672</v>
      </c>
      <c r="C157" s="26" t="s">
        <v>670</v>
      </c>
      <c r="D157" s="26" t="s">
        <v>670</v>
      </c>
      <c r="E157" s="26" t="s">
        <v>670</v>
      </c>
      <c r="F157" s="96" t="s">
        <v>130</v>
      </c>
      <c r="G157" s="26" t="s">
        <v>152</v>
      </c>
      <c r="H157" s="96" t="s">
        <v>671</v>
      </c>
      <c r="I157" s="96" t="s">
        <v>671</v>
      </c>
      <c r="J157" s="96" t="s">
        <v>191</v>
      </c>
    </row>
    <row r="158" spans="1:10" x14ac:dyDescent="0.25">
      <c r="A158" s="17" t="s">
        <v>858</v>
      </c>
      <c r="B158" s="96" t="s">
        <v>152</v>
      </c>
      <c r="C158" s="26" t="s">
        <v>859</v>
      </c>
      <c r="D158" s="26" t="s">
        <v>859</v>
      </c>
      <c r="E158" s="96" t="s">
        <v>929</v>
      </c>
      <c r="F158" s="96" t="s">
        <v>130</v>
      </c>
      <c r="G158" s="26" t="s">
        <v>152</v>
      </c>
      <c r="H158" s="96" t="s">
        <v>671</v>
      </c>
      <c r="I158" s="96" t="s">
        <v>671</v>
      </c>
      <c r="J158" s="96" t="s">
        <v>191</v>
      </c>
    </row>
  </sheetData>
  <pageMargins left="0.7" right="0.7" top="0.75" bottom="0.75" header="0.3" footer="0.3"/>
  <ignoredErrors>
    <ignoredError sqref="A98:A157" numberStoredAsText="1"/>
  </ignoredErrors>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C5807-60A8-4F62-9330-6BE5BA867557}">
  <sheetPr codeName="Sheet3"/>
  <dimension ref="A1:J157"/>
  <sheetViews>
    <sheetView topLeftCell="A23" workbookViewId="0">
      <selection activeCell="F146" sqref="F146"/>
    </sheetView>
  </sheetViews>
  <sheetFormatPr defaultColWidth="9.140625" defaultRowHeight="15" x14ac:dyDescent="0.25"/>
  <cols>
    <col min="1" max="1" width="11" style="12" bestFit="1" customWidth="1"/>
    <col min="2" max="2" width="42.42578125" style="12" bestFit="1" customWidth="1"/>
    <col min="3" max="9" width="9.140625" style="12"/>
    <col min="10" max="10" width="11" style="12" bestFit="1" customWidth="1"/>
    <col min="11" max="16384" width="9.140625" style="12"/>
  </cols>
  <sheetData>
    <row r="1" spans="1:10" ht="45" x14ac:dyDescent="0.25">
      <c r="A1" s="8" t="s">
        <v>79</v>
      </c>
      <c r="B1" s="8" t="s">
        <v>80</v>
      </c>
      <c r="C1" s="8" t="s">
        <v>76</v>
      </c>
      <c r="D1" s="9" t="s">
        <v>88</v>
      </c>
      <c r="E1" s="10" t="s">
        <v>122</v>
      </c>
      <c r="F1" s="10" t="s">
        <v>123</v>
      </c>
      <c r="G1" s="10" t="s">
        <v>124</v>
      </c>
      <c r="H1" s="10" t="s">
        <v>125</v>
      </c>
      <c r="I1" s="10" t="s">
        <v>126</v>
      </c>
      <c r="J1" s="11" t="s">
        <v>127</v>
      </c>
    </row>
    <row r="2" spans="1:10" x14ac:dyDescent="0.25">
      <c r="A2" s="13">
        <v>1000000028</v>
      </c>
      <c r="B2" s="13" t="s">
        <v>128</v>
      </c>
      <c r="C2" s="13" t="s">
        <v>0</v>
      </c>
      <c r="D2" s="13" t="s">
        <v>43</v>
      </c>
      <c r="E2" s="13" t="s">
        <v>129</v>
      </c>
      <c r="F2" s="13" t="s">
        <v>130</v>
      </c>
      <c r="G2" s="13" t="s">
        <v>131</v>
      </c>
      <c r="H2" s="12">
        <v>1</v>
      </c>
      <c r="I2" s="13" t="s">
        <v>132</v>
      </c>
      <c r="J2" s="12">
        <v>1000000028</v>
      </c>
    </row>
    <row r="3" spans="1:10" x14ac:dyDescent="0.25">
      <c r="A3" s="12">
        <v>2000000025</v>
      </c>
      <c r="B3" s="12" t="s">
        <v>133</v>
      </c>
      <c r="C3" s="13" t="s">
        <v>0</v>
      </c>
      <c r="D3" s="13" t="s">
        <v>7</v>
      </c>
      <c r="E3" s="14" t="s">
        <v>134</v>
      </c>
      <c r="F3" s="13" t="s">
        <v>130</v>
      </c>
      <c r="G3" s="13" t="s">
        <v>135</v>
      </c>
      <c r="H3" s="12">
        <v>20</v>
      </c>
      <c r="I3" s="13" t="s">
        <v>136</v>
      </c>
      <c r="J3" s="12">
        <v>2000000025</v>
      </c>
    </row>
    <row r="4" spans="1:10" x14ac:dyDescent="0.25">
      <c r="A4" s="13">
        <v>2000000027</v>
      </c>
      <c r="B4" s="13" t="s">
        <v>137</v>
      </c>
      <c r="C4" s="13" t="s">
        <v>0</v>
      </c>
      <c r="D4" s="13" t="s">
        <v>43</v>
      </c>
      <c r="E4" s="12" t="s">
        <v>138</v>
      </c>
      <c r="F4" s="13" t="s">
        <v>130</v>
      </c>
      <c r="G4" s="13" t="s">
        <v>139</v>
      </c>
      <c r="H4" s="12">
        <v>1</v>
      </c>
      <c r="I4" s="13" t="s">
        <v>132</v>
      </c>
      <c r="J4" s="12">
        <v>2000000027</v>
      </c>
    </row>
    <row r="5" spans="1:10" x14ac:dyDescent="0.25">
      <c r="A5" s="13">
        <v>4000000041</v>
      </c>
      <c r="B5" s="13" t="s">
        <v>140</v>
      </c>
      <c r="C5" s="13" t="s">
        <v>0</v>
      </c>
      <c r="D5" s="13" t="s">
        <v>141</v>
      </c>
      <c r="E5" s="12" t="s">
        <v>142</v>
      </c>
      <c r="F5" s="13" t="s">
        <v>130</v>
      </c>
      <c r="G5" s="13" t="s">
        <v>143</v>
      </c>
      <c r="I5" s="13" t="s">
        <v>132</v>
      </c>
      <c r="J5" s="12">
        <v>4000000041</v>
      </c>
    </row>
    <row r="6" spans="1:10" x14ac:dyDescent="0.25">
      <c r="A6" s="15">
        <v>4000000086</v>
      </c>
      <c r="B6" s="13" t="s">
        <v>144</v>
      </c>
      <c r="C6" s="13" t="s">
        <v>0</v>
      </c>
      <c r="D6" s="13" t="s">
        <v>7</v>
      </c>
      <c r="E6" s="12" t="s">
        <v>145</v>
      </c>
      <c r="F6" s="13" t="s">
        <v>146</v>
      </c>
      <c r="G6" s="13" t="s">
        <v>147</v>
      </c>
      <c r="H6" s="12">
        <v>50</v>
      </c>
      <c r="I6" s="13" t="s">
        <v>148</v>
      </c>
      <c r="J6" s="12">
        <v>4000000086</v>
      </c>
    </row>
    <row r="7" spans="1:10" x14ac:dyDescent="0.25">
      <c r="A7" s="13">
        <v>4000000125</v>
      </c>
      <c r="B7" s="13" t="s">
        <v>149</v>
      </c>
      <c r="C7" s="13" t="s">
        <v>0</v>
      </c>
      <c r="D7" s="13" t="s">
        <v>150</v>
      </c>
      <c r="E7" s="12" t="s">
        <v>142</v>
      </c>
      <c r="F7" s="13" t="s">
        <v>130</v>
      </c>
      <c r="G7" s="13" t="s">
        <v>143</v>
      </c>
      <c r="I7" s="13" t="s">
        <v>132</v>
      </c>
      <c r="J7" s="12">
        <v>4000000125</v>
      </c>
    </row>
    <row r="8" spans="1:10" x14ac:dyDescent="0.25">
      <c r="A8" s="13">
        <v>7000000032</v>
      </c>
      <c r="B8" s="13" t="s">
        <v>151</v>
      </c>
      <c r="C8" s="13" t="s">
        <v>0</v>
      </c>
      <c r="D8" s="13" t="s">
        <v>150</v>
      </c>
      <c r="E8" s="13" t="s">
        <v>152</v>
      </c>
      <c r="F8" s="13" t="s">
        <v>130</v>
      </c>
      <c r="G8" s="13" t="s">
        <v>153</v>
      </c>
      <c r="I8" s="13" t="s">
        <v>132</v>
      </c>
      <c r="J8" s="12">
        <v>7000000032</v>
      </c>
    </row>
    <row r="9" spans="1:10" x14ac:dyDescent="0.25">
      <c r="A9" s="13" t="s">
        <v>154</v>
      </c>
      <c r="B9" s="13" t="s">
        <v>155</v>
      </c>
      <c r="C9" s="13" t="s">
        <v>0</v>
      </c>
      <c r="D9" s="13" t="s">
        <v>43</v>
      </c>
      <c r="E9" s="13" t="s">
        <v>156</v>
      </c>
      <c r="F9" s="13" t="s">
        <v>130</v>
      </c>
      <c r="G9" s="13" t="s">
        <v>157</v>
      </c>
      <c r="H9" s="12">
        <v>1</v>
      </c>
      <c r="I9" s="13" t="s">
        <v>158</v>
      </c>
      <c r="J9" s="12" t="s">
        <v>154</v>
      </c>
    </row>
    <row r="10" spans="1:10" x14ac:dyDescent="0.25">
      <c r="A10" s="13" t="s">
        <v>159</v>
      </c>
      <c r="B10" s="13" t="s">
        <v>160</v>
      </c>
      <c r="C10" s="13" t="s">
        <v>0</v>
      </c>
      <c r="D10" s="13" t="s">
        <v>43</v>
      </c>
      <c r="E10" s="13" t="s">
        <v>161</v>
      </c>
      <c r="F10" s="13" t="s">
        <v>130</v>
      </c>
      <c r="G10" s="13" t="s">
        <v>162</v>
      </c>
      <c r="H10" s="12">
        <v>1</v>
      </c>
      <c r="I10" s="13" t="s">
        <v>158</v>
      </c>
      <c r="J10" s="12" t="s">
        <v>159</v>
      </c>
    </row>
    <row r="11" spans="1:10" x14ac:dyDescent="0.25">
      <c r="A11" s="13" t="s">
        <v>163</v>
      </c>
      <c r="B11" s="13" t="s">
        <v>164</v>
      </c>
      <c r="C11" s="13" t="s">
        <v>0</v>
      </c>
      <c r="D11" s="13" t="s">
        <v>43</v>
      </c>
      <c r="E11" s="12" t="s">
        <v>165</v>
      </c>
      <c r="F11" s="13" t="s">
        <v>130</v>
      </c>
      <c r="G11" s="13" t="s">
        <v>166</v>
      </c>
      <c r="H11" s="12">
        <v>1</v>
      </c>
      <c r="I11" s="13" t="s">
        <v>158</v>
      </c>
      <c r="J11" s="12" t="s">
        <v>163</v>
      </c>
    </row>
    <row r="12" spans="1:10" x14ac:dyDescent="0.25">
      <c r="A12" s="13" t="s">
        <v>167</v>
      </c>
      <c r="B12" s="13" t="s">
        <v>168</v>
      </c>
      <c r="C12" s="13" t="s">
        <v>0</v>
      </c>
      <c r="D12" s="13" t="s">
        <v>43</v>
      </c>
      <c r="E12" s="12" t="s">
        <v>169</v>
      </c>
      <c r="F12" s="13" t="s">
        <v>130</v>
      </c>
      <c r="G12" s="13" t="s">
        <v>170</v>
      </c>
      <c r="H12" s="12">
        <v>1</v>
      </c>
      <c r="I12" s="13" t="s">
        <v>171</v>
      </c>
      <c r="J12" s="12" t="s">
        <v>167</v>
      </c>
    </row>
    <row r="13" spans="1:10" x14ac:dyDescent="0.25">
      <c r="A13" s="13" t="s">
        <v>172</v>
      </c>
      <c r="B13" s="13" t="s">
        <v>173</v>
      </c>
      <c r="C13" s="13" t="s">
        <v>0</v>
      </c>
      <c r="D13" s="13" t="s">
        <v>43</v>
      </c>
      <c r="E13" s="16" t="s">
        <v>174</v>
      </c>
      <c r="F13" s="13" t="s">
        <v>130</v>
      </c>
      <c r="G13" s="13" t="s">
        <v>173</v>
      </c>
      <c r="H13" s="12">
        <v>1</v>
      </c>
      <c r="I13" s="13" t="s">
        <v>175</v>
      </c>
      <c r="J13" s="12" t="s">
        <v>172</v>
      </c>
    </row>
    <row r="14" spans="1:10" x14ac:dyDescent="0.25">
      <c r="A14" s="13" t="s">
        <v>176</v>
      </c>
      <c r="B14" s="13" t="s">
        <v>177</v>
      </c>
      <c r="C14" s="13" t="s">
        <v>0</v>
      </c>
      <c r="D14" s="13" t="s">
        <v>43</v>
      </c>
      <c r="E14" s="12" t="s">
        <v>178</v>
      </c>
      <c r="F14" s="13" t="s">
        <v>130</v>
      </c>
      <c r="G14" s="13" t="s">
        <v>177</v>
      </c>
      <c r="H14" s="12">
        <v>1</v>
      </c>
      <c r="I14" s="13" t="s">
        <v>179</v>
      </c>
      <c r="J14" s="12" t="s">
        <v>176</v>
      </c>
    </row>
    <row r="15" spans="1:10" x14ac:dyDescent="0.25">
      <c r="A15" s="13" t="s">
        <v>180</v>
      </c>
      <c r="B15" s="13" t="s">
        <v>181</v>
      </c>
      <c r="C15" s="13" t="s">
        <v>0</v>
      </c>
      <c r="D15" s="13" t="s">
        <v>43</v>
      </c>
      <c r="E15" s="16" t="s">
        <v>182</v>
      </c>
      <c r="F15" s="13" t="s">
        <v>130</v>
      </c>
      <c r="G15" s="13" t="s">
        <v>181</v>
      </c>
      <c r="H15" s="12">
        <v>1</v>
      </c>
      <c r="I15" s="13" t="s">
        <v>183</v>
      </c>
      <c r="J15" s="12" t="s">
        <v>180</v>
      </c>
    </row>
    <row r="16" spans="1:10" x14ac:dyDescent="0.25">
      <c r="A16" s="13" t="s">
        <v>40</v>
      </c>
      <c r="B16" s="13" t="s">
        <v>41</v>
      </c>
      <c r="C16" s="13" t="s">
        <v>0</v>
      </c>
      <c r="D16" s="13" t="s">
        <v>43</v>
      </c>
      <c r="E16" s="16" t="s">
        <v>184</v>
      </c>
      <c r="F16" s="13" t="s">
        <v>130</v>
      </c>
      <c r="G16" s="13" t="s">
        <v>185</v>
      </c>
      <c r="H16" s="12">
        <v>1</v>
      </c>
      <c r="I16" s="13" t="s">
        <v>186</v>
      </c>
      <c r="J16" s="12" t="s">
        <v>40</v>
      </c>
    </row>
    <row r="17" spans="1:10" x14ac:dyDescent="0.25">
      <c r="A17" s="13" t="s">
        <v>187</v>
      </c>
      <c r="B17" s="13" t="s">
        <v>188</v>
      </c>
      <c r="C17" s="13" t="s">
        <v>0</v>
      </c>
      <c r="D17" s="13" t="s">
        <v>189</v>
      </c>
      <c r="E17" s="12" t="s">
        <v>190</v>
      </c>
      <c r="F17" s="13" t="s">
        <v>191</v>
      </c>
      <c r="G17" s="13" t="s">
        <v>192</v>
      </c>
      <c r="H17" s="13" t="s">
        <v>152</v>
      </c>
      <c r="I17" s="13" t="s">
        <v>191</v>
      </c>
      <c r="J17" s="12" t="s">
        <v>187</v>
      </c>
    </row>
    <row r="18" spans="1:10" x14ac:dyDescent="0.25">
      <c r="A18" s="13" t="s">
        <v>193</v>
      </c>
      <c r="B18" s="13" t="s">
        <v>194</v>
      </c>
      <c r="C18" s="13" t="s">
        <v>0</v>
      </c>
      <c r="D18" s="13" t="s">
        <v>189</v>
      </c>
      <c r="E18" s="12" t="s">
        <v>195</v>
      </c>
      <c r="F18" s="13" t="s">
        <v>191</v>
      </c>
      <c r="G18" s="13" t="s">
        <v>194</v>
      </c>
      <c r="H18" s="13" t="s">
        <v>152</v>
      </c>
      <c r="I18" s="13" t="s">
        <v>191</v>
      </c>
      <c r="J18" s="12" t="s">
        <v>193</v>
      </c>
    </row>
    <row r="19" spans="1:10" x14ac:dyDescent="0.25">
      <c r="A19" s="13" t="s">
        <v>196</v>
      </c>
      <c r="B19" s="13" t="s">
        <v>197</v>
      </c>
      <c r="C19" s="13" t="s">
        <v>0</v>
      </c>
      <c r="D19" s="13" t="s">
        <v>189</v>
      </c>
      <c r="E19" s="12" t="s">
        <v>198</v>
      </c>
      <c r="F19" s="13" t="s">
        <v>191</v>
      </c>
      <c r="G19" s="13" t="s">
        <v>197</v>
      </c>
      <c r="H19" s="13" t="s">
        <v>152</v>
      </c>
      <c r="I19" s="13" t="s">
        <v>191</v>
      </c>
      <c r="J19" s="12" t="s">
        <v>196</v>
      </c>
    </row>
    <row r="20" spans="1:10" x14ac:dyDescent="0.25">
      <c r="A20" s="13" t="s">
        <v>199</v>
      </c>
      <c r="B20" s="13" t="s">
        <v>200</v>
      </c>
      <c r="C20" s="13" t="s">
        <v>0</v>
      </c>
      <c r="D20" s="13" t="s">
        <v>189</v>
      </c>
      <c r="E20" s="12" t="s">
        <v>201</v>
      </c>
      <c r="F20" s="13" t="s">
        <v>191</v>
      </c>
      <c r="G20" s="13" t="s">
        <v>200</v>
      </c>
      <c r="H20" s="13" t="s">
        <v>152</v>
      </c>
      <c r="I20" s="13" t="s">
        <v>191</v>
      </c>
      <c r="J20" s="12" t="s">
        <v>199</v>
      </c>
    </row>
    <row r="21" spans="1:10" x14ac:dyDescent="0.25">
      <c r="A21" s="13" t="s">
        <v>202</v>
      </c>
      <c r="B21" s="13" t="s">
        <v>203</v>
      </c>
      <c r="C21" s="13" t="s">
        <v>0</v>
      </c>
      <c r="D21" s="13" t="s">
        <v>189</v>
      </c>
      <c r="E21" s="12" t="s">
        <v>204</v>
      </c>
      <c r="F21" s="13" t="s">
        <v>191</v>
      </c>
      <c r="G21" s="13" t="s">
        <v>205</v>
      </c>
      <c r="H21" s="13" t="s">
        <v>152</v>
      </c>
      <c r="I21" s="13" t="s">
        <v>191</v>
      </c>
      <c r="J21" s="12" t="s">
        <v>202</v>
      </c>
    </row>
    <row r="22" spans="1:10" x14ac:dyDescent="0.25">
      <c r="A22" s="13" t="s">
        <v>206</v>
      </c>
      <c r="B22" s="13" t="s">
        <v>207</v>
      </c>
      <c r="C22" s="13" t="s">
        <v>0</v>
      </c>
      <c r="D22" s="13" t="s">
        <v>189</v>
      </c>
      <c r="E22" s="12" t="s">
        <v>208</v>
      </c>
      <c r="F22" s="13" t="s">
        <v>191</v>
      </c>
      <c r="G22" s="13" t="s">
        <v>207</v>
      </c>
      <c r="H22" s="13" t="s">
        <v>152</v>
      </c>
      <c r="I22" s="13" t="s">
        <v>191</v>
      </c>
      <c r="J22" s="12" t="s">
        <v>206</v>
      </c>
    </row>
    <row r="23" spans="1:10" x14ac:dyDescent="0.25">
      <c r="A23" s="13" t="s">
        <v>209</v>
      </c>
      <c r="B23" s="13" t="s">
        <v>210</v>
      </c>
      <c r="C23" s="13" t="s">
        <v>0</v>
      </c>
      <c r="D23" s="13" t="s">
        <v>189</v>
      </c>
      <c r="E23" s="12" t="s">
        <v>211</v>
      </c>
      <c r="F23" s="13" t="s">
        <v>191</v>
      </c>
      <c r="G23" s="13" t="s">
        <v>212</v>
      </c>
      <c r="H23" s="13" t="s">
        <v>152</v>
      </c>
      <c r="I23" s="13" t="s">
        <v>191</v>
      </c>
      <c r="J23" s="12" t="s">
        <v>209</v>
      </c>
    </row>
    <row r="24" spans="1:10" x14ac:dyDescent="0.25">
      <c r="A24" s="13" t="s">
        <v>213</v>
      </c>
      <c r="B24" s="13" t="s">
        <v>214</v>
      </c>
      <c r="C24" s="13" t="s">
        <v>0</v>
      </c>
      <c r="D24" s="13" t="s">
        <v>189</v>
      </c>
      <c r="E24" s="12" t="s">
        <v>215</v>
      </c>
      <c r="F24" s="13" t="s">
        <v>191</v>
      </c>
      <c r="G24" s="13" t="s">
        <v>214</v>
      </c>
      <c r="H24" s="13" t="s">
        <v>152</v>
      </c>
      <c r="I24" s="13" t="s">
        <v>191</v>
      </c>
      <c r="J24" s="12" t="s">
        <v>213</v>
      </c>
    </row>
    <row r="25" spans="1:10" x14ac:dyDescent="0.25">
      <c r="A25" s="13" t="s">
        <v>216</v>
      </c>
      <c r="B25" s="13" t="s">
        <v>217</v>
      </c>
      <c r="C25" s="13" t="s">
        <v>0</v>
      </c>
      <c r="D25" s="13" t="s">
        <v>189</v>
      </c>
      <c r="E25" s="12" t="s">
        <v>218</v>
      </c>
      <c r="F25" s="13" t="s">
        <v>191</v>
      </c>
      <c r="G25" s="13" t="s">
        <v>219</v>
      </c>
      <c r="H25" s="13" t="s">
        <v>152</v>
      </c>
      <c r="I25" s="13" t="s">
        <v>191</v>
      </c>
      <c r="J25" s="12" t="s">
        <v>216</v>
      </c>
    </row>
    <row r="26" spans="1:10" x14ac:dyDescent="0.25">
      <c r="A26" s="13" t="s">
        <v>220</v>
      </c>
      <c r="B26" s="13" t="s">
        <v>221</v>
      </c>
      <c r="C26" s="13" t="s">
        <v>0</v>
      </c>
      <c r="D26" s="13" t="s">
        <v>189</v>
      </c>
      <c r="E26" s="12" t="s">
        <v>222</v>
      </c>
      <c r="F26" s="13" t="s">
        <v>191</v>
      </c>
      <c r="G26" s="13" t="s">
        <v>221</v>
      </c>
      <c r="H26" s="13" t="s">
        <v>152</v>
      </c>
      <c r="I26" s="13" t="s">
        <v>191</v>
      </c>
      <c r="J26" s="12" t="s">
        <v>220</v>
      </c>
    </row>
    <row r="27" spans="1:10" x14ac:dyDescent="0.25">
      <c r="A27" s="13" t="s">
        <v>223</v>
      </c>
      <c r="B27" s="13" t="s">
        <v>224</v>
      </c>
      <c r="C27" s="13" t="s">
        <v>0</v>
      </c>
      <c r="D27" s="13" t="s">
        <v>189</v>
      </c>
      <c r="E27" s="12" t="s">
        <v>225</v>
      </c>
      <c r="F27" s="13" t="s">
        <v>191</v>
      </c>
      <c r="G27" s="13" t="s">
        <v>224</v>
      </c>
      <c r="H27" s="13" t="s">
        <v>152</v>
      </c>
      <c r="I27" s="13" t="s">
        <v>191</v>
      </c>
      <c r="J27" s="12" t="s">
        <v>223</v>
      </c>
    </row>
    <row r="28" spans="1:10" x14ac:dyDescent="0.25">
      <c r="A28" s="13" t="s">
        <v>226</v>
      </c>
      <c r="B28" s="13" t="s">
        <v>227</v>
      </c>
      <c r="C28" s="13" t="s">
        <v>0</v>
      </c>
      <c r="D28" s="13" t="s">
        <v>189</v>
      </c>
      <c r="E28" s="12" t="s">
        <v>228</v>
      </c>
      <c r="F28" s="13" t="s">
        <v>191</v>
      </c>
      <c r="G28" s="13" t="s">
        <v>227</v>
      </c>
      <c r="H28" s="13" t="s">
        <v>152</v>
      </c>
      <c r="I28" s="13" t="s">
        <v>191</v>
      </c>
      <c r="J28" s="12" t="s">
        <v>226</v>
      </c>
    </row>
    <row r="29" spans="1:10" x14ac:dyDescent="0.25">
      <c r="A29" s="13" t="s">
        <v>229</v>
      </c>
      <c r="B29" s="13" t="s">
        <v>230</v>
      </c>
      <c r="C29" s="13" t="s">
        <v>0</v>
      </c>
      <c r="D29" s="13" t="s">
        <v>7</v>
      </c>
      <c r="E29" s="12" t="s">
        <v>231</v>
      </c>
      <c r="F29" s="13" t="s">
        <v>146</v>
      </c>
      <c r="G29" s="13" t="s">
        <v>232</v>
      </c>
      <c r="H29" s="12">
        <v>40</v>
      </c>
      <c r="I29" s="13" t="s">
        <v>233</v>
      </c>
      <c r="J29" s="12" t="s">
        <v>229</v>
      </c>
    </row>
    <row r="30" spans="1:10" x14ac:dyDescent="0.25">
      <c r="A30" s="13" t="s">
        <v>234</v>
      </c>
      <c r="B30" s="13" t="s">
        <v>235</v>
      </c>
      <c r="C30" s="13" t="s">
        <v>0</v>
      </c>
      <c r="D30" s="13" t="s">
        <v>7</v>
      </c>
      <c r="E30" s="14" t="s">
        <v>236</v>
      </c>
      <c r="F30" s="13" t="s">
        <v>146</v>
      </c>
      <c r="G30" s="13" t="s">
        <v>148</v>
      </c>
      <c r="H30" s="12">
        <v>50</v>
      </c>
      <c r="I30" s="13" t="s">
        <v>148</v>
      </c>
      <c r="J30" s="12" t="s">
        <v>234</v>
      </c>
    </row>
    <row r="31" spans="1:10" x14ac:dyDescent="0.25">
      <c r="A31" s="13" t="s">
        <v>237</v>
      </c>
      <c r="B31" s="13" t="s">
        <v>238</v>
      </c>
      <c r="C31" s="13" t="s">
        <v>0</v>
      </c>
      <c r="D31" s="13" t="s">
        <v>7</v>
      </c>
      <c r="E31" s="13" t="s">
        <v>239</v>
      </c>
      <c r="F31" s="13" t="s">
        <v>130</v>
      </c>
      <c r="G31" s="13" t="s">
        <v>240</v>
      </c>
      <c r="H31" s="12">
        <v>20</v>
      </c>
      <c r="I31" s="13" t="s">
        <v>241</v>
      </c>
      <c r="J31" s="12" t="s">
        <v>237</v>
      </c>
    </row>
    <row r="32" spans="1:10" x14ac:dyDescent="0.25">
      <c r="A32" s="13" t="s">
        <v>242</v>
      </c>
      <c r="B32" s="13" t="s">
        <v>243</v>
      </c>
      <c r="C32" s="13" t="s">
        <v>0</v>
      </c>
      <c r="D32" s="13" t="s">
        <v>43</v>
      </c>
      <c r="E32" s="12" t="s">
        <v>244</v>
      </c>
      <c r="F32" s="13" t="s">
        <v>130</v>
      </c>
      <c r="G32" s="13" t="s">
        <v>245</v>
      </c>
      <c r="H32" s="12">
        <v>1</v>
      </c>
      <c r="I32" s="13" t="s">
        <v>132</v>
      </c>
      <c r="J32" s="12" t="s">
        <v>242</v>
      </c>
    </row>
    <row r="33" spans="1:10" x14ac:dyDescent="0.25">
      <c r="A33" s="13" t="s">
        <v>246</v>
      </c>
      <c r="B33" s="13" t="s">
        <v>247</v>
      </c>
      <c r="C33" s="13" t="s">
        <v>0</v>
      </c>
      <c r="D33" s="13" t="s">
        <v>43</v>
      </c>
      <c r="E33" s="12" t="s">
        <v>248</v>
      </c>
      <c r="F33" s="13" t="s">
        <v>130</v>
      </c>
      <c r="G33" s="13" t="s">
        <v>249</v>
      </c>
      <c r="H33" s="12">
        <v>1</v>
      </c>
      <c r="I33" s="13" t="s">
        <v>132</v>
      </c>
      <c r="J33" s="12" t="s">
        <v>246</v>
      </c>
    </row>
    <row r="34" spans="1:10" x14ac:dyDescent="0.25">
      <c r="A34" s="13" t="s">
        <v>250</v>
      </c>
      <c r="B34" s="13" t="s">
        <v>251</v>
      </c>
      <c r="C34" s="13" t="s">
        <v>0</v>
      </c>
      <c r="D34" s="13" t="s">
        <v>43</v>
      </c>
      <c r="E34" s="13" t="s">
        <v>252</v>
      </c>
      <c r="F34" s="13" t="s">
        <v>130</v>
      </c>
      <c r="G34" s="13" t="s">
        <v>251</v>
      </c>
      <c r="H34" s="12">
        <v>1</v>
      </c>
      <c r="I34" s="13" t="s">
        <v>158</v>
      </c>
      <c r="J34" s="12" t="s">
        <v>250</v>
      </c>
    </row>
    <row r="35" spans="1:10" x14ac:dyDescent="0.25">
      <c r="A35" s="13" t="s">
        <v>253</v>
      </c>
      <c r="B35" s="13" t="s">
        <v>254</v>
      </c>
      <c r="C35" s="13" t="s">
        <v>0</v>
      </c>
      <c r="D35" s="13" t="s">
        <v>7</v>
      </c>
      <c r="E35" s="13" t="s">
        <v>255</v>
      </c>
      <c r="F35" s="13" t="s">
        <v>130</v>
      </c>
      <c r="G35" s="13" t="s">
        <v>256</v>
      </c>
      <c r="H35" s="12">
        <v>20</v>
      </c>
      <c r="I35" s="13" t="s">
        <v>158</v>
      </c>
      <c r="J35" s="12" t="s">
        <v>253</v>
      </c>
    </row>
    <row r="36" spans="1:10" x14ac:dyDescent="0.25">
      <c r="A36" s="13" t="s">
        <v>257</v>
      </c>
      <c r="B36" s="13" t="s">
        <v>258</v>
      </c>
      <c r="C36" s="13" t="s">
        <v>0</v>
      </c>
      <c r="D36" s="13" t="s">
        <v>7</v>
      </c>
      <c r="E36" s="12" t="s">
        <v>259</v>
      </c>
      <c r="F36" s="13" t="s">
        <v>130</v>
      </c>
      <c r="G36" s="13" t="s">
        <v>260</v>
      </c>
      <c r="H36" s="12">
        <v>20</v>
      </c>
      <c r="I36" s="13" t="s">
        <v>171</v>
      </c>
      <c r="J36" s="12" t="s">
        <v>257</v>
      </c>
    </row>
    <row r="37" spans="1:10" x14ac:dyDescent="0.25">
      <c r="A37" s="13" t="s">
        <v>261</v>
      </c>
      <c r="B37" s="13" t="s">
        <v>262</v>
      </c>
      <c r="C37" s="13" t="s">
        <v>0</v>
      </c>
      <c r="D37" s="13" t="s">
        <v>7</v>
      </c>
      <c r="E37" s="12" t="s">
        <v>263</v>
      </c>
      <c r="F37" s="13" t="s">
        <v>130</v>
      </c>
      <c r="G37" s="13" t="s">
        <v>264</v>
      </c>
      <c r="H37" s="12">
        <v>20</v>
      </c>
      <c r="I37" s="13" t="s">
        <v>171</v>
      </c>
      <c r="J37" s="12" t="s">
        <v>261</v>
      </c>
    </row>
    <row r="38" spans="1:10" x14ac:dyDescent="0.25">
      <c r="A38" s="13" t="s">
        <v>265</v>
      </c>
      <c r="B38" s="13" t="s">
        <v>266</v>
      </c>
      <c r="C38" s="13" t="s">
        <v>0</v>
      </c>
      <c r="D38" s="13" t="s">
        <v>7</v>
      </c>
      <c r="E38" s="14" t="s">
        <v>267</v>
      </c>
      <c r="F38" s="13" t="s">
        <v>130</v>
      </c>
      <c r="G38" s="13" t="s">
        <v>268</v>
      </c>
      <c r="H38" s="12">
        <v>20</v>
      </c>
      <c r="I38" s="13" t="s">
        <v>171</v>
      </c>
      <c r="J38" s="12" t="s">
        <v>265</v>
      </c>
    </row>
    <row r="39" spans="1:10" x14ac:dyDescent="0.25">
      <c r="A39" s="13" t="s">
        <v>269</v>
      </c>
      <c r="B39" s="13" t="s">
        <v>270</v>
      </c>
      <c r="C39" s="13" t="s">
        <v>0</v>
      </c>
      <c r="D39" s="13" t="s">
        <v>7</v>
      </c>
      <c r="E39" s="12" t="s">
        <v>271</v>
      </c>
      <c r="F39" s="13" t="s">
        <v>130</v>
      </c>
      <c r="G39" s="13" t="s">
        <v>272</v>
      </c>
      <c r="H39" s="12">
        <v>20</v>
      </c>
      <c r="I39" s="13" t="s">
        <v>171</v>
      </c>
      <c r="J39" s="12" t="s">
        <v>269</v>
      </c>
    </row>
    <row r="40" spans="1:10" x14ac:dyDescent="0.25">
      <c r="A40" s="13" t="s">
        <v>273</v>
      </c>
      <c r="B40" s="13" t="s">
        <v>274</v>
      </c>
      <c r="C40" s="13" t="s">
        <v>0</v>
      </c>
      <c r="D40" s="13" t="s">
        <v>7</v>
      </c>
      <c r="E40" s="12" t="s">
        <v>275</v>
      </c>
      <c r="F40" s="13" t="s">
        <v>130</v>
      </c>
      <c r="G40" s="13" t="s">
        <v>276</v>
      </c>
      <c r="H40" s="12">
        <v>20</v>
      </c>
      <c r="I40" s="13" t="s">
        <v>171</v>
      </c>
      <c r="J40" s="12" t="s">
        <v>273</v>
      </c>
    </row>
    <row r="41" spans="1:10" x14ac:dyDescent="0.25">
      <c r="A41" s="13" t="s">
        <v>48</v>
      </c>
      <c r="B41" s="13" t="s">
        <v>49</v>
      </c>
      <c r="C41" s="13" t="s">
        <v>0</v>
      </c>
      <c r="D41" s="13" t="s">
        <v>7</v>
      </c>
      <c r="E41" s="12" t="s">
        <v>277</v>
      </c>
      <c r="F41" s="13" t="s">
        <v>130</v>
      </c>
      <c r="G41" s="13" t="s">
        <v>278</v>
      </c>
      <c r="H41" s="12">
        <v>20</v>
      </c>
      <c r="I41" s="13" t="s">
        <v>279</v>
      </c>
      <c r="J41" s="12" t="s">
        <v>48</v>
      </c>
    </row>
    <row r="42" spans="1:10" x14ac:dyDescent="0.25">
      <c r="A42" s="13" t="s">
        <v>280</v>
      </c>
      <c r="B42" s="13" t="s">
        <v>281</v>
      </c>
      <c r="C42" s="13" t="s">
        <v>0</v>
      </c>
      <c r="D42" s="13" t="s">
        <v>7</v>
      </c>
      <c r="E42" s="12" t="s">
        <v>282</v>
      </c>
      <c r="F42" s="13" t="s">
        <v>130</v>
      </c>
      <c r="G42" s="13" t="s">
        <v>283</v>
      </c>
      <c r="H42" s="12">
        <v>20</v>
      </c>
      <c r="I42" s="13" t="s">
        <v>279</v>
      </c>
      <c r="J42" s="12" t="s">
        <v>280</v>
      </c>
    </row>
    <row r="43" spans="1:10" x14ac:dyDescent="0.25">
      <c r="A43" s="13" t="s">
        <v>284</v>
      </c>
      <c r="B43" s="13" t="s">
        <v>285</v>
      </c>
      <c r="C43" s="13" t="s">
        <v>0</v>
      </c>
      <c r="D43" s="13" t="s">
        <v>7</v>
      </c>
      <c r="E43" s="12" t="s">
        <v>286</v>
      </c>
      <c r="F43" s="13" t="s">
        <v>146</v>
      </c>
      <c r="G43" s="13" t="s">
        <v>147</v>
      </c>
      <c r="H43" s="12">
        <v>50</v>
      </c>
      <c r="I43" s="13" t="s">
        <v>148</v>
      </c>
      <c r="J43" s="12" t="s">
        <v>284</v>
      </c>
    </row>
    <row r="44" spans="1:10" x14ac:dyDescent="0.25">
      <c r="A44" s="13" t="s">
        <v>16</v>
      </c>
      <c r="B44" s="13" t="s">
        <v>17</v>
      </c>
      <c r="C44" s="13" t="s">
        <v>0</v>
      </c>
      <c r="D44" s="13" t="s">
        <v>7</v>
      </c>
      <c r="E44" s="12" t="s">
        <v>287</v>
      </c>
      <c r="F44" s="13" t="s">
        <v>146</v>
      </c>
      <c r="G44" s="13" t="s">
        <v>147</v>
      </c>
      <c r="H44" s="12">
        <v>50</v>
      </c>
      <c r="I44" s="13" t="s">
        <v>148</v>
      </c>
      <c r="J44" s="12" t="s">
        <v>16</v>
      </c>
    </row>
    <row r="45" spans="1:10" x14ac:dyDescent="0.25">
      <c r="A45" s="13" t="s">
        <v>288</v>
      </c>
      <c r="B45" s="13" t="s">
        <v>289</v>
      </c>
      <c r="C45" s="13" t="s">
        <v>0</v>
      </c>
      <c r="D45" s="13" t="s">
        <v>7</v>
      </c>
      <c r="E45" s="13" t="s">
        <v>290</v>
      </c>
      <c r="F45" s="13" t="s">
        <v>130</v>
      </c>
      <c r="G45" s="13" t="s">
        <v>291</v>
      </c>
      <c r="H45" s="12">
        <v>20</v>
      </c>
      <c r="I45" s="13" t="s">
        <v>175</v>
      </c>
      <c r="J45" s="12" t="s">
        <v>288</v>
      </c>
    </row>
    <row r="46" spans="1:10" x14ac:dyDescent="0.25">
      <c r="A46" s="13" t="s">
        <v>55</v>
      </c>
      <c r="B46" s="13" t="s">
        <v>56</v>
      </c>
      <c r="C46" s="13" t="s">
        <v>0</v>
      </c>
      <c r="D46" s="13" t="s">
        <v>7</v>
      </c>
      <c r="E46" s="12" t="s">
        <v>292</v>
      </c>
      <c r="F46" s="13" t="s">
        <v>146</v>
      </c>
      <c r="G46" s="13" t="s">
        <v>232</v>
      </c>
      <c r="H46" s="12">
        <v>40</v>
      </c>
      <c r="I46" s="13" t="s">
        <v>233</v>
      </c>
      <c r="J46" s="12" t="s">
        <v>55</v>
      </c>
    </row>
    <row r="47" spans="1:10" x14ac:dyDescent="0.25">
      <c r="A47" s="13" t="s">
        <v>293</v>
      </c>
      <c r="B47" s="13" t="s">
        <v>294</v>
      </c>
      <c r="C47" s="13" t="s">
        <v>0</v>
      </c>
      <c r="D47" s="13" t="s">
        <v>7</v>
      </c>
      <c r="E47" s="12" t="s">
        <v>295</v>
      </c>
      <c r="F47" s="13" t="s">
        <v>146</v>
      </c>
      <c r="G47" s="13" t="s">
        <v>296</v>
      </c>
      <c r="H47" s="12">
        <v>50</v>
      </c>
      <c r="I47" s="13" t="s">
        <v>233</v>
      </c>
      <c r="J47" s="12" t="s">
        <v>293</v>
      </c>
    </row>
    <row r="48" spans="1:10" x14ac:dyDescent="0.25">
      <c r="A48" s="13" t="s">
        <v>59</v>
      </c>
      <c r="B48" s="13" t="s">
        <v>60</v>
      </c>
      <c r="C48" s="13" t="s">
        <v>0</v>
      </c>
      <c r="D48" s="13" t="s">
        <v>7</v>
      </c>
      <c r="E48" s="12" t="s">
        <v>297</v>
      </c>
      <c r="F48" s="13" t="s">
        <v>146</v>
      </c>
      <c r="G48" s="13" t="s">
        <v>296</v>
      </c>
      <c r="H48" s="12">
        <v>50</v>
      </c>
      <c r="I48" s="13" t="s">
        <v>233</v>
      </c>
      <c r="J48" s="12" t="s">
        <v>59</v>
      </c>
    </row>
    <row r="49" spans="1:10" x14ac:dyDescent="0.25">
      <c r="A49" s="13" t="s">
        <v>298</v>
      </c>
      <c r="B49" s="13" t="s">
        <v>299</v>
      </c>
      <c r="C49" s="13" t="s">
        <v>0</v>
      </c>
      <c r="D49" s="13" t="s">
        <v>7</v>
      </c>
      <c r="E49" s="16" t="s">
        <v>300</v>
      </c>
      <c r="F49" s="13" t="s">
        <v>130</v>
      </c>
      <c r="G49" s="13" t="s">
        <v>301</v>
      </c>
      <c r="H49" s="12">
        <v>20</v>
      </c>
      <c r="I49" s="13" t="s">
        <v>302</v>
      </c>
      <c r="J49" s="12" t="s">
        <v>298</v>
      </c>
    </row>
    <row r="50" spans="1:10" x14ac:dyDescent="0.25">
      <c r="A50" s="13" t="s">
        <v>303</v>
      </c>
      <c r="B50" s="13" t="s">
        <v>304</v>
      </c>
      <c r="C50" s="13" t="s">
        <v>0</v>
      </c>
      <c r="D50" s="13" t="s">
        <v>7</v>
      </c>
      <c r="E50" s="13" t="s">
        <v>305</v>
      </c>
      <c r="F50" s="13" t="s">
        <v>130</v>
      </c>
      <c r="G50" s="13" t="s">
        <v>306</v>
      </c>
      <c r="H50" s="12">
        <v>20</v>
      </c>
      <c r="I50" s="13" t="s">
        <v>307</v>
      </c>
      <c r="J50" s="12" t="s">
        <v>303</v>
      </c>
    </row>
    <row r="51" spans="1:10" x14ac:dyDescent="0.25">
      <c r="A51" s="13" t="s">
        <v>308</v>
      </c>
      <c r="B51" s="13" t="s">
        <v>309</v>
      </c>
      <c r="C51" s="13" t="s">
        <v>0</v>
      </c>
      <c r="D51" s="13" t="s">
        <v>7</v>
      </c>
      <c r="E51" s="13" t="s">
        <v>310</v>
      </c>
      <c r="F51" s="13" t="s">
        <v>130</v>
      </c>
      <c r="G51" s="13" t="s">
        <v>311</v>
      </c>
      <c r="H51" s="12">
        <v>20</v>
      </c>
      <c r="I51" s="13" t="s">
        <v>186</v>
      </c>
      <c r="J51" s="12" t="s">
        <v>308</v>
      </c>
    </row>
    <row r="52" spans="1:10" x14ac:dyDescent="0.25">
      <c r="A52" s="13" t="s">
        <v>312</v>
      </c>
      <c r="B52" s="13" t="s">
        <v>313</v>
      </c>
      <c r="C52" s="13" t="s">
        <v>0</v>
      </c>
      <c r="D52" s="13" t="s">
        <v>7</v>
      </c>
      <c r="E52" s="13" t="s">
        <v>314</v>
      </c>
      <c r="F52" s="13" t="s">
        <v>130</v>
      </c>
      <c r="G52" s="13" t="s">
        <v>315</v>
      </c>
      <c r="H52" s="12">
        <v>20</v>
      </c>
      <c r="I52" s="13" t="s">
        <v>136</v>
      </c>
      <c r="J52" s="12" t="s">
        <v>312</v>
      </c>
    </row>
    <row r="53" spans="1:10" x14ac:dyDescent="0.25">
      <c r="A53" s="13" t="s">
        <v>316</v>
      </c>
      <c r="B53" s="13" t="s">
        <v>317</v>
      </c>
      <c r="C53" s="13" t="s">
        <v>0</v>
      </c>
      <c r="D53" s="13" t="s">
        <v>7</v>
      </c>
      <c r="E53" s="12" t="s">
        <v>318</v>
      </c>
      <c r="F53" s="13" t="s">
        <v>130</v>
      </c>
      <c r="G53" s="13" t="s">
        <v>319</v>
      </c>
      <c r="H53" s="12">
        <v>20</v>
      </c>
      <c r="I53" s="13" t="s">
        <v>136</v>
      </c>
      <c r="J53" s="12" t="s">
        <v>316</v>
      </c>
    </row>
    <row r="54" spans="1:10" x14ac:dyDescent="0.25">
      <c r="A54" s="13" t="s">
        <v>320</v>
      </c>
      <c r="B54" s="13" t="s">
        <v>321</v>
      </c>
      <c r="C54" s="13" t="s">
        <v>0</v>
      </c>
      <c r="D54" s="13" t="s">
        <v>7</v>
      </c>
      <c r="E54" s="12" t="s">
        <v>322</v>
      </c>
      <c r="F54" s="13" t="s">
        <v>130</v>
      </c>
      <c r="G54" s="13" t="s">
        <v>323</v>
      </c>
      <c r="H54" s="12">
        <v>20</v>
      </c>
      <c r="I54" s="13" t="s">
        <v>179</v>
      </c>
      <c r="J54" s="12" t="s">
        <v>320</v>
      </c>
    </row>
    <row r="55" spans="1:10" x14ac:dyDescent="0.25">
      <c r="A55" s="13" t="s">
        <v>324</v>
      </c>
      <c r="B55" s="13" t="s">
        <v>325</v>
      </c>
      <c r="C55" s="13" t="s">
        <v>0</v>
      </c>
      <c r="D55" s="13" t="s">
        <v>43</v>
      </c>
      <c r="E55" s="12" t="s">
        <v>326</v>
      </c>
      <c r="F55" s="13" t="s">
        <v>130</v>
      </c>
      <c r="G55" s="13" t="s">
        <v>323</v>
      </c>
      <c r="H55" s="12">
        <v>1</v>
      </c>
      <c r="I55" s="13" t="s">
        <v>179</v>
      </c>
      <c r="J55" s="12" t="s">
        <v>324</v>
      </c>
    </row>
    <row r="56" spans="1:10" x14ac:dyDescent="0.25">
      <c r="A56" s="13" t="s">
        <v>327</v>
      </c>
      <c r="B56" s="13" t="s">
        <v>328</v>
      </c>
      <c r="C56" s="13" t="s">
        <v>0</v>
      </c>
      <c r="D56" s="13" t="s">
        <v>7</v>
      </c>
      <c r="E56" s="12" t="s">
        <v>329</v>
      </c>
      <c r="F56" s="13" t="s">
        <v>146</v>
      </c>
      <c r="G56" s="13" t="s">
        <v>330</v>
      </c>
      <c r="H56" s="12">
        <v>20</v>
      </c>
      <c r="I56" s="13" t="s">
        <v>331</v>
      </c>
      <c r="J56" s="12" t="s">
        <v>327</v>
      </c>
    </row>
    <row r="57" spans="1:10" x14ac:dyDescent="0.25">
      <c r="A57" s="13" t="s">
        <v>332</v>
      </c>
      <c r="B57" s="13" t="s">
        <v>333</v>
      </c>
      <c r="C57" s="13" t="s">
        <v>0</v>
      </c>
      <c r="D57" s="13" t="s">
        <v>7</v>
      </c>
      <c r="E57" s="13" t="s">
        <v>334</v>
      </c>
      <c r="F57" s="13" t="s">
        <v>146</v>
      </c>
      <c r="G57" s="13" t="s">
        <v>335</v>
      </c>
      <c r="H57" s="12">
        <v>20</v>
      </c>
      <c r="I57" s="13" t="s">
        <v>331</v>
      </c>
      <c r="J57" s="12" t="s">
        <v>332</v>
      </c>
    </row>
    <row r="58" spans="1:10" x14ac:dyDescent="0.25">
      <c r="A58" s="13" t="s">
        <v>336</v>
      </c>
      <c r="B58" s="13" t="s">
        <v>337</v>
      </c>
      <c r="C58" s="13" t="s">
        <v>0</v>
      </c>
      <c r="D58" s="13" t="s">
        <v>7</v>
      </c>
      <c r="E58" s="12" t="s">
        <v>338</v>
      </c>
      <c r="F58" s="13" t="s">
        <v>146</v>
      </c>
      <c r="G58" s="13" t="s">
        <v>339</v>
      </c>
      <c r="H58" s="12">
        <v>20</v>
      </c>
      <c r="I58" s="13" t="s">
        <v>331</v>
      </c>
      <c r="J58" s="12" t="s">
        <v>336</v>
      </c>
    </row>
    <row r="59" spans="1:10" x14ac:dyDescent="0.25">
      <c r="A59" s="13" t="s">
        <v>340</v>
      </c>
      <c r="B59" s="13" t="s">
        <v>341</v>
      </c>
      <c r="C59" s="13" t="s">
        <v>0</v>
      </c>
      <c r="D59" s="13" t="s">
        <v>7</v>
      </c>
      <c r="E59" s="12" t="s">
        <v>342</v>
      </c>
      <c r="F59" s="13" t="s">
        <v>146</v>
      </c>
      <c r="G59" s="13" t="s">
        <v>343</v>
      </c>
      <c r="H59" s="12">
        <v>20</v>
      </c>
      <c r="I59" s="13" t="s">
        <v>331</v>
      </c>
      <c r="J59" s="12" t="s">
        <v>340</v>
      </c>
    </row>
    <row r="60" spans="1:10" x14ac:dyDescent="0.25">
      <c r="A60" s="13" t="s">
        <v>344</v>
      </c>
      <c r="B60" s="13" t="s">
        <v>345</v>
      </c>
      <c r="C60" s="13" t="s">
        <v>0</v>
      </c>
      <c r="D60" s="13" t="s">
        <v>7</v>
      </c>
      <c r="E60" s="12" t="s">
        <v>346</v>
      </c>
      <c r="F60" s="13" t="s">
        <v>146</v>
      </c>
      <c r="G60" s="13" t="s">
        <v>343</v>
      </c>
      <c r="H60" s="12">
        <v>20</v>
      </c>
      <c r="I60" s="13" t="s">
        <v>331</v>
      </c>
      <c r="J60" s="12" t="s">
        <v>344</v>
      </c>
    </row>
    <row r="61" spans="1:10" x14ac:dyDescent="0.25">
      <c r="A61" s="13" t="s">
        <v>347</v>
      </c>
      <c r="B61" s="13" t="s">
        <v>348</v>
      </c>
      <c r="C61" s="13" t="s">
        <v>0</v>
      </c>
      <c r="D61" s="13" t="s">
        <v>7</v>
      </c>
      <c r="E61" s="12" t="s">
        <v>349</v>
      </c>
      <c r="F61" s="13" t="s">
        <v>146</v>
      </c>
      <c r="G61" s="13" t="s">
        <v>343</v>
      </c>
      <c r="H61" s="12">
        <v>20</v>
      </c>
      <c r="I61" s="13" t="s">
        <v>331</v>
      </c>
      <c r="J61" s="12" t="s">
        <v>347</v>
      </c>
    </row>
    <row r="62" spans="1:10" x14ac:dyDescent="0.25">
      <c r="A62" s="13" t="s">
        <v>350</v>
      </c>
      <c r="B62" s="13" t="s">
        <v>351</v>
      </c>
      <c r="C62" s="13" t="s">
        <v>0</v>
      </c>
      <c r="D62" s="13" t="s">
        <v>7</v>
      </c>
      <c r="E62" s="12" t="s">
        <v>352</v>
      </c>
      <c r="F62" s="13" t="s">
        <v>146</v>
      </c>
      <c r="G62" s="13" t="s">
        <v>353</v>
      </c>
      <c r="H62" s="12">
        <v>20</v>
      </c>
      <c r="I62" s="13" t="s">
        <v>354</v>
      </c>
      <c r="J62" s="12" t="s">
        <v>350</v>
      </c>
    </row>
    <row r="63" spans="1:10" x14ac:dyDescent="0.25">
      <c r="A63" s="13" t="s">
        <v>355</v>
      </c>
      <c r="B63" s="13" t="s">
        <v>356</v>
      </c>
      <c r="C63" s="13" t="s">
        <v>0</v>
      </c>
      <c r="D63" s="13" t="s">
        <v>7</v>
      </c>
      <c r="E63" s="12" t="s">
        <v>357</v>
      </c>
      <c r="F63" s="13" t="s">
        <v>146</v>
      </c>
      <c r="G63" s="13" t="s">
        <v>358</v>
      </c>
      <c r="H63" s="12">
        <v>20</v>
      </c>
      <c r="I63" s="13" t="s">
        <v>354</v>
      </c>
      <c r="J63" s="12" t="s">
        <v>355</v>
      </c>
    </row>
    <row r="64" spans="1:10" x14ac:dyDescent="0.25">
      <c r="A64" s="13" t="s">
        <v>359</v>
      </c>
      <c r="B64" s="13" t="s">
        <v>360</v>
      </c>
      <c r="C64" s="13" t="s">
        <v>0</v>
      </c>
      <c r="D64" s="13" t="s">
        <v>7</v>
      </c>
      <c r="E64" s="13" t="s">
        <v>361</v>
      </c>
      <c r="F64" s="13" t="s">
        <v>130</v>
      </c>
      <c r="G64" s="13" t="s">
        <v>362</v>
      </c>
      <c r="H64" s="12">
        <v>20</v>
      </c>
      <c r="I64" s="13" t="s">
        <v>183</v>
      </c>
      <c r="J64" s="12" t="s">
        <v>359</v>
      </c>
    </row>
    <row r="65" spans="1:10" x14ac:dyDescent="0.25">
      <c r="A65" s="13" t="s">
        <v>19</v>
      </c>
      <c r="B65" s="13" t="s">
        <v>20</v>
      </c>
      <c r="C65" s="13" t="s">
        <v>0</v>
      </c>
      <c r="D65" s="13" t="s">
        <v>7</v>
      </c>
      <c r="E65" s="12" t="s">
        <v>363</v>
      </c>
      <c r="F65" s="13" t="s">
        <v>146</v>
      </c>
      <c r="G65" s="13" t="s">
        <v>364</v>
      </c>
      <c r="H65" s="12">
        <v>40</v>
      </c>
      <c r="I65" s="13" t="s">
        <v>365</v>
      </c>
      <c r="J65" s="12" t="s">
        <v>19</v>
      </c>
    </row>
    <row r="66" spans="1:10" x14ac:dyDescent="0.25">
      <c r="A66" s="13" t="s">
        <v>45</v>
      </c>
      <c r="B66" s="13" t="s">
        <v>46</v>
      </c>
      <c r="C66" s="13" t="s">
        <v>0</v>
      </c>
      <c r="D66" s="13" t="s">
        <v>7</v>
      </c>
      <c r="E66" s="12" t="s">
        <v>366</v>
      </c>
      <c r="F66" s="13" t="s">
        <v>146</v>
      </c>
      <c r="G66" s="13" t="s">
        <v>296</v>
      </c>
      <c r="H66" s="12">
        <v>50</v>
      </c>
      <c r="I66" s="13" t="s">
        <v>233</v>
      </c>
      <c r="J66" s="12" t="s">
        <v>45</v>
      </c>
    </row>
    <row r="67" spans="1:10" x14ac:dyDescent="0.25">
      <c r="A67" s="13" t="s">
        <v>367</v>
      </c>
      <c r="B67" s="13" t="s">
        <v>368</v>
      </c>
      <c r="C67" s="13" t="s">
        <v>0</v>
      </c>
      <c r="D67" s="13" t="s">
        <v>7</v>
      </c>
      <c r="E67" s="12" t="s">
        <v>369</v>
      </c>
      <c r="F67" s="13" t="s">
        <v>130</v>
      </c>
      <c r="G67" s="13" t="s">
        <v>370</v>
      </c>
      <c r="H67" s="12">
        <v>40</v>
      </c>
      <c r="I67" s="13" t="s">
        <v>186</v>
      </c>
      <c r="J67" s="12" t="s">
        <v>367</v>
      </c>
    </row>
    <row r="68" spans="1:10" x14ac:dyDescent="0.25">
      <c r="A68" s="13" t="s">
        <v>371</v>
      </c>
      <c r="B68" s="13" t="s">
        <v>372</v>
      </c>
      <c r="C68" s="13" t="s">
        <v>0</v>
      </c>
      <c r="D68" s="13" t="s">
        <v>7</v>
      </c>
      <c r="E68" s="13" t="s">
        <v>373</v>
      </c>
      <c r="F68" s="13" t="s">
        <v>130</v>
      </c>
      <c r="G68" s="13" t="s">
        <v>374</v>
      </c>
      <c r="H68" s="12">
        <v>20</v>
      </c>
      <c r="I68" s="13" t="s">
        <v>171</v>
      </c>
      <c r="J68" s="12" t="s">
        <v>371</v>
      </c>
    </row>
    <row r="69" spans="1:10" x14ac:dyDescent="0.25">
      <c r="A69" s="13" t="s">
        <v>375</v>
      </c>
      <c r="B69" s="13" t="s">
        <v>376</v>
      </c>
      <c r="C69" s="13" t="s">
        <v>0</v>
      </c>
      <c r="D69" s="13" t="s">
        <v>7</v>
      </c>
      <c r="E69" s="12" t="s">
        <v>377</v>
      </c>
      <c r="F69" s="13" t="s">
        <v>130</v>
      </c>
      <c r="G69" s="13" t="s">
        <v>378</v>
      </c>
      <c r="H69" s="12">
        <v>20</v>
      </c>
      <c r="I69" s="13" t="s">
        <v>186</v>
      </c>
      <c r="J69" s="12" t="s">
        <v>375</v>
      </c>
    </row>
    <row r="70" spans="1:10" x14ac:dyDescent="0.25">
      <c r="A70" s="13" t="s">
        <v>379</v>
      </c>
      <c r="B70" s="13" t="s">
        <v>380</v>
      </c>
      <c r="C70" s="13" t="s">
        <v>0</v>
      </c>
      <c r="D70" s="13" t="s">
        <v>7</v>
      </c>
      <c r="E70" s="12" t="s">
        <v>381</v>
      </c>
      <c r="F70" s="13" t="s">
        <v>130</v>
      </c>
      <c r="G70" s="13" t="s">
        <v>382</v>
      </c>
      <c r="H70" s="12">
        <v>20</v>
      </c>
      <c r="I70" s="13" t="s">
        <v>136</v>
      </c>
      <c r="J70" s="12" t="s">
        <v>379</v>
      </c>
    </row>
    <row r="71" spans="1:10" x14ac:dyDescent="0.25">
      <c r="A71" s="13" t="s">
        <v>383</v>
      </c>
      <c r="B71" s="13" t="s">
        <v>384</v>
      </c>
      <c r="C71" s="13" t="s">
        <v>0</v>
      </c>
      <c r="D71" s="13" t="s">
        <v>7</v>
      </c>
      <c r="E71" s="12" t="s">
        <v>385</v>
      </c>
      <c r="F71" s="13" t="s">
        <v>130</v>
      </c>
      <c r="G71" s="13" t="s">
        <v>386</v>
      </c>
      <c r="H71" s="12">
        <v>20</v>
      </c>
      <c r="I71" s="13" t="s">
        <v>241</v>
      </c>
      <c r="J71" s="12" t="s">
        <v>383</v>
      </c>
    </row>
    <row r="72" spans="1:10" x14ac:dyDescent="0.25">
      <c r="A72" s="13" t="s">
        <v>387</v>
      </c>
      <c r="B72" s="13" t="s">
        <v>388</v>
      </c>
      <c r="C72" s="13" t="s">
        <v>0</v>
      </c>
      <c r="D72" s="13" t="s">
        <v>7</v>
      </c>
      <c r="E72" s="12" t="s">
        <v>389</v>
      </c>
      <c r="F72" s="13" t="s">
        <v>130</v>
      </c>
      <c r="G72" s="13" t="s">
        <v>390</v>
      </c>
      <c r="H72" s="12">
        <v>20</v>
      </c>
      <c r="I72" s="13" t="s">
        <v>175</v>
      </c>
      <c r="J72" s="12" t="s">
        <v>387</v>
      </c>
    </row>
    <row r="73" spans="1:10" x14ac:dyDescent="0.25">
      <c r="A73" s="13" t="s">
        <v>391</v>
      </c>
      <c r="B73" s="13" t="s">
        <v>392</v>
      </c>
      <c r="C73" s="13" t="s">
        <v>0</v>
      </c>
      <c r="D73" s="13" t="s">
        <v>7</v>
      </c>
      <c r="E73" s="13" t="s">
        <v>152</v>
      </c>
      <c r="F73" s="13" t="s">
        <v>130</v>
      </c>
      <c r="G73" s="13" t="s">
        <v>393</v>
      </c>
      <c r="H73" s="12">
        <v>20</v>
      </c>
      <c r="I73" s="13" t="s">
        <v>307</v>
      </c>
      <c r="J73" s="12" t="s">
        <v>391</v>
      </c>
    </row>
    <row r="74" spans="1:10" x14ac:dyDescent="0.25">
      <c r="A74" s="13" t="s">
        <v>394</v>
      </c>
      <c r="B74" s="13" t="s">
        <v>395</v>
      </c>
      <c r="C74" s="13" t="s">
        <v>0</v>
      </c>
      <c r="D74" s="13" t="s">
        <v>43</v>
      </c>
      <c r="E74" s="12" t="s">
        <v>396</v>
      </c>
      <c r="F74" s="13" t="s">
        <v>130</v>
      </c>
      <c r="G74" s="13" t="s">
        <v>397</v>
      </c>
      <c r="H74" s="12">
        <v>1</v>
      </c>
      <c r="I74" s="13" t="s">
        <v>179</v>
      </c>
      <c r="J74" s="12" t="s">
        <v>394</v>
      </c>
    </row>
    <row r="75" spans="1:10" x14ac:dyDescent="0.25">
      <c r="A75" s="13" t="s">
        <v>398</v>
      </c>
      <c r="B75" s="13" t="s">
        <v>399</v>
      </c>
      <c r="C75" s="13" t="s">
        <v>0</v>
      </c>
      <c r="D75" s="13" t="s">
        <v>7</v>
      </c>
      <c r="E75" s="13" t="s">
        <v>400</v>
      </c>
      <c r="F75" s="13" t="s">
        <v>146</v>
      </c>
      <c r="G75" s="13" t="s">
        <v>401</v>
      </c>
      <c r="H75" s="12">
        <v>50</v>
      </c>
      <c r="I75" s="13" t="s">
        <v>148</v>
      </c>
      <c r="J75" s="12" t="s">
        <v>398</v>
      </c>
    </row>
    <row r="76" spans="1:10" x14ac:dyDescent="0.25">
      <c r="A76" s="13" t="s">
        <v>402</v>
      </c>
      <c r="B76" s="13" t="s">
        <v>403</v>
      </c>
      <c r="C76" s="13" t="s">
        <v>0</v>
      </c>
      <c r="D76" s="13" t="s">
        <v>7</v>
      </c>
      <c r="E76" s="12" t="s">
        <v>404</v>
      </c>
      <c r="F76" s="13" t="s">
        <v>146</v>
      </c>
      <c r="G76" s="13" t="s">
        <v>405</v>
      </c>
      <c r="H76" s="12">
        <v>20</v>
      </c>
      <c r="I76" s="13" t="s">
        <v>233</v>
      </c>
      <c r="J76" s="12" t="s">
        <v>402</v>
      </c>
    </row>
    <row r="77" spans="1:10" x14ac:dyDescent="0.25">
      <c r="A77" s="13" t="s">
        <v>61</v>
      </c>
      <c r="B77" s="13" t="s">
        <v>62</v>
      </c>
      <c r="C77" s="13" t="s">
        <v>0</v>
      </c>
      <c r="D77" s="13" t="s">
        <v>7</v>
      </c>
      <c r="E77" s="12" t="s">
        <v>406</v>
      </c>
      <c r="F77" s="13" t="s">
        <v>146</v>
      </c>
      <c r="G77" s="13" t="s">
        <v>407</v>
      </c>
      <c r="H77" s="12">
        <v>40</v>
      </c>
      <c r="I77" s="13" t="s">
        <v>233</v>
      </c>
      <c r="J77" s="12" t="s">
        <v>61</v>
      </c>
    </row>
    <row r="78" spans="1:10" x14ac:dyDescent="0.25">
      <c r="A78" s="13" t="s">
        <v>408</v>
      </c>
      <c r="B78" s="13" t="s">
        <v>409</v>
      </c>
      <c r="C78" s="13" t="s">
        <v>0</v>
      </c>
      <c r="D78" s="13" t="s">
        <v>43</v>
      </c>
      <c r="E78" s="12" t="s">
        <v>410</v>
      </c>
      <c r="F78" s="13" t="s">
        <v>130</v>
      </c>
      <c r="G78" s="13" t="s">
        <v>411</v>
      </c>
      <c r="H78" s="12">
        <v>1</v>
      </c>
      <c r="I78" s="13" t="s">
        <v>158</v>
      </c>
      <c r="J78" s="12" t="s">
        <v>408</v>
      </c>
    </row>
    <row r="79" spans="1:10" x14ac:dyDescent="0.25">
      <c r="A79" s="13" t="s">
        <v>412</v>
      </c>
      <c r="B79" s="13" t="s">
        <v>413</v>
      </c>
      <c r="C79" s="13" t="s">
        <v>0</v>
      </c>
      <c r="D79" s="13" t="s">
        <v>7</v>
      </c>
      <c r="E79" s="12" t="s">
        <v>414</v>
      </c>
      <c r="F79" s="13" t="s">
        <v>130</v>
      </c>
      <c r="G79" s="13" t="s">
        <v>415</v>
      </c>
      <c r="H79" s="12">
        <v>20</v>
      </c>
      <c r="I79" s="13" t="s">
        <v>158</v>
      </c>
      <c r="J79" s="12" t="s">
        <v>412</v>
      </c>
    </row>
    <row r="80" spans="1:10" x14ac:dyDescent="0.25">
      <c r="A80" s="13" t="s">
        <v>416</v>
      </c>
      <c r="B80" s="13" t="s">
        <v>417</v>
      </c>
      <c r="C80" s="13" t="s">
        <v>0</v>
      </c>
      <c r="D80" s="13" t="s">
        <v>7</v>
      </c>
      <c r="E80" s="12" t="s">
        <v>418</v>
      </c>
      <c r="F80" s="13" t="s">
        <v>130</v>
      </c>
      <c r="G80" s="13" t="s">
        <v>419</v>
      </c>
      <c r="H80" s="12">
        <v>20</v>
      </c>
      <c r="I80" s="13" t="s">
        <v>179</v>
      </c>
      <c r="J80" s="12" t="s">
        <v>416</v>
      </c>
    </row>
    <row r="81" spans="1:10" x14ac:dyDescent="0.25">
      <c r="A81" s="13" t="s">
        <v>420</v>
      </c>
      <c r="B81" s="13" t="s">
        <v>421</v>
      </c>
      <c r="C81" s="13" t="s">
        <v>0</v>
      </c>
      <c r="D81" s="13" t="s">
        <v>7</v>
      </c>
      <c r="E81" s="12" t="s">
        <v>422</v>
      </c>
      <c r="F81" s="13" t="s">
        <v>130</v>
      </c>
      <c r="G81" s="13" t="s">
        <v>423</v>
      </c>
      <c r="H81" s="12">
        <v>20</v>
      </c>
      <c r="I81" s="13" t="s">
        <v>307</v>
      </c>
      <c r="J81" s="12" t="s">
        <v>420</v>
      </c>
    </row>
    <row r="82" spans="1:10" x14ac:dyDescent="0.25">
      <c r="A82" s="13" t="s">
        <v>424</v>
      </c>
      <c r="B82" s="13" t="s">
        <v>425</v>
      </c>
      <c r="C82" s="13" t="s">
        <v>0</v>
      </c>
      <c r="D82" s="13" t="s">
        <v>7</v>
      </c>
      <c r="E82" s="12" t="s">
        <v>426</v>
      </c>
      <c r="F82" s="13" t="s">
        <v>130</v>
      </c>
      <c r="G82" s="13" t="s">
        <v>427</v>
      </c>
      <c r="H82" s="12">
        <v>20</v>
      </c>
      <c r="I82" s="13" t="s">
        <v>302</v>
      </c>
      <c r="J82" s="12" t="s">
        <v>424</v>
      </c>
    </row>
    <row r="83" spans="1:10" x14ac:dyDescent="0.25">
      <c r="A83" s="13" t="s">
        <v>428</v>
      </c>
      <c r="B83" s="13" t="s">
        <v>429</v>
      </c>
      <c r="C83" s="13" t="s">
        <v>0</v>
      </c>
      <c r="D83" s="13" t="s">
        <v>7</v>
      </c>
      <c r="E83" s="12" t="s">
        <v>430</v>
      </c>
      <c r="F83" s="13" t="s">
        <v>130</v>
      </c>
      <c r="G83" s="13" t="s">
        <v>431</v>
      </c>
      <c r="H83" s="12">
        <v>20</v>
      </c>
      <c r="I83" s="13" t="s">
        <v>186</v>
      </c>
      <c r="J83" s="12" t="s">
        <v>428</v>
      </c>
    </row>
    <row r="84" spans="1:10" x14ac:dyDescent="0.25">
      <c r="A84" s="13" t="s">
        <v>432</v>
      </c>
      <c r="B84" s="13" t="s">
        <v>433</v>
      </c>
      <c r="C84" s="13" t="s">
        <v>0</v>
      </c>
      <c r="D84" s="13" t="s">
        <v>7</v>
      </c>
      <c r="E84" s="12" t="s">
        <v>434</v>
      </c>
      <c r="F84" s="13" t="s">
        <v>130</v>
      </c>
      <c r="G84" s="13" t="s">
        <v>435</v>
      </c>
      <c r="H84" s="12">
        <v>20</v>
      </c>
      <c r="I84" s="13" t="s">
        <v>136</v>
      </c>
      <c r="J84" s="12" t="s">
        <v>432</v>
      </c>
    </row>
    <row r="85" spans="1:10" x14ac:dyDescent="0.25">
      <c r="A85" s="13" t="s">
        <v>436</v>
      </c>
      <c r="B85" s="13" t="s">
        <v>437</v>
      </c>
      <c r="C85" s="13" t="s">
        <v>0</v>
      </c>
      <c r="D85" s="13" t="s">
        <v>43</v>
      </c>
      <c r="E85" s="13" t="s">
        <v>438</v>
      </c>
      <c r="F85" s="13" t="s">
        <v>130</v>
      </c>
      <c r="G85" s="13" t="s">
        <v>439</v>
      </c>
      <c r="H85" s="12">
        <v>1</v>
      </c>
      <c r="I85" s="13" t="s">
        <v>158</v>
      </c>
      <c r="J85" s="12" t="s">
        <v>436</v>
      </c>
    </row>
    <row r="86" spans="1:10" x14ac:dyDescent="0.25">
      <c r="A86" s="13" t="s">
        <v>440</v>
      </c>
      <c r="B86" s="13" t="s">
        <v>441</v>
      </c>
      <c r="C86" s="13" t="s">
        <v>0</v>
      </c>
      <c r="D86" s="13" t="s">
        <v>43</v>
      </c>
      <c r="E86" s="12" t="s">
        <v>442</v>
      </c>
      <c r="F86" s="13" t="s">
        <v>130</v>
      </c>
      <c r="G86" s="13" t="s">
        <v>443</v>
      </c>
      <c r="H86" s="12">
        <v>1</v>
      </c>
      <c r="I86" s="13" t="s">
        <v>132</v>
      </c>
      <c r="J86" s="12" t="s">
        <v>440</v>
      </c>
    </row>
    <row r="87" spans="1:10" x14ac:dyDescent="0.25">
      <c r="A87" s="13" t="s">
        <v>444</v>
      </c>
      <c r="B87" s="13" t="s">
        <v>445</v>
      </c>
      <c r="C87" s="13" t="s">
        <v>0</v>
      </c>
      <c r="D87" s="13" t="s">
        <v>43</v>
      </c>
      <c r="E87" s="12" t="s">
        <v>446</v>
      </c>
      <c r="F87" s="13" t="s">
        <v>130</v>
      </c>
      <c r="G87" s="13" t="s">
        <v>447</v>
      </c>
      <c r="H87" s="12">
        <v>1</v>
      </c>
      <c r="I87" s="13" t="s">
        <v>171</v>
      </c>
      <c r="J87" s="12" t="s">
        <v>444</v>
      </c>
    </row>
    <row r="88" spans="1:10" x14ac:dyDescent="0.25">
      <c r="A88" s="13" t="s">
        <v>448</v>
      </c>
      <c r="B88" s="13" t="s">
        <v>449</v>
      </c>
      <c r="C88" s="13" t="s">
        <v>0</v>
      </c>
      <c r="D88" s="13" t="s">
        <v>43</v>
      </c>
      <c r="E88" s="12" t="s">
        <v>450</v>
      </c>
      <c r="F88" s="13" t="s">
        <v>130</v>
      </c>
      <c r="G88" s="13" t="s">
        <v>451</v>
      </c>
      <c r="H88" s="12">
        <v>1</v>
      </c>
      <c r="I88" s="13" t="s">
        <v>279</v>
      </c>
      <c r="J88" s="12" t="s">
        <v>448</v>
      </c>
    </row>
    <row r="89" spans="1:10" x14ac:dyDescent="0.25">
      <c r="A89" s="13" t="s">
        <v>452</v>
      </c>
      <c r="B89" s="13" t="s">
        <v>453</v>
      </c>
      <c r="C89" s="13" t="s">
        <v>0</v>
      </c>
      <c r="D89" s="13" t="s">
        <v>43</v>
      </c>
      <c r="E89" s="13" t="s">
        <v>454</v>
      </c>
      <c r="F89" s="13" t="s">
        <v>130</v>
      </c>
      <c r="G89" s="13" t="s">
        <v>455</v>
      </c>
      <c r="H89" s="12">
        <v>1</v>
      </c>
      <c r="I89" s="13" t="s">
        <v>302</v>
      </c>
      <c r="J89" s="12" t="s">
        <v>452</v>
      </c>
    </row>
    <row r="90" spans="1:10" x14ac:dyDescent="0.25">
      <c r="A90" s="13" t="s">
        <v>456</v>
      </c>
      <c r="B90" s="13" t="s">
        <v>457</v>
      </c>
      <c r="C90" s="13" t="s">
        <v>0</v>
      </c>
      <c r="D90" s="13" t="s">
        <v>43</v>
      </c>
      <c r="E90" s="13" t="s">
        <v>458</v>
      </c>
      <c r="F90" s="13" t="s">
        <v>130</v>
      </c>
      <c r="G90" s="13" t="s">
        <v>459</v>
      </c>
      <c r="H90" s="12">
        <v>1</v>
      </c>
      <c r="I90" s="13" t="s">
        <v>136</v>
      </c>
      <c r="J90" s="12" t="s">
        <v>456</v>
      </c>
    </row>
    <row r="91" spans="1:10" x14ac:dyDescent="0.25">
      <c r="A91" s="13" t="s">
        <v>460</v>
      </c>
      <c r="B91" s="13" t="s">
        <v>461</v>
      </c>
      <c r="C91" s="13" t="s">
        <v>0</v>
      </c>
      <c r="D91" s="13" t="s">
        <v>7</v>
      </c>
      <c r="E91" s="12" t="s">
        <v>462</v>
      </c>
      <c r="F91" s="13" t="s">
        <v>146</v>
      </c>
      <c r="G91" s="13" t="s">
        <v>463</v>
      </c>
      <c r="H91" s="12">
        <v>20</v>
      </c>
      <c r="I91" s="13" t="s">
        <v>331</v>
      </c>
      <c r="J91" s="12" t="s">
        <v>460</v>
      </c>
    </row>
    <row r="92" spans="1:10" x14ac:dyDescent="0.25">
      <c r="A92" s="13" t="s">
        <v>464</v>
      </c>
      <c r="B92" s="13" t="s">
        <v>465</v>
      </c>
      <c r="C92" s="13" t="s">
        <v>0</v>
      </c>
      <c r="D92" s="13" t="s">
        <v>7</v>
      </c>
      <c r="E92" s="13" t="s">
        <v>152</v>
      </c>
      <c r="F92" s="13" t="s">
        <v>130</v>
      </c>
      <c r="G92" s="13" t="s">
        <v>466</v>
      </c>
      <c r="H92" s="12">
        <v>20</v>
      </c>
      <c r="I92" s="13" t="s">
        <v>136</v>
      </c>
      <c r="J92" s="12" t="s">
        <v>464</v>
      </c>
    </row>
    <row r="93" spans="1:10" x14ac:dyDescent="0.25">
      <c r="A93" s="13" t="s">
        <v>467</v>
      </c>
      <c r="B93" s="13" t="s">
        <v>468</v>
      </c>
      <c r="C93" s="13" t="s">
        <v>0</v>
      </c>
      <c r="D93" s="13" t="s">
        <v>7</v>
      </c>
      <c r="E93" s="12" t="s">
        <v>469</v>
      </c>
      <c r="F93" s="13" t="s">
        <v>146</v>
      </c>
      <c r="G93" s="13" t="s">
        <v>470</v>
      </c>
      <c r="H93" s="12">
        <v>40</v>
      </c>
      <c r="I93" s="13" t="s">
        <v>365</v>
      </c>
      <c r="J93" s="12" t="s">
        <v>467</v>
      </c>
    </row>
    <row r="94" spans="1:10" x14ac:dyDescent="0.25">
      <c r="A94" s="13" t="s">
        <v>471</v>
      </c>
      <c r="B94" s="13" t="s">
        <v>472</v>
      </c>
      <c r="C94" s="13" t="s">
        <v>0</v>
      </c>
      <c r="D94" s="13" t="s">
        <v>7</v>
      </c>
      <c r="E94" s="12" t="s">
        <v>473</v>
      </c>
      <c r="F94" s="13" t="s">
        <v>146</v>
      </c>
      <c r="G94" s="13" t="s">
        <v>401</v>
      </c>
      <c r="H94" s="12">
        <v>20</v>
      </c>
      <c r="I94" s="13" t="s">
        <v>148</v>
      </c>
      <c r="J94" s="12" t="s">
        <v>471</v>
      </c>
    </row>
    <row r="95" spans="1:10" x14ac:dyDescent="0.25">
      <c r="A95" s="13" t="s">
        <v>474</v>
      </c>
      <c r="B95" s="13" t="s">
        <v>475</v>
      </c>
      <c r="C95" s="13" t="s">
        <v>0</v>
      </c>
      <c r="D95" s="13" t="s">
        <v>43</v>
      </c>
      <c r="E95" s="12" t="s">
        <v>476</v>
      </c>
      <c r="F95" s="13" t="s">
        <v>146</v>
      </c>
      <c r="G95" s="13" t="s">
        <v>477</v>
      </c>
      <c r="H95" s="12">
        <v>1</v>
      </c>
      <c r="I95" s="13" t="s">
        <v>365</v>
      </c>
      <c r="J95" s="12" t="s">
        <v>474</v>
      </c>
    </row>
    <row r="96" spans="1:10" x14ac:dyDescent="0.25">
      <c r="A96" s="13" t="s">
        <v>478</v>
      </c>
      <c r="B96" s="13" t="s">
        <v>64</v>
      </c>
      <c r="C96" s="13" t="s">
        <v>0</v>
      </c>
      <c r="D96" s="13" t="s">
        <v>43</v>
      </c>
      <c r="E96" s="12" t="s">
        <v>479</v>
      </c>
      <c r="F96" s="13" t="s">
        <v>146</v>
      </c>
      <c r="G96" s="13" t="s">
        <v>296</v>
      </c>
      <c r="H96" s="12">
        <v>1</v>
      </c>
      <c r="I96" s="13" t="s">
        <v>233</v>
      </c>
      <c r="J96" s="12" t="s">
        <v>478</v>
      </c>
    </row>
    <row r="97" spans="1:10" x14ac:dyDescent="0.25">
      <c r="A97" s="13" t="s">
        <v>480</v>
      </c>
      <c r="B97" s="13" t="s">
        <v>481</v>
      </c>
      <c r="C97" s="13" t="s">
        <v>0</v>
      </c>
      <c r="D97" s="13" t="s">
        <v>43</v>
      </c>
      <c r="E97" s="12" t="s">
        <v>404</v>
      </c>
      <c r="F97" s="13" t="s">
        <v>146</v>
      </c>
      <c r="G97" s="13" t="s">
        <v>405</v>
      </c>
      <c r="H97" s="12">
        <v>1</v>
      </c>
      <c r="I97" s="13" t="s">
        <v>233</v>
      </c>
      <c r="J97" s="12" t="s">
        <v>480</v>
      </c>
    </row>
    <row r="98" spans="1:10" x14ac:dyDescent="0.25">
      <c r="A98" s="13" t="s">
        <v>482</v>
      </c>
      <c r="B98" s="13" t="s">
        <v>483</v>
      </c>
      <c r="C98" s="13" t="s">
        <v>0</v>
      </c>
      <c r="D98" s="13" t="s">
        <v>7</v>
      </c>
      <c r="E98" s="13" t="s">
        <v>152</v>
      </c>
      <c r="F98" s="13" t="s">
        <v>130</v>
      </c>
      <c r="G98" s="13" t="s">
        <v>484</v>
      </c>
      <c r="H98" s="12">
        <v>20</v>
      </c>
      <c r="I98" s="13" t="s">
        <v>183</v>
      </c>
      <c r="J98" s="12" t="e">
        <v>#N/A</v>
      </c>
    </row>
    <row r="99" spans="1:10" x14ac:dyDescent="0.25">
      <c r="A99" s="13" t="s">
        <v>485</v>
      </c>
      <c r="B99" s="13" t="s">
        <v>486</v>
      </c>
      <c r="C99" s="13" t="s">
        <v>0</v>
      </c>
      <c r="D99" s="13" t="s">
        <v>7</v>
      </c>
      <c r="E99" s="13" t="s">
        <v>152</v>
      </c>
      <c r="F99" s="13" t="s">
        <v>130</v>
      </c>
      <c r="G99" s="13" t="s">
        <v>487</v>
      </c>
      <c r="H99" s="12">
        <v>20</v>
      </c>
      <c r="I99" s="13" t="s">
        <v>488</v>
      </c>
      <c r="J99" s="12" t="e">
        <v>#N/A</v>
      </c>
    </row>
    <row r="100" spans="1:10" x14ac:dyDescent="0.25">
      <c r="A100" s="13" t="s">
        <v>489</v>
      </c>
      <c r="B100" s="13" t="s">
        <v>490</v>
      </c>
      <c r="C100" s="13" t="s">
        <v>0</v>
      </c>
      <c r="D100" s="13" t="s">
        <v>7</v>
      </c>
      <c r="E100" s="13" t="s">
        <v>152</v>
      </c>
      <c r="F100" s="13" t="s">
        <v>130</v>
      </c>
      <c r="G100" s="13" t="s">
        <v>491</v>
      </c>
      <c r="H100" s="12">
        <v>20</v>
      </c>
      <c r="I100" s="13" t="s">
        <v>158</v>
      </c>
      <c r="J100" s="12" t="e">
        <v>#N/A</v>
      </c>
    </row>
    <row r="101" spans="1:10" x14ac:dyDescent="0.25">
      <c r="A101" s="13" t="s">
        <v>492</v>
      </c>
      <c r="B101" s="13" t="s">
        <v>493</v>
      </c>
      <c r="C101" s="13" t="s">
        <v>0</v>
      </c>
      <c r="D101" s="13" t="s">
        <v>7</v>
      </c>
      <c r="E101" s="12" t="s">
        <v>494</v>
      </c>
      <c r="F101" s="13" t="s">
        <v>130</v>
      </c>
      <c r="G101" s="13" t="s">
        <v>495</v>
      </c>
      <c r="H101" s="12">
        <v>20</v>
      </c>
      <c r="I101" s="13" t="s">
        <v>241</v>
      </c>
      <c r="J101" s="12" t="e">
        <v>#N/A</v>
      </c>
    </row>
    <row r="102" spans="1:10" x14ac:dyDescent="0.25">
      <c r="A102" s="13" t="s">
        <v>496</v>
      </c>
      <c r="B102" s="13" t="s">
        <v>497</v>
      </c>
      <c r="C102" s="13" t="s">
        <v>0</v>
      </c>
      <c r="D102" s="13" t="s">
        <v>7</v>
      </c>
      <c r="E102" s="13" t="s">
        <v>498</v>
      </c>
      <c r="F102" s="13" t="s">
        <v>130</v>
      </c>
      <c r="G102" s="13" t="s">
        <v>499</v>
      </c>
      <c r="H102" s="12">
        <v>20</v>
      </c>
      <c r="I102" s="13" t="s">
        <v>158</v>
      </c>
      <c r="J102" s="12" t="e">
        <v>#N/A</v>
      </c>
    </row>
    <row r="103" spans="1:10" x14ac:dyDescent="0.25">
      <c r="A103" s="13" t="s">
        <v>500</v>
      </c>
      <c r="B103" s="13" t="s">
        <v>501</v>
      </c>
      <c r="C103" s="13" t="s">
        <v>0</v>
      </c>
      <c r="D103" s="13" t="s">
        <v>7</v>
      </c>
      <c r="E103" s="12" t="s">
        <v>502</v>
      </c>
      <c r="F103" s="13" t="s">
        <v>130</v>
      </c>
      <c r="G103" s="13" t="s">
        <v>503</v>
      </c>
      <c r="H103" s="12">
        <v>20</v>
      </c>
      <c r="I103" s="13" t="s">
        <v>171</v>
      </c>
      <c r="J103" s="12" t="e">
        <v>#N/A</v>
      </c>
    </row>
    <row r="104" spans="1:10" x14ac:dyDescent="0.25">
      <c r="A104" s="13" t="s">
        <v>504</v>
      </c>
      <c r="B104" s="13" t="s">
        <v>505</v>
      </c>
      <c r="C104" s="13" t="s">
        <v>0</v>
      </c>
      <c r="D104" s="13" t="s">
        <v>7</v>
      </c>
      <c r="E104" s="13" t="s">
        <v>506</v>
      </c>
      <c r="F104" s="13" t="s">
        <v>130</v>
      </c>
      <c r="G104" s="13" t="s">
        <v>507</v>
      </c>
      <c r="H104" s="12">
        <v>40</v>
      </c>
      <c r="I104" s="13" t="s">
        <v>171</v>
      </c>
      <c r="J104" s="12" t="e">
        <v>#N/A</v>
      </c>
    </row>
    <row r="105" spans="1:10" x14ac:dyDescent="0.25">
      <c r="A105" s="13" t="s">
        <v>508</v>
      </c>
      <c r="B105" s="13" t="s">
        <v>509</v>
      </c>
      <c r="C105" s="13" t="s">
        <v>0</v>
      </c>
      <c r="D105" s="13" t="s">
        <v>7</v>
      </c>
      <c r="E105" s="13" t="s">
        <v>506</v>
      </c>
      <c r="F105" s="13" t="s">
        <v>130</v>
      </c>
      <c r="G105" s="13" t="s">
        <v>507</v>
      </c>
      <c r="H105" s="12">
        <v>40</v>
      </c>
      <c r="I105" s="13" t="s">
        <v>171</v>
      </c>
      <c r="J105" s="12" t="e">
        <v>#N/A</v>
      </c>
    </row>
    <row r="106" spans="1:10" x14ac:dyDescent="0.25">
      <c r="A106" s="13" t="s">
        <v>510</v>
      </c>
      <c r="B106" s="13" t="s">
        <v>511</v>
      </c>
      <c r="C106" s="13" t="s">
        <v>0</v>
      </c>
      <c r="D106" s="13" t="s">
        <v>7</v>
      </c>
      <c r="E106" s="13" t="s">
        <v>512</v>
      </c>
      <c r="F106" s="13" t="s">
        <v>130</v>
      </c>
      <c r="G106" s="13" t="s">
        <v>513</v>
      </c>
      <c r="H106" s="12">
        <v>20</v>
      </c>
      <c r="I106" s="13" t="s">
        <v>186</v>
      </c>
      <c r="J106" s="12" t="e">
        <v>#N/A</v>
      </c>
    </row>
    <row r="107" spans="1:10" x14ac:dyDescent="0.25">
      <c r="A107" s="13" t="s">
        <v>514</v>
      </c>
      <c r="B107" s="13" t="s">
        <v>515</v>
      </c>
      <c r="C107" s="13" t="s">
        <v>0</v>
      </c>
      <c r="D107" s="13" t="s">
        <v>7</v>
      </c>
      <c r="E107" s="13" t="s">
        <v>512</v>
      </c>
      <c r="F107" s="13" t="s">
        <v>130</v>
      </c>
      <c r="G107" s="13" t="s">
        <v>516</v>
      </c>
      <c r="H107" s="12">
        <v>20</v>
      </c>
      <c r="I107" s="13" t="s">
        <v>158</v>
      </c>
      <c r="J107" s="12" t="e">
        <v>#N/A</v>
      </c>
    </row>
    <row r="108" spans="1:10" x14ac:dyDescent="0.25">
      <c r="A108" s="13" t="s">
        <v>517</v>
      </c>
      <c r="B108" s="13" t="s">
        <v>518</v>
      </c>
      <c r="C108" s="13" t="s">
        <v>0</v>
      </c>
      <c r="D108" s="13" t="s">
        <v>7</v>
      </c>
      <c r="E108" s="12" t="s">
        <v>519</v>
      </c>
      <c r="F108" s="13" t="s">
        <v>130</v>
      </c>
      <c r="G108" s="13" t="s">
        <v>520</v>
      </c>
      <c r="H108" s="12">
        <v>20</v>
      </c>
      <c r="I108" s="13" t="s">
        <v>175</v>
      </c>
      <c r="J108" s="12" t="e">
        <v>#N/A</v>
      </c>
    </row>
    <row r="109" spans="1:10" x14ac:dyDescent="0.25">
      <c r="A109" s="13" t="s">
        <v>521</v>
      </c>
      <c r="B109" s="13" t="s">
        <v>522</v>
      </c>
      <c r="C109" s="13" t="s">
        <v>0</v>
      </c>
      <c r="D109" s="13" t="s">
        <v>7</v>
      </c>
      <c r="E109" s="12" t="s">
        <v>318</v>
      </c>
      <c r="F109" s="13" t="s">
        <v>130</v>
      </c>
      <c r="G109" s="13" t="s">
        <v>319</v>
      </c>
      <c r="H109" s="12">
        <v>20</v>
      </c>
      <c r="I109" s="13" t="s">
        <v>186</v>
      </c>
      <c r="J109" s="12" t="e">
        <v>#N/A</v>
      </c>
    </row>
    <row r="110" spans="1:10" x14ac:dyDescent="0.25">
      <c r="A110" s="13" t="s">
        <v>523</v>
      </c>
      <c r="B110" s="13" t="s">
        <v>524</v>
      </c>
      <c r="C110" s="13" t="s">
        <v>0</v>
      </c>
      <c r="D110" s="13" t="s">
        <v>7</v>
      </c>
      <c r="E110" s="12" t="s">
        <v>525</v>
      </c>
      <c r="F110" s="13" t="s">
        <v>130</v>
      </c>
      <c r="G110" s="13" t="s">
        <v>526</v>
      </c>
      <c r="H110" s="12">
        <v>20</v>
      </c>
      <c r="I110" s="13" t="s">
        <v>488</v>
      </c>
      <c r="J110" s="12" t="e">
        <v>#N/A</v>
      </c>
    </row>
    <row r="111" spans="1:10" x14ac:dyDescent="0.25">
      <c r="A111" s="13" t="s">
        <v>527</v>
      </c>
      <c r="B111" s="13" t="s">
        <v>528</v>
      </c>
      <c r="C111" s="13" t="s">
        <v>0</v>
      </c>
      <c r="D111" s="13" t="s">
        <v>7</v>
      </c>
      <c r="E111" s="12" t="s">
        <v>529</v>
      </c>
      <c r="F111" s="13" t="s">
        <v>130</v>
      </c>
      <c r="G111" s="13" t="s">
        <v>530</v>
      </c>
      <c r="H111" s="12">
        <v>20</v>
      </c>
      <c r="I111" s="13" t="s">
        <v>279</v>
      </c>
      <c r="J111" s="12" t="e">
        <v>#N/A</v>
      </c>
    </row>
    <row r="112" spans="1:10" x14ac:dyDescent="0.25">
      <c r="A112" s="13" t="s">
        <v>531</v>
      </c>
      <c r="B112" s="13" t="s">
        <v>532</v>
      </c>
      <c r="C112" s="13" t="s">
        <v>0</v>
      </c>
      <c r="D112" s="13" t="s">
        <v>7</v>
      </c>
      <c r="E112" s="12" t="s">
        <v>533</v>
      </c>
      <c r="F112" s="13" t="s">
        <v>130</v>
      </c>
      <c r="G112" s="13" t="s">
        <v>534</v>
      </c>
      <c r="H112" s="12">
        <v>40</v>
      </c>
      <c r="I112" s="13" t="s">
        <v>279</v>
      </c>
      <c r="J112" s="12" t="e">
        <v>#N/A</v>
      </c>
    </row>
    <row r="113" spans="1:10" x14ac:dyDescent="0.25">
      <c r="A113" s="13" t="s">
        <v>535</v>
      </c>
      <c r="B113" s="13" t="s">
        <v>536</v>
      </c>
      <c r="C113" s="13" t="s">
        <v>0</v>
      </c>
      <c r="D113" s="13" t="s">
        <v>7</v>
      </c>
      <c r="E113" s="12" t="s">
        <v>533</v>
      </c>
      <c r="F113" s="13" t="s">
        <v>130</v>
      </c>
      <c r="G113" s="13" t="s">
        <v>534</v>
      </c>
      <c r="H113" s="12">
        <v>40</v>
      </c>
      <c r="I113" s="13" t="s">
        <v>279</v>
      </c>
      <c r="J113" s="12" t="e">
        <v>#N/A</v>
      </c>
    </row>
    <row r="114" spans="1:10" x14ac:dyDescent="0.25">
      <c r="A114" s="13" t="s">
        <v>537</v>
      </c>
      <c r="B114" s="13" t="s">
        <v>538</v>
      </c>
      <c r="C114" s="13" t="s">
        <v>0</v>
      </c>
      <c r="D114" s="13" t="s">
        <v>7</v>
      </c>
      <c r="E114" s="13" t="s">
        <v>539</v>
      </c>
      <c r="F114" s="13" t="s">
        <v>130</v>
      </c>
      <c r="G114" s="13" t="s">
        <v>362</v>
      </c>
      <c r="H114" s="12">
        <v>25</v>
      </c>
      <c r="I114" s="13" t="s">
        <v>183</v>
      </c>
      <c r="J114" s="12" t="e">
        <v>#N/A</v>
      </c>
    </row>
    <row r="115" spans="1:10" x14ac:dyDescent="0.25">
      <c r="A115" s="13" t="s">
        <v>540</v>
      </c>
      <c r="B115" s="13" t="s">
        <v>541</v>
      </c>
      <c r="C115" s="13" t="s">
        <v>0</v>
      </c>
      <c r="D115" s="13" t="s">
        <v>43</v>
      </c>
      <c r="E115" s="12" t="s">
        <v>542</v>
      </c>
      <c r="F115" s="13" t="s">
        <v>146</v>
      </c>
      <c r="G115" s="13" t="s">
        <v>541</v>
      </c>
      <c r="H115" s="12">
        <v>1</v>
      </c>
      <c r="I115" s="13" t="s">
        <v>541</v>
      </c>
      <c r="J115" s="12" t="e">
        <v>#N/A</v>
      </c>
    </row>
    <row r="116" spans="1:10" x14ac:dyDescent="0.25">
      <c r="A116" s="13" t="s">
        <v>543</v>
      </c>
      <c r="B116" s="13" t="s">
        <v>544</v>
      </c>
      <c r="C116" s="13" t="s">
        <v>0</v>
      </c>
      <c r="D116" s="13" t="s">
        <v>43</v>
      </c>
      <c r="E116" s="12" t="s">
        <v>545</v>
      </c>
      <c r="F116" s="13" t="s">
        <v>146</v>
      </c>
      <c r="G116" s="13" t="s">
        <v>353</v>
      </c>
      <c r="H116" s="12">
        <v>1</v>
      </c>
      <c r="I116" s="13" t="s">
        <v>354</v>
      </c>
      <c r="J116" s="12" t="e">
        <v>#N/A</v>
      </c>
    </row>
    <row r="117" spans="1:10" x14ac:dyDescent="0.25">
      <c r="A117" s="13" t="s">
        <v>546</v>
      </c>
      <c r="B117" s="13" t="s">
        <v>547</v>
      </c>
      <c r="C117" s="13" t="s">
        <v>0</v>
      </c>
      <c r="D117" s="13" t="s">
        <v>548</v>
      </c>
      <c r="E117" s="13" t="s">
        <v>512</v>
      </c>
      <c r="F117" s="13" t="s">
        <v>146</v>
      </c>
      <c r="G117" s="13" t="s">
        <v>549</v>
      </c>
      <c r="H117" s="12">
        <v>100</v>
      </c>
      <c r="I117" s="13" t="s">
        <v>365</v>
      </c>
      <c r="J117" s="12" t="e">
        <v>#N/A</v>
      </c>
    </row>
    <row r="118" spans="1:10" x14ac:dyDescent="0.25">
      <c r="A118" s="13" t="s">
        <v>3</v>
      </c>
      <c r="B118" s="13" t="s">
        <v>4</v>
      </c>
      <c r="C118" s="13" t="s">
        <v>0</v>
      </c>
      <c r="D118" s="13" t="s">
        <v>7</v>
      </c>
      <c r="E118" s="12" t="s">
        <v>550</v>
      </c>
      <c r="F118" s="13" t="s">
        <v>146</v>
      </c>
      <c r="G118" s="13" t="s">
        <v>551</v>
      </c>
      <c r="H118" s="12">
        <v>40</v>
      </c>
      <c r="I118" s="13" t="s">
        <v>365</v>
      </c>
      <c r="J118" s="12" t="e">
        <v>#N/A</v>
      </c>
    </row>
    <row r="119" spans="1:10" x14ac:dyDescent="0.25">
      <c r="A119" s="13" t="s">
        <v>552</v>
      </c>
      <c r="B119" s="13" t="s">
        <v>553</v>
      </c>
      <c r="C119" s="13" t="s">
        <v>0</v>
      </c>
      <c r="D119" s="13" t="s">
        <v>7</v>
      </c>
      <c r="E119" s="13" t="s">
        <v>554</v>
      </c>
      <c r="F119" s="13" t="s">
        <v>146</v>
      </c>
      <c r="G119" s="13" t="s">
        <v>147</v>
      </c>
      <c r="H119" s="12">
        <v>50</v>
      </c>
      <c r="I119" s="13" t="s">
        <v>148</v>
      </c>
      <c r="J119" s="12" t="e">
        <v>#N/A</v>
      </c>
    </row>
    <row r="120" spans="1:10" x14ac:dyDescent="0.25">
      <c r="A120" s="13" t="s">
        <v>555</v>
      </c>
      <c r="B120" s="13" t="s">
        <v>556</v>
      </c>
      <c r="C120" s="13" t="s">
        <v>0</v>
      </c>
      <c r="D120" s="13" t="s">
        <v>7</v>
      </c>
      <c r="E120" s="12" t="s">
        <v>557</v>
      </c>
      <c r="F120" s="13" t="s">
        <v>146</v>
      </c>
      <c r="G120" s="13" t="s">
        <v>296</v>
      </c>
      <c r="H120" s="12">
        <v>50</v>
      </c>
      <c r="I120" s="13" t="s">
        <v>233</v>
      </c>
      <c r="J120" s="12" t="e">
        <v>#N/A</v>
      </c>
    </row>
    <row r="121" spans="1:10" x14ac:dyDescent="0.25">
      <c r="A121" s="13" t="s">
        <v>558</v>
      </c>
      <c r="B121" s="13" t="s">
        <v>559</v>
      </c>
      <c r="C121" s="13" t="s">
        <v>0</v>
      </c>
      <c r="D121" s="13" t="s">
        <v>7</v>
      </c>
      <c r="E121" s="13" t="s">
        <v>560</v>
      </c>
      <c r="F121" s="13" t="s">
        <v>146</v>
      </c>
      <c r="G121" s="13" t="s">
        <v>343</v>
      </c>
      <c r="H121" s="12">
        <v>20</v>
      </c>
      <c r="I121" s="13" t="s">
        <v>331</v>
      </c>
      <c r="J121" s="12" t="e">
        <v>#N/A</v>
      </c>
    </row>
    <row r="122" spans="1:10" x14ac:dyDescent="0.25">
      <c r="A122" s="13" t="s">
        <v>561</v>
      </c>
      <c r="B122" s="13" t="s">
        <v>562</v>
      </c>
      <c r="C122" s="13" t="s">
        <v>0</v>
      </c>
      <c r="D122" s="13" t="s">
        <v>7</v>
      </c>
      <c r="E122" s="12" t="s">
        <v>563</v>
      </c>
      <c r="F122" s="13" t="s">
        <v>146</v>
      </c>
      <c r="G122" s="13" t="s">
        <v>232</v>
      </c>
      <c r="H122" s="12">
        <v>40</v>
      </c>
      <c r="I122" s="13" t="s">
        <v>233</v>
      </c>
      <c r="J122" s="12" t="e">
        <v>#N/A</v>
      </c>
    </row>
    <row r="123" spans="1:10" x14ac:dyDescent="0.25">
      <c r="A123" s="13" t="s">
        <v>564</v>
      </c>
      <c r="B123" s="13" t="s">
        <v>565</v>
      </c>
      <c r="C123" s="13" t="s">
        <v>0</v>
      </c>
      <c r="D123" s="13" t="s">
        <v>566</v>
      </c>
      <c r="E123" s="12" t="s">
        <v>292</v>
      </c>
      <c r="F123" s="13" t="s">
        <v>146</v>
      </c>
      <c r="G123" s="13" t="s">
        <v>232</v>
      </c>
      <c r="H123" s="12">
        <v>50</v>
      </c>
      <c r="I123" s="13" t="s">
        <v>233</v>
      </c>
      <c r="J123" s="12" t="e">
        <v>#N/A</v>
      </c>
    </row>
    <row r="124" spans="1:10" x14ac:dyDescent="0.25">
      <c r="A124" s="13" t="s">
        <v>567</v>
      </c>
      <c r="B124" s="13" t="s">
        <v>568</v>
      </c>
      <c r="C124" s="13" t="s">
        <v>0</v>
      </c>
      <c r="D124" s="13" t="s">
        <v>7</v>
      </c>
      <c r="E124" s="13" t="s">
        <v>569</v>
      </c>
      <c r="F124" s="13"/>
      <c r="G124" s="13"/>
      <c r="J124" s="12" t="e">
        <v>#N/A</v>
      </c>
    </row>
    <row r="125" spans="1:10" x14ac:dyDescent="0.25">
      <c r="A125" s="13" t="s">
        <v>570</v>
      </c>
      <c r="B125" s="13" t="s">
        <v>571</v>
      </c>
      <c r="C125" s="13" t="s">
        <v>0</v>
      </c>
      <c r="D125" s="13" t="s">
        <v>7</v>
      </c>
      <c r="E125" s="13" t="s">
        <v>572</v>
      </c>
      <c r="F125" s="13"/>
      <c r="G125" s="13"/>
      <c r="J125" s="12" t="e">
        <v>#N/A</v>
      </c>
    </row>
    <row r="126" spans="1:10" x14ac:dyDescent="0.25">
      <c r="A126" s="13" t="s">
        <v>573</v>
      </c>
      <c r="B126" s="13" t="s">
        <v>574</v>
      </c>
      <c r="C126" s="13" t="s">
        <v>0</v>
      </c>
      <c r="D126" s="13" t="s">
        <v>548</v>
      </c>
      <c r="E126" s="16" t="s">
        <v>575</v>
      </c>
      <c r="F126" s="13"/>
      <c r="G126" s="13"/>
      <c r="J126" s="12" t="e">
        <v>#N/A</v>
      </c>
    </row>
    <row r="127" spans="1:10" x14ac:dyDescent="0.25">
      <c r="A127" s="13" t="s">
        <v>576</v>
      </c>
      <c r="B127" s="13" t="s">
        <v>577</v>
      </c>
      <c r="C127" s="13" t="s">
        <v>0</v>
      </c>
      <c r="D127" s="13" t="s">
        <v>566</v>
      </c>
      <c r="E127" s="13" t="s">
        <v>569</v>
      </c>
      <c r="F127" s="13"/>
      <c r="G127" s="13"/>
      <c r="H127" s="12">
        <v>40</v>
      </c>
      <c r="J127" s="12" t="e">
        <v>#N/A</v>
      </c>
    </row>
    <row r="128" spans="1:10" x14ac:dyDescent="0.25">
      <c r="A128" s="13" t="s">
        <v>578</v>
      </c>
      <c r="B128" s="13" t="s">
        <v>579</v>
      </c>
      <c r="C128" s="13" t="s">
        <v>0</v>
      </c>
      <c r="D128" s="13" t="s">
        <v>566</v>
      </c>
      <c r="E128" s="12" t="s">
        <v>569</v>
      </c>
      <c r="F128" s="13"/>
      <c r="G128" s="13"/>
      <c r="J128" s="12" t="e">
        <v>#N/A</v>
      </c>
    </row>
    <row r="129" spans="1:10" x14ac:dyDescent="0.25">
      <c r="A129" s="13" t="s">
        <v>580</v>
      </c>
      <c r="B129" s="13" t="s">
        <v>581</v>
      </c>
      <c r="C129" s="13" t="s">
        <v>0</v>
      </c>
      <c r="D129" s="13" t="s">
        <v>43</v>
      </c>
      <c r="E129" s="13" t="s">
        <v>582</v>
      </c>
      <c r="F129" s="13" t="s">
        <v>130</v>
      </c>
      <c r="G129" s="13" t="s">
        <v>583</v>
      </c>
      <c r="H129" s="12">
        <v>1</v>
      </c>
      <c r="I129" s="13" t="s">
        <v>241</v>
      </c>
      <c r="J129" s="12" t="e">
        <v>#N/A</v>
      </c>
    </row>
    <row r="130" spans="1:10" x14ac:dyDescent="0.25">
      <c r="A130" s="13" t="s">
        <v>584</v>
      </c>
      <c r="B130" s="13" t="s">
        <v>585</v>
      </c>
      <c r="C130" s="13" t="s">
        <v>0</v>
      </c>
      <c r="D130" s="13" t="s">
        <v>43</v>
      </c>
      <c r="E130" s="13" t="s">
        <v>586</v>
      </c>
      <c r="F130" s="13" t="s">
        <v>130</v>
      </c>
      <c r="G130" s="13" t="s">
        <v>587</v>
      </c>
      <c r="H130" s="12">
        <v>1</v>
      </c>
      <c r="I130" s="13" t="s">
        <v>241</v>
      </c>
      <c r="J130" s="12" t="e">
        <v>#N/A</v>
      </c>
    </row>
    <row r="131" spans="1:10" x14ac:dyDescent="0.25">
      <c r="A131" s="13" t="s">
        <v>588</v>
      </c>
      <c r="B131" s="13" t="s">
        <v>589</v>
      </c>
      <c r="C131" s="13" t="s">
        <v>0</v>
      </c>
      <c r="D131" s="13" t="s">
        <v>43</v>
      </c>
      <c r="E131" s="12" t="s">
        <v>590</v>
      </c>
      <c r="F131" s="13" t="s">
        <v>130</v>
      </c>
      <c r="G131" s="13" t="s">
        <v>591</v>
      </c>
      <c r="H131" s="12">
        <v>1</v>
      </c>
      <c r="I131" s="13" t="s">
        <v>158</v>
      </c>
      <c r="J131" s="12" t="e">
        <v>#N/A</v>
      </c>
    </row>
    <row r="132" spans="1:10" x14ac:dyDescent="0.25">
      <c r="A132" s="13" t="s">
        <v>592</v>
      </c>
      <c r="B132" s="13" t="s">
        <v>593</v>
      </c>
      <c r="C132" s="13" t="s">
        <v>0</v>
      </c>
      <c r="D132" s="13" t="s">
        <v>43</v>
      </c>
      <c r="E132" s="16" t="s">
        <v>169</v>
      </c>
      <c r="F132" s="13" t="s">
        <v>130</v>
      </c>
      <c r="G132" s="13" t="s">
        <v>170</v>
      </c>
      <c r="H132" s="12">
        <v>1</v>
      </c>
      <c r="I132" s="13" t="s">
        <v>171</v>
      </c>
      <c r="J132" s="12" t="e">
        <v>#N/A</v>
      </c>
    </row>
    <row r="133" spans="1:10" x14ac:dyDescent="0.25">
      <c r="A133" s="13" t="s">
        <v>594</v>
      </c>
      <c r="B133" s="13" t="s">
        <v>595</v>
      </c>
      <c r="C133" s="13" t="s">
        <v>0</v>
      </c>
      <c r="D133" s="13" t="s">
        <v>43</v>
      </c>
      <c r="E133" s="13" t="s">
        <v>596</v>
      </c>
      <c r="F133" s="13" t="s">
        <v>130</v>
      </c>
      <c r="G133" s="13" t="s">
        <v>597</v>
      </c>
      <c r="H133" s="12">
        <v>1</v>
      </c>
      <c r="I133" s="13" t="s">
        <v>175</v>
      </c>
      <c r="J133" s="12" t="e">
        <v>#N/A</v>
      </c>
    </row>
    <row r="134" spans="1:10" x14ac:dyDescent="0.25">
      <c r="A134" s="13" t="s">
        <v>598</v>
      </c>
      <c r="B134" s="13" t="s">
        <v>599</v>
      </c>
      <c r="C134" s="13" t="s">
        <v>0</v>
      </c>
      <c r="D134" s="13" t="s">
        <v>43</v>
      </c>
      <c r="E134" s="16" t="s">
        <v>600</v>
      </c>
      <c r="F134" s="13" t="s">
        <v>130</v>
      </c>
      <c r="G134" s="13" t="s">
        <v>601</v>
      </c>
      <c r="H134" s="12">
        <v>1</v>
      </c>
      <c r="I134" s="13" t="s">
        <v>136</v>
      </c>
      <c r="J134" s="12" t="e">
        <v>#N/A</v>
      </c>
    </row>
    <row r="135" spans="1:10" x14ac:dyDescent="0.25">
      <c r="A135" s="13" t="s">
        <v>602</v>
      </c>
      <c r="B135" s="13" t="s">
        <v>603</v>
      </c>
      <c r="C135" s="13" t="s">
        <v>0</v>
      </c>
      <c r="D135" s="13" t="s">
        <v>43</v>
      </c>
      <c r="E135" s="16" t="s">
        <v>604</v>
      </c>
      <c r="F135" s="13" t="s">
        <v>130</v>
      </c>
      <c r="G135" s="13" t="s">
        <v>605</v>
      </c>
      <c r="H135" s="12">
        <v>1</v>
      </c>
      <c r="I135" s="13" t="s">
        <v>307</v>
      </c>
      <c r="J135" s="12" t="e">
        <v>#N/A</v>
      </c>
    </row>
    <row r="136" spans="1:10" x14ac:dyDescent="0.25">
      <c r="A136" s="13" t="s">
        <v>606</v>
      </c>
      <c r="B136" s="13" t="s">
        <v>607</v>
      </c>
      <c r="C136" s="13" t="s">
        <v>0</v>
      </c>
      <c r="D136" s="13" t="s">
        <v>43</v>
      </c>
      <c r="E136" s="14" t="s">
        <v>608</v>
      </c>
      <c r="F136" s="13" t="s">
        <v>130</v>
      </c>
      <c r="G136" s="13" t="s">
        <v>609</v>
      </c>
      <c r="H136" s="12">
        <v>1</v>
      </c>
      <c r="I136" s="13" t="s">
        <v>302</v>
      </c>
      <c r="J136" s="12" t="e">
        <v>#N/A</v>
      </c>
    </row>
    <row r="137" spans="1:10" x14ac:dyDescent="0.25">
      <c r="A137" s="13" t="s">
        <v>610</v>
      </c>
      <c r="B137" s="13" t="s">
        <v>611</v>
      </c>
      <c r="C137" s="13" t="s">
        <v>0</v>
      </c>
      <c r="D137" s="13" t="s">
        <v>43</v>
      </c>
      <c r="E137" s="13" t="s">
        <v>612</v>
      </c>
      <c r="F137" s="13" t="s">
        <v>130</v>
      </c>
      <c r="G137" s="13" t="s">
        <v>613</v>
      </c>
      <c r="H137" s="12">
        <v>1</v>
      </c>
      <c r="I137" s="13" t="s">
        <v>186</v>
      </c>
      <c r="J137" s="12" t="e">
        <v>#N/A</v>
      </c>
    </row>
    <row r="138" spans="1:10" x14ac:dyDescent="0.25">
      <c r="A138" s="13" t="s">
        <v>614</v>
      </c>
      <c r="B138" s="13" t="s">
        <v>615</v>
      </c>
      <c r="C138" s="13" t="s">
        <v>0</v>
      </c>
      <c r="D138" s="13" t="s">
        <v>43</v>
      </c>
      <c r="E138" s="13" t="s">
        <v>616</v>
      </c>
      <c r="F138" s="13" t="s">
        <v>130</v>
      </c>
      <c r="G138" s="13" t="s">
        <v>617</v>
      </c>
      <c r="H138" s="12">
        <v>1</v>
      </c>
      <c r="I138" s="13" t="s">
        <v>307</v>
      </c>
      <c r="J138" s="12" t="e">
        <v>#N/A</v>
      </c>
    </row>
    <row r="139" spans="1:10" x14ac:dyDescent="0.25">
      <c r="A139" s="13" t="s">
        <v>618</v>
      </c>
      <c r="B139" s="13" t="s">
        <v>619</v>
      </c>
      <c r="C139" s="13" t="s">
        <v>0</v>
      </c>
      <c r="D139" s="13" t="s">
        <v>43</v>
      </c>
      <c r="E139" s="12" t="s">
        <v>620</v>
      </c>
      <c r="F139" s="13" t="s">
        <v>130</v>
      </c>
      <c r="G139" s="13" t="s">
        <v>619</v>
      </c>
      <c r="H139" s="12">
        <v>1</v>
      </c>
      <c r="I139" s="13" t="s">
        <v>488</v>
      </c>
      <c r="J139" s="12" t="e">
        <v>#N/A</v>
      </c>
    </row>
    <row r="140" spans="1:10" x14ac:dyDescent="0.25">
      <c r="A140" s="13" t="s">
        <v>621</v>
      </c>
      <c r="B140" s="13" t="s">
        <v>622</v>
      </c>
      <c r="C140" s="13" t="s">
        <v>0</v>
      </c>
      <c r="D140" s="13" t="s">
        <v>43</v>
      </c>
      <c r="E140" s="13" t="s">
        <v>623</v>
      </c>
      <c r="F140" s="13" t="s">
        <v>130</v>
      </c>
      <c r="G140" s="13" t="s">
        <v>624</v>
      </c>
      <c r="H140" s="12">
        <v>1</v>
      </c>
      <c r="I140" s="13" t="s">
        <v>488</v>
      </c>
      <c r="J140" s="12" t="e">
        <v>#N/A</v>
      </c>
    </row>
    <row r="141" spans="1:10" x14ac:dyDescent="0.25">
      <c r="A141" s="13" t="s">
        <v>625</v>
      </c>
      <c r="B141" s="13" t="s">
        <v>626</v>
      </c>
      <c r="C141" s="13" t="s">
        <v>0</v>
      </c>
      <c r="D141" s="13" t="s">
        <v>43</v>
      </c>
      <c r="E141" s="12" t="s">
        <v>627</v>
      </c>
      <c r="F141" s="13" t="s">
        <v>130</v>
      </c>
      <c r="G141" s="13" t="s">
        <v>626</v>
      </c>
      <c r="H141" s="12">
        <v>1</v>
      </c>
      <c r="I141" s="13" t="s">
        <v>279</v>
      </c>
      <c r="J141" s="12" t="e">
        <v>#N/A</v>
      </c>
    </row>
    <row r="142" spans="1:10" x14ac:dyDescent="0.25">
      <c r="A142" s="13" t="s">
        <v>628</v>
      </c>
      <c r="B142" s="13" t="s">
        <v>629</v>
      </c>
      <c r="C142" s="13" t="s">
        <v>0</v>
      </c>
      <c r="D142" s="13" t="s">
        <v>43</v>
      </c>
      <c r="E142" s="13" t="s">
        <v>630</v>
      </c>
      <c r="F142" s="13" t="s">
        <v>130</v>
      </c>
      <c r="G142" s="13" t="s">
        <v>631</v>
      </c>
      <c r="H142" s="12">
        <v>1</v>
      </c>
      <c r="I142" s="13" t="s">
        <v>183</v>
      </c>
      <c r="J142" s="12" t="e">
        <v>#N/A</v>
      </c>
    </row>
    <row r="143" spans="1:10" x14ac:dyDescent="0.25">
      <c r="A143" s="13" t="s">
        <v>632</v>
      </c>
      <c r="B143" s="13" t="s">
        <v>633</v>
      </c>
      <c r="C143" s="13" t="s">
        <v>0</v>
      </c>
      <c r="D143" s="13" t="s">
        <v>43</v>
      </c>
      <c r="E143" s="13" t="s">
        <v>152</v>
      </c>
      <c r="F143" s="13" t="s">
        <v>146</v>
      </c>
      <c r="G143" s="13" t="s">
        <v>354</v>
      </c>
      <c r="H143" s="12">
        <v>1</v>
      </c>
      <c r="I143" s="13" t="s">
        <v>354</v>
      </c>
      <c r="J143" s="12" t="e">
        <v>#N/A</v>
      </c>
    </row>
    <row r="144" spans="1:10" x14ac:dyDescent="0.25">
      <c r="A144" s="13" t="s">
        <v>63</v>
      </c>
      <c r="B144" s="13" t="s">
        <v>634</v>
      </c>
      <c r="C144" s="13" t="s">
        <v>0</v>
      </c>
      <c r="D144" s="13" t="s">
        <v>7</v>
      </c>
      <c r="E144" s="13" t="s">
        <v>479</v>
      </c>
      <c r="F144" s="13" t="s">
        <v>146</v>
      </c>
      <c r="G144" s="13" t="s">
        <v>296</v>
      </c>
      <c r="H144" s="12">
        <v>50</v>
      </c>
      <c r="I144" s="13" t="s">
        <v>233</v>
      </c>
      <c r="J144" s="12" t="e">
        <v>#N/A</v>
      </c>
    </row>
    <row r="145" spans="1:10" x14ac:dyDescent="0.25">
      <c r="A145" s="13" t="s">
        <v>635</v>
      </c>
      <c r="B145" s="13" t="s">
        <v>636</v>
      </c>
      <c r="C145" s="13" t="s">
        <v>0</v>
      </c>
      <c r="D145" s="13" t="s">
        <v>43</v>
      </c>
      <c r="E145" s="16" t="s">
        <v>575</v>
      </c>
      <c r="F145" s="13"/>
      <c r="G145" s="13"/>
      <c r="H145" s="12">
        <v>1</v>
      </c>
      <c r="J145" s="12" t="e">
        <v>#N/A</v>
      </c>
    </row>
    <row r="146" spans="1:10" x14ac:dyDescent="0.25">
      <c r="A146" s="13" t="s">
        <v>637</v>
      </c>
      <c r="B146" s="13" t="s">
        <v>638</v>
      </c>
      <c r="C146" s="13" t="s">
        <v>0</v>
      </c>
      <c r="D146" s="13" t="s">
        <v>189</v>
      </c>
      <c r="E146" s="12" t="s">
        <v>639</v>
      </c>
      <c r="F146" s="13" t="s">
        <v>191</v>
      </c>
      <c r="G146" s="13" t="s">
        <v>638</v>
      </c>
      <c r="H146" s="13" t="s">
        <v>152</v>
      </c>
      <c r="I146" s="13" t="s">
        <v>191</v>
      </c>
      <c r="J146" s="12" t="e">
        <v>#N/A</v>
      </c>
    </row>
    <row r="147" spans="1:10" x14ac:dyDescent="0.25">
      <c r="A147" s="13" t="s">
        <v>640</v>
      </c>
      <c r="B147" s="13" t="s">
        <v>641</v>
      </c>
      <c r="C147" s="13" t="s">
        <v>0</v>
      </c>
      <c r="D147" s="13" t="s">
        <v>189</v>
      </c>
      <c r="E147" s="12" t="s">
        <v>642</v>
      </c>
      <c r="F147" s="13" t="s">
        <v>191</v>
      </c>
      <c r="G147" s="13" t="s">
        <v>641</v>
      </c>
      <c r="H147" s="13" t="s">
        <v>152</v>
      </c>
      <c r="I147" s="13" t="s">
        <v>191</v>
      </c>
      <c r="J147" s="12" t="e">
        <v>#N/A</v>
      </c>
    </row>
    <row r="148" spans="1:10" x14ac:dyDescent="0.25">
      <c r="A148" s="13" t="s">
        <v>643</v>
      </c>
      <c r="B148" s="13" t="s">
        <v>644</v>
      </c>
      <c r="C148" s="13" t="s">
        <v>0</v>
      </c>
      <c r="D148" s="13" t="s">
        <v>189</v>
      </c>
      <c r="E148" s="12" t="s">
        <v>645</v>
      </c>
      <c r="F148" s="13" t="s">
        <v>191</v>
      </c>
      <c r="G148" s="13" t="s">
        <v>644</v>
      </c>
      <c r="H148" s="13" t="s">
        <v>152</v>
      </c>
      <c r="I148" s="13" t="s">
        <v>191</v>
      </c>
      <c r="J148" s="12" t="e">
        <v>#N/A</v>
      </c>
    </row>
    <row r="149" spans="1:10" x14ac:dyDescent="0.25">
      <c r="A149" s="13" t="s">
        <v>646</v>
      </c>
      <c r="B149" s="13" t="s">
        <v>647</v>
      </c>
      <c r="C149" s="13" t="s">
        <v>0</v>
      </c>
      <c r="D149" s="13" t="s">
        <v>189</v>
      </c>
      <c r="E149" s="12" t="s">
        <v>648</v>
      </c>
      <c r="F149" s="13" t="s">
        <v>191</v>
      </c>
      <c r="G149" s="13" t="s">
        <v>647</v>
      </c>
      <c r="H149" s="13" t="s">
        <v>152</v>
      </c>
      <c r="I149" s="13" t="s">
        <v>191</v>
      </c>
      <c r="J149" s="12" t="e">
        <v>#N/A</v>
      </c>
    </row>
    <row r="150" spans="1:10" x14ac:dyDescent="0.25">
      <c r="A150" s="13" t="s">
        <v>649</v>
      </c>
      <c r="B150" s="13" t="s">
        <v>650</v>
      </c>
      <c r="C150" s="13" t="s">
        <v>0</v>
      </c>
      <c r="D150" s="13" t="s">
        <v>189</v>
      </c>
      <c r="E150" s="12" t="s">
        <v>651</v>
      </c>
      <c r="F150" s="13" t="s">
        <v>191</v>
      </c>
      <c r="G150" s="13" t="s">
        <v>650</v>
      </c>
      <c r="H150" s="13" t="s">
        <v>152</v>
      </c>
      <c r="I150" s="13" t="s">
        <v>191</v>
      </c>
      <c r="J150" s="12" t="e">
        <v>#N/A</v>
      </c>
    </row>
    <row r="151" spans="1:10" x14ac:dyDescent="0.25">
      <c r="A151" s="13" t="s">
        <v>652</v>
      </c>
      <c r="B151" s="13" t="s">
        <v>653</v>
      </c>
      <c r="C151" s="13" t="s">
        <v>0</v>
      </c>
      <c r="D151" s="13" t="s">
        <v>189</v>
      </c>
      <c r="E151" s="12" t="s">
        <v>228</v>
      </c>
      <c r="F151" s="13" t="s">
        <v>191</v>
      </c>
      <c r="G151" s="13" t="s">
        <v>654</v>
      </c>
      <c r="H151" s="13" t="s">
        <v>152</v>
      </c>
      <c r="I151" s="13" t="s">
        <v>191</v>
      </c>
      <c r="J151" s="12" t="e">
        <v>#N/A</v>
      </c>
    </row>
    <row r="152" spans="1:10" x14ac:dyDescent="0.25">
      <c r="A152" s="13" t="s">
        <v>655</v>
      </c>
      <c r="B152" s="13" t="s">
        <v>656</v>
      </c>
      <c r="C152" s="13" t="s">
        <v>0</v>
      </c>
      <c r="D152" s="13" t="s">
        <v>189</v>
      </c>
      <c r="E152" s="12" t="s">
        <v>657</v>
      </c>
      <c r="F152" s="13" t="s">
        <v>191</v>
      </c>
      <c r="G152" s="13" t="s">
        <v>658</v>
      </c>
      <c r="H152" s="13" t="s">
        <v>152</v>
      </c>
      <c r="I152" s="13" t="s">
        <v>191</v>
      </c>
      <c r="J152" s="12" t="e">
        <v>#N/A</v>
      </c>
    </row>
    <row r="153" spans="1:10" x14ac:dyDescent="0.25">
      <c r="A153" s="13" t="s">
        <v>659</v>
      </c>
      <c r="B153" s="13" t="s">
        <v>660</v>
      </c>
      <c r="C153" s="13" t="s">
        <v>0</v>
      </c>
      <c r="D153" s="13" t="s">
        <v>189</v>
      </c>
      <c r="E153" s="14" t="s">
        <v>661</v>
      </c>
      <c r="F153" s="13" t="s">
        <v>191</v>
      </c>
      <c r="G153" s="13" t="s">
        <v>662</v>
      </c>
      <c r="H153" s="13" t="s">
        <v>152</v>
      </c>
      <c r="I153" s="13" t="s">
        <v>191</v>
      </c>
      <c r="J153" s="12" t="e">
        <v>#N/A</v>
      </c>
    </row>
    <row r="154" spans="1:10" x14ac:dyDescent="0.25">
      <c r="A154" s="13" t="s">
        <v>663</v>
      </c>
      <c r="B154" s="13" t="s">
        <v>664</v>
      </c>
      <c r="C154" s="13" t="s">
        <v>0</v>
      </c>
      <c r="D154" s="13" t="s">
        <v>189</v>
      </c>
      <c r="E154" s="13" t="s">
        <v>575</v>
      </c>
      <c r="F154" s="13"/>
      <c r="G154" s="13"/>
      <c r="H154" s="13" t="s">
        <v>152</v>
      </c>
      <c r="J154" s="12" t="e">
        <v>#N/A</v>
      </c>
    </row>
    <row r="155" spans="1:10" x14ac:dyDescent="0.25">
      <c r="A155" s="13" t="s">
        <v>665</v>
      </c>
      <c r="B155" s="13" t="s">
        <v>666</v>
      </c>
      <c r="C155" s="13" t="s">
        <v>0</v>
      </c>
      <c r="D155" s="13" t="s">
        <v>189</v>
      </c>
      <c r="E155" s="16" t="s">
        <v>575</v>
      </c>
      <c r="F155" s="13"/>
      <c r="G155" s="13"/>
      <c r="H155" s="13" t="s">
        <v>152</v>
      </c>
      <c r="J155" s="12" t="e">
        <v>#N/A</v>
      </c>
    </row>
    <row r="156" spans="1:10" x14ac:dyDescent="0.25">
      <c r="A156" s="13" t="s">
        <v>667</v>
      </c>
      <c r="B156" s="13" t="s">
        <v>668</v>
      </c>
      <c r="C156" s="13" t="s">
        <v>0</v>
      </c>
      <c r="D156" s="13" t="s">
        <v>189</v>
      </c>
      <c r="E156" s="13" t="s">
        <v>575</v>
      </c>
      <c r="F156" s="13"/>
      <c r="G156" s="13"/>
      <c r="H156" s="13" t="s">
        <v>152</v>
      </c>
      <c r="J156" s="12" t="e">
        <v>#N/A</v>
      </c>
    </row>
    <row r="157" spans="1:10" x14ac:dyDescent="0.25">
      <c r="A157" s="13" t="s">
        <v>669</v>
      </c>
      <c r="B157" s="13" t="s">
        <v>670</v>
      </c>
      <c r="C157" s="13" t="s">
        <v>0</v>
      </c>
      <c r="D157" s="13" t="s">
        <v>671</v>
      </c>
      <c r="E157" s="12" t="s">
        <v>672</v>
      </c>
      <c r="F157" s="13" t="s">
        <v>191</v>
      </c>
      <c r="G157" s="13" t="s">
        <v>673</v>
      </c>
      <c r="H157" s="13" t="s">
        <v>152</v>
      </c>
      <c r="I157" s="13" t="s">
        <v>191</v>
      </c>
      <c r="J157" s="12" t="e">
        <v>#N/A</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4063E-D344-4732-BC64-996B578A787D}">
  <sheetPr codeName="Sheet9"/>
  <dimension ref="A1:AM31"/>
  <sheetViews>
    <sheetView topLeftCell="A7" workbookViewId="0">
      <selection activeCell="F36" sqref="F36"/>
    </sheetView>
  </sheetViews>
  <sheetFormatPr defaultRowHeight="12.75" x14ac:dyDescent="0.2"/>
  <cols>
    <col min="2" max="2" width="9.5703125" customWidth="1"/>
    <col min="3" max="3" width="16.5703125" customWidth="1"/>
    <col min="4" max="4" width="9.7109375" customWidth="1"/>
    <col min="5" max="5" width="19.28515625" customWidth="1"/>
    <col min="6" max="6" width="18.7109375" customWidth="1"/>
    <col min="7" max="7" width="13.85546875" customWidth="1"/>
    <col min="8" max="8" width="14.140625" customWidth="1"/>
    <col min="9" max="9" width="20.28515625" customWidth="1"/>
    <col min="10" max="10" width="15.7109375" customWidth="1"/>
    <col min="11" max="11" width="18.42578125" customWidth="1"/>
    <col min="12" max="12" width="13.42578125" customWidth="1"/>
    <col min="13" max="13" width="21" customWidth="1"/>
    <col min="14" max="14" width="15.42578125" bestFit="1" customWidth="1"/>
    <col min="16" max="16" width="16" customWidth="1"/>
    <col min="17" max="17" width="12" customWidth="1"/>
    <col min="18" max="18" width="16.140625" customWidth="1"/>
    <col min="19" max="19" width="22.140625" customWidth="1"/>
    <col min="20" max="20" width="13.7109375" customWidth="1"/>
    <col min="21" max="21" width="14.7109375" customWidth="1"/>
    <col min="22" max="22" width="17.7109375" customWidth="1"/>
    <col min="24" max="24" width="11.42578125" customWidth="1"/>
    <col min="25" max="25" width="20.5703125" customWidth="1"/>
    <col min="27" max="27" width="12.7109375" customWidth="1"/>
    <col min="28" max="28" width="15.7109375" customWidth="1"/>
    <col min="29" max="29" width="15.85546875" customWidth="1"/>
    <col min="31" max="32" width="13" customWidth="1"/>
    <col min="33" max="33" width="11.140625" customWidth="1"/>
    <col min="34" max="34" width="19.140625" customWidth="1"/>
    <col min="35" max="35" width="17" customWidth="1"/>
    <col min="36" max="36" width="9.85546875" customWidth="1"/>
    <col min="37" max="37" width="13.5703125" customWidth="1"/>
    <col min="38" max="38" width="18.5703125" customWidth="1"/>
    <col min="39" max="39" width="12.42578125" customWidth="1"/>
  </cols>
  <sheetData>
    <row r="1" spans="1:39" x14ac:dyDescent="0.2">
      <c r="A1" s="103" t="s">
        <v>76</v>
      </c>
      <c r="B1" s="103" t="s">
        <v>77</v>
      </c>
      <c r="C1" s="104" t="s">
        <v>78</v>
      </c>
      <c r="D1" s="103" t="s">
        <v>79</v>
      </c>
      <c r="E1" s="103" t="s">
        <v>80</v>
      </c>
      <c r="F1" s="103" t="s">
        <v>81</v>
      </c>
      <c r="G1" s="103" t="s">
        <v>82</v>
      </c>
      <c r="H1" s="103" t="s">
        <v>83</v>
      </c>
      <c r="I1" s="103" t="s">
        <v>84</v>
      </c>
      <c r="J1" s="104" t="s">
        <v>85</v>
      </c>
      <c r="K1" s="103" t="s">
        <v>86</v>
      </c>
      <c r="L1" s="104" t="s">
        <v>87</v>
      </c>
      <c r="M1" s="104" t="s">
        <v>88</v>
      </c>
      <c r="N1" s="103" t="s">
        <v>89</v>
      </c>
      <c r="O1" s="103" t="s">
        <v>90</v>
      </c>
      <c r="P1" s="103" t="s">
        <v>91</v>
      </c>
      <c r="Q1" s="103" t="s">
        <v>92</v>
      </c>
      <c r="R1" s="103" t="s">
        <v>93</v>
      </c>
      <c r="S1" s="103" t="s">
        <v>94</v>
      </c>
      <c r="T1" s="103" t="s">
        <v>95</v>
      </c>
      <c r="U1" s="104" t="s">
        <v>96</v>
      </c>
      <c r="V1" s="104" t="s">
        <v>97</v>
      </c>
      <c r="W1" s="103" t="s">
        <v>98</v>
      </c>
      <c r="X1" s="103" t="s">
        <v>99</v>
      </c>
      <c r="Y1" s="103" t="s">
        <v>100</v>
      </c>
      <c r="Z1" s="103" t="s">
        <v>101</v>
      </c>
      <c r="AA1" s="103" t="s">
        <v>102</v>
      </c>
      <c r="AB1" s="103" t="s">
        <v>103</v>
      </c>
      <c r="AC1" s="103" t="s">
        <v>104</v>
      </c>
      <c r="AD1" s="103" t="s">
        <v>105</v>
      </c>
      <c r="AE1" s="103" t="s">
        <v>106</v>
      </c>
      <c r="AF1" s="103" t="s">
        <v>107</v>
      </c>
      <c r="AG1" s="103" t="s">
        <v>108</v>
      </c>
      <c r="AH1" s="104" t="s">
        <v>109</v>
      </c>
      <c r="AI1" s="104" t="s">
        <v>110</v>
      </c>
      <c r="AJ1" s="103" t="s">
        <v>111</v>
      </c>
      <c r="AK1" s="103" t="s">
        <v>676</v>
      </c>
      <c r="AL1" s="104" t="s">
        <v>112</v>
      </c>
      <c r="AM1" s="103" t="s">
        <v>113</v>
      </c>
    </row>
    <row r="2" spans="1:39" x14ac:dyDescent="0.2">
      <c r="A2" t="s">
        <v>0</v>
      </c>
      <c r="B2" t="s">
        <v>1</v>
      </c>
      <c r="C2" t="s">
        <v>992</v>
      </c>
      <c r="D2" t="s">
        <v>19</v>
      </c>
      <c r="E2" t="s">
        <v>20</v>
      </c>
      <c r="F2" t="s">
        <v>993</v>
      </c>
      <c r="G2" s="2">
        <v>46055</v>
      </c>
      <c r="H2" s="3">
        <v>0.41876157407407</v>
      </c>
      <c r="I2" t="s">
        <v>25</v>
      </c>
      <c r="J2" t="s">
        <v>26</v>
      </c>
      <c r="K2" s="102">
        <v>-4</v>
      </c>
      <c r="L2" t="s">
        <v>7</v>
      </c>
      <c r="M2" t="s">
        <v>7</v>
      </c>
      <c r="N2" s="102">
        <v>-4</v>
      </c>
      <c r="O2" t="s">
        <v>21</v>
      </c>
      <c r="P2" s="2">
        <v>46055</v>
      </c>
      <c r="Q2" s="2">
        <v>46055</v>
      </c>
      <c r="R2" s="4">
        <v>-156168</v>
      </c>
      <c r="S2" t="s">
        <v>8</v>
      </c>
      <c r="T2" t="s">
        <v>8</v>
      </c>
      <c r="U2" t="s">
        <v>8</v>
      </c>
      <c r="V2" t="s">
        <v>28</v>
      </c>
      <c r="W2" t="s">
        <v>994</v>
      </c>
      <c r="X2" t="s">
        <v>8</v>
      </c>
      <c r="Y2" t="s">
        <v>10</v>
      </c>
      <c r="Z2" t="s">
        <v>8</v>
      </c>
      <c r="AA2" t="s">
        <v>11</v>
      </c>
      <c r="AB2" t="s">
        <v>8</v>
      </c>
      <c r="AC2" t="s">
        <v>12</v>
      </c>
      <c r="AD2" t="s">
        <v>11</v>
      </c>
      <c r="AE2" t="s">
        <v>8</v>
      </c>
      <c r="AF2" t="s">
        <v>13</v>
      </c>
      <c r="AG2" t="s">
        <v>8</v>
      </c>
      <c r="AH2" t="s">
        <v>8</v>
      </c>
      <c r="AI2" t="s">
        <v>8</v>
      </c>
      <c r="AJ2" t="s">
        <v>8</v>
      </c>
      <c r="AK2" t="s">
        <v>8</v>
      </c>
      <c r="AL2" t="s">
        <v>14</v>
      </c>
      <c r="AM2" t="s">
        <v>15</v>
      </c>
    </row>
    <row r="3" spans="1:39" x14ac:dyDescent="0.2">
      <c r="A3" t="s">
        <v>0</v>
      </c>
      <c r="B3" t="s">
        <v>1</v>
      </c>
      <c r="C3" t="s">
        <v>992</v>
      </c>
      <c r="D3" t="s">
        <v>19</v>
      </c>
      <c r="E3" t="s">
        <v>20</v>
      </c>
      <c r="F3" t="s">
        <v>993</v>
      </c>
      <c r="G3" s="2">
        <v>46055</v>
      </c>
      <c r="H3" s="3">
        <v>0.41876157407407</v>
      </c>
      <c r="I3" t="s">
        <v>25</v>
      </c>
      <c r="J3" t="s">
        <v>26</v>
      </c>
      <c r="K3" s="102">
        <v>-38</v>
      </c>
      <c r="L3" t="s">
        <v>7</v>
      </c>
      <c r="M3" t="s">
        <v>7</v>
      </c>
      <c r="N3" s="102">
        <v>-38</v>
      </c>
      <c r="O3" t="s">
        <v>21</v>
      </c>
      <c r="P3" s="2">
        <v>46055</v>
      </c>
      <c r="Q3" s="2">
        <v>46055</v>
      </c>
      <c r="R3" s="4">
        <v>-1483596</v>
      </c>
      <c r="S3" t="s">
        <v>8</v>
      </c>
      <c r="T3" t="s">
        <v>8</v>
      </c>
      <c r="U3" t="s">
        <v>8</v>
      </c>
      <c r="V3" t="s">
        <v>30</v>
      </c>
      <c r="W3" t="s">
        <v>995</v>
      </c>
      <c r="X3" t="s">
        <v>8</v>
      </c>
      <c r="Y3" t="s">
        <v>10</v>
      </c>
      <c r="Z3" t="s">
        <v>8</v>
      </c>
      <c r="AA3" t="s">
        <v>11</v>
      </c>
      <c r="AB3" t="s">
        <v>8</v>
      </c>
      <c r="AC3" t="s">
        <v>12</v>
      </c>
      <c r="AD3" t="s">
        <v>11</v>
      </c>
      <c r="AE3" t="s">
        <v>8</v>
      </c>
      <c r="AF3" t="s">
        <v>13</v>
      </c>
      <c r="AG3" t="s">
        <v>8</v>
      </c>
      <c r="AH3" t="s">
        <v>8</v>
      </c>
      <c r="AI3" t="s">
        <v>8</v>
      </c>
      <c r="AJ3" t="s">
        <v>8</v>
      </c>
      <c r="AK3" t="s">
        <v>8</v>
      </c>
      <c r="AL3" t="s">
        <v>14</v>
      </c>
      <c r="AM3" t="s">
        <v>15</v>
      </c>
    </row>
    <row r="4" spans="1:39" x14ac:dyDescent="0.2">
      <c r="A4" t="s">
        <v>0</v>
      </c>
      <c r="B4" t="s">
        <v>1</v>
      </c>
      <c r="C4" t="s">
        <v>992</v>
      </c>
      <c r="D4" t="s">
        <v>19</v>
      </c>
      <c r="E4" t="s">
        <v>20</v>
      </c>
      <c r="F4" t="s">
        <v>993</v>
      </c>
      <c r="G4" s="2">
        <v>46055</v>
      </c>
      <c r="H4" s="3">
        <v>0.41876157407407</v>
      </c>
      <c r="I4" t="s">
        <v>25</v>
      </c>
      <c r="J4" t="s">
        <v>26</v>
      </c>
      <c r="K4" s="102">
        <v>-9</v>
      </c>
      <c r="L4" t="s">
        <v>7</v>
      </c>
      <c r="M4" t="s">
        <v>7</v>
      </c>
      <c r="N4" s="102">
        <v>-9</v>
      </c>
      <c r="O4" t="s">
        <v>21</v>
      </c>
      <c r="P4" s="2">
        <v>46055</v>
      </c>
      <c r="Q4" s="2">
        <v>46055</v>
      </c>
      <c r="R4" s="4">
        <v>-351378</v>
      </c>
      <c r="S4" t="s">
        <v>8</v>
      </c>
      <c r="T4" t="s">
        <v>8</v>
      </c>
      <c r="U4" t="s">
        <v>8</v>
      </c>
      <c r="V4" t="s">
        <v>27</v>
      </c>
      <c r="W4" t="s">
        <v>996</v>
      </c>
      <c r="X4" t="s">
        <v>8</v>
      </c>
      <c r="Y4" t="s">
        <v>10</v>
      </c>
      <c r="Z4" t="s">
        <v>8</v>
      </c>
      <c r="AA4" t="s">
        <v>11</v>
      </c>
      <c r="AB4" t="s">
        <v>8</v>
      </c>
      <c r="AC4" t="s">
        <v>12</v>
      </c>
      <c r="AD4" t="s">
        <v>11</v>
      </c>
      <c r="AE4" t="s">
        <v>8</v>
      </c>
      <c r="AF4" t="s">
        <v>13</v>
      </c>
      <c r="AG4" t="s">
        <v>8</v>
      </c>
      <c r="AH4" t="s">
        <v>8</v>
      </c>
      <c r="AI4" t="s">
        <v>8</v>
      </c>
      <c r="AJ4" t="s">
        <v>8</v>
      </c>
      <c r="AK4" t="s">
        <v>8</v>
      </c>
      <c r="AL4" t="s">
        <v>14</v>
      </c>
      <c r="AM4" t="s">
        <v>15</v>
      </c>
    </row>
    <row r="5" spans="1:39" x14ac:dyDescent="0.2">
      <c r="A5" t="s">
        <v>0</v>
      </c>
      <c r="B5" t="s">
        <v>1</v>
      </c>
      <c r="C5" t="s">
        <v>992</v>
      </c>
      <c r="D5" t="s">
        <v>19</v>
      </c>
      <c r="E5" t="s">
        <v>20</v>
      </c>
      <c r="F5" t="s">
        <v>997</v>
      </c>
      <c r="G5" s="2">
        <v>46055</v>
      </c>
      <c r="H5" s="3">
        <v>0.45128472222221999</v>
      </c>
      <c r="I5" t="s">
        <v>25</v>
      </c>
      <c r="J5" t="s">
        <v>26</v>
      </c>
      <c r="K5" s="102">
        <v>-12</v>
      </c>
      <c r="L5" t="s">
        <v>7</v>
      </c>
      <c r="M5" t="s">
        <v>7</v>
      </c>
      <c r="N5" s="102">
        <v>-12</v>
      </c>
      <c r="O5" t="s">
        <v>21</v>
      </c>
      <c r="P5" s="2">
        <v>46055</v>
      </c>
      <c r="Q5" s="2">
        <v>46055</v>
      </c>
      <c r="R5" s="4">
        <v>-468504</v>
      </c>
      <c r="S5" t="s">
        <v>8</v>
      </c>
      <c r="T5" t="s">
        <v>8</v>
      </c>
      <c r="U5" t="s">
        <v>8</v>
      </c>
      <c r="V5" t="s">
        <v>27</v>
      </c>
      <c r="W5" t="s">
        <v>998</v>
      </c>
      <c r="X5" t="s">
        <v>8</v>
      </c>
      <c r="Y5" t="s">
        <v>10</v>
      </c>
      <c r="Z5" t="s">
        <v>8</v>
      </c>
      <c r="AA5" t="s">
        <v>11</v>
      </c>
      <c r="AB5" t="s">
        <v>8</v>
      </c>
      <c r="AC5" t="s">
        <v>12</v>
      </c>
      <c r="AD5" t="s">
        <v>11</v>
      </c>
      <c r="AE5" t="s">
        <v>8</v>
      </c>
      <c r="AF5" t="s">
        <v>13</v>
      </c>
      <c r="AG5" t="s">
        <v>8</v>
      </c>
      <c r="AH5" t="s">
        <v>8</v>
      </c>
      <c r="AI5" t="s">
        <v>8</v>
      </c>
      <c r="AJ5" t="s">
        <v>8</v>
      </c>
      <c r="AK5" t="s">
        <v>8</v>
      </c>
      <c r="AL5" t="s">
        <v>14</v>
      </c>
      <c r="AM5" t="s">
        <v>15</v>
      </c>
    </row>
    <row r="6" spans="1:39" x14ac:dyDescent="0.2">
      <c r="A6" t="s">
        <v>0</v>
      </c>
      <c r="B6" t="s">
        <v>1</v>
      </c>
      <c r="C6" t="s">
        <v>992</v>
      </c>
      <c r="D6" t="s">
        <v>19</v>
      </c>
      <c r="E6" t="s">
        <v>20</v>
      </c>
      <c r="F6" t="s">
        <v>999</v>
      </c>
      <c r="G6" s="2">
        <v>46055</v>
      </c>
      <c r="H6" s="3">
        <v>0.44937500000000002</v>
      </c>
      <c r="I6" t="s">
        <v>25</v>
      </c>
      <c r="J6" t="s">
        <v>26</v>
      </c>
      <c r="K6" s="102">
        <v>-8</v>
      </c>
      <c r="L6" t="s">
        <v>7</v>
      </c>
      <c r="M6" t="s">
        <v>7</v>
      </c>
      <c r="N6" s="102">
        <v>-8</v>
      </c>
      <c r="O6" t="s">
        <v>21</v>
      </c>
      <c r="P6" s="2">
        <v>46055</v>
      </c>
      <c r="Q6" s="2">
        <v>46055</v>
      </c>
      <c r="R6" s="4">
        <v>-312336</v>
      </c>
      <c r="S6" t="s">
        <v>8</v>
      </c>
      <c r="T6" t="s">
        <v>8</v>
      </c>
      <c r="U6" t="s">
        <v>8</v>
      </c>
      <c r="V6" t="s">
        <v>27</v>
      </c>
      <c r="W6" t="s">
        <v>1000</v>
      </c>
      <c r="X6" t="s">
        <v>8</v>
      </c>
      <c r="Y6" t="s">
        <v>10</v>
      </c>
      <c r="Z6" t="s">
        <v>8</v>
      </c>
      <c r="AA6" t="s">
        <v>11</v>
      </c>
      <c r="AB6" t="s">
        <v>8</v>
      </c>
      <c r="AC6" t="s">
        <v>12</v>
      </c>
      <c r="AD6" t="s">
        <v>11</v>
      </c>
      <c r="AE6" t="s">
        <v>8</v>
      </c>
      <c r="AF6" t="s">
        <v>13</v>
      </c>
      <c r="AG6" t="s">
        <v>8</v>
      </c>
      <c r="AH6" t="s">
        <v>8</v>
      </c>
      <c r="AI6" t="s">
        <v>8</v>
      </c>
      <c r="AJ6" t="s">
        <v>8</v>
      </c>
      <c r="AK6" t="s">
        <v>8</v>
      </c>
      <c r="AL6" t="s">
        <v>14</v>
      </c>
      <c r="AM6" t="s">
        <v>15</v>
      </c>
    </row>
    <row r="7" spans="1:39" x14ac:dyDescent="0.2">
      <c r="A7" t="s">
        <v>0</v>
      </c>
      <c r="B7" t="s">
        <v>1</v>
      </c>
      <c r="C7" t="s">
        <v>992</v>
      </c>
      <c r="D7" t="s">
        <v>19</v>
      </c>
      <c r="E7" t="s">
        <v>20</v>
      </c>
      <c r="F7" t="s">
        <v>999</v>
      </c>
      <c r="G7" s="2">
        <v>46055</v>
      </c>
      <c r="H7" s="3">
        <v>0.44937500000000002</v>
      </c>
      <c r="I7" t="s">
        <v>25</v>
      </c>
      <c r="J7" t="s">
        <v>26</v>
      </c>
      <c r="K7" s="102">
        <v>-4</v>
      </c>
      <c r="L7" t="s">
        <v>7</v>
      </c>
      <c r="M7" t="s">
        <v>7</v>
      </c>
      <c r="N7" s="102">
        <v>-4</v>
      </c>
      <c r="O7" t="s">
        <v>21</v>
      </c>
      <c r="P7" s="2">
        <v>46055</v>
      </c>
      <c r="Q7" s="2">
        <v>46055</v>
      </c>
      <c r="R7" s="4">
        <v>-156168</v>
      </c>
      <c r="S7" t="s">
        <v>8</v>
      </c>
      <c r="T7" t="s">
        <v>8</v>
      </c>
      <c r="U7" t="s">
        <v>8</v>
      </c>
      <c r="V7" t="s">
        <v>9</v>
      </c>
      <c r="W7" t="s">
        <v>1001</v>
      </c>
      <c r="X7" t="s">
        <v>8</v>
      </c>
      <c r="Y7" t="s">
        <v>10</v>
      </c>
      <c r="Z7" t="s">
        <v>8</v>
      </c>
      <c r="AA7" t="s">
        <v>11</v>
      </c>
      <c r="AB7" t="s">
        <v>8</v>
      </c>
      <c r="AC7" t="s">
        <v>12</v>
      </c>
      <c r="AD7" t="s">
        <v>11</v>
      </c>
      <c r="AE7" t="s">
        <v>8</v>
      </c>
      <c r="AF7" t="s">
        <v>13</v>
      </c>
      <c r="AG7" t="s">
        <v>8</v>
      </c>
      <c r="AH7" t="s">
        <v>8</v>
      </c>
      <c r="AI7" t="s">
        <v>8</v>
      </c>
      <c r="AJ7" t="s">
        <v>8</v>
      </c>
      <c r="AK7" t="s">
        <v>8</v>
      </c>
      <c r="AL7" t="s">
        <v>14</v>
      </c>
      <c r="AM7" t="s">
        <v>15</v>
      </c>
    </row>
    <row r="8" spans="1:39" x14ac:dyDescent="0.2">
      <c r="A8" t="s">
        <v>0</v>
      </c>
      <c r="B8" t="s">
        <v>1</v>
      </c>
      <c r="C8" t="s">
        <v>992</v>
      </c>
      <c r="D8" t="s">
        <v>19</v>
      </c>
      <c r="E8" t="s">
        <v>20</v>
      </c>
      <c r="F8" t="s">
        <v>997</v>
      </c>
      <c r="G8" s="2">
        <v>46055</v>
      </c>
      <c r="H8" s="3">
        <v>0.45128472222221999</v>
      </c>
      <c r="I8" t="s">
        <v>25</v>
      </c>
      <c r="J8" t="s">
        <v>26</v>
      </c>
      <c r="K8" s="102">
        <v>-26</v>
      </c>
      <c r="L8" t="s">
        <v>7</v>
      </c>
      <c r="M8" t="s">
        <v>7</v>
      </c>
      <c r="N8" s="102">
        <v>-26</v>
      </c>
      <c r="O8" t="s">
        <v>21</v>
      </c>
      <c r="P8" s="2">
        <v>46055</v>
      </c>
      <c r="Q8" s="2">
        <v>46055</v>
      </c>
      <c r="R8" s="4">
        <v>-1015092</v>
      </c>
      <c r="S8" t="s">
        <v>8</v>
      </c>
      <c r="T8" t="s">
        <v>8</v>
      </c>
      <c r="U8" t="s">
        <v>8</v>
      </c>
      <c r="V8" t="s">
        <v>9</v>
      </c>
      <c r="W8" t="s">
        <v>998</v>
      </c>
      <c r="X8" t="s">
        <v>8</v>
      </c>
      <c r="Y8" t="s">
        <v>10</v>
      </c>
      <c r="Z8" t="s">
        <v>8</v>
      </c>
      <c r="AA8" t="s">
        <v>11</v>
      </c>
      <c r="AB8" t="s">
        <v>8</v>
      </c>
      <c r="AC8" t="s">
        <v>12</v>
      </c>
      <c r="AD8" t="s">
        <v>11</v>
      </c>
      <c r="AE8" t="s">
        <v>8</v>
      </c>
      <c r="AF8" t="s">
        <v>13</v>
      </c>
      <c r="AG8" t="s">
        <v>8</v>
      </c>
      <c r="AH8" t="s">
        <v>8</v>
      </c>
      <c r="AI8" t="s">
        <v>8</v>
      </c>
      <c r="AJ8" t="s">
        <v>8</v>
      </c>
      <c r="AK8" t="s">
        <v>8</v>
      </c>
      <c r="AL8" t="s">
        <v>14</v>
      </c>
      <c r="AM8" t="s">
        <v>15</v>
      </c>
    </row>
    <row r="9" spans="1:39" x14ac:dyDescent="0.2">
      <c r="A9" t="s">
        <v>0</v>
      </c>
      <c r="B9" t="s">
        <v>1</v>
      </c>
      <c r="C9" t="s">
        <v>992</v>
      </c>
      <c r="D9" t="s">
        <v>19</v>
      </c>
      <c r="E9" t="s">
        <v>20</v>
      </c>
      <c r="F9" t="s">
        <v>999</v>
      </c>
      <c r="G9" s="2">
        <v>46055</v>
      </c>
      <c r="H9" s="3">
        <v>0.44937500000000002</v>
      </c>
      <c r="I9" t="s">
        <v>25</v>
      </c>
      <c r="J9" t="s">
        <v>26</v>
      </c>
      <c r="K9" s="102">
        <v>-17</v>
      </c>
      <c r="L9" t="s">
        <v>7</v>
      </c>
      <c r="M9" t="s">
        <v>7</v>
      </c>
      <c r="N9" s="102">
        <v>-17</v>
      </c>
      <c r="O9" t="s">
        <v>21</v>
      </c>
      <c r="P9" s="2">
        <v>46055</v>
      </c>
      <c r="Q9" s="2">
        <v>46055</v>
      </c>
      <c r="R9" s="4">
        <v>-663714</v>
      </c>
      <c r="S9" t="s">
        <v>8</v>
      </c>
      <c r="T9" t="s">
        <v>8</v>
      </c>
      <c r="U9" t="s">
        <v>8</v>
      </c>
      <c r="V9" t="s">
        <v>34</v>
      </c>
      <c r="W9" t="s">
        <v>1002</v>
      </c>
      <c r="X9" t="s">
        <v>8</v>
      </c>
      <c r="Y9" t="s">
        <v>10</v>
      </c>
      <c r="Z9" t="s">
        <v>8</v>
      </c>
      <c r="AA9" t="s">
        <v>11</v>
      </c>
      <c r="AB9" t="s">
        <v>8</v>
      </c>
      <c r="AC9" t="s">
        <v>12</v>
      </c>
      <c r="AD9" t="s">
        <v>11</v>
      </c>
      <c r="AE9" t="s">
        <v>8</v>
      </c>
      <c r="AF9" t="s">
        <v>13</v>
      </c>
      <c r="AG9" t="s">
        <v>8</v>
      </c>
      <c r="AH9" t="s">
        <v>8</v>
      </c>
      <c r="AI9" t="s">
        <v>8</v>
      </c>
      <c r="AJ9" t="s">
        <v>8</v>
      </c>
      <c r="AK9" t="s">
        <v>8</v>
      </c>
      <c r="AL9" t="s">
        <v>14</v>
      </c>
      <c r="AM9" t="s">
        <v>15</v>
      </c>
    </row>
    <row r="10" spans="1:39" x14ac:dyDescent="0.2">
      <c r="A10" t="s">
        <v>0</v>
      </c>
      <c r="B10" t="s">
        <v>1</v>
      </c>
      <c r="C10" t="s">
        <v>992</v>
      </c>
      <c r="D10" t="s">
        <v>19</v>
      </c>
      <c r="E10" t="s">
        <v>20</v>
      </c>
      <c r="F10" t="s">
        <v>993</v>
      </c>
      <c r="G10" s="2">
        <v>46055</v>
      </c>
      <c r="H10" s="3">
        <v>0.41876157407407</v>
      </c>
      <c r="I10" t="s">
        <v>25</v>
      </c>
      <c r="J10" t="s">
        <v>26</v>
      </c>
      <c r="K10" s="102">
        <v>-10</v>
      </c>
      <c r="L10" t="s">
        <v>7</v>
      </c>
      <c r="M10" t="s">
        <v>7</v>
      </c>
      <c r="N10" s="102">
        <v>-10</v>
      </c>
      <c r="O10" t="s">
        <v>21</v>
      </c>
      <c r="P10" s="2">
        <v>46055</v>
      </c>
      <c r="Q10" s="2">
        <v>46055</v>
      </c>
      <c r="R10" s="4">
        <v>-390420</v>
      </c>
      <c r="S10" t="s">
        <v>8</v>
      </c>
      <c r="T10" t="s">
        <v>8</v>
      </c>
      <c r="U10" t="s">
        <v>8</v>
      </c>
      <c r="V10" t="s">
        <v>9</v>
      </c>
      <c r="W10" t="s">
        <v>1003</v>
      </c>
      <c r="X10" t="s">
        <v>8</v>
      </c>
      <c r="Y10" t="s">
        <v>10</v>
      </c>
      <c r="Z10" t="s">
        <v>8</v>
      </c>
      <c r="AA10" t="s">
        <v>11</v>
      </c>
      <c r="AB10" t="s">
        <v>8</v>
      </c>
      <c r="AC10" t="s">
        <v>12</v>
      </c>
      <c r="AD10" t="s">
        <v>11</v>
      </c>
      <c r="AE10" t="s">
        <v>8</v>
      </c>
      <c r="AF10" t="s">
        <v>13</v>
      </c>
      <c r="AG10" t="s">
        <v>8</v>
      </c>
      <c r="AH10" t="s">
        <v>8</v>
      </c>
      <c r="AI10" t="s">
        <v>8</v>
      </c>
      <c r="AJ10" t="s">
        <v>8</v>
      </c>
      <c r="AK10" t="s">
        <v>8</v>
      </c>
      <c r="AL10" t="s">
        <v>14</v>
      </c>
      <c r="AM10" t="s">
        <v>15</v>
      </c>
    </row>
    <row r="11" spans="1:39" x14ac:dyDescent="0.2">
      <c r="A11" t="s">
        <v>0</v>
      </c>
      <c r="B11" t="s">
        <v>1</v>
      </c>
      <c r="C11" t="s">
        <v>992</v>
      </c>
      <c r="D11" t="s">
        <v>19</v>
      </c>
      <c r="E11" t="s">
        <v>20</v>
      </c>
      <c r="F11" t="s">
        <v>999</v>
      </c>
      <c r="G11" s="2">
        <v>46055</v>
      </c>
      <c r="H11" s="3">
        <v>0.44937500000000002</v>
      </c>
      <c r="I11" t="s">
        <v>5</v>
      </c>
      <c r="J11" t="s">
        <v>6</v>
      </c>
      <c r="K11" s="102">
        <v>24</v>
      </c>
      <c r="L11" t="s">
        <v>7</v>
      </c>
      <c r="M11" t="s">
        <v>7</v>
      </c>
      <c r="N11" s="102">
        <v>24</v>
      </c>
      <c r="O11" t="s">
        <v>21</v>
      </c>
      <c r="P11" s="2">
        <v>46055</v>
      </c>
      <c r="Q11" s="2">
        <v>46055</v>
      </c>
      <c r="R11" s="4">
        <v>937008</v>
      </c>
      <c r="S11" t="s">
        <v>8</v>
      </c>
      <c r="T11" t="s">
        <v>8</v>
      </c>
      <c r="U11" t="s">
        <v>8</v>
      </c>
      <c r="V11" t="s">
        <v>24</v>
      </c>
      <c r="W11" t="s">
        <v>1004</v>
      </c>
      <c r="X11" t="s">
        <v>8</v>
      </c>
      <c r="Y11" t="s">
        <v>10</v>
      </c>
      <c r="Z11" t="s">
        <v>8</v>
      </c>
      <c r="AA11" t="s">
        <v>11</v>
      </c>
      <c r="AB11" t="s">
        <v>8</v>
      </c>
      <c r="AC11" t="s">
        <v>12</v>
      </c>
      <c r="AD11" t="s">
        <v>11</v>
      </c>
      <c r="AE11" t="s">
        <v>8</v>
      </c>
      <c r="AF11" t="s">
        <v>13</v>
      </c>
      <c r="AG11" t="s">
        <v>8</v>
      </c>
      <c r="AH11" t="s">
        <v>8</v>
      </c>
      <c r="AI11" t="s">
        <v>8</v>
      </c>
      <c r="AJ11" t="s">
        <v>8</v>
      </c>
      <c r="AK11" t="s">
        <v>8</v>
      </c>
      <c r="AL11" t="s">
        <v>14</v>
      </c>
      <c r="AM11" t="s">
        <v>15</v>
      </c>
    </row>
    <row r="12" spans="1:39" x14ac:dyDescent="0.2">
      <c r="A12" t="s">
        <v>0</v>
      </c>
      <c r="B12" t="s">
        <v>1</v>
      </c>
      <c r="C12" t="s">
        <v>992</v>
      </c>
      <c r="D12" t="s">
        <v>19</v>
      </c>
      <c r="E12" t="s">
        <v>20</v>
      </c>
      <c r="F12" t="s">
        <v>999</v>
      </c>
      <c r="G12" s="2">
        <v>46055</v>
      </c>
      <c r="H12" s="3">
        <v>0.44937500000000002</v>
      </c>
      <c r="I12" t="s">
        <v>25</v>
      </c>
      <c r="J12" t="s">
        <v>26</v>
      </c>
      <c r="K12" s="102">
        <v>-8</v>
      </c>
      <c r="L12" t="s">
        <v>7</v>
      </c>
      <c r="M12" t="s">
        <v>7</v>
      </c>
      <c r="N12" s="102">
        <v>-8</v>
      </c>
      <c r="O12" t="s">
        <v>21</v>
      </c>
      <c r="P12" s="2">
        <v>46055</v>
      </c>
      <c r="Q12" s="2">
        <v>46055</v>
      </c>
      <c r="R12" s="4">
        <v>-312336</v>
      </c>
      <c r="S12" t="s">
        <v>8</v>
      </c>
      <c r="T12" t="s">
        <v>8</v>
      </c>
      <c r="U12" t="s">
        <v>8</v>
      </c>
      <c r="V12" t="s">
        <v>28</v>
      </c>
      <c r="W12" t="s">
        <v>1005</v>
      </c>
      <c r="X12" t="s">
        <v>8</v>
      </c>
      <c r="Y12" t="s">
        <v>10</v>
      </c>
      <c r="Z12" t="s">
        <v>8</v>
      </c>
      <c r="AA12" t="s">
        <v>11</v>
      </c>
      <c r="AB12" t="s">
        <v>8</v>
      </c>
      <c r="AC12" t="s">
        <v>12</v>
      </c>
      <c r="AD12" t="s">
        <v>11</v>
      </c>
      <c r="AE12" t="s">
        <v>8</v>
      </c>
      <c r="AF12" t="s">
        <v>13</v>
      </c>
      <c r="AG12" t="s">
        <v>8</v>
      </c>
      <c r="AH12" t="s">
        <v>8</v>
      </c>
      <c r="AI12" t="s">
        <v>8</v>
      </c>
      <c r="AJ12" t="s">
        <v>8</v>
      </c>
      <c r="AK12" t="s">
        <v>8</v>
      </c>
      <c r="AL12" t="s">
        <v>14</v>
      </c>
      <c r="AM12" t="s">
        <v>15</v>
      </c>
    </row>
    <row r="13" spans="1:39" x14ac:dyDescent="0.2">
      <c r="A13" t="s">
        <v>0</v>
      </c>
      <c r="B13" t="s">
        <v>1</v>
      </c>
      <c r="C13" t="s">
        <v>992</v>
      </c>
      <c r="D13" t="s">
        <v>19</v>
      </c>
      <c r="E13" t="s">
        <v>20</v>
      </c>
      <c r="F13" t="s">
        <v>999</v>
      </c>
      <c r="G13" s="2">
        <v>46055</v>
      </c>
      <c r="H13" s="3">
        <v>0.44937500000000002</v>
      </c>
      <c r="I13" t="s">
        <v>25</v>
      </c>
      <c r="J13" t="s">
        <v>26</v>
      </c>
      <c r="K13" s="102">
        <v>-21</v>
      </c>
      <c r="L13" t="s">
        <v>7</v>
      </c>
      <c r="M13" t="s">
        <v>7</v>
      </c>
      <c r="N13" s="102">
        <v>-21</v>
      </c>
      <c r="O13" t="s">
        <v>21</v>
      </c>
      <c r="P13" s="2">
        <v>46055</v>
      </c>
      <c r="Q13" s="2">
        <v>46055</v>
      </c>
      <c r="R13" s="4">
        <v>-819882</v>
      </c>
      <c r="S13" t="s">
        <v>8</v>
      </c>
      <c r="T13" t="s">
        <v>8</v>
      </c>
      <c r="U13" t="s">
        <v>8</v>
      </c>
      <c r="V13" t="s">
        <v>29</v>
      </c>
      <c r="W13" t="s">
        <v>13</v>
      </c>
      <c r="X13" t="s">
        <v>8</v>
      </c>
      <c r="Y13" t="s">
        <v>10</v>
      </c>
      <c r="Z13" t="s">
        <v>8</v>
      </c>
      <c r="AA13" t="s">
        <v>11</v>
      </c>
      <c r="AB13" t="s">
        <v>8</v>
      </c>
      <c r="AC13" t="s">
        <v>12</v>
      </c>
      <c r="AD13" t="s">
        <v>11</v>
      </c>
      <c r="AE13" t="s">
        <v>8</v>
      </c>
      <c r="AF13" t="s">
        <v>13</v>
      </c>
      <c r="AG13" t="s">
        <v>8</v>
      </c>
      <c r="AH13" t="s">
        <v>8</v>
      </c>
      <c r="AI13" t="s">
        <v>8</v>
      </c>
      <c r="AJ13" t="s">
        <v>8</v>
      </c>
      <c r="AK13" t="s">
        <v>8</v>
      </c>
      <c r="AL13" t="s">
        <v>14</v>
      </c>
      <c r="AM13" t="s">
        <v>15</v>
      </c>
    </row>
    <row r="14" spans="1:39" x14ac:dyDescent="0.2">
      <c r="A14" t="s">
        <v>0</v>
      </c>
      <c r="B14" t="s">
        <v>1</v>
      </c>
      <c r="C14" t="s">
        <v>992</v>
      </c>
      <c r="D14" t="s">
        <v>19</v>
      </c>
      <c r="E14" t="s">
        <v>20</v>
      </c>
      <c r="F14" t="s">
        <v>999</v>
      </c>
      <c r="G14" s="2">
        <v>46055</v>
      </c>
      <c r="H14" s="3">
        <v>0.44937500000000002</v>
      </c>
      <c r="I14" t="s">
        <v>25</v>
      </c>
      <c r="J14" t="s">
        <v>26</v>
      </c>
      <c r="K14" s="102">
        <v>-11</v>
      </c>
      <c r="L14" t="s">
        <v>7</v>
      </c>
      <c r="M14" t="s">
        <v>7</v>
      </c>
      <c r="N14" s="102">
        <v>-11</v>
      </c>
      <c r="O14" t="s">
        <v>21</v>
      </c>
      <c r="P14" s="2">
        <v>46055</v>
      </c>
      <c r="Q14" s="2">
        <v>46055</v>
      </c>
      <c r="R14" s="4">
        <v>-429462</v>
      </c>
      <c r="S14" t="s">
        <v>8</v>
      </c>
      <c r="T14" t="s">
        <v>8</v>
      </c>
      <c r="U14" t="s">
        <v>8</v>
      </c>
      <c r="V14" t="s">
        <v>30</v>
      </c>
      <c r="W14" t="s">
        <v>1006</v>
      </c>
      <c r="X14" t="s">
        <v>8</v>
      </c>
      <c r="Y14" t="s">
        <v>10</v>
      </c>
      <c r="Z14" t="s">
        <v>8</v>
      </c>
      <c r="AA14" t="s">
        <v>11</v>
      </c>
      <c r="AB14" t="s">
        <v>8</v>
      </c>
      <c r="AC14" t="s">
        <v>12</v>
      </c>
      <c r="AD14" t="s">
        <v>11</v>
      </c>
      <c r="AE14" t="s">
        <v>8</v>
      </c>
      <c r="AF14" t="s">
        <v>13</v>
      </c>
      <c r="AG14" t="s">
        <v>8</v>
      </c>
      <c r="AH14" t="s">
        <v>8</v>
      </c>
      <c r="AI14" t="s">
        <v>8</v>
      </c>
      <c r="AJ14" t="s">
        <v>8</v>
      </c>
      <c r="AK14" t="s">
        <v>8</v>
      </c>
      <c r="AL14" t="s">
        <v>14</v>
      </c>
      <c r="AM14" t="s">
        <v>15</v>
      </c>
    </row>
    <row r="15" spans="1:39" x14ac:dyDescent="0.2">
      <c r="A15" t="s">
        <v>0</v>
      </c>
      <c r="B15" t="s">
        <v>1</v>
      </c>
      <c r="C15" t="s">
        <v>992</v>
      </c>
      <c r="D15" t="s">
        <v>19</v>
      </c>
      <c r="E15" t="s">
        <v>20</v>
      </c>
      <c r="F15" t="s">
        <v>999</v>
      </c>
      <c r="G15" s="2">
        <v>46055</v>
      </c>
      <c r="H15" s="3">
        <v>0.44937500000000002</v>
      </c>
      <c r="I15" t="s">
        <v>5</v>
      </c>
      <c r="J15" t="s">
        <v>6</v>
      </c>
      <c r="K15" s="102">
        <v>3</v>
      </c>
      <c r="L15" t="s">
        <v>7</v>
      </c>
      <c r="M15" t="s">
        <v>7</v>
      </c>
      <c r="N15" s="102">
        <v>3</v>
      </c>
      <c r="O15" t="s">
        <v>21</v>
      </c>
      <c r="P15" s="2">
        <v>46055</v>
      </c>
      <c r="Q15" s="2">
        <v>46055</v>
      </c>
      <c r="R15" s="4">
        <v>117126</v>
      </c>
      <c r="S15" t="s">
        <v>8</v>
      </c>
      <c r="T15" t="s">
        <v>8</v>
      </c>
      <c r="U15" t="s">
        <v>8</v>
      </c>
      <c r="V15" t="s">
        <v>22</v>
      </c>
      <c r="W15" t="s">
        <v>1007</v>
      </c>
      <c r="X15" t="s">
        <v>8</v>
      </c>
      <c r="Y15" t="s">
        <v>10</v>
      </c>
      <c r="Z15" t="s">
        <v>8</v>
      </c>
      <c r="AA15" t="s">
        <v>11</v>
      </c>
      <c r="AB15" t="s">
        <v>8</v>
      </c>
      <c r="AC15" t="s">
        <v>12</v>
      </c>
      <c r="AD15" t="s">
        <v>11</v>
      </c>
      <c r="AE15" t="s">
        <v>8</v>
      </c>
      <c r="AF15" t="s">
        <v>13</v>
      </c>
      <c r="AG15" t="s">
        <v>8</v>
      </c>
      <c r="AH15" t="s">
        <v>8</v>
      </c>
      <c r="AI15" t="s">
        <v>8</v>
      </c>
      <c r="AJ15" t="s">
        <v>8</v>
      </c>
      <c r="AK15" t="s">
        <v>8</v>
      </c>
      <c r="AL15" t="s">
        <v>14</v>
      </c>
      <c r="AM15" t="s">
        <v>15</v>
      </c>
    </row>
    <row r="16" spans="1:39" x14ac:dyDescent="0.2">
      <c r="A16" t="s">
        <v>0</v>
      </c>
      <c r="B16" t="s">
        <v>1</v>
      </c>
      <c r="C16" t="s">
        <v>992</v>
      </c>
      <c r="D16" t="s">
        <v>19</v>
      </c>
      <c r="E16" t="s">
        <v>20</v>
      </c>
      <c r="F16" t="s">
        <v>993</v>
      </c>
      <c r="G16" s="2">
        <v>46055</v>
      </c>
      <c r="H16" s="3">
        <v>0.41876157407407</v>
      </c>
      <c r="I16" t="s">
        <v>25</v>
      </c>
      <c r="J16" t="s">
        <v>26</v>
      </c>
      <c r="K16" s="102">
        <v>-9</v>
      </c>
      <c r="L16" t="s">
        <v>7</v>
      </c>
      <c r="M16" t="s">
        <v>7</v>
      </c>
      <c r="N16" s="102">
        <v>-9</v>
      </c>
      <c r="O16" t="s">
        <v>21</v>
      </c>
      <c r="P16" s="2">
        <v>46055</v>
      </c>
      <c r="Q16" s="2">
        <v>46055</v>
      </c>
      <c r="R16" s="4">
        <v>-351378</v>
      </c>
      <c r="S16" t="s">
        <v>8</v>
      </c>
      <c r="T16" t="s">
        <v>8</v>
      </c>
      <c r="U16" t="s">
        <v>8</v>
      </c>
      <c r="V16" t="s">
        <v>29</v>
      </c>
      <c r="W16" t="s">
        <v>1008</v>
      </c>
      <c r="X16" t="s">
        <v>8</v>
      </c>
      <c r="Y16" t="s">
        <v>10</v>
      </c>
      <c r="Z16" t="s">
        <v>8</v>
      </c>
      <c r="AA16" t="s">
        <v>11</v>
      </c>
      <c r="AB16" t="s">
        <v>8</v>
      </c>
      <c r="AC16" t="s">
        <v>12</v>
      </c>
      <c r="AD16" t="s">
        <v>11</v>
      </c>
      <c r="AE16" t="s">
        <v>8</v>
      </c>
      <c r="AF16" t="s">
        <v>13</v>
      </c>
      <c r="AG16" t="s">
        <v>8</v>
      </c>
      <c r="AH16" t="s">
        <v>8</v>
      </c>
      <c r="AI16" t="s">
        <v>8</v>
      </c>
      <c r="AJ16" t="s">
        <v>8</v>
      </c>
      <c r="AK16" t="s">
        <v>8</v>
      </c>
      <c r="AL16" t="s">
        <v>14</v>
      </c>
      <c r="AM16" t="s">
        <v>15</v>
      </c>
    </row>
    <row r="17" spans="1:39" x14ac:dyDescent="0.2">
      <c r="A17" t="s">
        <v>0</v>
      </c>
      <c r="B17" t="s">
        <v>1</v>
      </c>
      <c r="C17" t="s">
        <v>992</v>
      </c>
      <c r="D17" t="s">
        <v>19</v>
      </c>
      <c r="E17" t="s">
        <v>20</v>
      </c>
      <c r="F17" t="s">
        <v>999</v>
      </c>
      <c r="G17" s="2">
        <v>46055</v>
      </c>
      <c r="H17" s="3">
        <v>0.44937500000000002</v>
      </c>
      <c r="I17" t="s">
        <v>5</v>
      </c>
      <c r="J17" t="s">
        <v>6</v>
      </c>
      <c r="K17" s="102">
        <v>8</v>
      </c>
      <c r="L17" t="s">
        <v>7</v>
      </c>
      <c r="M17" t="s">
        <v>7</v>
      </c>
      <c r="N17" s="102">
        <v>8</v>
      </c>
      <c r="O17" t="s">
        <v>21</v>
      </c>
      <c r="P17" s="2">
        <v>46055</v>
      </c>
      <c r="Q17" s="2">
        <v>46055</v>
      </c>
      <c r="R17" s="4">
        <v>312336</v>
      </c>
      <c r="S17" t="s">
        <v>8</v>
      </c>
      <c r="T17" t="s">
        <v>8</v>
      </c>
      <c r="U17" t="s">
        <v>8</v>
      </c>
      <c r="V17" t="s">
        <v>23</v>
      </c>
      <c r="W17" t="s">
        <v>1009</v>
      </c>
      <c r="X17" t="s">
        <v>8</v>
      </c>
      <c r="Y17" t="s">
        <v>10</v>
      </c>
      <c r="Z17" t="s">
        <v>8</v>
      </c>
      <c r="AA17" t="s">
        <v>11</v>
      </c>
      <c r="AB17" t="s">
        <v>8</v>
      </c>
      <c r="AC17" t="s">
        <v>12</v>
      </c>
      <c r="AD17" t="s">
        <v>11</v>
      </c>
      <c r="AE17" t="s">
        <v>8</v>
      </c>
      <c r="AF17" t="s">
        <v>13</v>
      </c>
      <c r="AG17" t="s">
        <v>8</v>
      </c>
      <c r="AH17" t="s">
        <v>8</v>
      </c>
      <c r="AI17" t="s">
        <v>8</v>
      </c>
      <c r="AJ17" t="s">
        <v>8</v>
      </c>
      <c r="AK17" t="s">
        <v>8</v>
      </c>
      <c r="AL17" t="s">
        <v>14</v>
      </c>
      <c r="AM17" t="s">
        <v>15</v>
      </c>
    </row>
    <row r="18" spans="1:39" x14ac:dyDescent="0.2">
      <c r="A18" t="s">
        <v>0</v>
      </c>
      <c r="B18" t="s">
        <v>1</v>
      </c>
      <c r="C18" t="s">
        <v>992</v>
      </c>
      <c r="D18" t="s">
        <v>19</v>
      </c>
      <c r="E18" t="s">
        <v>20</v>
      </c>
      <c r="F18" t="s">
        <v>993</v>
      </c>
      <c r="G18" s="2">
        <v>46055</v>
      </c>
      <c r="H18" s="3">
        <v>0.41876157407407</v>
      </c>
      <c r="I18" t="s">
        <v>25</v>
      </c>
      <c r="J18" t="s">
        <v>26</v>
      </c>
      <c r="K18" s="102">
        <v>-11</v>
      </c>
      <c r="L18" t="s">
        <v>7</v>
      </c>
      <c r="M18" t="s">
        <v>7</v>
      </c>
      <c r="N18" s="102">
        <v>-11</v>
      </c>
      <c r="O18" t="s">
        <v>21</v>
      </c>
      <c r="P18" s="2">
        <v>46055</v>
      </c>
      <c r="Q18" s="2">
        <v>46055</v>
      </c>
      <c r="R18" s="4">
        <v>-429462</v>
      </c>
      <c r="S18" t="s">
        <v>8</v>
      </c>
      <c r="T18" t="s">
        <v>8</v>
      </c>
      <c r="U18" t="s">
        <v>8</v>
      </c>
      <c r="V18" t="s">
        <v>31</v>
      </c>
      <c r="W18" t="s">
        <v>1010</v>
      </c>
      <c r="X18" t="s">
        <v>8</v>
      </c>
      <c r="Y18" t="s">
        <v>10</v>
      </c>
      <c r="Z18" t="s">
        <v>8</v>
      </c>
      <c r="AA18" t="s">
        <v>11</v>
      </c>
      <c r="AB18" t="s">
        <v>8</v>
      </c>
      <c r="AC18" t="s">
        <v>12</v>
      </c>
      <c r="AD18" t="s">
        <v>11</v>
      </c>
      <c r="AE18" t="s">
        <v>8</v>
      </c>
      <c r="AF18" t="s">
        <v>13</v>
      </c>
      <c r="AG18" t="s">
        <v>8</v>
      </c>
      <c r="AH18" t="s">
        <v>8</v>
      </c>
      <c r="AI18" t="s">
        <v>8</v>
      </c>
      <c r="AJ18" t="s">
        <v>8</v>
      </c>
      <c r="AK18" t="s">
        <v>8</v>
      </c>
      <c r="AL18" t="s">
        <v>14</v>
      </c>
      <c r="AM18" t="s">
        <v>15</v>
      </c>
    </row>
    <row r="19" spans="1:39" x14ac:dyDescent="0.2">
      <c r="A19" t="s">
        <v>0</v>
      </c>
      <c r="B19" t="s">
        <v>1</v>
      </c>
      <c r="C19" t="s">
        <v>992</v>
      </c>
      <c r="D19" t="s">
        <v>19</v>
      </c>
      <c r="E19" t="s">
        <v>20</v>
      </c>
      <c r="F19" t="s">
        <v>993</v>
      </c>
      <c r="G19" s="2">
        <v>46055</v>
      </c>
      <c r="H19" s="3">
        <v>0.41876157407407</v>
      </c>
      <c r="I19" t="s">
        <v>25</v>
      </c>
      <c r="J19" t="s">
        <v>26</v>
      </c>
      <c r="K19" s="102">
        <v>-61</v>
      </c>
      <c r="L19" t="s">
        <v>7</v>
      </c>
      <c r="M19" t="s">
        <v>7</v>
      </c>
      <c r="N19" s="102">
        <v>-61</v>
      </c>
      <c r="O19" t="s">
        <v>21</v>
      </c>
      <c r="P19" s="2">
        <v>46055</v>
      </c>
      <c r="Q19" s="2">
        <v>46055</v>
      </c>
      <c r="R19" s="4">
        <v>-2381562</v>
      </c>
      <c r="S19" t="s">
        <v>8</v>
      </c>
      <c r="T19" t="s">
        <v>8</v>
      </c>
      <c r="U19" t="s">
        <v>8</v>
      </c>
      <c r="V19" t="s">
        <v>32</v>
      </c>
      <c r="W19" t="s">
        <v>1011</v>
      </c>
      <c r="X19" t="s">
        <v>8</v>
      </c>
      <c r="Y19" t="s">
        <v>10</v>
      </c>
      <c r="Z19" t="s">
        <v>8</v>
      </c>
      <c r="AA19" t="s">
        <v>11</v>
      </c>
      <c r="AB19" t="s">
        <v>8</v>
      </c>
      <c r="AC19" t="s">
        <v>12</v>
      </c>
      <c r="AD19" t="s">
        <v>11</v>
      </c>
      <c r="AE19" t="s">
        <v>8</v>
      </c>
      <c r="AF19" t="s">
        <v>13</v>
      </c>
      <c r="AG19" t="s">
        <v>8</v>
      </c>
      <c r="AH19" t="s">
        <v>8</v>
      </c>
      <c r="AI19" t="s">
        <v>8</v>
      </c>
      <c r="AJ19" t="s">
        <v>8</v>
      </c>
      <c r="AK19" t="s">
        <v>8</v>
      </c>
      <c r="AL19" t="s">
        <v>14</v>
      </c>
      <c r="AM19" t="s">
        <v>15</v>
      </c>
    </row>
    <row r="20" spans="1:39" x14ac:dyDescent="0.2">
      <c r="A20" t="s">
        <v>0</v>
      </c>
      <c r="B20" t="s">
        <v>1</v>
      </c>
      <c r="C20" t="s">
        <v>992</v>
      </c>
      <c r="D20" t="s">
        <v>19</v>
      </c>
      <c r="E20" t="s">
        <v>20</v>
      </c>
      <c r="F20" t="s">
        <v>993</v>
      </c>
      <c r="G20" s="2">
        <v>46055</v>
      </c>
      <c r="H20" s="3">
        <v>0.41876157407407</v>
      </c>
      <c r="I20" t="s">
        <v>25</v>
      </c>
      <c r="J20" t="s">
        <v>26</v>
      </c>
      <c r="K20" s="102">
        <v>-13</v>
      </c>
      <c r="L20" t="s">
        <v>7</v>
      </c>
      <c r="M20" t="s">
        <v>7</v>
      </c>
      <c r="N20" s="102">
        <v>-13</v>
      </c>
      <c r="O20" t="s">
        <v>21</v>
      </c>
      <c r="P20" s="2">
        <v>46055</v>
      </c>
      <c r="Q20" s="2">
        <v>46055</v>
      </c>
      <c r="R20" s="4">
        <v>-507546</v>
      </c>
      <c r="S20" t="s">
        <v>8</v>
      </c>
      <c r="T20" t="s">
        <v>8</v>
      </c>
      <c r="U20" t="s">
        <v>8</v>
      </c>
      <c r="V20" t="s">
        <v>33</v>
      </c>
      <c r="W20" t="s">
        <v>1012</v>
      </c>
      <c r="X20" t="s">
        <v>8</v>
      </c>
      <c r="Y20" t="s">
        <v>10</v>
      </c>
      <c r="Z20" t="s">
        <v>8</v>
      </c>
      <c r="AA20" t="s">
        <v>11</v>
      </c>
      <c r="AB20" t="s">
        <v>8</v>
      </c>
      <c r="AC20" t="s">
        <v>12</v>
      </c>
      <c r="AD20" t="s">
        <v>11</v>
      </c>
      <c r="AE20" t="s">
        <v>8</v>
      </c>
      <c r="AF20" t="s">
        <v>13</v>
      </c>
      <c r="AG20" t="s">
        <v>8</v>
      </c>
      <c r="AH20" t="s">
        <v>8</v>
      </c>
      <c r="AI20" t="s">
        <v>8</v>
      </c>
      <c r="AJ20" t="s">
        <v>8</v>
      </c>
      <c r="AK20" t="s">
        <v>8</v>
      </c>
      <c r="AL20" t="s">
        <v>14</v>
      </c>
      <c r="AM20" t="s">
        <v>15</v>
      </c>
    </row>
    <row r="21" spans="1:39" x14ac:dyDescent="0.2">
      <c r="A21" t="s">
        <v>0</v>
      </c>
      <c r="B21" t="s">
        <v>1</v>
      </c>
      <c r="C21" t="s">
        <v>992</v>
      </c>
      <c r="D21" t="s">
        <v>19</v>
      </c>
      <c r="E21" t="s">
        <v>20</v>
      </c>
      <c r="F21" t="s">
        <v>999</v>
      </c>
      <c r="G21" s="2">
        <v>46055</v>
      </c>
      <c r="H21" s="3">
        <v>0.44937500000000002</v>
      </c>
      <c r="I21" t="s">
        <v>25</v>
      </c>
      <c r="J21" t="s">
        <v>26</v>
      </c>
      <c r="K21" s="102">
        <v>-18</v>
      </c>
      <c r="L21" t="s">
        <v>7</v>
      </c>
      <c r="M21" t="s">
        <v>7</v>
      </c>
      <c r="N21" s="102">
        <v>-18</v>
      </c>
      <c r="O21" t="s">
        <v>21</v>
      </c>
      <c r="P21" s="2">
        <v>46055</v>
      </c>
      <c r="Q21" s="2">
        <v>46055</v>
      </c>
      <c r="R21" s="4">
        <v>-702756</v>
      </c>
      <c r="S21" t="s">
        <v>8</v>
      </c>
      <c r="T21" t="s">
        <v>8</v>
      </c>
      <c r="U21" t="s">
        <v>8</v>
      </c>
      <c r="V21" t="s">
        <v>35</v>
      </c>
      <c r="W21" t="s">
        <v>1013</v>
      </c>
      <c r="X21" t="s">
        <v>8</v>
      </c>
      <c r="Y21" t="s">
        <v>10</v>
      </c>
      <c r="Z21" t="s">
        <v>8</v>
      </c>
      <c r="AA21" t="s">
        <v>11</v>
      </c>
      <c r="AB21" t="s">
        <v>8</v>
      </c>
      <c r="AC21" t="s">
        <v>12</v>
      </c>
      <c r="AD21" t="s">
        <v>11</v>
      </c>
      <c r="AE21" t="s">
        <v>8</v>
      </c>
      <c r="AF21" t="s">
        <v>13</v>
      </c>
      <c r="AG21" t="s">
        <v>8</v>
      </c>
      <c r="AH21" t="s">
        <v>8</v>
      </c>
      <c r="AI21" t="s">
        <v>8</v>
      </c>
      <c r="AJ21" t="s">
        <v>8</v>
      </c>
      <c r="AK21" t="s">
        <v>8</v>
      </c>
      <c r="AL21" t="s">
        <v>14</v>
      </c>
      <c r="AM21" t="s">
        <v>15</v>
      </c>
    </row>
    <row r="22" spans="1:39" x14ac:dyDescent="0.2">
      <c r="A22" t="s">
        <v>0</v>
      </c>
      <c r="B22" t="s">
        <v>1</v>
      </c>
      <c r="C22" t="s">
        <v>992</v>
      </c>
      <c r="D22" t="s">
        <v>19</v>
      </c>
      <c r="E22" t="s">
        <v>20</v>
      </c>
      <c r="F22" t="s">
        <v>999</v>
      </c>
      <c r="G22" s="2">
        <v>46055</v>
      </c>
      <c r="H22" s="3">
        <v>0.44937500000000002</v>
      </c>
      <c r="I22" t="s">
        <v>25</v>
      </c>
      <c r="J22" t="s">
        <v>26</v>
      </c>
      <c r="K22" s="102">
        <v>-83</v>
      </c>
      <c r="L22" t="s">
        <v>7</v>
      </c>
      <c r="M22" t="s">
        <v>7</v>
      </c>
      <c r="N22" s="102">
        <v>-83</v>
      </c>
      <c r="O22" t="s">
        <v>21</v>
      </c>
      <c r="P22" s="2">
        <v>46055</v>
      </c>
      <c r="Q22" s="2">
        <v>46055</v>
      </c>
      <c r="R22" s="4">
        <v>-3240486</v>
      </c>
      <c r="S22" t="s">
        <v>8</v>
      </c>
      <c r="T22" t="s">
        <v>8</v>
      </c>
      <c r="U22" t="s">
        <v>8</v>
      </c>
      <c r="V22" t="s">
        <v>36</v>
      </c>
      <c r="W22" t="s">
        <v>1014</v>
      </c>
      <c r="X22" t="s">
        <v>8</v>
      </c>
      <c r="Y22" t="s">
        <v>10</v>
      </c>
      <c r="Z22" t="s">
        <v>8</v>
      </c>
      <c r="AA22" t="s">
        <v>11</v>
      </c>
      <c r="AB22" t="s">
        <v>8</v>
      </c>
      <c r="AC22" t="s">
        <v>12</v>
      </c>
      <c r="AD22" t="s">
        <v>11</v>
      </c>
      <c r="AE22" t="s">
        <v>8</v>
      </c>
      <c r="AF22" t="s">
        <v>13</v>
      </c>
      <c r="AG22" t="s">
        <v>8</v>
      </c>
      <c r="AH22" t="s">
        <v>8</v>
      </c>
      <c r="AI22" t="s">
        <v>8</v>
      </c>
      <c r="AJ22" t="s">
        <v>8</v>
      </c>
      <c r="AK22" t="s">
        <v>8</v>
      </c>
      <c r="AL22" t="s">
        <v>14</v>
      </c>
      <c r="AM22" t="s">
        <v>15</v>
      </c>
    </row>
    <row r="23" spans="1:39" x14ac:dyDescent="0.2">
      <c r="A23" t="s">
        <v>0</v>
      </c>
      <c r="B23" t="s">
        <v>1</v>
      </c>
      <c r="C23" t="s">
        <v>992</v>
      </c>
      <c r="D23" t="s">
        <v>19</v>
      </c>
      <c r="E23" t="s">
        <v>20</v>
      </c>
      <c r="F23" t="s">
        <v>999</v>
      </c>
      <c r="G23" s="2">
        <v>46055</v>
      </c>
      <c r="H23" s="3">
        <v>0.44937500000000002</v>
      </c>
      <c r="I23" t="s">
        <v>25</v>
      </c>
      <c r="J23" t="s">
        <v>26</v>
      </c>
      <c r="K23" s="102">
        <v>-11</v>
      </c>
      <c r="L23" t="s">
        <v>7</v>
      </c>
      <c r="M23" t="s">
        <v>7</v>
      </c>
      <c r="N23" s="102">
        <v>-11</v>
      </c>
      <c r="O23" t="s">
        <v>21</v>
      </c>
      <c r="P23" s="2">
        <v>46055</v>
      </c>
      <c r="Q23" s="2">
        <v>46055</v>
      </c>
      <c r="R23" s="4">
        <v>-429462</v>
      </c>
      <c r="S23" t="s">
        <v>8</v>
      </c>
      <c r="T23" t="s">
        <v>8</v>
      </c>
      <c r="U23" t="s">
        <v>8</v>
      </c>
      <c r="V23" t="s">
        <v>31</v>
      </c>
      <c r="W23" t="s">
        <v>1015</v>
      </c>
      <c r="X23" t="s">
        <v>8</v>
      </c>
      <c r="Y23" t="s">
        <v>10</v>
      </c>
      <c r="Z23" t="s">
        <v>8</v>
      </c>
      <c r="AA23" t="s">
        <v>11</v>
      </c>
      <c r="AB23" t="s">
        <v>8</v>
      </c>
      <c r="AC23" t="s">
        <v>12</v>
      </c>
      <c r="AD23" t="s">
        <v>11</v>
      </c>
      <c r="AE23" t="s">
        <v>8</v>
      </c>
      <c r="AF23" t="s">
        <v>13</v>
      </c>
      <c r="AG23" t="s">
        <v>8</v>
      </c>
      <c r="AH23" t="s">
        <v>8</v>
      </c>
      <c r="AI23" t="s">
        <v>8</v>
      </c>
      <c r="AJ23" t="s">
        <v>8</v>
      </c>
      <c r="AK23" t="s">
        <v>8</v>
      </c>
      <c r="AL23" t="s">
        <v>14</v>
      </c>
      <c r="AM23" t="s">
        <v>15</v>
      </c>
    </row>
    <row r="24" spans="1:39" x14ac:dyDescent="0.2">
      <c r="A24" t="s">
        <v>0</v>
      </c>
      <c r="B24" t="s">
        <v>1</v>
      </c>
      <c r="C24" t="s">
        <v>992</v>
      </c>
      <c r="D24" t="s">
        <v>19</v>
      </c>
      <c r="E24" t="s">
        <v>20</v>
      </c>
      <c r="F24" t="s">
        <v>999</v>
      </c>
      <c r="G24" s="2">
        <v>46055</v>
      </c>
      <c r="H24" s="3">
        <v>0.44937500000000002</v>
      </c>
      <c r="I24" t="s">
        <v>25</v>
      </c>
      <c r="J24" t="s">
        <v>26</v>
      </c>
      <c r="K24" s="102">
        <v>-25</v>
      </c>
      <c r="L24" t="s">
        <v>7</v>
      </c>
      <c r="M24" t="s">
        <v>7</v>
      </c>
      <c r="N24" s="102">
        <v>-25</v>
      </c>
      <c r="O24" t="s">
        <v>21</v>
      </c>
      <c r="P24" s="2">
        <v>46055</v>
      </c>
      <c r="Q24" s="2">
        <v>46055</v>
      </c>
      <c r="R24" s="4">
        <v>-976050</v>
      </c>
      <c r="S24" t="s">
        <v>8</v>
      </c>
      <c r="T24" t="s">
        <v>8</v>
      </c>
      <c r="U24" t="s">
        <v>8</v>
      </c>
      <c r="V24" t="s">
        <v>37</v>
      </c>
      <c r="W24" t="s">
        <v>1016</v>
      </c>
      <c r="X24" t="s">
        <v>8</v>
      </c>
      <c r="Y24" t="s">
        <v>10</v>
      </c>
      <c r="Z24" t="s">
        <v>8</v>
      </c>
      <c r="AA24" t="s">
        <v>11</v>
      </c>
      <c r="AB24" t="s">
        <v>8</v>
      </c>
      <c r="AC24" t="s">
        <v>12</v>
      </c>
      <c r="AD24" t="s">
        <v>11</v>
      </c>
      <c r="AE24" t="s">
        <v>8</v>
      </c>
      <c r="AF24" t="s">
        <v>13</v>
      </c>
      <c r="AG24" t="s">
        <v>8</v>
      </c>
      <c r="AH24" t="s">
        <v>8</v>
      </c>
      <c r="AI24" t="s">
        <v>8</v>
      </c>
      <c r="AJ24" t="s">
        <v>8</v>
      </c>
      <c r="AK24" t="s">
        <v>8</v>
      </c>
      <c r="AL24" t="s">
        <v>14</v>
      </c>
      <c r="AM24" t="s">
        <v>15</v>
      </c>
    </row>
    <row r="25" spans="1:39" x14ac:dyDescent="0.2">
      <c r="A25" t="s">
        <v>0</v>
      </c>
      <c r="B25" t="s">
        <v>1</v>
      </c>
      <c r="C25" t="s">
        <v>992</v>
      </c>
      <c r="D25" t="s">
        <v>19</v>
      </c>
      <c r="E25" t="s">
        <v>20</v>
      </c>
      <c r="F25" t="s">
        <v>999</v>
      </c>
      <c r="G25" s="2">
        <v>46055</v>
      </c>
      <c r="H25" s="3">
        <v>0.44937500000000002</v>
      </c>
      <c r="I25" t="s">
        <v>25</v>
      </c>
      <c r="J25" t="s">
        <v>26</v>
      </c>
      <c r="K25" s="102">
        <v>-12</v>
      </c>
      <c r="L25" t="s">
        <v>7</v>
      </c>
      <c r="M25" t="s">
        <v>7</v>
      </c>
      <c r="N25" s="102">
        <v>-12</v>
      </c>
      <c r="O25" t="s">
        <v>21</v>
      </c>
      <c r="P25" s="2">
        <v>46055</v>
      </c>
      <c r="Q25" s="2">
        <v>46055</v>
      </c>
      <c r="R25" s="4">
        <v>-468504</v>
      </c>
      <c r="S25" t="s">
        <v>8</v>
      </c>
      <c r="T25" t="s">
        <v>8</v>
      </c>
      <c r="U25" t="s">
        <v>8</v>
      </c>
      <c r="V25" t="s">
        <v>32</v>
      </c>
      <c r="W25" t="s">
        <v>1017</v>
      </c>
      <c r="X25" t="s">
        <v>8</v>
      </c>
      <c r="Y25" t="s">
        <v>10</v>
      </c>
      <c r="Z25" t="s">
        <v>8</v>
      </c>
      <c r="AA25" t="s">
        <v>11</v>
      </c>
      <c r="AB25" t="s">
        <v>8</v>
      </c>
      <c r="AC25" t="s">
        <v>12</v>
      </c>
      <c r="AD25" t="s">
        <v>11</v>
      </c>
      <c r="AE25" t="s">
        <v>8</v>
      </c>
      <c r="AF25" t="s">
        <v>13</v>
      </c>
      <c r="AG25" t="s">
        <v>8</v>
      </c>
      <c r="AH25" t="s">
        <v>8</v>
      </c>
      <c r="AI25" t="s">
        <v>8</v>
      </c>
      <c r="AJ25" t="s">
        <v>8</v>
      </c>
      <c r="AK25" t="s">
        <v>8</v>
      </c>
      <c r="AL25" t="s">
        <v>14</v>
      </c>
      <c r="AM25" t="s">
        <v>15</v>
      </c>
    </row>
    <row r="26" spans="1:39" x14ac:dyDescent="0.2">
      <c r="A26" t="s">
        <v>0</v>
      </c>
      <c r="B26" t="s">
        <v>1</v>
      </c>
      <c r="C26" t="s">
        <v>992</v>
      </c>
      <c r="D26" t="s">
        <v>19</v>
      </c>
      <c r="E26" t="s">
        <v>20</v>
      </c>
      <c r="F26" t="s">
        <v>999</v>
      </c>
      <c r="G26" s="2">
        <v>46055</v>
      </c>
      <c r="H26" s="3">
        <v>0.44937500000000002</v>
      </c>
      <c r="I26" t="s">
        <v>25</v>
      </c>
      <c r="J26" t="s">
        <v>26</v>
      </c>
      <c r="K26" s="102">
        <v>-29</v>
      </c>
      <c r="L26" t="s">
        <v>7</v>
      </c>
      <c r="M26" t="s">
        <v>7</v>
      </c>
      <c r="N26" s="102">
        <v>-29</v>
      </c>
      <c r="O26" t="s">
        <v>21</v>
      </c>
      <c r="P26" s="2">
        <v>46055</v>
      </c>
      <c r="Q26" s="2">
        <v>46055</v>
      </c>
      <c r="R26" s="4">
        <v>-1132218</v>
      </c>
      <c r="S26" t="s">
        <v>8</v>
      </c>
      <c r="T26" t="s">
        <v>8</v>
      </c>
      <c r="U26" t="s">
        <v>8</v>
      </c>
      <c r="V26" t="s">
        <v>33</v>
      </c>
      <c r="W26" t="s">
        <v>1018</v>
      </c>
      <c r="X26" t="s">
        <v>8</v>
      </c>
      <c r="Y26" t="s">
        <v>10</v>
      </c>
      <c r="Z26" t="s">
        <v>8</v>
      </c>
      <c r="AA26" t="s">
        <v>11</v>
      </c>
      <c r="AB26" t="s">
        <v>8</v>
      </c>
      <c r="AC26" t="s">
        <v>12</v>
      </c>
      <c r="AD26" t="s">
        <v>11</v>
      </c>
      <c r="AE26" t="s">
        <v>8</v>
      </c>
      <c r="AF26" t="s">
        <v>13</v>
      </c>
      <c r="AG26" t="s">
        <v>8</v>
      </c>
      <c r="AH26" t="s">
        <v>8</v>
      </c>
      <c r="AI26" t="s">
        <v>8</v>
      </c>
      <c r="AJ26" t="s">
        <v>8</v>
      </c>
      <c r="AK26" t="s">
        <v>8</v>
      </c>
      <c r="AL26" t="s">
        <v>14</v>
      </c>
      <c r="AM26" t="s">
        <v>15</v>
      </c>
    </row>
    <row r="27" spans="1:39" x14ac:dyDescent="0.2">
      <c r="A27" t="s">
        <v>0</v>
      </c>
      <c r="B27" t="s">
        <v>1</v>
      </c>
      <c r="C27" t="s">
        <v>967</v>
      </c>
      <c r="D27" t="s">
        <v>48</v>
      </c>
      <c r="E27" t="s">
        <v>49</v>
      </c>
      <c r="F27" t="s">
        <v>50</v>
      </c>
      <c r="G27" s="2">
        <v>46093</v>
      </c>
      <c r="H27" s="3">
        <v>0.42519675925925998</v>
      </c>
      <c r="I27" t="s">
        <v>5</v>
      </c>
      <c r="J27" t="s">
        <v>6</v>
      </c>
      <c r="K27" s="102">
        <v>8600</v>
      </c>
      <c r="L27" t="s">
        <v>7</v>
      </c>
      <c r="M27" t="s">
        <v>7</v>
      </c>
      <c r="N27" s="102">
        <v>8600</v>
      </c>
      <c r="O27" t="s">
        <v>51</v>
      </c>
      <c r="P27" s="2">
        <v>46093</v>
      </c>
      <c r="Q27" s="2">
        <v>46093</v>
      </c>
      <c r="R27" s="4">
        <v>1668764124</v>
      </c>
      <c r="S27" t="s">
        <v>8</v>
      </c>
      <c r="T27" t="s">
        <v>8</v>
      </c>
      <c r="U27" t="s">
        <v>8</v>
      </c>
      <c r="V27" t="s">
        <v>9</v>
      </c>
      <c r="W27" t="s">
        <v>8</v>
      </c>
      <c r="X27" t="s">
        <v>8</v>
      </c>
      <c r="Y27" t="s">
        <v>10</v>
      </c>
      <c r="Z27" t="s">
        <v>8</v>
      </c>
      <c r="AA27" t="s">
        <v>11</v>
      </c>
      <c r="AB27" t="s">
        <v>8</v>
      </c>
      <c r="AC27" t="s">
        <v>12</v>
      </c>
      <c r="AD27" t="s">
        <v>11</v>
      </c>
      <c r="AE27" t="s">
        <v>8</v>
      </c>
      <c r="AF27" t="s">
        <v>13</v>
      </c>
      <c r="AG27" t="s">
        <v>8</v>
      </c>
      <c r="AH27" t="s">
        <v>8</v>
      </c>
      <c r="AI27" t="s">
        <v>8</v>
      </c>
      <c r="AJ27" t="s">
        <v>8</v>
      </c>
      <c r="AK27" t="s">
        <v>8</v>
      </c>
      <c r="AL27" t="s">
        <v>14</v>
      </c>
      <c r="AM27" t="s">
        <v>15</v>
      </c>
    </row>
    <row r="28" spans="1:39" x14ac:dyDescent="0.2">
      <c r="A28" t="s">
        <v>0</v>
      </c>
      <c r="B28" t="s">
        <v>1</v>
      </c>
      <c r="C28" t="s">
        <v>967</v>
      </c>
      <c r="D28" t="s">
        <v>48</v>
      </c>
      <c r="E28" t="s">
        <v>49</v>
      </c>
      <c r="F28" t="s">
        <v>53</v>
      </c>
      <c r="G28" s="2">
        <v>46107</v>
      </c>
      <c r="H28" s="3">
        <v>0.49312499999999998</v>
      </c>
      <c r="I28" t="s">
        <v>5</v>
      </c>
      <c r="J28" t="s">
        <v>6</v>
      </c>
      <c r="K28" s="102">
        <v>24</v>
      </c>
      <c r="L28" t="s">
        <v>7</v>
      </c>
      <c r="M28" t="s">
        <v>7</v>
      </c>
      <c r="N28" s="102">
        <v>24</v>
      </c>
      <c r="O28" t="s">
        <v>51</v>
      </c>
      <c r="P28" s="2">
        <v>46107</v>
      </c>
      <c r="Q28" s="2">
        <v>46107</v>
      </c>
      <c r="R28" s="4">
        <v>4657016.16</v>
      </c>
      <c r="S28" t="s">
        <v>8</v>
      </c>
      <c r="T28" t="s">
        <v>8</v>
      </c>
      <c r="U28" t="s">
        <v>8</v>
      </c>
      <c r="V28" t="s">
        <v>9</v>
      </c>
      <c r="W28" t="s">
        <v>8</v>
      </c>
      <c r="X28" t="s">
        <v>8</v>
      </c>
      <c r="Y28" t="s">
        <v>10</v>
      </c>
      <c r="Z28" t="s">
        <v>8</v>
      </c>
      <c r="AA28" t="s">
        <v>11</v>
      </c>
      <c r="AB28" t="s">
        <v>8</v>
      </c>
      <c r="AC28" t="s">
        <v>12</v>
      </c>
      <c r="AD28" t="s">
        <v>11</v>
      </c>
      <c r="AE28" t="s">
        <v>8</v>
      </c>
      <c r="AF28" t="s">
        <v>13</v>
      </c>
      <c r="AG28" t="s">
        <v>8</v>
      </c>
      <c r="AH28" t="s">
        <v>8</v>
      </c>
      <c r="AI28" t="s">
        <v>8</v>
      </c>
      <c r="AJ28" t="s">
        <v>8</v>
      </c>
      <c r="AK28" t="s">
        <v>8</v>
      </c>
      <c r="AL28" t="s">
        <v>14</v>
      </c>
      <c r="AM28" t="s">
        <v>15</v>
      </c>
    </row>
    <row r="29" spans="1:39" x14ac:dyDescent="0.2">
      <c r="A29" t="s">
        <v>0</v>
      </c>
      <c r="B29" t="s">
        <v>1</v>
      </c>
      <c r="C29" t="s">
        <v>54</v>
      </c>
      <c r="D29" t="s">
        <v>63</v>
      </c>
      <c r="E29" t="s">
        <v>64</v>
      </c>
      <c r="F29" t="s">
        <v>65</v>
      </c>
      <c r="G29" s="2">
        <v>46112</v>
      </c>
      <c r="H29" s="3">
        <v>0.72850694444443997</v>
      </c>
      <c r="I29" t="s">
        <v>25</v>
      </c>
      <c r="J29" t="s">
        <v>26</v>
      </c>
      <c r="K29" s="102">
        <v>-7</v>
      </c>
      <c r="L29" t="s">
        <v>7</v>
      </c>
      <c r="M29" t="s">
        <v>7</v>
      </c>
      <c r="N29" s="102">
        <v>-7</v>
      </c>
      <c r="O29" t="s">
        <v>8</v>
      </c>
      <c r="P29" s="2">
        <v>46112</v>
      </c>
      <c r="Q29" s="2">
        <v>46112</v>
      </c>
      <c r="R29" s="4">
        <v>-7</v>
      </c>
      <c r="S29" t="s">
        <v>66</v>
      </c>
      <c r="T29" t="s">
        <v>8</v>
      </c>
      <c r="U29" t="s">
        <v>8</v>
      </c>
      <c r="V29" t="s">
        <v>9</v>
      </c>
      <c r="W29" t="s">
        <v>8</v>
      </c>
      <c r="X29" t="s">
        <v>8</v>
      </c>
      <c r="Y29" t="s">
        <v>10</v>
      </c>
      <c r="Z29" t="s">
        <v>8</v>
      </c>
      <c r="AA29" t="s">
        <v>11</v>
      </c>
      <c r="AB29" t="s">
        <v>8</v>
      </c>
      <c r="AC29" t="s">
        <v>12</v>
      </c>
      <c r="AD29" t="s">
        <v>11</v>
      </c>
      <c r="AE29" t="s">
        <v>8</v>
      </c>
      <c r="AF29" t="s">
        <v>13</v>
      </c>
      <c r="AG29" t="s">
        <v>8</v>
      </c>
      <c r="AH29" t="s">
        <v>8</v>
      </c>
      <c r="AI29" t="s">
        <v>8</v>
      </c>
      <c r="AJ29" t="s">
        <v>8</v>
      </c>
      <c r="AK29" t="s">
        <v>8</v>
      </c>
      <c r="AL29" t="s">
        <v>14</v>
      </c>
      <c r="AM29" t="s">
        <v>15</v>
      </c>
    </row>
    <row r="30" spans="1:39" x14ac:dyDescent="0.2">
      <c r="A30" t="s">
        <v>0</v>
      </c>
      <c r="B30" t="s">
        <v>1</v>
      </c>
      <c r="C30" t="s">
        <v>54</v>
      </c>
      <c r="D30" t="s">
        <v>63</v>
      </c>
      <c r="E30" t="s">
        <v>64</v>
      </c>
      <c r="F30" t="s">
        <v>849</v>
      </c>
      <c r="G30" s="2">
        <v>46155</v>
      </c>
      <c r="H30" s="3">
        <v>0.66303240740740998</v>
      </c>
      <c r="I30" t="s">
        <v>5</v>
      </c>
      <c r="J30" t="s">
        <v>6</v>
      </c>
      <c r="K30" s="102">
        <v>7</v>
      </c>
      <c r="L30" t="s">
        <v>7</v>
      </c>
      <c r="M30" t="s">
        <v>7</v>
      </c>
      <c r="N30" s="102">
        <v>7</v>
      </c>
      <c r="O30" t="s">
        <v>8</v>
      </c>
      <c r="P30" s="2">
        <v>46155</v>
      </c>
      <c r="Q30" s="2">
        <v>46155</v>
      </c>
      <c r="R30" s="4">
        <v>7</v>
      </c>
      <c r="S30" t="s">
        <v>8</v>
      </c>
      <c r="T30" t="s">
        <v>8</v>
      </c>
      <c r="U30" t="s">
        <v>8</v>
      </c>
      <c r="V30" t="s">
        <v>9</v>
      </c>
      <c r="W30" t="s">
        <v>8</v>
      </c>
      <c r="X30" t="s">
        <v>8</v>
      </c>
      <c r="Y30" t="s">
        <v>10</v>
      </c>
      <c r="Z30" t="s">
        <v>8</v>
      </c>
      <c r="AA30" t="s">
        <v>11</v>
      </c>
      <c r="AB30" t="s">
        <v>8</v>
      </c>
      <c r="AC30" t="s">
        <v>12</v>
      </c>
      <c r="AD30" t="s">
        <v>11</v>
      </c>
      <c r="AE30" t="s">
        <v>8</v>
      </c>
      <c r="AF30" t="s">
        <v>13</v>
      </c>
      <c r="AG30" t="s">
        <v>8</v>
      </c>
      <c r="AH30" t="s">
        <v>8</v>
      </c>
      <c r="AI30" t="s">
        <v>8</v>
      </c>
      <c r="AJ30" t="s">
        <v>8</v>
      </c>
      <c r="AK30" t="s">
        <v>8</v>
      </c>
      <c r="AL30" t="s">
        <v>14</v>
      </c>
      <c r="AM30" t="s">
        <v>15</v>
      </c>
    </row>
    <row r="31" spans="1:39" x14ac:dyDescent="0.2">
      <c r="A31" t="s">
        <v>0</v>
      </c>
      <c r="B31" t="s">
        <v>1</v>
      </c>
      <c r="C31" t="s">
        <v>966</v>
      </c>
      <c r="D31" t="s">
        <v>202</v>
      </c>
      <c r="E31" t="s">
        <v>203</v>
      </c>
      <c r="F31" t="s">
        <v>973</v>
      </c>
      <c r="G31" s="2">
        <v>46217</v>
      </c>
      <c r="H31" s="3">
        <v>0.4946875</v>
      </c>
      <c r="I31" t="s">
        <v>5</v>
      </c>
      <c r="J31" t="s">
        <v>6</v>
      </c>
      <c r="K31" s="102">
        <v>1420</v>
      </c>
      <c r="L31" t="s">
        <v>189</v>
      </c>
      <c r="M31" t="s">
        <v>189</v>
      </c>
      <c r="N31" s="102">
        <v>1420</v>
      </c>
      <c r="O31" t="s">
        <v>21</v>
      </c>
      <c r="P31" s="2">
        <v>46217</v>
      </c>
      <c r="Q31" s="2">
        <v>46217</v>
      </c>
      <c r="R31" s="4">
        <v>13291200</v>
      </c>
      <c r="S31" t="s">
        <v>983</v>
      </c>
      <c r="T31" t="s">
        <v>8</v>
      </c>
      <c r="U31" t="s">
        <v>8</v>
      </c>
      <c r="V31" t="s">
        <v>9</v>
      </c>
      <c r="W31" t="s">
        <v>8</v>
      </c>
      <c r="X31" t="s">
        <v>8</v>
      </c>
      <c r="Y31" t="s">
        <v>984</v>
      </c>
      <c r="Z31" t="s">
        <v>8</v>
      </c>
      <c r="AA31" t="s">
        <v>11</v>
      </c>
      <c r="AB31" t="s">
        <v>8</v>
      </c>
      <c r="AC31" t="s">
        <v>12</v>
      </c>
      <c r="AD31" t="s">
        <v>11</v>
      </c>
      <c r="AE31" t="s">
        <v>8</v>
      </c>
      <c r="AF31" t="s">
        <v>985</v>
      </c>
      <c r="AG31" t="s">
        <v>8</v>
      </c>
      <c r="AH31" t="s">
        <v>8</v>
      </c>
      <c r="AI31" t="s">
        <v>8</v>
      </c>
      <c r="AJ31" t="s">
        <v>8</v>
      </c>
      <c r="AK31" t="s">
        <v>8</v>
      </c>
      <c r="AL31" t="s">
        <v>14</v>
      </c>
      <c r="AM31" t="s">
        <v>986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Notes</vt:lpstr>
      <vt:lpstr>Volume Analysis</vt:lpstr>
      <vt:lpstr>Summary</vt:lpstr>
      <vt:lpstr>Adjustments Status</vt:lpstr>
      <vt:lpstr>Adjustments Details</vt:lpstr>
      <vt:lpstr>Adjustments data</vt:lpstr>
      <vt:lpstr>N.Ref</vt:lpstr>
      <vt:lpstr>SAP Material Master Data</vt:lpstr>
      <vt:lpstr>Not considered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SAP WebAS</dc:creator>
  <cp:keywords/>
  <dc:description/>
  <cp:lastModifiedBy>Sara Muhammed Muhammed Alamin</cp:lastModifiedBy>
  <cp:revision>1</cp:revision>
  <dcterms:created xsi:type="dcterms:W3CDTF">2026-05-11T14:28:33Z</dcterms:created>
  <dcterms:modified xsi:type="dcterms:W3CDTF">2026-08-24T07:35:13Z</dcterms:modified>
  <cp:category/>
</cp:coreProperties>
</file>