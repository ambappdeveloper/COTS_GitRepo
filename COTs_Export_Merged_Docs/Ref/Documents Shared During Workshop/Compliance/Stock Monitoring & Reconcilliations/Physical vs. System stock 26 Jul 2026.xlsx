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haima.ezzat\Desktop\Regions\Sudan\All Old\Whs Report\Physical vs. System Stock Report\2026 (SAP)\7. Jul\"/>
    </mc:Choice>
  </mc:AlternateContent>
  <xr:revisionPtr revIDLastSave="0" documentId="13_ncr:1_{A505E527-99D4-40DC-83B3-812BDD5BE2A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mport" sheetId="7" r:id="rId1"/>
  </sheets>
  <externalReferences>
    <externalReference r:id="rId2"/>
  </externalReferences>
  <definedNames>
    <definedName name="CurrentStock">#REF!</definedName>
    <definedName name="dffddd">#REF!</definedName>
    <definedName name="Facility">'[1]Define '!$A$1:$B$84</definedName>
    <definedName name="InTransit">#REF!</definedName>
    <definedName name="Losses">#REF!</definedName>
    <definedName name="Reserved">#REF!</definedName>
    <definedName name="Sales">#REF!</definedName>
    <definedName name="TransitLosses">#REF!</definedName>
    <definedName name="Vesse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46" i="7" l="1"/>
  <c r="AF46" i="7"/>
  <c r="R46" i="7"/>
  <c r="Q46" i="7"/>
  <c r="Y46" i="7" l="1"/>
  <c r="AP46" i="7"/>
  <c r="X46" i="7"/>
  <c r="AU46" i="7"/>
  <c r="AS46" i="7"/>
  <c r="AR46" i="7"/>
  <c r="AQ46" i="7"/>
  <c r="AN46" i="7"/>
  <c r="AM46" i="7"/>
  <c r="AL46" i="7"/>
  <c r="AK46" i="7"/>
  <c r="AJ46" i="7"/>
  <c r="AI46" i="7"/>
  <c r="AH46" i="7"/>
  <c r="AE46" i="7"/>
  <c r="AB46" i="7"/>
  <c r="AA46" i="7"/>
  <c r="U46" i="7"/>
  <c r="T46" i="7"/>
  <c r="S46" i="7"/>
  <c r="O46" i="7"/>
  <c r="N46" i="7"/>
  <c r="L46" i="7"/>
  <c r="K46" i="7"/>
  <c r="H46" i="7"/>
  <c r="G46" i="7"/>
  <c r="Z46" i="7" l="1"/>
  <c r="AT46" i="7"/>
  <c r="AV46" i="7"/>
  <c r="P46" i="7"/>
  <c r="AC46" i="7"/>
  <c r="V46" i="7"/>
  <c r="I46" i="7"/>
  <c r="AG46" i="7"/>
  <c r="M4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Shimaa Ezzat Mohamed Mukhtar</author>
  </authors>
  <commentList>
    <comment ref="AJ6" authorId="0" shapeId="0" xr:uid="{AFDA086B-4F86-4517-9A26-F2CA77CD8CBA}">
      <text>
        <r>
          <rPr>
            <b/>
            <sz val="9"/>
            <color indexed="81"/>
            <rFont val="Tahoma"/>
            <family val="2"/>
          </rPr>
          <t>Shimaa Ezzat Mohamed Mukhtar:</t>
        </r>
        <r>
          <rPr>
            <sz val="9"/>
            <color indexed="81"/>
            <rFont val="Tahoma"/>
            <family val="2"/>
          </rPr>
          <t xml:space="preserve">
74,607</t>
        </r>
      </text>
    </comment>
    <comment ref="AK6" authorId="0" shapeId="0" xr:uid="{B8A93110-4937-48F7-B791-8C609B39362D}">
      <text>
        <r>
          <rPr>
            <b/>
            <sz val="9"/>
            <color indexed="81"/>
            <rFont val="Tahoma"/>
            <family val="2"/>
          </rPr>
          <t>Shimaa Ezzat Mohamed Mukhtar:</t>
        </r>
        <r>
          <rPr>
            <sz val="9"/>
            <color indexed="81"/>
            <rFont val="Tahoma"/>
            <family val="2"/>
          </rPr>
          <t xml:space="preserve">
40,545</t>
        </r>
      </text>
    </comment>
    <comment ref="AL6" authorId="0" shapeId="0" xr:uid="{97136C36-AF6C-40E3-B3A6-2E0B63C4B072}">
      <text>
        <r>
          <rPr>
            <b/>
            <sz val="9"/>
            <color indexed="81"/>
            <rFont val="Tahoma"/>
            <family val="2"/>
          </rPr>
          <t>Shimaa Ezzat Mohamed Mukhtar:</t>
        </r>
        <r>
          <rPr>
            <sz val="9"/>
            <color indexed="81"/>
            <rFont val="Tahoma"/>
            <family val="2"/>
          </rPr>
          <t xml:space="preserve">
197</t>
        </r>
      </text>
    </comment>
    <comment ref="AL31" authorId="0" shapeId="0" xr:uid="{7E5378C2-11DB-48B7-B25D-7F095A5C4124}">
      <text>
        <r>
          <rPr>
            <b/>
            <sz val="9"/>
            <color indexed="81"/>
            <rFont val="Tahoma"/>
            <family val="2"/>
          </rPr>
          <t>Shimaa Ezzat Mohamed Mukhtar:</t>
        </r>
        <r>
          <rPr>
            <sz val="9"/>
            <color indexed="81"/>
            <rFont val="Tahoma"/>
            <family val="2"/>
          </rPr>
          <t xml:space="preserve">
77</t>
        </r>
      </text>
    </comment>
  </commentList>
</comments>
</file>

<file path=xl/sharedStrings.xml><?xml version="1.0" encoding="utf-8"?>
<sst xmlns="http://schemas.openxmlformats.org/spreadsheetml/2006/main" count="280" uniqueCount="200">
  <si>
    <t>product</t>
  </si>
  <si>
    <t>description</t>
  </si>
  <si>
    <t>unit_code</t>
  </si>
  <si>
    <t xml:space="preserve">BAG50     </t>
  </si>
  <si>
    <t xml:space="preserve">TON       </t>
  </si>
  <si>
    <t xml:space="preserve">PIECE     </t>
  </si>
  <si>
    <t xml:space="preserve">FLOUR PLASTIC BAGS  </t>
  </si>
  <si>
    <t xml:space="preserve">Plastic Bags Lentil </t>
  </si>
  <si>
    <t>RICE EMPTY BAGS 25KG</t>
  </si>
  <si>
    <t xml:space="preserve">RICE EMPTY BAGS     </t>
  </si>
  <si>
    <t xml:space="preserve">SUGAR EMPTY BAGS    </t>
  </si>
  <si>
    <t xml:space="preserve">UREA EMPTY BAGS     </t>
  </si>
  <si>
    <t>EGYPTIAN WHAITE SUGA</t>
  </si>
  <si>
    <t xml:space="preserve">COKE SPECS SUGAR    </t>
  </si>
  <si>
    <t xml:space="preserve">INDIAN WHITE SUGAR  </t>
  </si>
  <si>
    <t xml:space="preserve">BAG       </t>
  </si>
  <si>
    <t xml:space="preserve">BAG25     </t>
  </si>
  <si>
    <t xml:space="preserve">KSA WHAITE SUGAR    </t>
  </si>
  <si>
    <t xml:space="preserve">White Sugar 10KG    </t>
  </si>
  <si>
    <t xml:space="preserve">UAE WHAITE SUGAR    </t>
  </si>
  <si>
    <t xml:space="preserve">LENTIL TABAGNA 20KG </t>
  </si>
  <si>
    <t>RICE SHORT DALIAN25K</t>
  </si>
  <si>
    <t xml:space="preserve">SUGAR CAKED         </t>
  </si>
  <si>
    <t>RICE LONG TABGNA 20K</t>
  </si>
  <si>
    <t xml:space="preserve">GRANULAR UREA       </t>
  </si>
  <si>
    <t xml:space="preserve">GRANULAR UREA-TON   </t>
  </si>
  <si>
    <t>INDIAN SUGAR PARRY'S</t>
  </si>
  <si>
    <t xml:space="preserve">WHITE CRYSTAL SUGAR </t>
  </si>
  <si>
    <t xml:space="preserve">Lentil Armada 20KG  </t>
  </si>
  <si>
    <t xml:space="preserve">SUGAR DAMAGED       </t>
  </si>
  <si>
    <t xml:space="preserve">UREA FERTILIZER GD2 </t>
  </si>
  <si>
    <t>TABAGNA SHORTGRAIN25</t>
  </si>
  <si>
    <t xml:space="preserve">LENTIL SAYGA 20KG   </t>
  </si>
  <si>
    <t xml:space="preserve">Salt                </t>
  </si>
  <si>
    <t>WHEAT FLOUR IMPORT E</t>
  </si>
  <si>
    <t>Rice Short Damaged50</t>
  </si>
  <si>
    <t xml:space="preserve">Flour Elngm25K M    </t>
  </si>
  <si>
    <t xml:space="preserve">LENTIL ELNGM 20KG   </t>
  </si>
  <si>
    <t xml:space="preserve">RICE LONG DAN 20K   </t>
  </si>
  <si>
    <t xml:space="preserve">LENTIL WASTE/DAMAGE </t>
  </si>
  <si>
    <t>RICE LONG G1 ELNGM 2</t>
  </si>
  <si>
    <t>Rice Short Damaged25</t>
  </si>
  <si>
    <t xml:space="preserve">RICE LONG ELNGM 20K </t>
  </si>
  <si>
    <t xml:space="preserve">RICE SHORT ELNGM25K </t>
  </si>
  <si>
    <t xml:space="preserve">FLOUR DAMAGED 25K   </t>
  </si>
  <si>
    <t xml:space="preserve">Lentil Damaged 50K  </t>
  </si>
  <si>
    <t xml:space="preserve">FLOUR DAMAGED TO AF </t>
  </si>
  <si>
    <t xml:space="preserve">Rice Long Damaged20 </t>
  </si>
  <si>
    <t xml:space="preserve">Rice Long Damaged50 </t>
  </si>
  <si>
    <t>Total</t>
  </si>
  <si>
    <t>Type</t>
  </si>
  <si>
    <t>Damage</t>
  </si>
  <si>
    <t>FG</t>
  </si>
  <si>
    <t>Packaging</t>
  </si>
  <si>
    <t xml:space="preserve">DF0301              </t>
  </si>
  <si>
    <t xml:space="preserve">DK0101              </t>
  </si>
  <si>
    <t xml:space="preserve">IF0001              </t>
  </si>
  <si>
    <t xml:space="preserve">LE0001              </t>
  </si>
  <si>
    <t xml:space="preserve">LE0002              </t>
  </si>
  <si>
    <t xml:space="preserve">LE0003              </t>
  </si>
  <si>
    <t xml:space="preserve">LE0004              </t>
  </si>
  <si>
    <t xml:space="preserve">LE0303              </t>
  </si>
  <si>
    <t xml:space="preserve">LE0304              </t>
  </si>
  <si>
    <t xml:space="preserve">LE9005              </t>
  </si>
  <si>
    <t xml:space="preserve">NF0001              </t>
  </si>
  <si>
    <t xml:space="preserve">PB0201              </t>
  </si>
  <si>
    <t xml:space="preserve">PB0240              </t>
  </si>
  <si>
    <t xml:space="preserve">PB0256              </t>
  </si>
  <si>
    <t xml:space="preserve">PB0258              </t>
  </si>
  <si>
    <t xml:space="preserve">PB0259              </t>
  </si>
  <si>
    <t xml:space="preserve">PB0260              </t>
  </si>
  <si>
    <t xml:space="preserve">RC0001              </t>
  </si>
  <si>
    <t xml:space="preserve">RC0002              </t>
  </si>
  <si>
    <t xml:space="preserve">RC0003              </t>
  </si>
  <si>
    <t xml:space="preserve">RC0004              </t>
  </si>
  <si>
    <t xml:space="preserve">RC0006              </t>
  </si>
  <si>
    <t xml:space="preserve">RC0103              </t>
  </si>
  <si>
    <t xml:space="preserve">RC0301              </t>
  </si>
  <si>
    <t xml:space="preserve">RC0302              </t>
  </si>
  <si>
    <t xml:space="preserve">RC0303              </t>
  </si>
  <si>
    <t xml:space="preserve">RC0304              </t>
  </si>
  <si>
    <t xml:space="preserve">RC9008              </t>
  </si>
  <si>
    <t xml:space="preserve">SA0001              </t>
  </si>
  <si>
    <t xml:space="preserve">UR0001              </t>
  </si>
  <si>
    <t xml:space="preserve">UR0002              </t>
  </si>
  <si>
    <t xml:space="preserve">UR0010              </t>
  </si>
  <si>
    <t xml:space="preserve">WS0001              </t>
  </si>
  <si>
    <t xml:space="preserve">WS0002              </t>
  </si>
  <si>
    <t xml:space="preserve">WS0003              </t>
  </si>
  <si>
    <t xml:space="preserve">WS0004              </t>
  </si>
  <si>
    <t xml:space="preserve">WS0005              </t>
  </si>
  <si>
    <t xml:space="preserve">WS0006              </t>
  </si>
  <si>
    <t xml:space="preserve">WS0007              </t>
  </si>
  <si>
    <t xml:space="preserve">WS0008              </t>
  </si>
  <si>
    <t xml:space="preserve">WS0010              </t>
  </si>
  <si>
    <t xml:space="preserve">WS0011              </t>
  </si>
  <si>
    <t xml:space="preserve">Product </t>
  </si>
  <si>
    <t>SAP Material</t>
  </si>
  <si>
    <t>GD04</t>
  </si>
  <si>
    <t>E002</t>
  </si>
  <si>
    <t>BW01</t>
  </si>
  <si>
    <t>RK02</t>
  </si>
  <si>
    <t>AT01</t>
  </si>
  <si>
    <t>KO02</t>
  </si>
  <si>
    <t>TX01</t>
  </si>
  <si>
    <t>A013</t>
  </si>
  <si>
    <t>E003</t>
  </si>
  <si>
    <t>BL01</t>
  </si>
  <si>
    <t>BN01</t>
  </si>
  <si>
    <t>BN02</t>
  </si>
  <si>
    <t>TX02</t>
  </si>
  <si>
    <t>D013</t>
  </si>
  <si>
    <t>F011</t>
  </si>
  <si>
    <t>G013</t>
  </si>
  <si>
    <t>PZU distribution centers</t>
  </si>
  <si>
    <t>Medani Distribution Center
Physical Quantity</t>
  </si>
  <si>
    <t>ATBARA Distribution Center
Physical Quantity</t>
  </si>
  <si>
    <t>Kosti Distribution Center
Physical Quantity</t>
  </si>
  <si>
    <t>PZU distribution centers
Physical Quantity</t>
  </si>
  <si>
    <t>PZU distribution centers 
(A013,BL01,BN01,BN02,E002,E003,TX01,TX02,D013,BW01,F011,G013)</t>
  </si>
  <si>
    <t>Kosti distribution center (KO02)</t>
  </si>
  <si>
    <t>Atbara distribution center (AT01)</t>
  </si>
  <si>
    <t>Rabak distribution center (RK02)</t>
  </si>
  <si>
    <t>GADARIF Distribution Center (GD04)</t>
  </si>
  <si>
    <t>Variance 
(GD04)</t>
  </si>
  <si>
    <t>Variance 
(KO02)</t>
  </si>
  <si>
    <t>Remark</t>
  </si>
  <si>
    <t>Variance</t>
  </si>
  <si>
    <t>MD05</t>
  </si>
  <si>
    <t>Variance 
(AT01)</t>
  </si>
  <si>
    <t>Madani Distribution Center (MD05)</t>
  </si>
  <si>
    <t>Variance 
(MD05)</t>
  </si>
  <si>
    <t>Column1</t>
  </si>
  <si>
    <t>Rabak distribution center
Physical Quantity3</t>
  </si>
  <si>
    <t>Variance 
(RK02)4</t>
  </si>
  <si>
    <t>KS05</t>
  </si>
  <si>
    <t>Comment</t>
  </si>
  <si>
    <t>KH03</t>
  </si>
  <si>
    <t>Elkhabir (KRT) Warehouse Physical Quantity</t>
  </si>
  <si>
    <t>Variance 
(KH03)</t>
  </si>
  <si>
    <t>KO022</t>
  </si>
  <si>
    <t>Kosti Distribution Center
Physical Quantity3</t>
  </si>
  <si>
    <t>Variance 
(KO02)4</t>
  </si>
  <si>
    <t>Kassala distribution center (KS05)</t>
  </si>
  <si>
    <t>Kassala distribution center
Physical Quantity</t>
  </si>
  <si>
    <t>Variance 
(KS05)</t>
  </si>
  <si>
    <t>Elkhabir (KRT) Warehouse (KH03)</t>
  </si>
  <si>
    <t>Remark2</t>
  </si>
  <si>
    <t>Gadarif Distribution Center
Physical Quantity</t>
  </si>
  <si>
    <t>21 bags Loss (under review) &amp; 32 bags Waste (to be eliminated) at agent WH</t>
  </si>
  <si>
    <t>Physcial excess to be reflected in system after investigation</t>
  </si>
  <si>
    <t>bills under discharge &amp; system should be updated + 46 bags physcial excess to be reflected in system after investigation,</t>
  </si>
  <si>
    <t>TAT Lentil Red Split10KG</t>
  </si>
  <si>
    <t>Grand Total</t>
  </si>
  <si>
    <t>TAT Lentil Red Split 20KG</t>
  </si>
  <si>
    <t xml:space="preserve">Remark       </t>
  </si>
  <si>
    <t>DF0301</t>
  </si>
  <si>
    <t>DK0101</t>
  </si>
  <si>
    <t>IF0001</t>
  </si>
  <si>
    <t>LE0001</t>
  </si>
  <si>
    <t/>
  </si>
  <si>
    <t>LE0002</t>
  </si>
  <si>
    <t>LE0003</t>
  </si>
  <si>
    <t>LE0004</t>
  </si>
  <si>
    <t>LE0303</t>
  </si>
  <si>
    <t>LE0304</t>
  </si>
  <si>
    <t>LE9005</t>
  </si>
  <si>
    <t>NF0001</t>
  </si>
  <si>
    <t>PB0201</t>
  </si>
  <si>
    <t>PB0240</t>
  </si>
  <si>
    <t>PB0256</t>
  </si>
  <si>
    <t>PB0258</t>
  </si>
  <si>
    <t>PB0259</t>
  </si>
  <si>
    <t>PB0260</t>
  </si>
  <si>
    <t>RC0001</t>
  </si>
  <si>
    <t>RC0002</t>
  </si>
  <si>
    <t>RC0003</t>
  </si>
  <si>
    <t>RC0004</t>
  </si>
  <si>
    <t>RC0006</t>
  </si>
  <si>
    <t>RC0103</t>
  </si>
  <si>
    <t>RC0301</t>
  </si>
  <si>
    <t>RC0302</t>
  </si>
  <si>
    <t>RC0303</t>
  </si>
  <si>
    <t>RC0304</t>
  </si>
  <si>
    <t>RC9008</t>
  </si>
  <si>
    <t>SA0001</t>
  </si>
  <si>
    <t>UR0001</t>
  </si>
  <si>
    <t>UR0002</t>
  </si>
  <si>
    <t>UR0010</t>
  </si>
  <si>
    <t>WS0001</t>
  </si>
  <si>
    <t>WS0002</t>
  </si>
  <si>
    <t>WS0003</t>
  </si>
  <si>
    <t>WS0004</t>
  </si>
  <si>
    <t>WS0005</t>
  </si>
  <si>
    <t>WS0006</t>
  </si>
  <si>
    <t>WS0007</t>
  </si>
  <si>
    <t>WS0008</t>
  </si>
  <si>
    <t>WS0010</t>
  </si>
  <si>
    <t>WS0011</t>
  </si>
  <si>
    <t>Timing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</si>
</sst>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 Light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3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0" fillId="0" borderId="5" xfId="0" applyNumberFormat="1" applyBorder="1"/>
    <xf numFmtId="164" fontId="0" fillId="0" borderId="4" xfId="0" applyNumberFormat="1" applyBorder="1"/>
    <xf numFmtId="164" fontId="0" fillId="0" borderId="0" xfId="0" applyNumberFormat="1"/>
    <xf numFmtId="164" fontId="0" fillId="0" borderId="7" xfId="0" applyNumberFormat="1" applyBorder="1"/>
    <xf numFmtId="164" fontId="0" fillId="0" borderId="8" xfId="0" applyNumberFormat="1" applyBorder="1"/>
    <xf numFmtId="0" fontId="2" fillId="0" borderId="0" xfId="0" applyFont="1" applyAlignment="1">
      <alignment horizontal="center" vertical="center"/>
    </xf>
    <xf numFmtId="164" fontId="0" fillId="0" borderId="6" xfId="0" applyNumberFormat="1" applyBorder="1"/>
    <xf numFmtId="0" fontId="3" fillId="0" borderId="5" xfId="0" applyFont="1" applyBorder="1"/>
    <xf numFmtId="164" fontId="0" fillId="0" borderId="9" xfId="0" applyNumberFormat="1" applyBorder="1"/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4" fontId="0" fillId="0" borderId="11" xfId="0" applyNumberFormat="1" applyBorder="1"/>
    <xf numFmtId="43" fontId="7" fillId="0" borderId="0" xfId="1" applyFont="1" applyAlignment="1">
      <alignment vertical="center"/>
    </xf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96">
    <dxf>
      <numFmt numFmtId="164" formatCode="_-* #,##0_-;\-* #,##0_-;_-* &quot;-&quot;??_-;_-@_-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numFmt numFmtId="164" formatCode="_-* #,##0_-;\-* #,##0_-;_-* &quot;-&quot;??_-;_-@_-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alignment horizontal="left" vertical="bottom" textRotation="0" wrapText="0" indent="0" justifyLastLine="0" shrinkToFit="0" readingOrder="0"/>
    </dxf>
    <dxf>
      <fill>
        <patternFill>
          <bgColor rgb="FFFF0000"/>
        </patternFill>
      </fill>
    </dxf>
    <dxf>
      <numFmt numFmtId="164" formatCode="_-* #,##0_-;\-* #,##0_-;_-* &quot;-&quot;??_-;_-@_-"/>
      <fill>
        <patternFill patternType="none">
          <fgColor indexed="64"/>
          <bgColor indexed="65"/>
        </patternFill>
      </fill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4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/>
        <right/>
        <top/>
        <bottom style="medium">
          <color indexed="64"/>
        </bottom>
        <vertical/>
      </border>
    </dxf>
    <dxf>
      <numFmt numFmtId="164" formatCode="_-* #,##0_-;\-* #,##0_-;_-* &quot;-&quot;??_-;_-@_-"/>
      <fill>
        <patternFill patternType="none">
          <fgColor indexed="64"/>
          <bgColor auto="1"/>
        </patternFill>
      </fill>
    </dxf>
    <dxf>
      <numFmt numFmtId="164" formatCode="_-* #,##0_-;\-* #,##0_-;_-* &quot;-&quot;??_-;_-@_-"/>
      <fill>
        <patternFill patternType="none">
          <fgColor indexed="64"/>
          <bgColor auto="1"/>
        </patternFill>
      </fill>
      <border diagonalUp="0" diagonalDown="0">
        <left style="medium">
          <color indexed="64"/>
        </left>
        <right/>
        <top/>
        <bottom/>
        <vertical/>
      </border>
    </dxf>
    <dxf>
      <numFmt numFmtId="164" formatCode="_-* #,##0_-;\-* #,##0_-;_-* &quot;-&quot;??_-;_-@_-"/>
      <border diagonalUp="0" diagonalDown="0">
        <left/>
        <right style="medium">
          <color indexed="64"/>
        </right>
        <top/>
        <bottom/>
        <vertical/>
      </border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_-* #,##0_-;\-* #,##0_-;_-* &quot;-&quot;??_-;_-@_-"/>
      <border diagonalUp="0" diagonalDown="0">
        <left/>
        <right style="medium">
          <color indexed="64"/>
        </right>
        <top/>
        <bottom/>
        <vertical/>
      </border>
    </dxf>
    <dxf>
      <numFmt numFmtId="164" formatCode="_-* #,##0_-;\-* #,##0_-;_-* &quot;-&quot;??_-;_-@_-"/>
    </dxf>
    <dxf>
      <numFmt numFmtId="164" formatCode="_-* #,##0_-;\-* #,##0_-;_-* &quot;-&quot;??_-;_-@_-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_-* #,##0_-;\-* #,##0_-;_-* &quot;-&quot;??_-;_-@_-"/>
    </dxf>
    <dxf>
      <numFmt numFmtId="0" formatCode="General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  <border diagonalUp="0" diagonalDown="0">
        <left/>
        <right style="medium">
          <color indexed="64"/>
        </right>
        <vertical/>
      </border>
    </dxf>
    <dxf>
      <numFmt numFmtId="164" formatCode="_-* #,##0_-;\-* #,##0_-;_-* &quot;-&quot;??_-;_-@_-"/>
    </dxf>
    <dxf>
      <numFmt numFmtId="164" formatCode="_-* #,##0_-;\-* #,##0_-;_-* &quot;-&quot;??_-;_-@_-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_-* #,##0_-;\-* #,##0_-;_-* &quot;-&quot;??_-;_-@_-"/>
    </dxf>
    <dxf>
      <numFmt numFmtId="164" formatCode="_-* #,##0_-;\-* #,##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164" formatCode="_-* #,##0_-;\-* #,##0_-;_-* &quot;-&quot;??_-;_-@_-"/>
    </dxf>
    <dxf>
      <numFmt numFmtId="164" formatCode="_-* #,##0_-;\-* #,##0_-;_-* &quot;-&quot;??_-;_-@_-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_-* #,##0_-;\-* #,##0_-;_-* &quot;-&quot;??_-;_-@_-"/>
      <border diagonalUp="0" diagonalDown="0">
        <left/>
        <right style="medium">
          <color indexed="64"/>
        </right>
        <vertical/>
      </border>
    </dxf>
    <dxf>
      <numFmt numFmtId="164" formatCode="_-* #,##0_-;\-* #,##0_-;_-* &quot;-&quot;??_-;_-@_-"/>
    </dxf>
    <dxf>
      <numFmt numFmtId="164" formatCode="_-* #,##0_-;\-* #,##0_-;_-* &quot;-&quot;??_-;_-@_-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_-* #,##0_-;\-* #,##0_-;_-* &quot;-&quot;??_-;_-@_-"/>
      <border diagonalUp="0" diagonalDown="0" outline="0">
        <left/>
        <right style="medium">
          <color indexed="64"/>
        </right>
        <top/>
        <bottom/>
      </border>
    </dxf>
    <dxf>
      <numFmt numFmtId="164" formatCode="_-* #,##0_-;\-* #,##0_-;_-* &quot;-&quot;??_-;_-@_-"/>
    </dxf>
    <dxf>
      <numFmt numFmtId="164" formatCode="_-* #,##0_-;\-* #,##0_-;_-* &quot;-&quot;??_-;_-@_-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  <border diagonalUp="0" diagonalDown="0">
        <left style="medium">
          <color indexed="64"/>
        </left>
        <right/>
        <top/>
        <bottom/>
        <vertical/>
        <horizontal/>
      </border>
    </dxf>
    <dxf>
      <numFmt numFmtId="0" formatCode="General"/>
      <alignment horizontal="left" textRotation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fawaz.kabeir/Desktop/All%20Product%20Codes.xlsx" TargetMode="External"/><Relationship Id="rId1" Type="http://schemas.openxmlformats.org/officeDocument/2006/relationships/externalLinkPath" Target="/Users/fawaz.kabeir/Desktop/All%20Product%20Cod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fine "/>
      <sheetName val="All Products"/>
    </sheetNames>
    <sheetDataSet>
      <sheetData sheetId="0" refreshError="1">
        <row r="1">
          <cell r="A1" t="str">
            <v>warehouse</v>
          </cell>
          <cell r="B1" t="str">
            <v>Location</v>
          </cell>
        </row>
        <row r="2">
          <cell r="A2" t="str">
            <v>AG</v>
          </cell>
          <cell r="B2" t="str">
            <v>Gadarif Warehouse</v>
          </cell>
        </row>
        <row r="3">
          <cell r="A3" t="str">
            <v>CA</v>
          </cell>
          <cell r="B3" t="str">
            <v>Crusher KHA- Other</v>
          </cell>
        </row>
        <row r="4">
          <cell r="A4" t="str">
            <v>CB</v>
          </cell>
          <cell r="B4" t="str">
            <v>Crusher KHN Bitar</v>
          </cell>
        </row>
        <row r="5">
          <cell r="A5" t="str">
            <v>CC</v>
          </cell>
          <cell r="B5" t="str">
            <v>Crusher PZU</v>
          </cell>
        </row>
        <row r="6">
          <cell r="A6" t="str">
            <v>CH</v>
          </cell>
          <cell r="B6" t="str">
            <v>Crusher KHN -ASVOC</v>
          </cell>
        </row>
        <row r="7">
          <cell r="A7" t="str">
            <v>CK</v>
          </cell>
          <cell r="B7" t="str">
            <v>Crusher KHA- SMA</v>
          </cell>
        </row>
        <row r="8">
          <cell r="A8" t="str">
            <v>CM</v>
          </cell>
          <cell r="B8" t="str">
            <v>Crusher OMD -Kambal</v>
          </cell>
        </row>
        <row r="9">
          <cell r="A9" t="str">
            <v>CO</v>
          </cell>
          <cell r="B9" t="str">
            <v>Crusher - OMD -ADEEB</v>
          </cell>
        </row>
        <row r="10">
          <cell r="A10" t="str">
            <v>PA</v>
          </cell>
          <cell r="B10" t="str">
            <v>Packing KHA</v>
          </cell>
        </row>
        <row r="11">
          <cell r="A11" t="str">
            <v>PC</v>
          </cell>
          <cell r="B11" t="str">
            <v>Packing PZU</v>
          </cell>
        </row>
        <row r="12">
          <cell r="A12" t="str">
            <v>SA</v>
          </cell>
          <cell r="B12" t="str">
            <v>Sifter KHA -Alsoug Almahly</v>
          </cell>
        </row>
        <row r="13">
          <cell r="A13" t="str">
            <v>SB</v>
          </cell>
          <cell r="B13" t="str">
            <v>Sifter OMD-ALGOMIA</v>
          </cell>
        </row>
        <row r="14">
          <cell r="A14" t="str">
            <v>SC</v>
          </cell>
          <cell r="B14" t="str">
            <v xml:space="preserve">Sifter PZU - Tabil </v>
          </cell>
        </row>
        <row r="15">
          <cell r="A15" t="str">
            <v>SD</v>
          </cell>
          <cell r="B15" t="str">
            <v>Sifter OMD -Tayba</v>
          </cell>
        </row>
        <row r="16">
          <cell r="A16" t="str">
            <v>SE</v>
          </cell>
          <cell r="B16" t="str">
            <v xml:space="preserve">Sifter PZU ELKHBIER </v>
          </cell>
        </row>
        <row r="17">
          <cell r="A17" t="str">
            <v>SF</v>
          </cell>
          <cell r="B17" t="str">
            <v>Sifter OMD- Khalid</v>
          </cell>
        </row>
        <row r="18">
          <cell r="A18" t="str">
            <v>SG</v>
          </cell>
          <cell r="B18" t="str">
            <v>Sifter Gadarif -Copen</v>
          </cell>
        </row>
        <row r="19">
          <cell r="A19" t="str">
            <v>SK</v>
          </cell>
          <cell r="B19" t="str">
            <v>Sifter KHA -CHU</v>
          </cell>
        </row>
        <row r="20">
          <cell r="A20" t="str">
            <v>SL</v>
          </cell>
          <cell r="B20" t="str">
            <v>Sifter OMD-ALShaikh</v>
          </cell>
        </row>
        <row r="21">
          <cell r="A21" t="str">
            <v>SM</v>
          </cell>
          <cell r="B21" t="str">
            <v xml:space="preserve">Sifter OMD -Alshafie </v>
          </cell>
        </row>
        <row r="22">
          <cell r="A22" t="str">
            <v>SN</v>
          </cell>
          <cell r="B22" t="str">
            <v>Sifter OMD - Alhelaly</v>
          </cell>
        </row>
        <row r="23">
          <cell r="A23" t="str">
            <v>SO</v>
          </cell>
          <cell r="B23" t="str">
            <v>Sifter OMD - Yara</v>
          </cell>
        </row>
        <row r="24">
          <cell r="A24" t="str">
            <v>SP</v>
          </cell>
          <cell r="B24" t="str">
            <v>Sifter PZU-Al Jawhra</v>
          </cell>
        </row>
        <row r="25">
          <cell r="A25" t="str">
            <v>SQ</v>
          </cell>
          <cell r="B25" t="str">
            <v>Sifting OMD - YAGOUB</v>
          </cell>
        </row>
        <row r="26">
          <cell r="A26" t="str">
            <v>SR</v>
          </cell>
          <cell r="B26" t="str">
            <v>Sifter KHA - Globals</v>
          </cell>
        </row>
        <row r="27">
          <cell r="A27" t="str">
            <v>TA</v>
          </cell>
          <cell r="B27" t="str">
            <v>Khartoum In transit</v>
          </cell>
        </row>
        <row r="28">
          <cell r="A28" t="str">
            <v>TC</v>
          </cell>
          <cell r="B28" t="str">
            <v xml:space="preserve">PZU In Transit </v>
          </cell>
        </row>
        <row r="29">
          <cell r="A29" t="str">
            <v>TG</v>
          </cell>
          <cell r="B29" t="str">
            <v xml:space="preserve">Gadarif In Transit </v>
          </cell>
        </row>
        <row r="30">
          <cell r="A30" t="str">
            <v>XF</v>
          </cell>
          <cell r="B30" t="str">
            <v xml:space="preserve">PZU Stuffing Warehouse </v>
          </cell>
        </row>
        <row r="31">
          <cell r="A31" t="str">
            <v>XP</v>
          </cell>
          <cell r="B31" t="str">
            <v>PZU Main Warehouse</v>
          </cell>
        </row>
        <row r="32">
          <cell r="A32" t="str">
            <v>AA</v>
          </cell>
          <cell r="B32" t="str">
            <v xml:space="preserve">Khartoum Main Warehouse </v>
          </cell>
        </row>
        <row r="33">
          <cell r="A33" t="str">
            <v>AC</v>
          </cell>
          <cell r="B33" t="str">
            <v xml:space="preserve">Port Sudan Main Store </v>
          </cell>
        </row>
        <row r="34">
          <cell r="A34" t="str">
            <v>GB</v>
          </cell>
          <cell r="B34" t="str">
            <v>Ginning Bagair</v>
          </cell>
        </row>
        <row r="35">
          <cell r="A35" t="str">
            <v>GH</v>
          </cell>
          <cell r="B35" t="str">
            <v>Ginning Hashisa</v>
          </cell>
        </row>
        <row r="36">
          <cell r="A36" t="str">
            <v>GM</v>
          </cell>
          <cell r="B36" t="str">
            <v>Ginning Madni</v>
          </cell>
        </row>
        <row r="37">
          <cell r="A37" t="str">
            <v>SH</v>
          </cell>
          <cell r="B37" t="str">
            <v xml:space="preserve">Sifter -KHA Mahasilna </v>
          </cell>
        </row>
        <row r="38">
          <cell r="A38" t="str">
            <v>SI</v>
          </cell>
          <cell r="B38" t="str">
            <v>Sifter Bahri-Libyan</v>
          </cell>
        </row>
        <row r="39">
          <cell r="A39" t="str">
            <v>JA</v>
          </cell>
          <cell r="B39" t="str">
            <v xml:space="preserve">W/H Row Khartoum - JV </v>
          </cell>
        </row>
        <row r="40">
          <cell r="A40" t="str">
            <v>JC</v>
          </cell>
          <cell r="B40" t="str">
            <v xml:space="preserve">W/H Row PZU - JV </v>
          </cell>
        </row>
        <row r="41">
          <cell r="A41" t="str">
            <v>JG</v>
          </cell>
          <cell r="B41" t="str">
            <v xml:space="preserve">W/H Row Gadarif - JV </v>
          </cell>
        </row>
        <row r="42">
          <cell r="A42" t="str">
            <v>JN</v>
          </cell>
          <cell r="B42" t="str">
            <v xml:space="preserve">W/H Row Nayala - JV </v>
          </cell>
        </row>
        <row r="43">
          <cell r="A43" t="str">
            <v>A1</v>
          </cell>
          <cell r="B43" t="str">
            <v>Khartoum In Transit PPBags</v>
          </cell>
        </row>
        <row r="44">
          <cell r="A44" t="str">
            <v>G1</v>
          </cell>
          <cell r="B44" t="str">
            <v>Gadarif In Transit PPBags</v>
          </cell>
        </row>
        <row r="45">
          <cell r="A45" t="str">
            <v>C1</v>
          </cell>
          <cell r="B45" t="str">
            <v>Port Sudan Intransit PPBags</v>
          </cell>
        </row>
        <row r="46">
          <cell r="A46" t="str">
            <v>A4</v>
          </cell>
          <cell r="B46" t="str">
            <v xml:space="preserve">Inter Segment Warehouse </v>
          </cell>
        </row>
        <row r="47">
          <cell r="A47" t="str">
            <v>NC</v>
          </cell>
          <cell r="B47" t="str">
            <v xml:space="preserve">NON Conforming </v>
          </cell>
        </row>
        <row r="48">
          <cell r="A48" t="str">
            <v>CT</v>
          </cell>
          <cell r="B48" t="str">
            <v xml:space="preserve">Crusher -KHN-  Al-Teital </v>
          </cell>
        </row>
        <row r="49">
          <cell r="A49" t="str">
            <v>SY</v>
          </cell>
          <cell r="B49" t="str">
            <v xml:space="preserve">Sifter Bayader- OMD </v>
          </cell>
        </row>
        <row r="50">
          <cell r="A50" t="str">
            <v>SZ</v>
          </cell>
          <cell r="B50" t="str">
            <v>Sifter Almarkzi-OMD</v>
          </cell>
        </row>
        <row r="51">
          <cell r="A51" t="str">
            <v>SS</v>
          </cell>
          <cell r="B51" t="str">
            <v>Sifter -Gadrif Organica</v>
          </cell>
        </row>
        <row r="52">
          <cell r="A52" t="str">
            <v>EG</v>
          </cell>
          <cell r="B52" t="str">
            <v>Export Yellow Beans</v>
          </cell>
        </row>
        <row r="53">
          <cell r="A53" t="str">
            <v>SJ</v>
          </cell>
          <cell r="B53" t="str">
            <v xml:space="preserve">New Sifter </v>
          </cell>
        </row>
        <row r="54">
          <cell r="A54" t="str">
            <v>ST</v>
          </cell>
          <cell r="B54" t="str">
            <v xml:space="preserve">Sifter -OMD - KARAR </v>
          </cell>
        </row>
        <row r="55">
          <cell r="A55" t="str">
            <v>CU</v>
          </cell>
          <cell r="B55" t="str">
            <v>Crusher -OMA- Elbalola</v>
          </cell>
        </row>
        <row r="56">
          <cell r="A56" t="str">
            <v>SW</v>
          </cell>
          <cell r="B56" t="str">
            <v>Sifter -KHA Hassabo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3C9CE0-634A-40D2-8258-BA85A0672C3A}" name="stockm32423" displayName="stockm32423" ref="A2:AX46" totalsRowCount="1" headerRowDxfId="95">
  <autoFilter ref="A2:AX45" xr:uid="{C23C9CE0-634A-40D2-8258-BA85A0672C3A}">
    <filterColumn colId="49">
      <filters>
        <filter val="1,929"/>
        <filter val="102"/>
        <filter val="102290"/>
        <filter val="106"/>
        <filter val="17100"/>
        <filter val="19989"/>
        <filter val="21"/>
        <filter val="350,595"/>
        <filter val="37482"/>
        <filter val="5,442"/>
        <filter val="63900"/>
        <filter val="9"/>
        <filter val="9000"/>
      </filters>
    </filterColumn>
  </autoFilter>
  <tableColumns count="50">
    <tableColumn id="1" xr3:uid="{3FB6AC78-C663-443C-BB14-D1AC2E04319C}" name="product" totalsRowLabel="Total" dataDxfId="94"/>
    <tableColumn id="5" xr3:uid="{8AA4E9B1-790B-4DF7-91C5-08DBFE33542D}" name="Product " totalsRowLabel="Total" dataDxfId="93"/>
    <tableColumn id="6" xr3:uid="{8ADA2864-4599-48EA-BD47-55BC39E68E38}" name="SAP Material" dataDxfId="88" totalsRowDxfId="43"/>
    <tableColumn id="2" xr3:uid="{E7B2F05A-E4DD-46FC-A840-98AD28B41A47}" name="description" dataDxfId="92"/>
    <tableColumn id="3" xr3:uid="{7A90FC8A-E5C7-4B95-8780-A2CFEC215397}" name="unit_code" dataDxfId="91"/>
    <tableColumn id="22" xr3:uid="{E7EA07E5-4DC1-48E7-B70A-190549BEF136}" name="Type" dataDxfId="90"/>
    <tableColumn id="7" xr3:uid="{AE4EA3AD-4E0B-435E-88ED-E9C054A71C54}" name="GD04" totalsRowFunction="sum" dataDxfId="87" totalsRowDxfId="42"/>
    <tableColumn id="26" xr3:uid="{F45B4B38-E2A6-4724-B186-6BDF46BAA949}" name="Gadarif Distribution Center_x000a_Physical Quantity" totalsRowFunction="sum" dataDxfId="86" totalsRowDxfId="41"/>
    <tableColumn id="27" xr3:uid="{47354F09-AF63-4908-9A55-8B47D40C1503}" name="Variance _x000a_(GD04)" totalsRowFunction="sum" dataDxfId="85" totalsRowDxfId="40"/>
    <tableColumn id="16" xr3:uid="{527DADEA-5DC5-4C0E-8396-ED99862349DD}" name="Remark" dataDxfId="84" totalsRowDxfId="39"/>
    <tableColumn id="12" xr3:uid="{981FCE29-67E3-41E6-8B78-9258DA125E4E}" name="MD05" totalsRowFunction="sum" dataDxfId="83" totalsRowDxfId="38"/>
    <tableColumn id="40" xr3:uid="{7A36015D-674E-400A-9B2E-C80D4D27D4FD}" name="Medani Distribution Center_x000a_Physical Quantity" totalsRowFunction="sum" dataDxfId="82" totalsRowDxfId="37"/>
    <tableColumn id="41" xr3:uid="{6F637567-9D1B-4C8A-A24D-CDFC4638C772}" name="Variance _x000a_(MD05)" totalsRowFunction="sum" dataDxfId="81" totalsRowDxfId="36"/>
    <tableColumn id="10" xr3:uid="{1F8E469C-E4D6-4081-8877-31F160EAE7EC}" name="KS05" totalsRowFunction="sum" dataDxfId="80" totalsRowDxfId="35"/>
    <tableColumn id="11" xr3:uid="{2609354B-A896-4597-9E56-8EEDFE6D3AF3}" name="Kassala distribution center_x000a_Physical Quantity" totalsRowFunction="sum" dataDxfId="79" totalsRowDxfId="34"/>
    <tableColumn id="14" xr3:uid="{0A55A775-1891-4D9A-97D6-A9CB8B419075}" name="Variance _x000a_(KS05)" totalsRowFunction="sum" dataDxfId="78" totalsRowDxfId="33"/>
    <tableColumn id="13" xr3:uid="{2BD25A2F-62CE-490C-969B-5DDC7D3405C0}" name="RK02" totalsRowFunction="sum" dataDxfId="77" totalsRowDxfId="32"/>
    <tableColumn id="42" xr3:uid="{6AA68C91-76F1-40DD-934F-9EC66FC3C050}" name="Rabak distribution center_x000a_Physical Quantity3" totalsRowFunction="sum" dataDxfId="76" totalsRowDxfId="31"/>
    <tableColumn id="43" xr3:uid="{300678D2-1A8B-44F0-BC62-48A1E7F09C01}" name="Variance _x000a_(RK02)4" totalsRowFunction="sum" dataDxfId="75" totalsRowDxfId="30"/>
    <tableColumn id="9" xr3:uid="{9C588A5A-A95B-4F13-8C66-6E6D5DE95201}" name="KO02" totalsRowFunction="sum" dataDxfId="74" totalsRowDxfId="29"/>
    <tableColumn id="17" xr3:uid="{6F25379B-A5EE-4B39-8DDD-DC001CC6A814}" name="Kosti Distribution Center_x000a_Physical Quantity" totalsRowFunction="sum" dataDxfId="73" totalsRowDxfId="28"/>
    <tableColumn id="18" xr3:uid="{6AA887FC-4ADD-4D74-9668-58F02FBC7D73}" name="Variance _x000a_(KO02)" totalsRowFunction="sum" dataDxfId="72" totalsRowDxfId="27"/>
    <tableColumn id="23" xr3:uid="{9DC3527E-258B-46D6-8894-60454D91268C}" name="Remark       " dataDxfId="71" totalsRowDxfId="26"/>
    <tableColumn id="15" xr3:uid="{5B899AA1-22F8-4725-AC0C-6D094B028D1C}" name="AT01" totalsRowFunction="sum" dataDxfId="70" totalsRowDxfId="25"/>
    <tableColumn id="46" xr3:uid="{50D19357-295E-441A-AECF-B9D4054AFEA1}" name="ATBARA Distribution Center_x000a_Physical Quantity" totalsRowFunction="sum" dataDxfId="69" totalsRowDxfId="24"/>
    <tableColumn id="47" xr3:uid="{84595254-4014-43B5-92BB-CD56AA491E65}" name="Variance _x000a_(AT01)" totalsRowFunction="sum" dataDxfId="68" totalsRowDxfId="23"/>
    <tableColumn id="32" xr3:uid="{460566B4-FC6F-411C-8A8D-93ADE840DD55}" name="KH03" totalsRowFunction="sum" dataDxfId="67" totalsRowDxfId="22"/>
    <tableColumn id="34" xr3:uid="{70B310BA-8A64-4545-8388-9A587E2F6796}" name="Elkhabir (KRT) Warehouse Physical Quantity" totalsRowFunction="sum" dataDxfId="66" totalsRowDxfId="21"/>
    <tableColumn id="35" xr3:uid="{8CC77913-9BB9-41E3-A4E8-11A3BAC76BBF}" name="Variance _x000a_(KH03)" totalsRowFunction="sum" dataDxfId="65" totalsRowDxfId="20"/>
    <tableColumn id="36" xr3:uid="{91CEB03E-5B64-4B8B-87CB-B03E7F5E46FD}" name="Comment" dataDxfId="64" totalsRowDxfId="19"/>
    <tableColumn id="20" xr3:uid="{371E4482-6A94-4F1B-947A-102BA2610B70}" name="KO022" totalsRowFunction="sum" dataDxfId="63" totalsRowDxfId="18"/>
    <tableColumn id="24" xr3:uid="{E1EAFC37-983B-4B78-8D6E-850BE53883BC}" name="Kosti Distribution Center_x000a_Physical Quantity3" totalsRowFunction="sum" dataDxfId="62" totalsRowDxfId="17"/>
    <tableColumn id="28" xr3:uid="{36C8E96E-747C-47DF-B899-A0CF4DB899E7}" name="Variance _x000a_(KO02)4" totalsRowFunction="sum" dataDxfId="61" totalsRowDxfId="16"/>
    <tableColumn id="4" xr3:uid="{8115106A-0235-4DC1-9186-84C5D2BCC7EA}" name="A013" totalsRowFunction="sum" dataDxfId="60" totalsRowDxfId="15"/>
    <tableColumn id="57" xr3:uid="{29F808E7-1307-4312-8382-B56EFD1AF440}" name="BL01" totalsRowFunction="sum" dataDxfId="59" totalsRowDxfId="14"/>
    <tableColumn id="58" xr3:uid="{761DCF52-9B94-4A96-997D-1EA7E655B549}" name="BN01" totalsRowFunction="sum" dataDxfId="58" totalsRowDxfId="13"/>
    <tableColumn id="59" xr3:uid="{05E8E4F1-B5A8-4641-8BD5-F8627040926B}" name="BN02" totalsRowFunction="sum" dataDxfId="57" totalsRowDxfId="12"/>
    <tableColumn id="33" xr3:uid="{591438D3-BAB3-448D-AA82-3AEB047F22A4}" name="E002" totalsRowFunction="sum" dataDxfId="56" totalsRowDxfId="11"/>
    <tableColumn id="56" xr3:uid="{C4E2C223-01CF-4B6A-B1F7-0BC91EC0E4A6}" name="E003" totalsRowFunction="sum" dataDxfId="55" totalsRowDxfId="10"/>
    <tableColumn id="29" xr3:uid="{AF5F744F-3964-489A-B209-51E4B84A5C2B}" name="TX01" totalsRowFunction="sum" dataDxfId="54" totalsRowDxfId="9"/>
    <tableColumn id="19" xr3:uid="{401E5B1B-8EC0-4646-A9C5-51EF9FDCD52F}" name="TX02" totalsRowFunction="sum" dataDxfId="53" totalsRowDxfId="8"/>
    <tableColumn id="63" xr3:uid="{F49D96CE-F965-4957-8509-E8342FD764F8}" name="D013" totalsRowFunction="sum" dataDxfId="52" totalsRowDxfId="7"/>
    <tableColumn id="60" xr3:uid="{16B70A69-09A6-4D67-9172-E457AC59D805}" name="BW01" totalsRowFunction="sum" dataDxfId="51" totalsRowDxfId="6"/>
    <tableColumn id="61" xr3:uid="{0AC3FA70-744B-43F5-A237-DA1785A6EEF1}" name="F011" totalsRowFunction="sum" dataDxfId="50" totalsRowDxfId="5"/>
    <tableColumn id="62" xr3:uid="{EAB95C87-2988-45D9-A352-B4F4FA713F0B}" name="G013" totalsRowFunction="sum" dataDxfId="49" totalsRowDxfId="4"/>
    <tableColumn id="21" xr3:uid="{D5DC7C49-D7BB-4891-8207-2E5BC260AF3D}" name="Grand Total" totalsRowFunction="sum" dataDxfId="48" totalsRowDxfId="3"/>
    <tableColumn id="53" xr3:uid="{37734BF6-91F5-4C58-87A2-9521ED639BA8}" name="PZU distribution centers_x000a_Physical Quantity" totalsRowFunction="sum" dataDxfId="47" totalsRowDxfId="2"/>
    <tableColumn id="54" xr3:uid="{FB21F433-7301-456C-B260-63F013D4373E}" name="Variance" totalsRowFunction="sum" dataDxfId="46" totalsRowDxfId="1"/>
    <tableColumn id="25" xr3:uid="{1BF5EED6-83AB-4856-9718-E13EAAC5D26A}" name="Remark2" dataDxfId="45" totalsRowDxfId="0"/>
    <tableColumn id="8" xr3:uid="{5A7DF2FF-5B15-4303-A71B-249DA9BFD00E}" name="Column1" dataDxfId="89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9939E-9FC4-4C5B-8151-3B7474DD2D55}">
  <dimension ref="A1:BB52"/>
  <sheetViews>
    <sheetView tabSelected="1" topLeftCell="B1" zoomScale="66" workbookViewId="0">
      <pane xSplit="5" ySplit="2" topLeftCell="AC3" activePane="bottomRight" state="frozen"/>
      <selection activeCell="B1" sqref="B1"/>
      <selection pane="topRight" activeCell="G1" sqref="G1"/>
      <selection pane="bottomLeft" activeCell="B3" sqref="B3"/>
      <selection pane="bottomRight" activeCell="I40" sqref="I40"/>
    </sheetView>
  </sheetViews>
  <sheetFormatPr defaultRowHeight="14.4" x14ac:dyDescent="0.3"/>
  <cols>
    <col min="1" max="1" width="14.88671875" hidden="1" customWidth="1"/>
    <col min="2" max="2" width="7.44140625" customWidth="1"/>
    <col min="3" max="3" width="13.44140625" style="15" customWidth="1"/>
    <col min="4" max="4" width="24.21875" bestFit="1" customWidth="1"/>
    <col min="5" max="5" width="8.77734375" customWidth="1"/>
    <col min="6" max="6" width="13.109375" customWidth="1"/>
    <col min="7" max="7" width="16.33203125" customWidth="1"/>
    <col min="8" max="8" width="23" customWidth="1"/>
    <col min="9" max="9" width="16.33203125" customWidth="1"/>
    <col min="10" max="10" width="13.21875" customWidth="1"/>
    <col min="11" max="11" width="9.21875" bestFit="1" customWidth="1"/>
    <col min="12" max="12" width="23.33203125" customWidth="1"/>
    <col min="13" max="13" width="13.6640625" bestFit="1" customWidth="1"/>
    <col min="14" max="14" width="11.33203125" customWidth="1"/>
    <col min="15" max="15" width="23.6640625" customWidth="1"/>
    <col min="16" max="16" width="13.44140625" customWidth="1"/>
    <col min="17" max="17" width="11.33203125" hidden="1" customWidth="1"/>
    <col min="18" max="18" width="21.6640625" hidden="1" customWidth="1"/>
    <col min="19" max="19" width="10" hidden="1" customWidth="1"/>
    <col min="20" max="20" width="10" customWidth="1"/>
    <col min="21" max="21" width="26.6640625" customWidth="1"/>
    <col min="22" max="23" width="10" customWidth="1"/>
    <col min="24" max="24" width="8.77734375" customWidth="1"/>
    <col min="25" max="25" width="24.33203125" customWidth="1"/>
    <col min="26" max="26" width="13.6640625" customWidth="1"/>
    <col min="27" max="27" width="9.44140625" customWidth="1"/>
    <col min="28" max="28" width="22.21875" customWidth="1"/>
    <col min="29" max="29" width="16.88671875" bestFit="1" customWidth="1"/>
    <col min="30" max="30" width="13.5546875" hidden="1" customWidth="1"/>
    <col min="31" max="31" width="0" hidden="1" customWidth="1"/>
    <col min="32" max="32" width="19.5546875" hidden="1" customWidth="1"/>
    <col min="33" max="33" width="14.109375" hidden="1" customWidth="1"/>
    <col min="34" max="34" width="8.21875" customWidth="1"/>
    <col min="35" max="35" width="14.6640625" bestFit="1" customWidth="1"/>
    <col min="36" max="36" width="15.109375" bestFit="1" customWidth="1"/>
    <col min="37" max="37" width="15.44140625" bestFit="1" customWidth="1"/>
    <col min="38" max="45" width="8.21875" customWidth="1"/>
    <col min="46" max="46" width="19.5546875" customWidth="1"/>
    <col min="47" max="47" width="24.21875" customWidth="1"/>
    <col min="48" max="48" width="10.44140625" customWidth="1"/>
    <col min="49" max="49" width="28.77734375" customWidth="1"/>
    <col min="50" max="50" width="10.77734375" hidden="1" customWidth="1"/>
    <col min="51" max="52" width="10.77734375" customWidth="1"/>
    <col min="53" max="53" width="9.77734375" customWidth="1"/>
    <col min="54" max="54" width="9.88671875" hidden="1" customWidth="1"/>
    <col min="55" max="56" width="7.77734375" customWidth="1"/>
  </cols>
  <sheetData>
    <row r="1" spans="1:52" s="8" customFormat="1" ht="43.8" customHeight="1" thickBot="1" x14ac:dyDescent="0.35">
      <c r="A1" s="26"/>
      <c r="B1" s="26"/>
      <c r="C1" s="26"/>
      <c r="D1" s="26"/>
      <c r="E1" s="26"/>
      <c r="F1" s="27"/>
      <c r="G1" s="28" t="s">
        <v>123</v>
      </c>
      <c r="H1" s="29"/>
      <c r="I1" s="29"/>
      <c r="J1" s="30"/>
      <c r="K1" s="28" t="s">
        <v>130</v>
      </c>
      <c r="L1" s="29"/>
      <c r="M1" s="30"/>
      <c r="N1" s="28" t="s">
        <v>143</v>
      </c>
      <c r="O1" s="29"/>
      <c r="P1" s="29"/>
      <c r="Q1" s="28" t="s">
        <v>122</v>
      </c>
      <c r="R1" s="29"/>
      <c r="S1" s="30"/>
      <c r="T1" s="28" t="s">
        <v>120</v>
      </c>
      <c r="U1" s="29"/>
      <c r="V1" s="29"/>
      <c r="W1" s="30"/>
      <c r="X1" s="28" t="s">
        <v>121</v>
      </c>
      <c r="Y1" s="29"/>
      <c r="Z1" s="30"/>
      <c r="AA1" s="31" t="s">
        <v>146</v>
      </c>
      <c r="AB1" s="32"/>
      <c r="AC1" s="32"/>
      <c r="AD1" s="33"/>
      <c r="AE1" s="28" t="s">
        <v>120</v>
      </c>
      <c r="AF1" s="29"/>
      <c r="AG1" s="30"/>
      <c r="AH1" s="34" t="s">
        <v>114</v>
      </c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6"/>
      <c r="AT1" s="37" t="s">
        <v>119</v>
      </c>
      <c r="AU1" s="37"/>
      <c r="AV1" s="37"/>
      <c r="AW1" s="38"/>
    </row>
    <row r="2" spans="1:52" s="1" customFormat="1" ht="49.2" customHeight="1" thickBot="1" x14ac:dyDescent="0.35">
      <c r="A2" s="1" t="s">
        <v>0</v>
      </c>
      <c r="B2" s="1" t="s">
        <v>96</v>
      </c>
      <c r="C2" s="1" t="s">
        <v>97</v>
      </c>
      <c r="D2" s="1" t="s">
        <v>1</v>
      </c>
      <c r="E2" s="1" t="s">
        <v>2</v>
      </c>
      <c r="F2" s="1" t="s">
        <v>50</v>
      </c>
      <c r="G2" s="2" t="s">
        <v>98</v>
      </c>
      <c r="H2" s="1" t="s">
        <v>148</v>
      </c>
      <c r="I2" s="1" t="s">
        <v>124</v>
      </c>
      <c r="J2" s="1" t="s">
        <v>126</v>
      </c>
      <c r="K2" s="12" t="s">
        <v>128</v>
      </c>
      <c r="L2" s="13" t="s">
        <v>115</v>
      </c>
      <c r="M2" s="14" t="s">
        <v>131</v>
      </c>
      <c r="N2" s="2" t="s">
        <v>135</v>
      </c>
      <c r="O2" s="1" t="s">
        <v>144</v>
      </c>
      <c r="P2" s="1" t="s">
        <v>145</v>
      </c>
      <c r="Q2" s="2" t="s">
        <v>101</v>
      </c>
      <c r="R2" s="1" t="s">
        <v>133</v>
      </c>
      <c r="S2" s="22" t="s">
        <v>134</v>
      </c>
      <c r="T2" s="2" t="s">
        <v>103</v>
      </c>
      <c r="U2" s="1" t="s">
        <v>117</v>
      </c>
      <c r="V2" s="1" t="s">
        <v>125</v>
      </c>
      <c r="W2" s="1" t="s">
        <v>155</v>
      </c>
      <c r="X2" s="12" t="s">
        <v>102</v>
      </c>
      <c r="Y2" s="13" t="s">
        <v>116</v>
      </c>
      <c r="Z2" s="14" t="s">
        <v>129</v>
      </c>
      <c r="AA2" s="1" t="s">
        <v>137</v>
      </c>
      <c r="AB2" s="1" t="s">
        <v>138</v>
      </c>
      <c r="AC2" s="1" t="s">
        <v>139</v>
      </c>
      <c r="AD2" s="1" t="s">
        <v>136</v>
      </c>
      <c r="AE2" s="2" t="s">
        <v>140</v>
      </c>
      <c r="AF2" s="1" t="s">
        <v>141</v>
      </c>
      <c r="AG2" s="22" t="s">
        <v>142</v>
      </c>
      <c r="AH2" s="16" t="s">
        <v>105</v>
      </c>
      <c r="AI2" s="17" t="s">
        <v>107</v>
      </c>
      <c r="AJ2" s="17" t="s">
        <v>108</v>
      </c>
      <c r="AK2" s="17" t="s">
        <v>109</v>
      </c>
      <c r="AL2" s="17" t="s">
        <v>99</v>
      </c>
      <c r="AM2" s="17" t="s">
        <v>106</v>
      </c>
      <c r="AN2" s="17" t="s">
        <v>104</v>
      </c>
      <c r="AO2" s="17" t="s">
        <v>110</v>
      </c>
      <c r="AP2" s="17" t="s">
        <v>111</v>
      </c>
      <c r="AQ2" s="17" t="s">
        <v>100</v>
      </c>
      <c r="AR2" s="17" t="s">
        <v>112</v>
      </c>
      <c r="AS2" s="18" t="s">
        <v>113</v>
      </c>
      <c r="AT2" s="19" t="s">
        <v>153</v>
      </c>
      <c r="AU2" s="20" t="s">
        <v>118</v>
      </c>
      <c r="AV2" s="20" t="s">
        <v>127</v>
      </c>
      <c r="AW2" s="21" t="s">
        <v>147</v>
      </c>
      <c r="AX2" s="1" t="s">
        <v>132</v>
      </c>
    </row>
    <row r="3" spans="1:52" hidden="1" x14ac:dyDescent="0.3">
      <c r="A3" t="s">
        <v>54</v>
      </c>
      <c r="B3" t="s">
        <v>156</v>
      </c>
      <c r="C3" s="15">
        <v>7000000054</v>
      </c>
      <c r="D3" t="s">
        <v>44</v>
      </c>
      <c r="E3" t="s">
        <v>16</v>
      </c>
      <c r="F3" t="s">
        <v>51</v>
      </c>
      <c r="G3" s="4">
        <v>0</v>
      </c>
      <c r="H3" s="5">
        <v>0</v>
      </c>
      <c r="I3" s="5">
        <v>0</v>
      </c>
      <c r="J3" s="5"/>
      <c r="K3" s="4">
        <v>0</v>
      </c>
      <c r="L3" s="5">
        <v>0</v>
      </c>
      <c r="M3" s="5">
        <v>0</v>
      </c>
      <c r="N3" s="4">
        <v>0</v>
      </c>
      <c r="O3" s="5">
        <v>0</v>
      </c>
      <c r="P3" s="5">
        <v>0</v>
      </c>
      <c r="Q3" s="4">
        <v>0</v>
      </c>
      <c r="R3" s="5">
        <v>0</v>
      </c>
      <c r="S3" s="3">
        <v>0</v>
      </c>
      <c r="T3" s="4">
        <v>0</v>
      </c>
      <c r="U3" s="5">
        <v>0</v>
      </c>
      <c r="V3" s="5">
        <v>0</v>
      </c>
      <c r="W3" s="5"/>
      <c r="X3" s="4">
        <v>0</v>
      </c>
      <c r="Y3" s="5">
        <v>0</v>
      </c>
      <c r="Z3" s="3">
        <v>0</v>
      </c>
      <c r="AA3" s="5">
        <v>0</v>
      </c>
      <c r="AB3" s="5">
        <v>0</v>
      </c>
      <c r="AC3" s="5">
        <v>0</v>
      </c>
      <c r="AD3" s="5"/>
      <c r="AE3" s="4">
        <v>0</v>
      </c>
      <c r="AF3" s="5">
        <v>0</v>
      </c>
      <c r="AG3" s="3">
        <v>0</v>
      </c>
      <c r="AH3" s="4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3">
        <v>0</v>
      </c>
      <c r="AT3" s="4">
        <v>0</v>
      </c>
      <c r="AU3" s="5">
        <v>0</v>
      </c>
      <c r="AV3" s="5">
        <v>0</v>
      </c>
      <c r="AW3" s="3"/>
      <c r="AX3">
        <v>0</v>
      </c>
    </row>
    <row r="4" spans="1:52" hidden="1" x14ac:dyDescent="0.3">
      <c r="A4" t="s">
        <v>55</v>
      </c>
      <c r="B4" t="s">
        <v>157</v>
      </c>
      <c r="C4" s="15">
        <v>7000000056</v>
      </c>
      <c r="D4" t="s">
        <v>46</v>
      </c>
      <c r="E4" t="s">
        <v>4</v>
      </c>
      <c r="F4" t="s">
        <v>51</v>
      </c>
      <c r="G4" s="4">
        <v>0</v>
      </c>
      <c r="H4" s="5">
        <v>0</v>
      </c>
      <c r="I4" s="5">
        <v>0</v>
      </c>
      <c r="J4" s="5"/>
      <c r="K4" s="4">
        <v>0</v>
      </c>
      <c r="L4" s="5">
        <v>0</v>
      </c>
      <c r="M4" s="5">
        <v>0</v>
      </c>
      <c r="N4" s="4">
        <v>0</v>
      </c>
      <c r="O4" s="5">
        <v>0</v>
      </c>
      <c r="P4" s="5">
        <v>0</v>
      </c>
      <c r="Q4" s="4">
        <v>0</v>
      </c>
      <c r="R4" s="5">
        <v>0</v>
      </c>
      <c r="S4" s="3">
        <v>0</v>
      </c>
      <c r="T4" s="4">
        <v>0</v>
      </c>
      <c r="U4" s="5">
        <v>0</v>
      </c>
      <c r="V4" s="5">
        <v>0</v>
      </c>
      <c r="W4" s="5"/>
      <c r="X4" s="4">
        <v>0</v>
      </c>
      <c r="Y4" s="5">
        <v>0</v>
      </c>
      <c r="Z4" s="3">
        <v>0</v>
      </c>
      <c r="AA4" s="5">
        <v>0</v>
      </c>
      <c r="AB4" s="5">
        <v>0</v>
      </c>
      <c r="AC4" s="5">
        <v>0</v>
      </c>
      <c r="AD4" s="5"/>
      <c r="AE4" s="4">
        <v>0</v>
      </c>
      <c r="AF4" s="5">
        <v>0</v>
      </c>
      <c r="AG4" s="3">
        <v>0</v>
      </c>
      <c r="AH4" s="4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3">
        <v>0</v>
      </c>
      <c r="AT4" s="4">
        <v>0</v>
      </c>
      <c r="AU4" s="5">
        <v>0</v>
      </c>
      <c r="AV4" s="5">
        <v>0</v>
      </c>
      <c r="AW4" s="3"/>
      <c r="AX4">
        <v>0</v>
      </c>
    </row>
    <row r="5" spans="1:52" hidden="1" x14ac:dyDescent="0.3">
      <c r="A5" t="s">
        <v>56</v>
      </c>
      <c r="B5" t="s">
        <v>158</v>
      </c>
      <c r="C5" s="15">
        <v>4000000082</v>
      </c>
      <c r="D5" t="s">
        <v>34</v>
      </c>
      <c r="E5" t="s">
        <v>16</v>
      </c>
      <c r="F5" t="s">
        <v>52</v>
      </c>
      <c r="G5" s="4">
        <v>0</v>
      </c>
      <c r="H5" s="5">
        <v>0</v>
      </c>
      <c r="I5" s="5">
        <v>0</v>
      </c>
      <c r="J5" s="5"/>
      <c r="K5" s="4">
        <v>0</v>
      </c>
      <c r="L5" s="5">
        <v>0</v>
      </c>
      <c r="M5" s="5">
        <v>0</v>
      </c>
      <c r="N5" s="4">
        <v>0</v>
      </c>
      <c r="O5" s="5">
        <v>0</v>
      </c>
      <c r="P5" s="5">
        <v>0</v>
      </c>
      <c r="Q5" s="4">
        <v>0</v>
      </c>
      <c r="R5" s="5">
        <v>0</v>
      </c>
      <c r="S5" s="3">
        <v>0</v>
      </c>
      <c r="T5" s="4">
        <v>0</v>
      </c>
      <c r="U5" s="5">
        <v>0</v>
      </c>
      <c r="V5" s="5">
        <v>0</v>
      </c>
      <c r="W5" s="5"/>
      <c r="X5" s="4">
        <v>0</v>
      </c>
      <c r="Y5" s="5">
        <v>0</v>
      </c>
      <c r="Z5" s="3">
        <v>0</v>
      </c>
      <c r="AA5" s="5">
        <v>0</v>
      </c>
      <c r="AB5" s="5">
        <v>0</v>
      </c>
      <c r="AC5" s="5">
        <v>0</v>
      </c>
      <c r="AD5" s="5"/>
      <c r="AE5" s="4">
        <v>0</v>
      </c>
      <c r="AF5" s="5">
        <v>0</v>
      </c>
      <c r="AG5" s="3">
        <v>0</v>
      </c>
      <c r="AH5" s="4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3">
        <v>0</v>
      </c>
      <c r="AT5" s="4">
        <v>0</v>
      </c>
      <c r="AU5" s="5">
        <v>0</v>
      </c>
      <c r="AV5" s="5">
        <v>0</v>
      </c>
      <c r="AW5" s="3"/>
      <c r="AX5">
        <v>0</v>
      </c>
    </row>
    <row r="6" spans="1:52" x14ac:dyDescent="0.3">
      <c r="A6" t="s">
        <v>57</v>
      </c>
      <c r="B6" t="s">
        <v>159</v>
      </c>
      <c r="C6" s="15">
        <v>4000000058</v>
      </c>
      <c r="D6" t="s">
        <v>154</v>
      </c>
      <c r="E6" t="s">
        <v>15</v>
      </c>
      <c r="F6" t="s">
        <v>52</v>
      </c>
      <c r="G6" s="4">
        <v>0</v>
      </c>
      <c r="H6" s="5">
        <v>0</v>
      </c>
      <c r="I6" s="5">
        <v>0</v>
      </c>
      <c r="J6" s="5"/>
      <c r="K6" s="4">
        <v>0</v>
      </c>
      <c r="L6" s="5">
        <v>0</v>
      </c>
      <c r="M6" s="5">
        <v>0</v>
      </c>
      <c r="N6" s="4">
        <v>0</v>
      </c>
      <c r="O6" s="5">
        <v>0</v>
      </c>
      <c r="P6" s="5">
        <v>0</v>
      </c>
      <c r="Q6" s="4">
        <v>0</v>
      </c>
      <c r="R6" s="5">
        <v>0</v>
      </c>
      <c r="S6" s="3">
        <v>0</v>
      </c>
      <c r="T6" s="4">
        <v>0</v>
      </c>
      <c r="U6" s="5">
        <v>0</v>
      </c>
      <c r="V6" s="5">
        <v>0</v>
      </c>
      <c r="W6" s="3"/>
      <c r="X6" s="4">
        <v>0</v>
      </c>
      <c r="Y6" s="5">
        <v>0</v>
      </c>
      <c r="Z6" s="3">
        <v>0</v>
      </c>
      <c r="AA6" s="5">
        <v>0</v>
      </c>
      <c r="AB6" s="5">
        <v>0</v>
      </c>
      <c r="AC6" s="5">
        <v>0</v>
      </c>
      <c r="AD6" s="5"/>
      <c r="AE6" s="4">
        <v>0</v>
      </c>
      <c r="AF6" s="5">
        <v>0</v>
      </c>
      <c r="AG6" s="3">
        <v>0</v>
      </c>
      <c r="AH6" s="4">
        <v>0</v>
      </c>
      <c r="AI6" s="5">
        <v>0</v>
      </c>
      <c r="AJ6" s="5">
        <v>65264</v>
      </c>
      <c r="AK6" s="5">
        <v>49882</v>
      </c>
      <c r="AL6" s="5">
        <v>151</v>
      </c>
      <c r="AM6" s="5">
        <v>0</v>
      </c>
      <c r="AN6" s="5">
        <v>1568</v>
      </c>
      <c r="AO6" s="5">
        <v>0</v>
      </c>
      <c r="AP6" s="5">
        <v>0</v>
      </c>
      <c r="AQ6" s="5">
        <v>0</v>
      </c>
      <c r="AR6" s="5">
        <v>0</v>
      </c>
      <c r="AS6" s="3">
        <v>0</v>
      </c>
      <c r="AT6" s="4">
        <v>116865</v>
      </c>
      <c r="AU6" s="5">
        <v>116917</v>
      </c>
      <c r="AV6" s="5">
        <v>-52</v>
      </c>
      <c r="AW6" s="3" t="s">
        <v>151</v>
      </c>
      <c r="AX6" s="5">
        <v>350595</v>
      </c>
    </row>
    <row r="7" spans="1:52" x14ac:dyDescent="0.3">
      <c r="B7" t="s">
        <v>160</v>
      </c>
      <c r="C7" s="15">
        <v>4000000267</v>
      </c>
      <c r="D7" t="s">
        <v>152</v>
      </c>
      <c r="E7" t="s">
        <v>15</v>
      </c>
      <c r="F7" t="s">
        <v>52</v>
      </c>
      <c r="G7" s="4">
        <v>0</v>
      </c>
      <c r="H7" s="5">
        <v>0</v>
      </c>
      <c r="I7" s="5">
        <v>0</v>
      </c>
      <c r="J7" s="5"/>
      <c r="K7" s="4">
        <v>0</v>
      </c>
      <c r="L7" s="5">
        <v>0</v>
      </c>
      <c r="M7" s="3">
        <v>0</v>
      </c>
      <c r="N7" s="4">
        <v>0</v>
      </c>
      <c r="O7" s="5">
        <v>0</v>
      </c>
      <c r="P7" s="5">
        <v>0</v>
      </c>
      <c r="Q7" s="4"/>
      <c r="R7" s="5"/>
      <c r="S7" s="3">
        <v>0</v>
      </c>
      <c r="T7" s="4">
        <v>0</v>
      </c>
      <c r="U7" s="5">
        <v>0</v>
      </c>
      <c r="V7" s="5">
        <v>0</v>
      </c>
      <c r="W7" s="3"/>
      <c r="X7" s="4">
        <v>0</v>
      </c>
      <c r="Y7" s="5">
        <v>0</v>
      </c>
      <c r="Z7" s="3">
        <v>0</v>
      </c>
      <c r="AA7" s="5">
        <v>0</v>
      </c>
      <c r="AB7" s="5">
        <v>0</v>
      </c>
      <c r="AC7" s="5">
        <v>0</v>
      </c>
      <c r="AD7" s="5"/>
      <c r="AE7" s="4"/>
      <c r="AF7" s="5"/>
      <c r="AG7" s="3">
        <v>0</v>
      </c>
      <c r="AH7" s="4">
        <v>0</v>
      </c>
      <c r="AI7" s="5">
        <v>0</v>
      </c>
      <c r="AJ7" s="5">
        <v>21</v>
      </c>
      <c r="AK7" s="5">
        <v>0</v>
      </c>
      <c r="AL7" s="5">
        <v>0</v>
      </c>
      <c r="AM7" s="5">
        <v>0</v>
      </c>
      <c r="AN7" s="5">
        <v>0</v>
      </c>
      <c r="AO7" s="5"/>
      <c r="AP7" s="5">
        <v>0</v>
      </c>
      <c r="AQ7" s="5">
        <v>0</v>
      </c>
      <c r="AR7" s="5">
        <v>0</v>
      </c>
      <c r="AS7" s="3">
        <v>0</v>
      </c>
      <c r="AT7" s="4"/>
      <c r="AU7" s="5">
        <v>0</v>
      </c>
      <c r="AV7" s="5">
        <v>0</v>
      </c>
      <c r="AW7" s="3"/>
      <c r="AX7">
        <v>21</v>
      </c>
    </row>
    <row r="8" spans="1:52" hidden="1" x14ac:dyDescent="0.3">
      <c r="A8" t="s">
        <v>58</v>
      </c>
      <c r="B8" t="s">
        <v>161</v>
      </c>
      <c r="C8" s="15">
        <v>4000000057</v>
      </c>
      <c r="D8" t="s">
        <v>20</v>
      </c>
      <c r="E8" t="s">
        <v>15</v>
      </c>
      <c r="F8" t="s">
        <v>52</v>
      </c>
      <c r="G8" s="4">
        <v>0</v>
      </c>
      <c r="H8" s="5">
        <v>0</v>
      </c>
      <c r="I8" s="5">
        <v>0</v>
      </c>
      <c r="J8" s="5"/>
      <c r="K8" s="4">
        <v>0</v>
      </c>
      <c r="L8" s="5">
        <v>0</v>
      </c>
      <c r="M8" s="5">
        <v>0</v>
      </c>
      <c r="N8" s="4">
        <v>0</v>
      </c>
      <c r="O8" s="5">
        <v>0</v>
      </c>
      <c r="P8" s="5">
        <v>0</v>
      </c>
      <c r="Q8" s="4">
        <v>0</v>
      </c>
      <c r="R8" s="5">
        <v>0</v>
      </c>
      <c r="S8" s="3">
        <v>0</v>
      </c>
      <c r="T8" s="4">
        <v>0</v>
      </c>
      <c r="U8" s="5">
        <v>0</v>
      </c>
      <c r="V8" s="5">
        <v>0</v>
      </c>
      <c r="W8" s="3"/>
      <c r="X8" s="4">
        <v>0</v>
      </c>
      <c r="Y8" s="5">
        <v>0</v>
      </c>
      <c r="Z8" s="3">
        <v>0</v>
      </c>
      <c r="AA8" s="5">
        <v>0</v>
      </c>
      <c r="AB8" s="5">
        <v>0</v>
      </c>
      <c r="AC8" s="5">
        <v>0</v>
      </c>
      <c r="AD8" s="5"/>
      <c r="AE8" s="4">
        <v>0</v>
      </c>
      <c r="AF8" s="5">
        <v>0</v>
      </c>
      <c r="AG8" s="3">
        <v>0</v>
      </c>
      <c r="AH8" s="4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3">
        <v>0</v>
      </c>
      <c r="AT8" s="4">
        <v>0</v>
      </c>
      <c r="AU8" s="5">
        <v>0</v>
      </c>
      <c r="AV8" s="5">
        <v>0</v>
      </c>
      <c r="AW8" s="3"/>
      <c r="AX8">
        <v>0</v>
      </c>
    </row>
    <row r="9" spans="1:52" hidden="1" x14ac:dyDescent="0.3">
      <c r="A9" t="s">
        <v>59</v>
      </c>
      <c r="B9" t="s">
        <v>162</v>
      </c>
      <c r="C9" s="15">
        <v>4000000032</v>
      </c>
      <c r="D9" t="s">
        <v>28</v>
      </c>
      <c r="E9" t="s">
        <v>15</v>
      </c>
      <c r="F9" t="s">
        <v>52</v>
      </c>
      <c r="G9" s="4">
        <v>0</v>
      </c>
      <c r="H9" s="5">
        <v>0</v>
      </c>
      <c r="I9" s="5">
        <v>0</v>
      </c>
      <c r="J9" s="5"/>
      <c r="K9" s="4">
        <v>0</v>
      </c>
      <c r="L9" s="5">
        <v>0</v>
      </c>
      <c r="M9" s="5">
        <v>0</v>
      </c>
      <c r="N9" s="4">
        <v>0</v>
      </c>
      <c r="O9" s="5">
        <v>0</v>
      </c>
      <c r="P9" s="5">
        <v>0</v>
      </c>
      <c r="Q9" s="4">
        <v>0</v>
      </c>
      <c r="R9" s="5">
        <v>0</v>
      </c>
      <c r="S9" s="3">
        <v>0</v>
      </c>
      <c r="T9" s="4">
        <v>0</v>
      </c>
      <c r="U9" s="5">
        <v>0</v>
      </c>
      <c r="V9" s="5">
        <v>0</v>
      </c>
      <c r="W9" s="3"/>
      <c r="X9" s="4">
        <v>0</v>
      </c>
      <c r="Y9" s="5">
        <v>0</v>
      </c>
      <c r="Z9" s="3">
        <v>0</v>
      </c>
      <c r="AA9" s="5">
        <v>0</v>
      </c>
      <c r="AB9" s="5">
        <v>0</v>
      </c>
      <c r="AC9" s="5">
        <v>0</v>
      </c>
      <c r="AD9" s="5"/>
      <c r="AE9" s="4">
        <v>0</v>
      </c>
      <c r="AF9" s="5">
        <v>0</v>
      </c>
      <c r="AG9" s="3">
        <v>0</v>
      </c>
      <c r="AH9" s="4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3">
        <v>0</v>
      </c>
      <c r="AT9" s="4">
        <v>0</v>
      </c>
      <c r="AU9" s="5">
        <v>0</v>
      </c>
      <c r="AV9" s="5">
        <v>0</v>
      </c>
      <c r="AW9" s="3"/>
      <c r="AX9">
        <v>0</v>
      </c>
    </row>
    <row r="10" spans="1:52" hidden="1" x14ac:dyDescent="0.3">
      <c r="A10" t="s">
        <v>60</v>
      </c>
      <c r="B10" t="s">
        <v>163</v>
      </c>
      <c r="C10" s="15">
        <v>4000000056</v>
      </c>
      <c r="D10" t="s">
        <v>32</v>
      </c>
      <c r="E10" t="s">
        <v>15</v>
      </c>
      <c r="F10" t="s">
        <v>52</v>
      </c>
      <c r="G10" s="4">
        <v>0</v>
      </c>
      <c r="H10" s="5">
        <v>0</v>
      </c>
      <c r="I10" s="5">
        <v>0</v>
      </c>
      <c r="J10" s="5"/>
      <c r="K10" s="4">
        <v>0</v>
      </c>
      <c r="L10" s="5">
        <v>0</v>
      </c>
      <c r="M10" s="5">
        <v>0</v>
      </c>
      <c r="N10" s="4">
        <v>0</v>
      </c>
      <c r="O10" s="5">
        <v>0</v>
      </c>
      <c r="P10" s="5">
        <v>0</v>
      </c>
      <c r="Q10" s="4">
        <v>0</v>
      </c>
      <c r="R10" s="5">
        <v>0</v>
      </c>
      <c r="S10" s="3">
        <v>0</v>
      </c>
      <c r="T10" s="4">
        <v>0</v>
      </c>
      <c r="U10" s="5">
        <v>0</v>
      </c>
      <c r="V10" s="5">
        <v>0</v>
      </c>
      <c r="W10" s="3"/>
      <c r="X10" s="4">
        <v>0</v>
      </c>
      <c r="Y10" s="5">
        <v>0</v>
      </c>
      <c r="Z10" s="3">
        <v>0</v>
      </c>
      <c r="AA10" s="5">
        <v>0</v>
      </c>
      <c r="AB10" s="5">
        <v>0</v>
      </c>
      <c r="AC10" s="5">
        <v>0</v>
      </c>
      <c r="AD10" s="5"/>
      <c r="AE10" s="4">
        <v>0</v>
      </c>
      <c r="AF10" s="5">
        <v>0</v>
      </c>
      <c r="AG10" s="3">
        <v>0</v>
      </c>
      <c r="AH10" s="4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3">
        <v>0</v>
      </c>
      <c r="AT10" s="4">
        <v>0</v>
      </c>
      <c r="AU10" s="5">
        <v>0</v>
      </c>
      <c r="AV10" s="5">
        <v>0</v>
      </c>
      <c r="AW10" s="3"/>
      <c r="AX10">
        <v>0</v>
      </c>
    </row>
    <row r="11" spans="1:52" hidden="1" x14ac:dyDescent="0.3">
      <c r="A11" t="s">
        <v>61</v>
      </c>
      <c r="B11" t="s">
        <v>164</v>
      </c>
      <c r="C11" s="15">
        <v>7000000023</v>
      </c>
      <c r="D11" t="s">
        <v>39</v>
      </c>
      <c r="E11" t="s">
        <v>15</v>
      </c>
      <c r="F11" t="s">
        <v>51</v>
      </c>
      <c r="G11" s="4">
        <v>0</v>
      </c>
      <c r="H11" s="5">
        <v>0</v>
      </c>
      <c r="I11" s="5">
        <v>0</v>
      </c>
      <c r="J11" s="5"/>
      <c r="K11" s="4">
        <v>0</v>
      </c>
      <c r="L11" s="5">
        <v>0</v>
      </c>
      <c r="M11" s="5">
        <v>0</v>
      </c>
      <c r="N11" s="4">
        <v>0</v>
      </c>
      <c r="O11" s="5">
        <v>0</v>
      </c>
      <c r="P11" s="5">
        <v>0</v>
      </c>
      <c r="Q11" s="4">
        <v>0</v>
      </c>
      <c r="R11" s="5">
        <v>0</v>
      </c>
      <c r="S11" s="3">
        <v>0</v>
      </c>
      <c r="T11" s="4">
        <v>0</v>
      </c>
      <c r="U11" s="5">
        <v>0</v>
      </c>
      <c r="V11" s="5">
        <v>0</v>
      </c>
      <c r="W11" s="3"/>
      <c r="X11" s="4">
        <v>0</v>
      </c>
      <c r="Y11" s="5">
        <v>0</v>
      </c>
      <c r="Z11" s="3">
        <v>0</v>
      </c>
      <c r="AA11" s="5">
        <v>0</v>
      </c>
      <c r="AB11" s="5">
        <v>0</v>
      </c>
      <c r="AC11" s="5">
        <v>0</v>
      </c>
      <c r="AD11" s="5"/>
      <c r="AE11" s="4">
        <v>0</v>
      </c>
      <c r="AF11" s="5">
        <v>0</v>
      </c>
      <c r="AG11" s="3">
        <v>0</v>
      </c>
      <c r="AH11" s="4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3">
        <v>0</v>
      </c>
      <c r="AT11" s="4">
        <v>0</v>
      </c>
      <c r="AU11" s="5">
        <v>0</v>
      </c>
      <c r="AV11" s="5">
        <v>0</v>
      </c>
      <c r="AW11" s="3"/>
      <c r="AX11">
        <v>0</v>
      </c>
      <c r="AZ11" s="24"/>
    </row>
    <row r="12" spans="1:52" hidden="1" x14ac:dyDescent="0.3">
      <c r="A12" t="s">
        <v>62</v>
      </c>
      <c r="B12" t="s">
        <v>165</v>
      </c>
      <c r="C12" s="15">
        <v>7000000055</v>
      </c>
      <c r="D12" t="s">
        <v>45</v>
      </c>
      <c r="E12" t="s">
        <v>15</v>
      </c>
      <c r="F12" t="s">
        <v>51</v>
      </c>
      <c r="G12" s="4">
        <v>0</v>
      </c>
      <c r="H12" s="5">
        <v>0</v>
      </c>
      <c r="I12" s="5">
        <v>0</v>
      </c>
      <c r="J12" s="5"/>
      <c r="K12" s="4">
        <v>0</v>
      </c>
      <c r="L12" s="5">
        <v>0</v>
      </c>
      <c r="M12" s="5">
        <v>0</v>
      </c>
      <c r="N12" s="4">
        <v>0</v>
      </c>
      <c r="O12" s="5">
        <v>0</v>
      </c>
      <c r="P12" s="5">
        <v>0</v>
      </c>
      <c r="Q12" s="4">
        <v>0</v>
      </c>
      <c r="R12" s="5">
        <v>0</v>
      </c>
      <c r="S12" s="3">
        <v>0</v>
      </c>
      <c r="T12" s="4">
        <v>0</v>
      </c>
      <c r="U12" s="5">
        <v>0</v>
      </c>
      <c r="V12" s="1">
        <v>0</v>
      </c>
      <c r="W12" s="3"/>
      <c r="X12" s="4">
        <v>0</v>
      </c>
      <c r="Y12" s="5">
        <v>0</v>
      </c>
      <c r="Z12" s="3">
        <v>0</v>
      </c>
      <c r="AA12" s="5">
        <v>0</v>
      </c>
      <c r="AB12" s="5">
        <v>0</v>
      </c>
      <c r="AC12" s="5">
        <v>0</v>
      </c>
      <c r="AD12" s="5"/>
      <c r="AE12" s="4">
        <v>0</v>
      </c>
      <c r="AF12" s="5">
        <v>0</v>
      </c>
      <c r="AG12" s="3">
        <v>0</v>
      </c>
      <c r="AH12" s="4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3">
        <v>0</v>
      </c>
      <c r="AT12" s="4">
        <v>0</v>
      </c>
      <c r="AU12" s="5">
        <v>0</v>
      </c>
      <c r="AV12" s="5">
        <v>0</v>
      </c>
      <c r="AW12" s="3"/>
      <c r="AX12">
        <v>0</v>
      </c>
      <c r="AZ12" s="24"/>
    </row>
    <row r="13" spans="1:52" hidden="1" x14ac:dyDescent="0.3">
      <c r="A13" t="s">
        <v>63</v>
      </c>
      <c r="B13" t="s">
        <v>166</v>
      </c>
      <c r="C13" s="15">
        <v>4000000086</v>
      </c>
      <c r="D13" t="s">
        <v>37</v>
      </c>
      <c r="E13" t="s">
        <v>15</v>
      </c>
      <c r="F13" t="s">
        <v>52</v>
      </c>
      <c r="G13" s="4">
        <v>0</v>
      </c>
      <c r="H13" s="5">
        <v>0</v>
      </c>
      <c r="I13" s="5">
        <v>0</v>
      </c>
      <c r="J13" s="5"/>
      <c r="K13" s="4">
        <v>0</v>
      </c>
      <c r="L13" s="5">
        <v>0</v>
      </c>
      <c r="M13" s="5">
        <v>0</v>
      </c>
      <c r="N13" s="4">
        <v>0</v>
      </c>
      <c r="O13" s="5">
        <v>0</v>
      </c>
      <c r="P13" s="5">
        <v>0</v>
      </c>
      <c r="Q13" s="4">
        <v>0</v>
      </c>
      <c r="R13" s="5">
        <v>0</v>
      </c>
      <c r="S13" s="3">
        <v>0</v>
      </c>
      <c r="T13" s="4">
        <v>0</v>
      </c>
      <c r="U13" s="5">
        <v>0</v>
      </c>
      <c r="V13" s="5">
        <v>0</v>
      </c>
      <c r="W13" s="3"/>
      <c r="X13" s="4">
        <v>0</v>
      </c>
      <c r="Y13" s="5">
        <v>0</v>
      </c>
      <c r="Z13" s="3">
        <v>0</v>
      </c>
      <c r="AA13" s="5">
        <v>0</v>
      </c>
      <c r="AB13" s="5">
        <v>0</v>
      </c>
      <c r="AC13" s="5">
        <v>0</v>
      </c>
      <c r="AD13" s="5"/>
      <c r="AE13" s="4">
        <v>0</v>
      </c>
      <c r="AF13" s="5">
        <v>0</v>
      </c>
      <c r="AG13" s="3">
        <v>0</v>
      </c>
      <c r="AH13" s="4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3">
        <v>0</v>
      </c>
      <c r="AT13" s="4">
        <v>0</v>
      </c>
      <c r="AU13" s="5">
        <v>0</v>
      </c>
      <c r="AV13" s="5">
        <v>0</v>
      </c>
      <c r="AW13" s="3"/>
      <c r="AX13">
        <v>0</v>
      </c>
      <c r="AZ13" s="24"/>
    </row>
    <row r="14" spans="1:52" x14ac:dyDescent="0.3">
      <c r="A14" t="s">
        <v>64</v>
      </c>
      <c r="B14" t="s">
        <v>167</v>
      </c>
      <c r="C14" s="15">
        <v>4000000008</v>
      </c>
      <c r="D14" t="s">
        <v>36</v>
      </c>
      <c r="E14" t="s">
        <v>16</v>
      </c>
      <c r="F14" t="s">
        <v>52</v>
      </c>
      <c r="G14" s="4">
        <v>19</v>
      </c>
      <c r="H14" s="5">
        <v>19</v>
      </c>
      <c r="I14" s="5">
        <v>0</v>
      </c>
      <c r="J14" s="5"/>
      <c r="K14" s="4">
        <v>13301</v>
      </c>
      <c r="L14" s="5">
        <v>13301</v>
      </c>
      <c r="M14" s="5">
        <v>0</v>
      </c>
      <c r="N14" s="4">
        <v>3196</v>
      </c>
      <c r="O14" s="5">
        <v>3196</v>
      </c>
      <c r="P14" s="5">
        <v>0</v>
      </c>
      <c r="Q14" s="4">
        <v>0</v>
      </c>
      <c r="R14" s="5">
        <v>0</v>
      </c>
      <c r="S14" s="3">
        <v>0</v>
      </c>
      <c r="T14" s="4">
        <v>2200</v>
      </c>
      <c r="U14" s="5">
        <v>0</v>
      </c>
      <c r="V14" s="5">
        <v>2200</v>
      </c>
      <c r="W14" s="3" t="s">
        <v>199</v>
      </c>
      <c r="X14" s="4">
        <v>0</v>
      </c>
      <c r="Y14" s="5">
        <v>0</v>
      </c>
      <c r="Z14" s="3">
        <v>0</v>
      </c>
      <c r="AA14" s="5">
        <v>25</v>
      </c>
      <c r="AB14" s="5">
        <v>25</v>
      </c>
      <c r="AC14" s="5">
        <v>0</v>
      </c>
      <c r="AD14" s="5"/>
      <c r="AE14" s="4">
        <v>0</v>
      </c>
      <c r="AF14" s="5">
        <v>0</v>
      </c>
      <c r="AG14" s="3">
        <v>0</v>
      </c>
      <c r="AH14" s="4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3">
        <v>0</v>
      </c>
      <c r="AT14" s="4">
        <v>0</v>
      </c>
      <c r="AU14" s="5">
        <v>0</v>
      </c>
      <c r="AV14" s="5">
        <v>0</v>
      </c>
      <c r="AW14" s="3"/>
      <c r="AX14">
        <v>37482</v>
      </c>
      <c r="AZ14" s="24"/>
    </row>
    <row r="15" spans="1:52" x14ac:dyDescent="0.3">
      <c r="A15" t="s">
        <v>65</v>
      </c>
      <c r="B15" t="s">
        <v>168</v>
      </c>
      <c r="C15" s="15">
        <v>3000000077</v>
      </c>
      <c r="D15" t="s">
        <v>11</v>
      </c>
      <c r="E15" t="s">
        <v>5</v>
      </c>
      <c r="F15" t="s">
        <v>53</v>
      </c>
      <c r="G15" s="4">
        <v>0</v>
      </c>
      <c r="H15" s="5">
        <v>0</v>
      </c>
      <c r="I15" s="5">
        <v>0</v>
      </c>
      <c r="J15" s="5"/>
      <c r="K15" s="4">
        <v>0</v>
      </c>
      <c r="L15" s="5">
        <v>0</v>
      </c>
      <c r="M15" s="5">
        <v>0</v>
      </c>
      <c r="N15" s="4">
        <v>0</v>
      </c>
      <c r="O15" s="5">
        <v>0</v>
      </c>
      <c r="P15" s="5">
        <v>0</v>
      </c>
      <c r="Q15" s="4">
        <v>0</v>
      </c>
      <c r="R15" s="5">
        <v>0</v>
      </c>
      <c r="S15" s="3">
        <v>0</v>
      </c>
      <c r="T15" s="4">
        <v>0</v>
      </c>
      <c r="U15" s="5">
        <v>0</v>
      </c>
      <c r="V15" s="5">
        <v>0</v>
      </c>
      <c r="W15" s="3"/>
      <c r="X15" s="4">
        <v>0</v>
      </c>
      <c r="Y15" s="5">
        <v>0</v>
      </c>
      <c r="Z15" s="3">
        <v>0</v>
      </c>
      <c r="AA15" s="5">
        <v>0</v>
      </c>
      <c r="AB15" s="5">
        <v>0</v>
      </c>
      <c r="AC15" s="5">
        <v>0</v>
      </c>
      <c r="AD15" s="5"/>
      <c r="AE15" s="4">
        <v>0</v>
      </c>
      <c r="AF15" s="5">
        <v>0</v>
      </c>
      <c r="AG15" s="3">
        <v>0</v>
      </c>
      <c r="AH15" s="4">
        <v>0</v>
      </c>
      <c r="AI15" s="5">
        <v>6350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313</v>
      </c>
      <c r="AR15" s="5">
        <v>0</v>
      </c>
      <c r="AS15" s="3">
        <v>0</v>
      </c>
      <c r="AT15" s="4">
        <v>6663</v>
      </c>
      <c r="AU15" s="5">
        <v>6663</v>
      </c>
      <c r="AV15" s="5">
        <v>0</v>
      </c>
      <c r="AW15" s="3"/>
      <c r="AX15">
        <v>19989</v>
      </c>
      <c r="AZ15" s="24"/>
    </row>
    <row r="16" spans="1:52" x14ac:dyDescent="0.3">
      <c r="A16" t="s">
        <v>66</v>
      </c>
      <c r="B16" t="s">
        <v>169</v>
      </c>
      <c r="C16" s="15">
        <v>3000000078</v>
      </c>
      <c r="D16" t="s">
        <v>6</v>
      </c>
      <c r="E16" t="s">
        <v>5</v>
      </c>
      <c r="F16" t="s">
        <v>53</v>
      </c>
      <c r="G16" s="4">
        <v>870</v>
      </c>
      <c r="H16" s="5">
        <v>870</v>
      </c>
      <c r="I16" s="5">
        <v>0</v>
      </c>
      <c r="J16" s="5"/>
      <c r="K16" s="4">
        <v>0</v>
      </c>
      <c r="L16" s="5">
        <v>0</v>
      </c>
      <c r="M16" s="5">
        <v>0</v>
      </c>
      <c r="N16" s="4">
        <v>0</v>
      </c>
      <c r="O16" s="5">
        <v>0</v>
      </c>
      <c r="P16" s="5">
        <v>0</v>
      </c>
      <c r="Q16" s="4">
        <v>0</v>
      </c>
      <c r="R16" s="5">
        <v>0</v>
      </c>
      <c r="S16" s="3">
        <v>0</v>
      </c>
      <c r="T16" s="4">
        <v>0</v>
      </c>
      <c r="U16" s="5">
        <v>0</v>
      </c>
      <c r="V16" s="5">
        <v>0</v>
      </c>
      <c r="W16" s="3"/>
      <c r="X16" s="4">
        <v>0</v>
      </c>
      <c r="Y16" s="5">
        <v>0</v>
      </c>
      <c r="Z16" s="3">
        <v>0</v>
      </c>
      <c r="AA16" s="5">
        <v>0</v>
      </c>
      <c r="AB16" s="5">
        <v>0</v>
      </c>
      <c r="AC16" s="5">
        <v>0</v>
      </c>
      <c r="AD16" s="5"/>
      <c r="AE16" s="4">
        <v>0</v>
      </c>
      <c r="AF16" s="5">
        <v>0</v>
      </c>
      <c r="AG16" s="3">
        <v>0</v>
      </c>
      <c r="AH16" s="4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20720</v>
      </c>
      <c r="AR16" s="5">
        <v>0</v>
      </c>
      <c r="AS16" s="3">
        <v>0</v>
      </c>
      <c r="AT16" s="4">
        <v>20720</v>
      </c>
      <c r="AU16" s="5">
        <v>20720</v>
      </c>
      <c r="AV16" s="5">
        <v>0</v>
      </c>
      <c r="AW16" s="3"/>
      <c r="AX16">
        <v>63900</v>
      </c>
      <c r="AZ16" s="24"/>
    </row>
    <row r="17" spans="1:52" x14ac:dyDescent="0.3">
      <c r="A17" t="s">
        <v>67</v>
      </c>
      <c r="B17" t="s">
        <v>170</v>
      </c>
      <c r="C17" s="15">
        <v>3000000067</v>
      </c>
      <c r="D17" t="s">
        <v>7</v>
      </c>
      <c r="E17" t="s">
        <v>5</v>
      </c>
      <c r="F17" t="s">
        <v>53</v>
      </c>
      <c r="G17" s="4">
        <v>0</v>
      </c>
      <c r="H17" s="5">
        <v>0</v>
      </c>
      <c r="I17" s="5">
        <v>0</v>
      </c>
      <c r="J17" s="5"/>
      <c r="K17" s="4">
        <v>0</v>
      </c>
      <c r="L17" s="5">
        <v>0</v>
      </c>
      <c r="M17" s="5">
        <v>0</v>
      </c>
      <c r="N17" s="4">
        <v>0</v>
      </c>
      <c r="O17" s="5">
        <v>0</v>
      </c>
      <c r="P17" s="5">
        <v>0</v>
      </c>
      <c r="Q17" s="4">
        <v>0</v>
      </c>
      <c r="R17" s="5">
        <v>0</v>
      </c>
      <c r="S17" s="3">
        <v>0</v>
      </c>
      <c r="T17" s="4">
        <v>0</v>
      </c>
      <c r="U17" s="5">
        <v>0</v>
      </c>
      <c r="V17" s="5">
        <v>0</v>
      </c>
      <c r="W17" s="3"/>
      <c r="X17" s="4">
        <v>0</v>
      </c>
      <c r="Y17" s="5">
        <v>0</v>
      </c>
      <c r="Z17" s="3">
        <v>0</v>
      </c>
      <c r="AA17" s="5">
        <v>0</v>
      </c>
      <c r="AB17" s="5">
        <v>0</v>
      </c>
      <c r="AC17" s="5">
        <v>0</v>
      </c>
      <c r="AD17" s="5"/>
      <c r="AE17" s="4">
        <v>0</v>
      </c>
      <c r="AF17" s="5">
        <v>0</v>
      </c>
      <c r="AG17" s="3">
        <v>0</v>
      </c>
      <c r="AH17" s="4">
        <v>0</v>
      </c>
      <c r="AI17" s="5">
        <v>0</v>
      </c>
      <c r="AJ17" s="5">
        <v>0</v>
      </c>
      <c r="AK17" s="5">
        <v>0</v>
      </c>
      <c r="AL17" s="5">
        <v>1814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3">
        <v>0</v>
      </c>
      <c r="AT17" s="4">
        <v>1814</v>
      </c>
      <c r="AU17" s="5">
        <v>1814</v>
      </c>
      <c r="AV17" s="5">
        <v>0</v>
      </c>
      <c r="AW17" s="3"/>
      <c r="AX17" s="5">
        <v>5442</v>
      </c>
      <c r="AZ17" s="24"/>
    </row>
    <row r="18" spans="1:52" x14ac:dyDescent="0.3">
      <c r="A18" t="s">
        <v>68</v>
      </c>
      <c r="B18" t="s">
        <v>171</v>
      </c>
      <c r="C18" s="15">
        <v>3000000068</v>
      </c>
      <c r="D18" t="s">
        <v>8</v>
      </c>
      <c r="E18" t="s">
        <v>5</v>
      </c>
      <c r="F18" t="s">
        <v>53</v>
      </c>
      <c r="G18" s="4">
        <v>0</v>
      </c>
      <c r="H18" s="5">
        <v>0</v>
      </c>
      <c r="I18" s="5">
        <v>0</v>
      </c>
      <c r="J18" s="5"/>
      <c r="K18" s="4">
        <v>0</v>
      </c>
      <c r="L18" s="5">
        <v>0</v>
      </c>
      <c r="M18" s="5">
        <v>0</v>
      </c>
      <c r="N18" s="4">
        <v>0</v>
      </c>
      <c r="O18" s="5">
        <v>0</v>
      </c>
      <c r="P18" s="5">
        <v>0</v>
      </c>
      <c r="Q18" s="4">
        <v>0</v>
      </c>
      <c r="R18" s="5">
        <v>0</v>
      </c>
      <c r="S18" s="3">
        <v>0</v>
      </c>
      <c r="T18" s="4">
        <v>0</v>
      </c>
      <c r="U18" s="5">
        <v>0</v>
      </c>
      <c r="V18" s="5">
        <v>0</v>
      </c>
      <c r="W18" s="3"/>
      <c r="X18" s="4">
        <v>0</v>
      </c>
      <c r="Y18" s="5">
        <v>0</v>
      </c>
      <c r="Z18" s="3">
        <v>0</v>
      </c>
      <c r="AA18" s="5">
        <v>0</v>
      </c>
      <c r="AB18" s="5">
        <v>0</v>
      </c>
      <c r="AC18" s="5">
        <v>0</v>
      </c>
      <c r="AD18" s="5"/>
      <c r="AE18" s="4">
        <v>0</v>
      </c>
      <c r="AF18" s="5">
        <v>0</v>
      </c>
      <c r="AG18" s="3">
        <v>0</v>
      </c>
      <c r="AH18" s="4">
        <v>0</v>
      </c>
      <c r="AI18" s="5">
        <v>0</v>
      </c>
      <c r="AJ18" s="5">
        <v>0</v>
      </c>
      <c r="AK18" s="5">
        <v>0</v>
      </c>
      <c r="AL18" s="5">
        <v>5700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3">
        <v>0</v>
      </c>
      <c r="AT18" s="4">
        <v>5700</v>
      </c>
      <c r="AU18" s="5">
        <v>5700</v>
      </c>
      <c r="AV18" s="5">
        <v>0</v>
      </c>
      <c r="AW18" s="3"/>
      <c r="AX18">
        <v>17100</v>
      </c>
      <c r="AZ18" s="24"/>
    </row>
    <row r="19" spans="1:52" x14ac:dyDescent="0.3">
      <c r="A19" t="s">
        <v>69</v>
      </c>
      <c r="B19" t="s">
        <v>172</v>
      </c>
      <c r="C19" s="15">
        <v>3000000069</v>
      </c>
      <c r="D19" t="s">
        <v>9</v>
      </c>
      <c r="E19" t="s">
        <v>5</v>
      </c>
      <c r="F19" t="s">
        <v>53</v>
      </c>
      <c r="G19" s="4">
        <v>0</v>
      </c>
      <c r="H19" s="5">
        <v>0</v>
      </c>
      <c r="I19" s="5">
        <v>0</v>
      </c>
      <c r="J19" s="5"/>
      <c r="K19" s="4">
        <v>0</v>
      </c>
      <c r="L19" s="5">
        <v>0</v>
      </c>
      <c r="M19" s="5">
        <v>0</v>
      </c>
      <c r="N19" s="4">
        <v>0</v>
      </c>
      <c r="O19" s="5">
        <v>0</v>
      </c>
      <c r="P19" s="5">
        <v>0</v>
      </c>
      <c r="Q19" s="4">
        <v>0</v>
      </c>
      <c r="R19" s="5">
        <v>0</v>
      </c>
      <c r="S19" s="3">
        <v>0</v>
      </c>
      <c r="T19" s="4">
        <v>0</v>
      </c>
      <c r="U19" s="5">
        <v>0</v>
      </c>
      <c r="V19" s="5">
        <v>0</v>
      </c>
      <c r="W19" s="3"/>
      <c r="X19" s="4">
        <v>0</v>
      </c>
      <c r="Y19" s="5">
        <v>0</v>
      </c>
      <c r="Z19" s="3">
        <v>0</v>
      </c>
      <c r="AA19" s="5">
        <v>0</v>
      </c>
      <c r="AB19" s="5">
        <v>0</v>
      </c>
      <c r="AC19" s="5">
        <v>0</v>
      </c>
      <c r="AD19" s="5"/>
      <c r="AE19" s="4">
        <v>0</v>
      </c>
      <c r="AF19" s="5">
        <v>0</v>
      </c>
      <c r="AG19" s="3">
        <v>0</v>
      </c>
      <c r="AH19" s="4">
        <v>0</v>
      </c>
      <c r="AI19" s="5">
        <v>0</v>
      </c>
      <c r="AJ19" s="5">
        <v>0</v>
      </c>
      <c r="AK19" s="5">
        <v>0</v>
      </c>
      <c r="AL19" s="5">
        <v>3000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3">
        <v>0</v>
      </c>
      <c r="AT19" s="4">
        <v>3000</v>
      </c>
      <c r="AU19" s="5">
        <v>3000</v>
      </c>
      <c r="AV19" s="5">
        <v>0</v>
      </c>
      <c r="AW19" s="3"/>
      <c r="AX19">
        <v>9000</v>
      </c>
      <c r="AZ19" s="24"/>
    </row>
    <row r="20" spans="1:52" x14ac:dyDescent="0.3">
      <c r="A20" t="s">
        <v>70</v>
      </c>
      <c r="B20" t="s">
        <v>173</v>
      </c>
      <c r="C20" s="15">
        <v>3000000070</v>
      </c>
      <c r="D20" t="s">
        <v>10</v>
      </c>
      <c r="E20" t="s">
        <v>5</v>
      </c>
      <c r="F20" t="s">
        <v>53</v>
      </c>
      <c r="G20" s="4">
        <v>771</v>
      </c>
      <c r="H20" s="5">
        <v>771</v>
      </c>
      <c r="I20" s="5">
        <v>0</v>
      </c>
      <c r="J20" s="5"/>
      <c r="K20" s="4">
        <v>0</v>
      </c>
      <c r="L20" s="5">
        <v>0</v>
      </c>
      <c r="M20" s="5">
        <v>0</v>
      </c>
      <c r="N20" s="4">
        <v>0</v>
      </c>
      <c r="O20" s="5">
        <v>0</v>
      </c>
      <c r="P20" s="5">
        <v>0</v>
      </c>
      <c r="Q20" s="4">
        <v>0</v>
      </c>
      <c r="R20" s="5">
        <v>0</v>
      </c>
      <c r="S20" s="3">
        <v>0</v>
      </c>
      <c r="T20" s="4">
        <v>0</v>
      </c>
      <c r="U20" s="5">
        <v>0</v>
      </c>
      <c r="V20" s="5">
        <v>0</v>
      </c>
      <c r="W20" s="3"/>
      <c r="X20" s="4">
        <v>2350</v>
      </c>
      <c r="Y20" s="5">
        <v>2350</v>
      </c>
      <c r="Z20" s="3">
        <v>0</v>
      </c>
      <c r="AA20" s="5">
        <v>0</v>
      </c>
      <c r="AB20" s="5">
        <v>0</v>
      </c>
      <c r="AC20" s="5">
        <v>0</v>
      </c>
      <c r="AD20" s="5"/>
      <c r="AE20" s="4">
        <v>0</v>
      </c>
      <c r="AF20" s="5">
        <v>0</v>
      </c>
      <c r="AG20" s="3">
        <v>0</v>
      </c>
      <c r="AH20" s="4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32016</v>
      </c>
      <c r="AR20" s="5">
        <v>0</v>
      </c>
      <c r="AS20" s="3">
        <v>0</v>
      </c>
      <c r="AT20" s="4">
        <v>32016</v>
      </c>
      <c r="AU20" s="5">
        <v>32016</v>
      </c>
      <c r="AV20" s="5">
        <v>0</v>
      </c>
      <c r="AW20" s="3"/>
      <c r="AX20">
        <v>102290</v>
      </c>
      <c r="AZ20" s="24"/>
    </row>
    <row r="21" spans="1:52" hidden="1" x14ac:dyDescent="0.3">
      <c r="A21" t="s">
        <v>71</v>
      </c>
      <c r="B21" t="s">
        <v>174</v>
      </c>
      <c r="C21" s="15">
        <v>4000000060</v>
      </c>
      <c r="D21" t="s">
        <v>21</v>
      </c>
      <c r="E21" t="s">
        <v>15</v>
      </c>
      <c r="F21" t="s">
        <v>52</v>
      </c>
      <c r="G21" s="4">
        <v>0</v>
      </c>
      <c r="H21" s="5">
        <v>0</v>
      </c>
      <c r="I21" s="5">
        <v>0</v>
      </c>
      <c r="J21" s="5"/>
      <c r="K21" s="4">
        <v>0</v>
      </c>
      <c r="L21" s="5">
        <v>0</v>
      </c>
      <c r="M21" s="5">
        <v>0</v>
      </c>
      <c r="N21" s="4">
        <v>0</v>
      </c>
      <c r="O21" s="5">
        <v>0</v>
      </c>
      <c r="P21" s="5">
        <v>0</v>
      </c>
      <c r="Q21" s="4">
        <v>0</v>
      </c>
      <c r="R21" s="5">
        <v>0</v>
      </c>
      <c r="S21" s="3">
        <v>0</v>
      </c>
      <c r="T21" s="4">
        <v>0</v>
      </c>
      <c r="U21" s="5">
        <v>0</v>
      </c>
      <c r="V21" s="5">
        <v>0</v>
      </c>
      <c r="W21" s="3"/>
      <c r="X21" s="4">
        <v>0</v>
      </c>
      <c r="Y21" s="5">
        <v>0</v>
      </c>
      <c r="Z21" s="3">
        <v>0</v>
      </c>
      <c r="AA21" s="5">
        <v>0</v>
      </c>
      <c r="AB21" s="5">
        <v>0</v>
      </c>
      <c r="AC21" s="5">
        <v>0</v>
      </c>
      <c r="AD21" s="5"/>
      <c r="AE21" s="4">
        <v>0</v>
      </c>
      <c r="AF21" s="5">
        <v>0</v>
      </c>
      <c r="AG21" s="3">
        <v>0</v>
      </c>
      <c r="AH21" s="4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3">
        <v>0</v>
      </c>
      <c r="AT21" s="4">
        <v>0</v>
      </c>
      <c r="AU21" s="5">
        <v>0</v>
      </c>
      <c r="AV21" s="5">
        <v>0</v>
      </c>
      <c r="AW21" s="3"/>
      <c r="AX21">
        <v>0</v>
      </c>
      <c r="AZ21" s="24"/>
    </row>
    <row r="22" spans="1:52" hidden="1" x14ac:dyDescent="0.3">
      <c r="A22" t="s">
        <v>72</v>
      </c>
      <c r="B22" t="s">
        <v>175</v>
      </c>
      <c r="C22" s="15">
        <v>4000000063</v>
      </c>
      <c r="D22" t="s">
        <v>23</v>
      </c>
      <c r="E22" t="s">
        <v>15</v>
      </c>
      <c r="F22" t="s">
        <v>52</v>
      </c>
      <c r="G22" s="4">
        <v>0</v>
      </c>
      <c r="H22" s="5">
        <v>0</v>
      </c>
      <c r="I22" s="5">
        <v>0</v>
      </c>
      <c r="J22" s="5"/>
      <c r="K22" s="4">
        <v>0</v>
      </c>
      <c r="L22" s="5">
        <v>0</v>
      </c>
      <c r="M22" s="5">
        <v>0</v>
      </c>
      <c r="N22" s="4">
        <v>0</v>
      </c>
      <c r="O22" s="5">
        <v>0</v>
      </c>
      <c r="P22" s="5">
        <v>0</v>
      </c>
      <c r="Q22" s="4">
        <v>0</v>
      </c>
      <c r="R22" s="5">
        <v>0</v>
      </c>
      <c r="S22" s="3">
        <v>0</v>
      </c>
      <c r="T22" s="4">
        <v>0</v>
      </c>
      <c r="U22" s="5">
        <v>0</v>
      </c>
      <c r="V22" s="3">
        <v>0</v>
      </c>
      <c r="W22" s="3"/>
      <c r="X22" s="4">
        <v>0</v>
      </c>
      <c r="Y22" s="5">
        <v>0</v>
      </c>
      <c r="Z22" s="3">
        <v>0</v>
      </c>
      <c r="AA22" s="5">
        <v>0</v>
      </c>
      <c r="AB22" s="5">
        <v>0</v>
      </c>
      <c r="AC22" s="5">
        <v>0</v>
      </c>
      <c r="AD22" s="5"/>
      <c r="AE22" s="4">
        <v>0</v>
      </c>
      <c r="AF22" s="5">
        <v>0</v>
      </c>
      <c r="AG22" s="3">
        <v>0</v>
      </c>
      <c r="AH22" s="4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3">
        <v>0</v>
      </c>
      <c r="AT22" s="4">
        <v>0</v>
      </c>
      <c r="AU22" s="5">
        <v>0</v>
      </c>
      <c r="AV22" s="5">
        <v>0</v>
      </c>
      <c r="AW22" s="3"/>
      <c r="AX22">
        <v>0</v>
      </c>
      <c r="AZ22" s="24"/>
    </row>
    <row r="23" spans="1:52" hidden="1" x14ac:dyDescent="0.3">
      <c r="A23" t="s">
        <v>73</v>
      </c>
      <c r="B23" t="s">
        <v>176</v>
      </c>
      <c r="C23" s="15">
        <v>4000000061</v>
      </c>
      <c r="D23" t="s">
        <v>38</v>
      </c>
      <c r="E23" t="s">
        <v>15</v>
      </c>
      <c r="F23" t="s">
        <v>52</v>
      </c>
      <c r="G23" s="4">
        <v>0</v>
      </c>
      <c r="H23" s="5">
        <v>0</v>
      </c>
      <c r="I23" s="5">
        <v>0</v>
      </c>
      <c r="J23" s="5"/>
      <c r="K23" s="4">
        <v>0</v>
      </c>
      <c r="L23" s="5">
        <v>0</v>
      </c>
      <c r="M23" s="5">
        <v>0</v>
      </c>
      <c r="N23" s="4">
        <v>0</v>
      </c>
      <c r="O23" s="5">
        <v>0</v>
      </c>
      <c r="P23" s="5">
        <v>0</v>
      </c>
      <c r="Q23" s="4">
        <v>0</v>
      </c>
      <c r="R23" s="5">
        <v>0</v>
      </c>
      <c r="S23" s="3">
        <v>0</v>
      </c>
      <c r="T23" s="4">
        <v>0</v>
      </c>
      <c r="U23" s="5">
        <v>0</v>
      </c>
      <c r="V23" s="3">
        <v>0</v>
      </c>
      <c r="W23" s="3"/>
      <c r="X23" s="4">
        <v>0</v>
      </c>
      <c r="Y23" s="5">
        <v>0</v>
      </c>
      <c r="Z23" s="3">
        <v>0</v>
      </c>
      <c r="AA23" s="5">
        <v>0</v>
      </c>
      <c r="AB23" s="5">
        <v>0</v>
      </c>
      <c r="AC23" s="5">
        <v>0</v>
      </c>
      <c r="AD23" s="5"/>
      <c r="AE23" s="4">
        <v>0</v>
      </c>
      <c r="AF23" s="5">
        <v>0</v>
      </c>
      <c r="AG23" s="3">
        <v>0</v>
      </c>
      <c r="AH23" s="4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3">
        <v>0</v>
      </c>
      <c r="AT23" s="4">
        <v>0</v>
      </c>
      <c r="AU23" s="5">
        <v>0</v>
      </c>
      <c r="AV23" s="5">
        <v>0</v>
      </c>
      <c r="AW23" s="3"/>
      <c r="AX23">
        <v>0</v>
      </c>
      <c r="AZ23" s="24"/>
    </row>
    <row r="24" spans="1:52" hidden="1" x14ac:dyDescent="0.3">
      <c r="A24" t="s">
        <v>74</v>
      </c>
      <c r="B24" t="s">
        <v>177</v>
      </c>
      <c r="C24" s="15">
        <v>4000000062</v>
      </c>
      <c r="D24" t="s">
        <v>42</v>
      </c>
      <c r="E24" t="s">
        <v>15</v>
      </c>
      <c r="F24" t="s">
        <v>52</v>
      </c>
      <c r="G24" s="4">
        <v>0</v>
      </c>
      <c r="H24" s="5">
        <v>0</v>
      </c>
      <c r="I24" s="5">
        <v>0</v>
      </c>
      <c r="J24" s="5"/>
      <c r="K24" s="4">
        <v>0</v>
      </c>
      <c r="L24" s="5">
        <v>0</v>
      </c>
      <c r="M24" s="5">
        <v>0</v>
      </c>
      <c r="N24" s="4">
        <v>0</v>
      </c>
      <c r="O24" s="5">
        <v>0</v>
      </c>
      <c r="P24" s="5">
        <v>0</v>
      </c>
      <c r="Q24" s="4">
        <v>0</v>
      </c>
      <c r="R24" s="5">
        <v>0</v>
      </c>
      <c r="S24" s="3">
        <v>0</v>
      </c>
      <c r="T24" s="4">
        <v>0</v>
      </c>
      <c r="U24" s="5">
        <v>0</v>
      </c>
      <c r="V24" s="3">
        <v>0</v>
      </c>
      <c r="W24" s="3"/>
      <c r="X24" s="4">
        <v>0</v>
      </c>
      <c r="Y24" s="5">
        <v>0</v>
      </c>
      <c r="Z24" s="3">
        <v>0</v>
      </c>
      <c r="AA24" s="5">
        <v>0</v>
      </c>
      <c r="AB24" s="5">
        <v>0</v>
      </c>
      <c r="AC24" s="5">
        <v>0</v>
      </c>
      <c r="AD24" s="5"/>
      <c r="AE24" s="4">
        <v>0</v>
      </c>
      <c r="AF24" s="5">
        <v>0</v>
      </c>
      <c r="AG24" s="3">
        <v>0</v>
      </c>
      <c r="AH24" s="4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3">
        <v>0</v>
      </c>
      <c r="AT24" s="4">
        <v>0</v>
      </c>
      <c r="AU24" s="5">
        <v>0</v>
      </c>
      <c r="AV24" s="5">
        <v>0</v>
      </c>
      <c r="AW24" s="10"/>
      <c r="AX24">
        <v>0</v>
      </c>
    </row>
    <row r="25" spans="1:52" x14ac:dyDescent="0.3">
      <c r="A25" t="s">
        <v>75</v>
      </c>
      <c r="B25" t="s">
        <v>178</v>
      </c>
      <c r="C25" s="15">
        <v>4000000031</v>
      </c>
      <c r="D25" t="s">
        <v>43</v>
      </c>
      <c r="E25" t="s">
        <v>16</v>
      </c>
      <c r="F25" t="s">
        <v>52</v>
      </c>
      <c r="G25" s="4">
        <v>0</v>
      </c>
      <c r="H25" s="5">
        <v>0</v>
      </c>
      <c r="I25" s="5">
        <v>0</v>
      </c>
      <c r="J25" s="5"/>
      <c r="K25" s="4">
        <v>0</v>
      </c>
      <c r="L25" s="5">
        <v>0</v>
      </c>
      <c r="M25" s="5">
        <v>0</v>
      </c>
      <c r="N25" s="4">
        <v>0</v>
      </c>
      <c r="O25" s="5">
        <v>0</v>
      </c>
      <c r="P25" s="5">
        <v>0</v>
      </c>
      <c r="Q25" s="4">
        <v>0</v>
      </c>
      <c r="R25" s="5">
        <v>0</v>
      </c>
      <c r="S25" s="3">
        <v>0</v>
      </c>
      <c r="T25" s="4">
        <v>0</v>
      </c>
      <c r="U25" s="5">
        <v>0</v>
      </c>
      <c r="V25" s="5">
        <v>0</v>
      </c>
      <c r="W25" s="3"/>
      <c r="X25" s="4">
        <v>0</v>
      </c>
      <c r="Y25" s="5">
        <v>0</v>
      </c>
      <c r="Z25" s="3">
        <v>0</v>
      </c>
      <c r="AA25" s="5">
        <v>0</v>
      </c>
      <c r="AB25" s="5">
        <v>0</v>
      </c>
      <c r="AC25" s="5">
        <v>0</v>
      </c>
      <c r="AD25" s="5"/>
      <c r="AE25" s="4">
        <v>0</v>
      </c>
      <c r="AF25" s="5">
        <v>0</v>
      </c>
      <c r="AG25" s="3">
        <v>0</v>
      </c>
      <c r="AH25" s="4">
        <v>0</v>
      </c>
      <c r="AI25" s="5">
        <v>0</v>
      </c>
      <c r="AJ25" s="5">
        <v>0</v>
      </c>
      <c r="AK25" s="5">
        <v>0</v>
      </c>
      <c r="AL25" s="5">
        <v>34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3">
        <v>0</v>
      </c>
      <c r="AT25" s="4">
        <v>34</v>
      </c>
      <c r="AU25" s="5">
        <v>34</v>
      </c>
      <c r="AV25" s="5">
        <v>0</v>
      </c>
      <c r="AW25" s="3"/>
      <c r="AX25">
        <v>102</v>
      </c>
    </row>
    <row r="26" spans="1:52" hidden="1" x14ac:dyDescent="0.3">
      <c r="A26" t="s">
        <v>76</v>
      </c>
      <c r="B26" t="s">
        <v>179</v>
      </c>
      <c r="C26" s="15">
        <v>4000000087</v>
      </c>
      <c r="D26" t="s">
        <v>31</v>
      </c>
      <c r="E26" t="s">
        <v>15</v>
      </c>
      <c r="F26" t="s">
        <v>52</v>
      </c>
      <c r="G26" s="4">
        <v>0</v>
      </c>
      <c r="H26" s="5">
        <v>0</v>
      </c>
      <c r="I26" s="5">
        <v>0</v>
      </c>
      <c r="J26" s="5"/>
      <c r="K26" s="4">
        <v>0</v>
      </c>
      <c r="L26" s="5">
        <v>0</v>
      </c>
      <c r="M26" s="5">
        <v>0</v>
      </c>
      <c r="N26" s="4">
        <v>0</v>
      </c>
      <c r="O26" s="5">
        <v>0</v>
      </c>
      <c r="P26" s="5">
        <v>0</v>
      </c>
      <c r="Q26" s="4">
        <v>0</v>
      </c>
      <c r="R26" s="5">
        <v>0</v>
      </c>
      <c r="S26" s="3">
        <v>0</v>
      </c>
      <c r="T26" s="4">
        <v>0</v>
      </c>
      <c r="U26" s="5">
        <v>0</v>
      </c>
      <c r="V26" s="3">
        <v>0</v>
      </c>
      <c r="W26" s="3"/>
      <c r="X26" s="4">
        <v>0</v>
      </c>
      <c r="Y26" s="5">
        <v>0</v>
      </c>
      <c r="Z26" s="3">
        <v>0</v>
      </c>
      <c r="AA26" s="5">
        <v>0</v>
      </c>
      <c r="AB26" s="5">
        <v>0</v>
      </c>
      <c r="AC26" s="5">
        <v>0</v>
      </c>
      <c r="AD26" s="5"/>
      <c r="AE26" s="4">
        <v>0</v>
      </c>
      <c r="AF26" s="5">
        <v>0</v>
      </c>
      <c r="AG26" s="3">
        <v>0</v>
      </c>
      <c r="AH26" s="4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3">
        <v>0</v>
      </c>
      <c r="AT26" s="4">
        <v>0</v>
      </c>
      <c r="AU26" s="5">
        <v>0</v>
      </c>
      <c r="AV26" s="5">
        <v>0</v>
      </c>
      <c r="AW26" s="3"/>
      <c r="AX26">
        <v>0</v>
      </c>
    </row>
    <row r="27" spans="1:52" hidden="1" x14ac:dyDescent="0.3">
      <c r="A27" t="s">
        <v>77</v>
      </c>
      <c r="B27" t="s">
        <v>180</v>
      </c>
      <c r="C27" s="15">
        <v>7000000024</v>
      </c>
      <c r="D27" t="s">
        <v>35</v>
      </c>
      <c r="E27" t="s">
        <v>3</v>
      </c>
      <c r="F27" t="s">
        <v>51</v>
      </c>
      <c r="G27" s="4">
        <v>0</v>
      </c>
      <c r="H27" s="5">
        <v>0</v>
      </c>
      <c r="I27" s="5">
        <v>0</v>
      </c>
      <c r="J27" s="5"/>
      <c r="K27" s="4">
        <v>0</v>
      </c>
      <c r="L27" s="5">
        <v>0</v>
      </c>
      <c r="M27" s="5">
        <v>0</v>
      </c>
      <c r="N27" s="4">
        <v>0</v>
      </c>
      <c r="O27" s="5">
        <v>0</v>
      </c>
      <c r="P27" s="5">
        <v>0</v>
      </c>
      <c r="Q27" s="4">
        <v>0</v>
      </c>
      <c r="R27" s="5">
        <v>0</v>
      </c>
      <c r="S27" s="3">
        <v>0</v>
      </c>
      <c r="T27" s="4">
        <v>0</v>
      </c>
      <c r="U27" s="5">
        <v>0</v>
      </c>
      <c r="V27" s="3">
        <v>0</v>
      </c>
      <c r="W27" s="3"/>
      <c r="X27" s="4">
        <v>0</v>
      </c>
      <c r="Y27" s="5">
        <v>0</v>
      </c>
      <c r="Z27" s="3">
        <v>0</v>
      </c>
      <c r="AA27" s="5">
        <v>0</v>
      </c>
      <c r="AB27" s="5">
        <v>0</v>
      </c>
      <c r="AC27" s="5">
        <v>0</v>
      </c>
      <c r="AD27" s="5"/>
      <c r="AE27" s="4">
        <v>0</v>
      </c>
      <c r="AF27" s="5">
        <v>0</v>
      </c>
      <c r="AG27" s="3">
        <v>0</v>
      </c>
      <c r="AH27" s="4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3">
        <v>0</v>
      </c>
      <c r="AT27" s="4">
        <v>0</v>
      </c>
      <c r="AU27" s="5">
        <v>0</v>
      </c>
      <c r="AV27" s="5">
        <v>0</v>
      </c>
      <c r="AW27" s="3"/>
      <c r="AX27">
        <v>0</v>
      </c>
    </row>
    <row r="28" spans="1:52" hidden="1" x14ac:dyDescent="0.3">
      <c r="A28" t="s">
        <v>78</v>
      </c>
      <c r="B28" t="s">
        <v>181</v>
      </c>
      <c r="D28" t="s">
        <v>48</v>
      </c>
      <c r="E28" t="s">
        <v>3</v>
      </c>
      <c r="F28" t="s">
        <v>51</v>
      </c>
      <c r="G28" s="4">
        <v>0</v>
      </c>
      <c r="H28" s="5">
        <v>0</v>
      </c>
      <c r="I28" s="5">
        <v>0</v>
      </c>
      <c r="J28" s="5"/>
      <c r="K28" s="4">
        <v>0</v>
      </c>
      <c r="L28" s="5">
        <v>0</v>
      </c>
      <c r="M28" s="5">
        <v>0</v>
      </c>
      <c r="N28" s="4">
        <v>0</v>
      </c>
      <c r="O28" s="5">
        <v>0</v>
      </c>
      <c r="P28" s="5">
        <v>0</v>
      </c>
      <c r="Q28" s="4">
        <v>0</v>
      </c>
      <c r="R28" s="5">
        <v>0</v>
      </c>
      <c r="S28" s="3">
        <v>0</v>
      </c>
      <c r="T28" s="4">
        <v>0</v>
      </c>
      <c r="U28" s="5">
        <v>0</v>
      </c>
      <c r="V28" s="3">
        <v>0</v>
      </c>
      <c r="W28" s="3"/>
      <c r="X28" s="4">
        <v>0</v>
      </c>
      <c r="Y28" s="5">
        <v>0</v>
      </c>
      <c r="Z28" s="3">
        <v>0</v>
      </c>
      <c r="AA28" s="5">
        <v>0</v>
      </c>
      <c r="AB28" s="5">
        <v>0</v>
      </c>
      <c r="AC28" s="5">
        <v>0</v>
      </c>
      <c r="AD28" s="5"/>
      <c r="AE28" s="4">
        <v>0</v>
      </c>
      <c r="AF28" s="5">
        <v>0</v>
      </c>
      <c r="AG28" s="3">
        <v>0</v>
      </c>
      <c r="AH28" s="4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3">
        <v>0</v>
      </c>
      <c r="AT28" s="4">
        <v>0</v>
      </c>
      <c r="AU28" s="5">
        <v>0</v>
      </c>
      <c r="AV28" s="5">
        <v>0</v>
      </c>
      <c r="AW28" s="3"/>
      <c r="AX28">
        <v>0</v>
      </c>
    </row>
    <row r="29" spans="1:52" hidden="1" x14ac:dyDescent="0.3">
      <c r="A29" t="s">
        <v>79</v>
      </c>
      <c r="B29" t="s">
        <v>182</v>
      </c>
      <c r="C29" s="15">
        <v>7000000025</v>
      </c>
      <c r="D29" t="s">
        <v>41</v>
      </c>
      <c r="E29" t="s">
        <v>16</v>
      </c>
      <c r="F29" t="s">
        <v>51</v>
      </c>
      <c r="G29" s="4">
        <v>0</v>
      </c>
      <c r="H29" s="5">
        <v>0</v>
      </c>
      <c r="I29" s="5">
        <v>0</v>
      </c>
      <c r="J29" s="5"/>
      <c r="K29" s="4">
        <v>0</v>
      </c>
      <c r="L29" s="5">
        <v>0</v>
      </c>
      <c r="M29" s="5">
        <v>0</v>
      </c>
      <c r="N29" s="4">
        <v>0</v>
      </c>
      <c r="O29" s="5">
        <v>0</v>
      </c>
      <c r="P29" s="5">
        <v>0</v>
      </c>
      <c r="Q29" s="4">
        <v>0</v>
      </c>
      <c r="R29" s="5">
        <v>0</v>
      </c>
      <c r="S29" s="3">
        <v>0</v>
      </c>
      <c r="T29" s="4">
        <v>0</v>
      </c>
      <c r="U29" s="5">
        <v>0</v>
      </c>
      <c r="V29" s="3">
        <v>0</v>
      </c>
      <c r="W29" s="3"/>
      <c r="X29" s="4">
        <v>0</v>
      </c>
      <c r="Y29" s="5">
        <v>0</v>
      </c>
      <c r="Z29" s="3">
        <v>0</v>
      </c>
      <c r="AA29" s="5">
        <v>0</v>
      </c>
      <c r="AB29" s="5">
        <v>0</v>
      </c>
      <c r="AC29" s="5">
        <v>0</v>
      </c>
      <c r="AD29" s="5"/>
      <c r="AE29" s="4">
        <v>0</v>
      </c>
      <c r="AF29" s="5">
        <v>0</v>
      </c>
      <c r="AG29" s="3">
        <v>0</v>
      </c>
      <c r="AH29" s="4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3">
        <v>0</v>
      </c>
      <c r="AT29" s="4">
        <v>0</v>
      </c>
      <c r="AU29" s="5">
        <v>0</v>
      </c>
      <c r="AV29" s="5">
        <v>0</v>
      </c>
      <c r="AW29" s="3"/>
      <c r="AX29">
        <v>0</v>
      </c>
    </row>
    <row r="30" spans="1:52" x14ac:dyDescent="0.3">
      <c r="A30" t="s">
        <v>80</v>
      </c>
      <c r="B30" t="s">
        <v>183</v>
      </c>
      <c r="C30" s="15">
        <v>7000000084</v>
      </c>
      <c r="D30" t="s">
        <v>47</v>
      </c>
      <c r="E30" t="s">
        <v>15</v>
      </c>
      <c r="F30" t="s">
        <v>51</v>
      </c>
      <c r="G30" s="4">
        <v>0</v>
      </c>
      <c r="H30" s="5">
        <v>0</v>
      </c>
      <c r="I30" s="5">
        <v>0</v>
      </c>
      <c r="J30" s="5"/>
      <c r="K30" s="4">
        <v>0</v>
      </c>
      <c r="L30" s="5">
        <v>0</v>
      </c>
      <c r="M30" s="5">
        <v>0</v>
      </c>
      <c r="N30" s="4">
        <v>0</v>
      </c>
      <c r="O30" s="5">
        <v>0</v>
      </c>
      <c r="P30" s="5">
        <v>0</v>
      </c>
      <c r="Q30" s="4">
        <v>0</v>
      </c>
      <c r="R30" s="5">
        <v>0</v>
      </c>
      <c r="S30" s="3">
        <v>0</v>
      </c>
      <c r="T30" s="4">
        <v>0</v>
      </c>
      <c r="U30" s="5">
        <v>0</v>
      </c>
      <c r="V30" s="5">
        <v>0</v>
      </c>
      <c r="W30" s="3"/>
      <c r="X30" s="4">
        <v>0</v>
      </c>
      <c r="Y30" s="5">
        <v>0</v>
      </c>
      <c r="Z30" s="3">
        <v>0</v>
      </c>
      <c r="AA30" s="5">
        <v>0</v>
      </c>
      <c r="AB30" s="5">
        <v>0</v>
      </c>
      <c r="AC30" s="5">
        <v>0</v>
      </c>
      <c r="AD30" s="5"/>
      <c r="AE30" s="4">
        <v>0</v>
      </c>
      <c r="AF30" s="5">
        <v>0</v>
      </c>
      <c r="AG30" s="3">
        <v>0</v>
      </c>
      <c r="AH30" s="4">
        <v>0</v>
      </c>
      <c r="AI30" s="5">
        <v>0</v>
      </c>
      <c r="AJ30" s="5">
        <v>0</v>
      </c>
      <c r="AK30" s="5">
        <v>0</v>
      </c>
      <c r="AL30" s="5">
        <v>3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3">
        <v>0</v>
      </c>
      <c r="AT30" s="4">
        <v>3</v>
      </c>
      <c r="AU30" s="5">
        <v>3</v>
      </c>
      <c r="AV30" s="5">
        <v>0</v>
      </c>
      <c r="AW30" s="3"/>
      <c r="AX30">
        <v>9</v>
      </c>
    </row>
    <row r="31" spans="1:52" x14ac:dyDescent="0.3">
      <c r="A31" t="s">
        <v>81</v>
      </c>
      <c r="B31" t="s">
        <v>184</v>
      </c>
      <c r="C31" s="15">
        <v>4000000088</v>
      </c>
      <c r="D31" t="s">
        <v>40</v>
      </c>
      <c r="E31" t="s">
        <v>15</v>
      </c>
      <c r="F31" t="s">
        <v>52</v>
      </c>
      <c r="G31" s="4">
        <v>0</v>
      </c>
      <c r="H31" s="5">
        <v>0</v>
      </c>
      <c r="I31" s="5">
        <v>0</v>
      </c>
      <c r="J31" s="5"/>
      <c r="K31" s="4">
        <v>0</v>
      </c>
      <c r="L31" s="5">
        <v>0</v>
      </c>
      <c r="M31" s="5">
        <v>0</v>
      </c>
      <c r="N31" s="4">
        <v>0</v>
      </c>
      <c r="O31" s="5">
        <v>0</v>
      </c>
      <c r="P31" s="5">
        <v>0</v>
      </c>
      <c r="Q31" s="4">
        <v>0</v>
      </c>
      <c r="R31" s="5">
        <v>0</v>
      </c>
      <c r="S31" s="3">
        <v>0</v>
      </c>
      <c r="T31" s="4">
        <v>0</v>
      </c>
      <c r="U31" s="5">
        <v>0</v>
      </c>
      <c r="V31" s="5">
        <v>0</v>
      </c>
      <c r="W31" s="3"/>
      <c r="X31" s="4">
        <v>0</v>
      </c>
      <c r="Y31" s="5">
        <v>0</v>
      </c>
      <c r="Z31" s="3">
        <v>0</v>
      </c>
      <c r="AA31" s="5">
        <v>0</v>
      </c>
      <c r="AB31" s="5">
        <v>0</v>
      </c>
      <c r="AC31" s="5">
        <v>0</v>
      </c>
      <c r="AD31" s="5"/>
      <c r="AE31" s="4">
        <v>0</v>
      </c>
      <c r="AF31" s="5">
        <v>0</v>
      </c>
      <c r="AG31" s="3">
        <v>0</v>
      </c>
      <c r="AH31" s="4">
        <v>0</v>
      </c>
      <c r="AI31" s="5">
        <v>0</v>
      </c>
      <c r="AJ31" s="5">
        <v>0</v>
      </c>
      <c r="AK31" s="5">
        <v>0</v>
      </c>
      <c r="AL31" s="5">
        <v>69</v>
      </c>
      <c r="AM31" s="5">
        <v>0</v>
      </c>
      <c r="AN31" s="5">
        <v>574</v>
      </c>
      <c r="AO31" s="5">
        <v>0</v>
      </c>
      <c r="AP31" s="5">
        <v>0</v>
      </c>
      <c r="AQ31" s="5">
        <v>0</v>
      </c>
      <c r="AR31" s="5">
        <v>0</v>
      </c>
      <c r="AS31" s="3">
        <v>0</v>
      </c>
      <c r="AT31" s="4">
        <v>643</v>
      </c>
      <c r="AU31" s="5">
        <v>651</v>
      </c>
      <c r="AV31" s="5">
        <v>-8</v>
      </c>
      <c r="AW31" s="3" t="s">
        <v>150</v>
      </c>
      <c r="AX31" s="5">
        <v>1929</v>
      </c>
    </row>
    <row r="32" spans="1:52" hidden="1" x14ac:dyDescent="0.3">
      <c r="A32" t="s">
        <v>82</v>
      </c>
      <c r="B32" t="s">
        <v>185</v>
      </c>
      <c r="D32" t="s">
        <v>33</v>
      </c>
      <c r="E32" t="s">
        <v>4</v>
      </c>
      <c r="F32" t="s">
        <v>52</v>
      </c>
      <c r="G32" s="4">
        <v>0</v>
      </c>
      <c r="H32" s="5">
        <v>0</v>
      </c>
      <c r="I32" s="5">
        <v>0</v>
      </c>
      <c r="J32" s="5"/>
      <c r="K32" s="4">
        <v>0</v>
      </c>
      <c r="L32" s="5">
        <v>0</v>
      </c>
      <c r="M32" s="5">
        <v>0</v>
      </c>
      <c r="N32" s="4">
        <v>0</v>
      </c>
      <c r="O32" s="5">
        <v>0</v>
      </c>
      <c r="P32" s="5">
        <v>0</v>
      </c>
      <c r="Q32" s="4">
        <v>0</v>
      </c>
      <c r="R32" s="5">
        <v>0</v>
      </c>
      <c r="S32" s="3">
        <v>0</v>
      </c>
      <c r="T32" s="4">
        <v>0</v>
      </c>
      <c r="U32" s="5">
        <v>0</v>
      </c>
      <c r="V32" s="3">
        <v>0</v>
      </c>
      <c r="W32" s="3"/>
      <c r="X32" s="4">
        <v>0</v>
      </c>
      <c r="Y32" s="5">
        <v>0</v>
      </c>
      <c r="Z32" s="3">
        <v>0</v>
      </c>
      <c r="AA32" s="5">
        <v>0</v>
      </c>
      <c r="AB32" s="5">
        <v>0</v>
      </c>
      <c r="AC32" s="5">
        <v>0</v>
      </c>
      <c r="AD32" s="5"/>
      <c r="AE32" s="4">
        <v>0</v>
      </c>
      <c r="AF32" s="5">
        <v>0</v>
      </c>
      <c r="AG32" s="3">
        <v>0</v>
      </c>
      <c r="AH32" s="4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3">
        <v>0</v>
      </c>
      <c r="AT32" s="4">
        <v>0</v>
      </c>
      <c r="AU32" s="5">
        <v>0</v>
      </c>
      <c r="AV32" s="5">
        <v>0</v>
      </c>
      <c r="AW32" s="3"/>
      <c r="AX32">
        <v>0</v>
      </c>
    </row>
    <row r="33" spans="1:50" hidden="1" x14ac:dyDescent="0.3">
      <c r="A33" t="s">
        <v>83</v>
      </c>
      <c r="B33" t="s">
        <v>186</v>
      </c>
      <c r="C33" s="15">
        <v>4000000079</v>
      </c>
      <c r="D33" t="s">
        <v>24</v>
      </c>
      <c r="E33" t="s">
        <v>3</v>
      </c>
      <c r="F33" t="s">
        <v>52</v>
      </c>
      <c r="G33" s="4">
        <v>0</v>
      </c>
      <c r="H33" s="5">
        <v>0</v>
      </c>
      <c r="I33" s="5">
        <v>0</v>
      </c>
      <c r="J33" s="5"/>
      <c r="K33" s="4">
        <v>0</v>
      </c>
      <c r="L33" s="5">
        <v>0</v>
      </c>
      <c r="M33" s="5">
        <v>0</v>
      </c>
      <c r="N33" s="4">
        <v>0</v>
      </c>
      <c r="O33" s="5">
        <v>0</v>
      </c>
      <c r="P33" s="5">
        <v>0</v>
      </c>
      <c r="Q33" s="4">
        <v>0</v>
      </c>
      <c r="R33" s="5">
        <v>0</v>
      </c>
      <c r="S33" s="3">
        <v>0</v>
      </c>
      <c r="T33" s="4">
        <v>0</v>
      </c>
      <c r="U33" s="5">
        <v>0</v>
      </c>
      <c r="V33" s="3">
        <v>0</v>
      </c>
      <c r="W33" s="3"/>
      <c r="X33" s="4">
        <v>0</v>
      </c>
      <c r="Y33" s="5">
        <v>0</v>
      </c>
      <c r="Z33" s="3">
        <v>0</v>
      </c>
      <c r="AA33" s="5">
        <v>0</v>
      </c>
      <c r="AB33" s="5">
        <v>0</v>
      </c>
      <c r="AC33" s="5">
        <v>0</v>
      </c>
      <c r="AD33" s="5"/>
      <c r="AE33" s="4">
        <v>0</v>
      </c>
      <c r="AF33" s="5">
        <v>0</v>
      </c>
      <c r="AG33" s="3">
        <v>0</v>
      </c>
      <c r="AH33" s="4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3">
        <v>0</v>
      </c>
      <c r="AT33" s="4">
        <v>0</v>
      </c>
      <c r="AU33" s="5">
        <v>0</v>
      </c>
      <c r="AV33" s="5">
        <v>0</v>
      </c>
      <c r="AW33" s="3"/>
      <c r="AX33">
        <v>0</v>
      </c>
    </row>
    <row r="34" spans="1:50" hidden="1" x14ac:dyDescent="0.3">
      <c r="A34" t="s">
        <v>84</v>
      </c>
      <c r="B34" t="s">
        <v>187</v>
      </c>
      <c r="C34" s="15">
        <v>2000000028</v>
      </c>
      <c r="D34" t="s">
        <v>25</v>
      </c>
      <c r="E34" t="s">
        <v>4</v>
      </c>
      <c r="F34" t="s">
        <v>52</v>
      </c>
      <c r="G34" s="4">
        <v>0</v>
      </c>
      <c r="H34" s="5">
        <v>0</v>
      </c>
      <c r="I34" s="5">
        <v>0</v>
      </c>
      <c r="J34" s="5"/>
      <c r="K34" s="4">
        <v>0</v>
      </c>
      <c r="L34" s="5">
        <v>0</v>
      </c>
      <c r="M34" s="5">
        <v>0</v>
      </c>
      <c r="N34" s="4">
        <v>0</v>
      </c>
      <c r="O34" s="5">
        <v>0</v>
      </c>
      <c r="P34" s="5">
        <v>0</v>
      </c>
      <c r="Q34" s="4">
        <v>0</v>
      </c>
      <c r="R34" s="5">
        <v>0</v>
      </c>
      <c r="S34" s="3">
        <v>0</v>
      </c>
      <c r="T34" s="4">
        <v>0</v>
      </c>
      <c r="U34" s="5">
        <v>0</v>
      </c>
      <c r="V34" s="3">
        <v>0</v>
      </c>
      <c r="W34" s="3"/>
      <c r="X34" s="4">
        <v>0</v>
      </c>
      <c r="Y34" s="5">
        <v>0</v>
      </c>
      <c r="Z34" s="3">
        <v>0</v>
      </c>
      <c r="AA34" s="5">
        <v>0</v>
      </c>
      <c r="AB34" s="5">
        <v>0</v>
      </c>
      <c r="AC34" s="5">
        <v>0</v>
      </c>
      <c r="AD34" s="5"/>
      <c r="AE34" s="4">
        <v>0</v>
      </c>
      <c r="AF34" s="5">
        <v>0</v>
      </c>
      <c r="AG34" s="3">
        <v>0</v>
      </c>
      <c r="AH34" s="4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3">
        <v>0</v>
      </c>
      <c r="AT34" s="4">
        <v>0</v>
      </c>
      <c r="AU34" s="5">
        <v>0</v>
      </c>
      <c r="AV34" s="5">
        <v>0</v>
      </c>
      <c r="AW34" s="3"/>
      <c r="AX34">
        <v>0</v>
      </c>
    </row>
    <row r="35" spans="1:50" hidden="1" x14ac:dyDescent="0.3">
      <c r="A35" t="s">
        <v>85</v>
      </c>
      <c r="B35" t="s">
        <v>188</v>
      </c>
      <c r="C35" s="15">
        <v>4000000080</v>
      </c>
      <c r="D35" t="s">
        <v>30</v>
      </c>
      <c r="E35" t="s">
        <v>15</v>
      </c>
      <c r="F35" t="s">
        <v>52</v>
      </c>
      <c r="G35" s="4">
        <v>0</v>
      </c>
      <c r="H35" s="5">
        <v>0</v>
      </c>
      <c r="I35" s="5">
        <v>0</v>
      </c>
      <c r="J35" s="5"/>
      <c r="K35" s="4">
        <v>0</v>
      </c>
      <c r="L35" s="5">
        <v>0</v>
      </c>
      <c r="M35" s="5">
        <v>0</v>
      </c>
      <c r="N35" s="4">
        <v>0</v>
      </c>
      <c r="O35" s="5">
        <v>0</v>
      </c>
      <c r="P35" s="5">
        <v>0</v>
      </c>
      <c r="Q35" s="4">
        <v>0</v>
      </c>
      <c r="R35" s="5">
        <v>0</v>
      </c>
      <c r="S35" s="3">
        <v>0</v>
      </c>
      <c r="T35" s="4">
        <v>0</v>
      </c>
      <c r="U35" s="5">
        <v>0</v>
      </c>
      <c r="V35" s="3">
        <v>0</v>
      </c>
      <c r="W35" s="3"/>
      <c r="X35" s="4">
        <v>0</v>
      </c>
      <c r="Y35" s="5">
        <v>0</v>
      </c>
      <c r="Z35" s="3">
        <v>0</v>
      </c>
      <c r="AA35" s="5">
        <v>0</v>
      </c>
      <c r="AB35" s="5">
        <v>0</v>
      </c>
      <c r="AC35" s="5">
        <v>0</v>
      </c>
      <c r="AD35" s="5"/>
      <c r="AE35" s="4">
        <v>0</v>
      </c>
      <c r="AF35" s="5">
        <v>0</v>
      </c>
      <c r="AG35" s="3">
        <v>0</v>
      </c>
      <c r="AH35" s="4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3">
        <v>0</v>
      </c>
      <c r="AT35" s="4">
        <v>0</v>
      </c>
      <c r="AU35" s="5">
        <v>0</v>
      </c>
      <c r="AV35" s="5">
        <v>0</v>
      </c>
      <c r="AW35" s="3"/>
      <c r="AX35">
        <v>0</v>
      </c>
    </row>
    <row r="36" spans="1:50" hidden="1" x14ac:dyDescent="0.3">
      <c r="A36" t="s">
        <v>86</v>
      </c>
      <c r="B36" t="s">
        <v>189</v>
      </c>
      <c r="C36" s="15">
        <v>4000000075</v>
      </c>
      <c r="D36" t="s">
        <v>14</v>
      </c>
      <c r="E36" t="s">
        <v>3</v>
      </c>
      <c r="F36" t="s">
        <v>52</v>
      </c>
      <c r="G36" s="4">
        <v>0</v>
      </c>
      <c r="H36" s="5">
        <v>0</v>
      </c>
      <c r="I36" s="5">
        <v>0</v>
      </c>
      <c r="J36" s="5"/>
      <c r="K36" s="4">
        <v>0</v>
      </c>
      <c r="L36" s="5">
        <v>0</v>
      </c>
      <c r="M36" s="5">
        <v>0</v>
      </c>
      <c r="N36" s="4">
        <v>0</v>
      </c>
      <c r="O36" s="5">
        <v>0</v>
      </c>
      <c r="P36" s="5">
        <v>0</v>
      </c>
      <c r="Q36" s="4">
        <v>0</v>
      </c>
      <c r="R36" s="5">
        <v>0</v>
      </c>
      <c r="S36" s="3">
        <v>0</v>
      </c>
      <c r="T36" s="4">
        <v>0</v>
      </c>
      <c r="U36" s="5">
        <v>0</v>
      </c>
      <c r="V36" s="3">
        <v>0</v>
      </c>
      <c r="W36" s="3"/>
      <c r="X36" s="4">
        <v>0</v>
      </c>
      <c r="Y36" s="5">
        <v>0</v>
      </c>
      <c r="Z36" s="3">
        <v>0</v>
      </c>
      <c r="AA36" s="5">
        <v>0</v>
      </c>
      <c r="AB36" s="5">
        <v>0</v>
      </c>
      <c r="AC36" s="5">
        <v>0</v>
      </c>
      <c r="AD36" s="5"/>
      <c r="AE36" s="4">
        <v>0</v>
      </c>
      <c r="AF36" s="5">
        <v>0</v>
      </c>
      <c r="AG36" s="3">
        <v>0</v>
      </c>
      <c r="AH36" s="4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3">
        <v>0</v>
      </c>
      <c r="AT36" s="4">
        <v>0</v>
      </c>
      <c r="AU36" s="5">
        <v>0</v>
      </c>
      <c r="AV36" s="5">
        <v>0</v>
      </c>
      <c r="AW36" s="3"/>
      <c r="AX36">
        <v>0</v>
      </c>
    </row>
    <row r="37" spans="1:50" hidden="1" x14ac:dyDescent="0.3">
      <c r="A37" t="s">
        <v>87</v>
      </c>
      <c r="B37" t="s">
        <v>190</v>
      </c>
      <c r="C37" s="15">
        <v>4000000072</v>
      </c>
      <c r="D37" t="s">
        <v>13</v>
      </c>
      <c r="E37" t="s">
        <v>3</v>
      </c>
      <c r="F37" t="s">
        <v>52</v>
      </c>
      <c r="G37" s="4">
        <v>0</v>
      </c>
      <c r="H37" s="5">
        <v>0</v>
      </c>
      <c r="I37" s="5">
        <v>0</v>
      </c>
      <c r="J37" s="5"/>
      <c r="K37" s="4">
        <v>0</v>
      </c>
      <c r="L37" s="5">
        <v>0</v>
      </c>
      <c r="M37" s="5">
        <v>0</v>
      </c>
      <c r="N37" s="4">
        <v>0</v>
      </c>
      <c r="O37" s="5">
        <v>0</v>
      </c>
      <c r="P37" s="5">
        <v>0</v>
      </c>
      <c r="Q37" s="4">
        <v>0</v>
      </c>
      <c r="R37" s="5">
        <v>0</v>
      </c>
      <c r="S37" s="3">
        <v>0</v>
      </c>
      <c r="T37" s="4">
        <v>0</v>
      </c>
      <c r="U37" s="5">
        <v>0</v>
      </c>
      <c r="V37" s="3">
        <v>0</v>
      </c>
      <c r="W37" s="3"/>
      <c r="X37" s="4">
        <v>0</v>
      </c>
      <c r="Y37" s="5">
        <v>0</v>
      </c>
      <c r="Z37" s="3">
        <v>0</v>
      </c>
      <c r="AA37" s="5">
        <v>0</v>
      </c>
      <c r="AB37" s="5">
        <v>0</v>
      </c>
      <c r="AC37" s="5">
        <v>0</v>
      </c>
      <c r="AD37" s="5"/>
      <c r="AE37" s="4">
        <v>0</v>
      </c>
      <c r="AF37" s="5">
        <v>0</v>
      </c>
      <c r="AG37" s="3">
        <v>0</v>
      </c>
      <c r="AH37" s="4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3">
        <v>0</v>
      </c>
      <c r="AT37" s="4">
        <v>0</v>
      </c>
      <c r="AU37" s="5">
        <v>0</v>
      </c>
      <c r="AV37" s="5">
        <v>0</v>
      </c>
      <c r="AW37" s="3"/>
      <c r="AX37">
        <v>0</v>
      </c>
    </row>
    <row r="38" spans="1:50" hidden="1" x14ac:dyDescent="0.3">
      <c r="A38" t="s">
        <v>88</v>
      </c>
      <c r="B38" t="s">
        <v>191</v>
      </c>
      <c r="C38" s="15">
        <v>4000000074</v>
      </c>
      <c r="D38" t="s">
        <v>12</v>
      </c>
      <c r="E38" t="s">
        <v>3</v>
      </c>
      <c r="F38" t="s">
        <v>52</v>
      </c>
      <c r="G38" s="4">
        <v>0</v>
      </c>
      <c r="H38" s="5">
        <v>0</v>
      </c>
      <c r="I38" s="5">
        <v>0</v>
      </c>
      <c r="J38" s="5"/>
      <c r="K38" s="4">
        <v>0</v>
      </c>
      <c r="L38" s="5">
        <v>0</v>
      </c>
      <c r="M38" s="5">
        <v>0</v>
      </c>
      <c r="N38" s="4">
        <v>0</v>
      </c>
      <c r="O38" s="5">
        <v>0</v>
      </c>
      <c r="P38" s="5">
        <v>0</v>
      </c>
      <c r="Q38" s="4">
        <v>0</v>
      </c>
      <c r="R38" s="5">
        <v>0</v>
      </c>
      <c r="S38" s="3">
        <v>0</v>
      </c>
      <c r="T38" s="4">
        <v>0</v>
      </c>
      <c r="U38" s="5">
        <v>0</v>
      </c>
      <c r="V38" s="3">
        <v>0</v>
      </c>
      <c r="W38" s="3"/>
      <c r="X38" s="4">
        <v>0</v>
      </c>
      <c r="Y38" s="5">
        <v>0</v>
      </c>
      <c r="Z38" s="3">
        <v>0</v>
      </c>
      <c r="AA38" s="5">
        <v>0</v>
      </c>
      <c r="AB38" s="5">
        <v>0</v>
      </c>
      <c r="AC38" s="5">
        <v>0</v>
      </c>
      <c r="AD38" s="5"/>
      <c r="AE38" s="4">
        <v>0</v>
      </c>
      <c r="AF38" s="5">
        <v>0</v>
      </c>
      <c r="AG38" s="3">
        <v>0</v>
      </c>
      <c r="AH38" s="4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3">
        <v>0</v>
      </c>
      <c r="AT38" s="4">
        <v>0</v>
      </c>
      <c r="AU38" s="5">
        <v>0</v>
      </c>
      <c r="AV38" s="5">
        <v>0</v>
      </c>
      <c r="AW38" s="3"/>
      <c r="AX38">
        <v>0</v>
      </c>
    </row>
    <row r="39" spans="1:50" hidden="1" x14ac:dyDescent="0.3">
      <c r="A39" t="s">
        <v>89</v>
      </c>
      <c r="B39" t="s">
        <v>192</v>
      </c>
      <c r="C39" s="15">
        <v>4000000077</v>
      </c>
      <c r="D39" t="s">
        <v>19</v>
      </c>
      <c r="E39" t="s">
        <v>3</v>
      </c>
      <c r="F39" t="s">
        <v>52</v>
      </c>
      <c r="G39" s="4">
        <v>0</v>
      </c>
      <c r="H39" s="5">
        <v>0</v>
      </c>
      <c r="I39" s="5">
        <v>0</v>
      </c>
      <c r="J39" s="5"/>
      <c r="K39" s="4">
        <v>0</v>
      </c>
      <c r="L39" s="5">
        <v>0</v>
      </c>
      <c r="M39" s="5">
        <v>0</v>
      </c>
      <c r="N39" s="4">
        <v>0</v>
      </c>
      <c r="O39" s="5">
        <v>0</v>
      </c>
      <c r="P39" s="5">
        <v>0</v>
      </c>
      <c r="Q39" s="4">
        <v>0</v>
      </c>
      <c r="R39" s="5">
        <v>0</v>
      </c>
      <c r="S39" s="3">
        <v>0</v>
      </c>
      <c r="T39" s="4">
        <v>0</v>
      </c>
      <c r="U39" s="5">
        <v>0</v>
      </c>
      <c r="V39" s="3">
        <v>0</v>
      </c>
      <c r="W39" s="3"/>
      <c r="X39" s="4">
        <v>0</v>
      </c>
      <c r="Y39" s="5">
        <v>0</v>
      </c>
      <c r="Z39" s="3">
        <v>0</v>
      </c>
      <c r="AA39" s="5">
        <v>0</v>
      </c>
      <c r="AB39" s="5">
        <v>0</v>
      </c>
      <c r="AC39" s="5">
        <v>0</v>
      </c>
      <c r="AD39" s="5"/>
      <c r="AE39" s="4">
        <v>0</v>
      </c>
      <c r="AF39" s="5">
        <v>0</v>
      </c>
      <c r="AG39" s="3">
        <v>0</v>
      </c>
      <c r="AH39" s="4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3">
        <v>0</v>
      </c>
      <c r="AT39" s="4">
        <v>0</v>
      </c>
      <c r="AU39" s="5">
        <v>0</v>
      </c>
      <c r="AV39" s="5">
        <v>0</v>
      </c>
      <c r="AW39" s="3"/>
      <c r="AX39">
        <v>0</v>
      </c>
    </row>
    <row r="40" spans="1:50" ht="15" thickBot="1" x14ac:dyDescent="0.35">
      <c r="A40" t="s">
        <v>90</v>
      </c>
      <c r="B40" t="s">
        <v>193</v>
      </c>
      <c r="C40" s="15">
        <v>4000000076</v>
      </c>
      <c r="D40" t="s">
        <v>17</v>
      </c>
      <c r="E40" t="s">
        <v>3</v>
      </c>
      <c r="F40" t="s">
        <v>52</v>
      </c>
      <c r="G40" s="4">
        <v>53</v>
      </c>
      <c r="H40" s="5">
        <v>0</v>
      </c>
      <c r="I40" s="5">
        <v>53</v>
      </c>
      <c r="J40" s="5" t="s">
        <v>149</v>
      </c>
      <c r="K40" s="4">
        <v>0</v>
      </c>
      <c r="L40" s="5">
        <v>0</v>
      </c>
      <c r="M40" s="5">
        <v>0</v>
      </c>
      <c r="N40" s="4">
        <v>0</v>
      </c>
      <c r="O40" s="5">
        <v>0</v>
      </c>
      <c r="P40" s="5">
        <v>0</v>
      </c>
      <c r="Q40" s="4">
        <v>0</v>
      </c>
      <c r="R40" s="5">
        <v>0</v>
      </c>
      <c r="S40" s="3">
        <v>0</v>
      </c>
      <c r="T40" s="4">
        <v>0</v>
      </c>
      <c r="U40" s="5">
        <v>0</v>
      </c>
      <c r="V40" s="5">
        <v>0</v>
      </c>
      <c r="W40" s="3"/>
      <c r="X40" s="4">
        <v>0</v>
      </c>
      <c r="Y40" s="5">
        <v>0</v>
      </c>
      <c r="Z40" s="3">
        <v>0</v>
      </c>
      <c r="AA40" s="5">
        <v>0</v>
      </c>
      <c r="AB40" s="5">
        <v>0</v>
      </c>
      <c r="AC40" s="5">
        <v>0</v>
      </c>
      <c r="AD40" s="5"/>
      <c r="AE40" s="4">
        <v>0</v>
      </c>
      <c r="AF40" s="5">
        <v>0</v>
      </c>
      <c r="AG40" s="3">
        <v>0</v>
      </c>
      <c r="AH40" s="4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3">
        <v>0</v>
      </c>
      <c r="AT40" s="4">
        <v>0</v>
      </c>
      <c r="AU40" s="5">
        <v>0</v>
      </c>
      <c r="AV40" s="5">
        <v>0</v>
      </c>
      <c r="AW40" s="3"/>
      <c r="AX40">
        <v>106</v>
      </c>
    </row>
    <row r="41" spans="1:50" ht="15" hidden="1" thickBot="1" x14ac:dyDescent="0.35">
      <c r="A41" t="s">
        <v>91</v>
      </c>
      <c r="B41" t="s">
        <v>194</v>
      </c>
      <c r="D41" t="s">
        <v>18</v>
      </c>
      <c r="E41" t="s">
        <v>15</v>
      </c>
      <c r="F41" t="s">
        <v>52</v>
      </c>
      <c r="G41" s="4">
        <v>0</v>
      </c>
      <c r="H41" s="5">
        <v>0</v>
      </c>
      <c r="I41" s="5">
        <v>0</v>
      </c>
      <c r="J41" s="5"/>
      <c r="K41" s="4">
        <v>0</v>
      </c>
      <c r="L41" s="5">
        <v>0</v>
      </c>
      <c r="M41" s="5">
        <v>0</v>
      </c>
      <c r="N41" s="4">
        <v>0</v>
      </c>
      <c r="O41" s="5">
        <v>0</v>
      </c>
      <c r="P41" s="5">
        <v>0</v>
      </c>
      <c r="Q41" s="4">
        <v>0</v>
      </c>
      <c r="R41" s="5">
        <v>0</v>
      </c>
      <c r="S41" s="3">
        <v>0</v>
      </c>
      <c r="T41" s="4">
        <v>0</v>
      </c>
      <c r="U41" s="5">
        <v>0</v>
      </c>
      <c r="V41" s="3">
        <v>0</v>
      </c>
      <c r="W41" s="5"/>
      <c r="X41" s="4">
        <v>0</v>
      </c>
      <c r="Y41" s="5">
        <v>0</v>
      </c>
      <c r="Z41" s="3">
        <v>0</v>
      </c>
      <c r="AA41" s="5">
        <v>0</v>
      </c>
      <c r="AB41" s="5">
        <v>0</v>
      </c>
      <c r="AC41" s="5">
        <v>0</v>
      </c>
      <c r="AD41" s="5"/>
      <c r="AE41" s="4">
        <v>0</v>
      </c>
      <c r="AF41" s="5">
        <v>0</v>
      </c>
      <c r="AG41" s="3">
        <v>0</v>
      </c>
      <c r="AH41" s="4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3">
        <v>0</v>
      </c>
      <c r="AT41" s="4">
        <v>0</v>
      </c>
      <c r="AU41" s="5">
        <v>0</v>
      </c>
      <c r="AV41" s="5">
        <v>0</v>
      </c>
      <c r="AW41" s="3"/>
      <c r="AX41">
        <v>0</v>
      </c>
    </row>
    <row r="42" spans="1:50" ht="15" hidden="1" thickBot="1" x14ac:dyDescent="0.35">
      <c r="A42" t="s">
        <v>92</v>
      </c>
      <c r="B42" t="s">
        <v>195</v>
      </c>
      <c r="D42" t="s">
        <v>26</v>
      </c>
      <c r="E42" t="s">
        <v>3</v>
      </c>
      <c r="F42" t="s">
        <v>52</v>
      </c>
      <c r="G42" s="4">
        <v>0</v>
      </c>
      <c r="H42" s="5">
        <v>0</v>
      </c>
      <c r="I42" s="5">
        <v>0</v>
      </c>
      <c r="J42" s="5"/>
      <c r="K42" s="4">
        <v>0</v>
      </c>
      <c r="L42" s="5">
        <v>0</v>
      </c>
      <c r="M42" s="5">
        <v>0</v>
      </c>
      <c r="N42" s="4">
        <v>0</v>
      </c>
      <c r="O42" s="5">
        <v>0</v>
      </c>
      <c r="P42" s="5">
        <v>0</v>
      </c>
      <c r="Q42" s="4">
        <v>0</v>
      </c>
      <c r="R42" s="5">
        <v>0</v>
      </c>
      <c r="S42" s="3">
        <v>0</v>
      </c>
      <c r="T42" s="4">
        <v>0</v>
      </c>
      <c r="U42" s="5">
        <v>0</v>
      </c>
      <c r="V42" s="3">
        <v>0</v>
      </c>
      <c r="W42" s="5"/>
      <c r="X42" s="4">
        <v>0</v>
      </c>
      <c r="Y42" s="5">
        <v>0</v>
      </c>
      <c r="Z42" s="3">
        <v>0</v>
      </c>
      <c r="AA42" s="5">
        <v>0</v>
      </c>
      <c r="AB42" s="5">
        <v>0</v>
      </c>
      <c r="AC42" s="5">
        <v>0</v>
      </c>
      <c r="AD42" s="5"/>
      <c r="AE42" s="4">
        <v>0</v>
      </c>
      <c r="AF42" s="5">
        <v>0</v>
      </c>
      <c r="AG42" s="3">
        <v>0</v>
      </c>
      <c r="AH42" s="4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3">
        <v>0</v>
      </c>
      <c r="AT42" s="4">
        <v>0</v>
      </c>
      <c r="AU42" s="5">
        <v>0</v>
      </c>
      <c r="AV42" s="5">
        <v>0</v>
      </c>
      <c r="AW42" s="3"/>
      <c r="AX42">
        <v>0</v>
      </c>
    </row>
    <row r="43" spans="1:50" ht="15" hidden="1" thickBot="1" x14ac:dyDescent="0.35">
      <c r="A43" t="s">
        <v>93</v>
      </c>
      <c r="B43" t="s">
        <v>196</v>
      </c>
      <c r="C43" s="15">
        <v>4000000073</v>
      </c>
      <c r="D43" t="s">
        <v>27</v>
      </c>
      <c r="E43" t="s">
        <v>3</v>
      </c>
      <c r="F43" t="s">
        <v>52</v>
      </c>
      <c r="G43" s="4">
        <v>0</v>
      </c>
      <c r="H43" s="5">
        <v>0</v>
      </c>
      <c r="I43" s="5">
        <v>0</v>
      </c>
      <c r="J43" s="5"/>
      <c r="K43" s="4">
        <v>0</v>
      </c>
      <c r="L43" s="5">
        <v>0</v>
      </c>
      <c r="M43" s="5">
        <v>0</v>
      </c>
      <c r="N43" s="4">
        <v>0</v>
      </c>
      <c r="O43" s="5">
        <v>0</v>
      </c>
      <c r="P43" s="5">
        <v>0</v>
      </c>
      <c r="Q43" s="4">
        <v>0</v>
      </c>
      <c r="R43" s="5">
        <v>0</v>
      </c>
      <c r="S43" s="3">
        <v>0</v>
      </c>
      <c r="T43" s="4">
        <v>0</v>
      </c>
      <c r="U43" s="5">
        <v>0</v>
      </c>
      <c r="V43" s="3">
        <v>0</v>
      </c>
      <c r="W43" s="5"/>
      <c r="X43" s="4">
        <v>0</v>
      </c>
      <c r="Y43" s="5">
        <v>0</v>
      </c>
      <c r="Z43" s="3">
        <v>0</v>
      </c>
      <c r="AA43" s="5">
        <v>0</v>
      </c>
      <c r="AB43" s="5">
        <v>0</v>
      </c>
      <c r="AC43" s="5">
        <v>0</v>
      </c>
      <c r="AD43" s="5"/>
      <c r="AE43" s="4">
        <v>0</v>
      </c>
      <c r="AF43" s="5">
        <v>0</v>
      </c>
      <c r="AG43" s="3">
        <v>0</v>
      </c>
      <c r="AH43" s="4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3">
        <v>0</v>
      </c>
      <c r="AT43" s="4">
        <v>0</v>
      </c>
      <c r="AU43" s="5">
        <v>0</v>
      </c>
      <c r="AV43" s="5">
        <v>0</v>
      </c>
      <c r="AW43" s="3"/>
      <c r="AX43">
        <v>0</v>
      </c>
    </row>
    <row r="44" spans="1:50" ht="15" hidden="1" thickBot="1" x14ac:dyDescent="0.35">
      <c r="A44" t="s">
        <v>94</v>
      </c>
      <c r="B44" t="s">
        <v>197</v>
      </c>
      <c r="C44" s="15">
        <v>4000000071</v>
      </c>
      <c r="D44" t="s">
        <v>22</v>
      </c>
      <c r="E44" t="s">
        <v>3</v>
      </c>
      <c r="F44" t="s">
        <v>52</v>
      </c>
      <c r="G44" s="4">
        <v>0</v>
      </c>
      <c r="H44" s="5">
        <v>0</v>
      </c>
      <c r="I44" s="5">
        <v>0</v>
      </c>
      <c r="J44" s="5"/>
      <c r="K44" s="4">
        <v>0</v>
      </c>
      <c r="L44" s="5">
        <v>0</v>
      </c>
      <c r="M44" s="5">
        <v>0</v>
      </c>
      <c r="N44" s="4">
        <v>0</v>
      </c>
      <c r="O44" s="5">
        <v>0</v>
      </c>
      <c r="P44" s="5">
        <v>0</v>
      </c>
      <c r="Q44" s="4">
        <v>0</v>
      </c>
      <c r="R44" s="5">
        <v>0</v>
      </c>
      <c r="S44" s="3">
        <v>0</v>
      </c>
      <c r="T44" s="4">
        <v>0</v>
      </c>
      <c r="U44" s="5">
        <v>0</v>
      </c>
      <c r="V44" s="3">
        <v>0</v>
      </c>
      <c r="W44" s="5"/>
      <c r="X44" s="4">
        <v>0</v>
      </c>
      <c r="Y44" s="5">
        <v>0</v>
      </c>
      <c r="Z44" s="3">
        <v>0</v>
      </c>
      <c r="AA44" s="5">
        <v>0</v>
      </c>
      <c r="AB44" s="5">
        <v>0</v>
      </c>
      <c r="AC44" s="5">
        <v>0</v>
      </c>
      <c r="AD44" s="5"/>
      <c r="AE44" s="4">
        <v>0</v>
      </c>
      <c r="AF44" s="5">
        <v>0</v>
      </c>
      <c r="AG44" s="3">
        <v>0</v>
      </c>
      <c r="AH44" s="4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3">
        <v>0</v>
      </c>
      <c r="AT44" s="4">
        <v>0</v>
      </c>
      <c r="AU44" s="5">
        <v>0</v>
      </c>
      <c r="AV44" s="5">
        <v>0</v>
      </c>
      <c r="AW44" s="3"/>
      <c r="AX44">
        <v>0</v>
      </c>
    </row>
    <row r="45" spans="1:50" ht="15" hidden="1" thickBot="1" x14ac:dyDescent="0.35">
      <c r="A45" t="s">
        <v>95</v>
      </c>
      <c r="B45" t="s">
        <v>198</v>
      </c>
      <c r="C45" s="15">
        <v>7000000051</v>
      </c>
      <c r="D45" t="s">
        <v>29</v>
      </c>
      <c r="E45" t="s">
        <v>3</v>
      </c>
      <c r="F45" t="s">
        <v>51</v>
      </c>
      <c r="G45" s="4">
        <v>0</v>
      </c>
      <c r="H45" s="5">
        <v>0</v>
      </c>
      <c r="I45" s="9">
        <v>0</v>
      </c>
      <c r="J45" s="5"/>
      <c r="K45" s="4">
        <v>0</v>
      </c>
      <c r="L45" s="5">
        <v>0</v>
      </c>
      <c r="M45" s="9">
        <v>0</v>
      </c>
      <c r="N45" s="4">
        <v>0</v>
      </c>
      <c r="O45" s="5">
        <v>0</v>
      </c>
      <c r="P45" s="9">
        <v>0</v>
      </c>
      <c r="Q45" s="4">
        <v>0</v>
      </c>
      <c r="R45" s="5">
        <v>0</v>
      </c>
      <c r="S45" s="23">
        <v>0</v>
      </c>
      <c r="T45" s="4">
        <v>0</v>
      </c>
      <c r="U45" s="5">
        <v>0</v>
      </c>
      <c r="V45" s="3">
        <v>0</v>
      </c>
      <c r="W45" s="5"/>
      <c r="X45" s="4">
        <v>0</v>
      </c>
      <c r="Y45" s="5">
        <v>0</v>
      </c>
      <c r="Z45" s="23">
        <v>0</v>
      </c>
      <c r="AA45" s="5">
        <v>0</v>
      </c>
      <c r="AB45" s="5">
        <v>0</v>
      </c>
      <c r="AC45" s="5">
        <v>0</v>
      </c>
      <c r="AD45" s="5"/>
      <c r="AE45" s="4">
        <v>0</v>
      </c>
      <c r="AF45" s="5">
        <v>0</v>
      </c>
      <c r="AG45" s="3">
        <v>0</v>
      </c>
      <c r="AH45" s="4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3">
        <v>0</v>
      </c>
      <c r="AT45" s="4">
        <v>0</v>
      </c>
      <c r="AU45" s="5">
        <v>0</v>
      </c>
      <c r="AV45" s="5">
        <v>0</v>
      </c>
      <c r="AW45" s="3"/>
      <c r="AX45">
        <v>0</v>
      </c>
    </row>
    <row r="46" spans="1:50" ht="15" thickBot="1" x14ac:dyDescent="0.35">
      <c r="A46" t="s">
        <v>49</v>
      </c>
      <c r="B46" t="s">
        <v>49</v>
      </c>
      <c r="G46" s="6">
        <f>SUBTOTAL(109,stockm32423[GD04])</f>
        <v>1713</v>
      </c>
      <c r="H46" s="7">
        <f>SUBTOTAL(109,stockm32423[Gadarif Distribution Center
Physical Quantity])</f>
        <v>1660</v>
      </c>
      <c r="I46" s="7">
        <f>SUBTOTAL(109,stockm32423[Variance 
(GD04)])</f>
        <v>53</v>
      </c>
      <c r="J46" s="7"/>
      <c r="K46" s="6">
        <f>SUBTOTAL(109,stockm32423[MD05])</f>
        <v>13301</v>
      </c>
      <c r="L46" s="7">
        <f>SUBTOTAL(109,stockm32423[Medani Distribution Center
Physical Quantity])</f>
        <v>13301</v>
      </c>
      <c r="M46" s="11">
        <f>SUBTOTAL(109,stockm32423[Variance 
(MD05)])</f>
        <v>0</v>
      </c>
      <c r="N46" s="6">
        <f>SUBTOTAL(109,stockm32423[KS05])</f>
        <v>3196</v>
      </c>
      <c r="O46" s="7">
        <f>SUBTOTAL(109,stockm32423[Kassala distribution center
Physical Quantity])</f>
        <v>3196</v>
      </c>
      <c r="P46" s="7">
        <f>SUBTOTAL(109,stockm32423[Variance 
(KS05)])</f>
        <v>0</v>
      </c>
      <c r="Q46" s="6">
        <f>SUBTOTAL(109,stockm32423[RK02])</f>
        <v>0</v>
      </c>
      <c r="R46" s="7">
        <f>SUBTOTAL(109,stockm32423[Rabak distribution center
Physical Quantity3])</f>
        <v>0</v>
      </c>
      <c r="S46" s="11">
        <f>SUBTOTAL(109,stockm32423[Variance 
(RK02)4])</f>
        <v>0</v>
      </c>
      <c r="T46" s="6">
        <f>SUBTOTAL(109,stockm32423[KO02])</f>
        <v>2200</v>
      </c>
      <c r="U46" s="7">
        <f>SUBTOTAL(109,stockm32423[Kosti Distribution Center
Physical Quantity])</f>
        <v>0</v>
      </c>
      <c r="V46" s="7">
        <f>SUBTOTAL(109,stockm32423[Variance 
(KO02)])</f>
        <v>2200</v>
      </c>
      <c r="W46" s="11"/>
      <c r="X46" s="6">
        <f>SUBTOTAL(109,stockm32423[AT01])</f>
        <v>2350</v>
      </c>
      <c r="Y46" s="7">
        <f>SUBTOTAL(109,stockm32423[ATBARA Distribution Center
Physical Quantity])</f>
        <v>2350</v>
      </c>
      <c r="Z46" s="11">
        <f>SUBTOTAL(109,stockm32423[Variance 
(AT01)])</f>
        <v>0</v>
      </c>
      <c r="AA46" s="6">
        <f>SUBTOTAL(109,stockm32423[KH03])</f>
        <v>25</v>
      </c>
      <c r="AB46" s="7">
        <f>SUBTOTAL(109,stockm32423[Elkhabir (KRT) Warehouse Physical Quantity])</f>
        <v>25</v>
      </c>
      <c r="AC46" s="7">
        <f>SUBTOTAL(109,stockm32423[Variance 
(KH03)])</f>
        <v>0</v>
      </c>
      <c r="AD46" s="11"/>
      <c r="AE46" s="6">
        <f>SUBTOTAL(109,stockm32423[KO022])</f>
        <v>0</v>
      </c>
      <c r="AF46" s="7">
        <f>SUBTOTAL(109,stockm32423[Kosti Distribution Center
Physical Quantity3])</f>
        <v>0</v>
      </c>
      <c r="AG46" s="11">
        <f>SUBTOTAL(109,stockm32423[Variance 
(KO02)4])</f>
        <v>0</v>
      </c>
      <c r="AH46" s="6">
        <f>SUBTOTAL(109,stockm32423[A013])</f>
        <v>0</v>
      </c>
      <c r="AI46" s="7">
        <f>SUBTOTAL(109,stockm32423[BL01])</f>
        <v>6350</v>
      </c>
      <c r="AJ46" s="7">
        <f>SUBTOTAL(109,stockm32423[BN01])</f>
        <v>65285</v>
      </c>
      <c r="AK46" s="7">
        <f>SUBTOTAL(109,stockm32423[BN02])</f>
        <v>49882</v>
      </c>
      <c r="AL46" s="7">
        <f>SUBTOTAL(109,stockm32423[E002])</f>
        <v>10771</v>
      </c>
      <c r="AM46" s="7">
        <f>SUBTOTAL(109,stockm32423[E003])</f>
        <v>0</v>
      </c>
      <c r="AN46" s="7">
        <f>SUBTOTAL(109,stockm32423[TX01])</f>
        <v>2142</v>
      </c>
      <c r="AO46" s="7">
        <f>SUBTOTAL(109,stockm32423[TX02])</f>
        <v>0</v>
      </c>
      <c r="AP46" s="7">
        <f>SUBTOTAL(109,stockm32423[D013])</f>
        <v>0</v>
      </c>
      <c r="AQ46" s="7">
        <f>SUBTOTAL(109,stockm32423[BW01])</f>
        <v>53049</v>
      </c>
      <c r="AR46" s="7">
        <f>SUBTOTAL(109,stockm32423[F011])</f>
        <v>0</v>
      </c>
      <c r="AS46" s="11">
        <f>SUBTOTAL(109,stockm32423[G013])</f>
        <v>0</v>
      </c>
      <c r="AT46" s="6">
        <f>SUBTOTAL(109,stockm32423[Grand Total])</f>
        <v>187458</v>
      </c>
      <c r="AU46" s="7">
        <f>SUBTOTAL(109,stockm32423[PZU distribution centers
Physical Quantity])</f>
        <v>187518</v>
      </c>
      <c r="AV46" s="7">
        <f>SUBTOTAL(109,stockm32423[Variance])</f>
        <v>-60</v>
      </c>
      <c r="AW46" s="11"/>
    </row>
    <row r="47" spans="1:50" x14ac:dyDescent="0.3">
      <c r="H47" s="5"/>
    </row>
    <row r="52" spans="27:28" x14ac:dyDescent="0.3">
      <c r="AA52" s="25"/>
      <c r="AB52" s="5"/>
    </row>
  </sheetData>
  <mergeCells count="11">
    <mergeCell ref="AT1:AW1"/>
    <mergeCell ref="T1:W1"/>
    <mergeCell ref="X1:Z1"/>
    <mergeCell ref="AA1:AD1"/>
    <mergeCell ref="AE1:AG1"/>
    <mergeCell ref="AH1:AS1"/>
    <mergeCell ref="A1:F1"/>
    <mergeCell ref="G1:J1"/>
    <mergeCell ref="K1:M1"/>
    <mergeCell ref="N1:P1"/>
    <mergeCell ref="Q1:S1"/>
  </mergeCells>
  <phoneticPr fontId="10" type="noConversion"/>
  <conditionalFormatting sqref="V3:W5 AD3:AD13 I3:J39 M3:M45 P3:P45 S3:S45 Z3:Z45 AG3:AG45 AV3:AV45 V41:W45 AD15:AD45 I40 I41:J45 V13:V40 V6:V11 AC3:AC45">
    <cfRule type="cellIs" dxfId="44" priority="1" operator="notEqual">
      <formula>0</formula>
    </cfRule>
  </conditionalFormatting>
  <pageMargins left="0.7" right="0.7" top="0.75" bottom="0.75" header="0.3" footer="0.3"/>
  <legacy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F85A76-8331-4342-9F5E-18C78D9A6A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Shimaa Ezzat Mohamed Mukhtar</dc:creator>
  <cp:lastModifiedBy>Shimaa Ezzat Mohamed Mukhtar</cp:lastModifiedBy>
  <dcterms:created xsi:type="dcterms:W3CDTF">2015-06-05T18:17:20Z</dcterms:created>
  <dcterms:modified xsi:type="dcterms:W3CDTF">2026-07-26T11:44:50Z</dcterms:modified>
</cp:coreProperties>
</file>